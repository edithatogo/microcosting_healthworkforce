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4"/>
  <workbookPr/>
  <mc:AlternateContent xmlns:mc="http://schemas.openxmlformats.org/markup-compatibility/2006">
    <mc:Choice Requires="x15">
      <x15ac:absPath xmlns:x15ac="http://schemas.microsoft.com/office/spreadsheetml/2010/11/ac" url="https://unimelbcloud-my.sharepoint.com/personal/damordaunt_student_unimelb_edu_au/Documents/Phase 1 - Study 3 - Australian Labour Costing Model/"/>
    </mc:Choice>
  </mc:AlternateContent>
  <xr:revisionPtr revIDLastSave="1710" documentId="13_ncr:1_{AAD6A28B-BB85-4541-9E09-320CACAFE3C3}" xr6:coauthVersionLast="47" xr6:coauthVersionMax="47" xr10:uidLastSave="{59C77771-4F83-3241-B4E6-EC1225CC3AD6}"/>
  <bookViews>
    <workbookView xWindow="100" yWindow="860" windowWidth="30040" windowHeight="17100" firstSheet="5" activeTab="8" xr2:uid="{8D0578ED-085E-394B-9079-8BA3AAB9A7C3}"/>
  </bookViews>
  <sheets>
    <sheet name="Labour - Prices" sheetId="2" r:id="rId1"/>
    <sheet name="Labour - Prices (WM)" sheetId="19" r:id="rId2"/>
    <sheet name="Medicare Enrolments" sheetId="17" r:id="rId3"/>
    <sheet name="Weightings" sheetId="18" r:id="rId4"/>
    <sheet name="Components $ and %" sheetId="16" r:id="rId5"/>
    <sheet name="Labour - Prices (DSA)" sheetId="9" r:id="rId6"/>
    <sheet name="Labour - Prices (DSA, Values)" sheetId="10" r:id="rId7"/>
    <sheet name="Labour - Prices (DSA,Val,Long)" sheetId="11" r:id="rId8"/>
    <sheet name="Labour - Prices (DSA,Val,Lo (2)" sheetId="15" r:id="rId9"/>
    <sheet name="Labour - Prices (DSA, Pub)" sheetId="14" r:id="rId10"/>
    <sheet name="Labour - Pr (PSA,Val,Long,Tot)" sheetId="12" r:id="rId11"/>
    <sheet name="Labour - Pr (PSA,Val,Hr)" sheetId="13" r:id="rId12"/>
    <sheet name="Sum Cost" sheetId="6" r:id="rId13"/>
    <sheet name="Sum Cost Jur" sheetId="7" r:id="rId14"/>
    <sheet name="Sum Cost Comp" sheetId="8" r:id="rId15"/>
    <sheet name="Labour - BY ($)" sheetId="4" r:id="rId16"/>
    <sheet name="Labour - BY (%)" sheetId="5" r:id="rId17"/>
    <sheet name="Labour - Prices (Fixed header)" sheetId="3" r:id="rId18"/>
    <sheet name="Assumptions" sheetId="1" r:id="rId19"/>
  </sheets>
  <definedNames>
    <definedName name="_xlnm._FilterDatabase" localSheetId="11" hidden="1">'Labour - Pr (PSA,Val,Hr)'!$A$1:$F$1</definedName>
    <definedName name="_xlnm._FilterDatabase" localSheetId="10" hidden="1">'Labour - Pr (PSA,Val,Long,Tot)'!$A$2:$F$2</definedName>
    <definedName name="_xlnm._FilterDatabase" localSheetId="9" hidden="1">'Labour - Prices (DSA, Pub)'!$A$1:$F$1</definedName>
    <definedName name="_xlnm._FilterDatabase" localSheetId="8" hidden="1">'Labour - Prices (DSA,Val,Lo (2)'!$A$2:$F$2</definedName>
    <definedName name="_xlnm._FilterDatabase" localSheetId="7" hidden="1">'Labour - Prices (DSA,Val,Long)'!#REF!</definedName>
    <definedName name="IDX" localSheetId="2">'Medicare Enrolments'!$A$3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E32" i="9" l="1"/>
  <c r="DD32" i="9"/>
  <c r="DC32" i="9"/>
  <c r="DE31" i="9"/>
  <c r="DH31" i="9" s="1"/>
  <c r="DD31" i="9"/>
  <c r="DC31" i="9"/>
  <c r="DE30" i="9"/>
  <c r="DD30" i="9"/>
  <c r="DC30" i="9"/>
  <c r="DE29" i="9"/>
  <c r="DD29" i="9"/>
  <c r="DC29" i="9"/>
  <c r="DE28" i="9"/>
  <c r="DD28" i="9"/>
  <c r="DC28" i="9"/>
  <c r="DF28" i="9" s="1"/>
  <c r="DE26" i="9"/>
  <c r="DD26" i="9"/>
  <c r="DC26" i="9"/>
  <c r="DE25" i="9"/>
  <c r="DD25" i="9"/>
  <c r="DC25" i="9"/>
  <c r="DE24" i="9"/>
  <c r="DD24" i="9"/>
  <c r="DC24" i="9"/>
  <c r="DE23" i="9"/>
  <c r="DD23" i="9"/>
  <c r="DC23" i="9"/>
  <c r="DE22" i="9"/>
  <c r="DD22" i="9"/>
  <c r="DC22" i="9"/>
  <c r="DE20" i="9"/>
  <c r="DD20" i="9"/>
  <c r="DC20" i="9"/>
  <c r="DE19" i="9"/>
  <c r="DD19" i="9"/>
  <c r="DC19" i="9"/>
  <c r="DE18" i="9"/>
  <c r="DD18" i="9"/>
  <c r="DC18" i="9"/>
  <c r="DE17" i="9"/>
  <c r="DD17" i="9"/>
  <c r="DC17" i="9"/>
  <c r="DE16" i="9"/>
  <c r="DD16" i="9"/>
  <c r="DC16" i="9"/>
  <c r="DE14" i="9"/>
  <c r="DD14" i="9"/>
  <c r="DC14" i="9"/>
  <c r="DE13" i="9"/>
  <c r="DH13" i="9" s="1"/>
  <c r="DD13" i="9"/>
  <c r="DC13" i="9"/>
  <c r="DE12" i="9"/>
  <c r="DD12" i="9"/>
  <c r="DC12" i="9"/>
  <c r="DE11" i="9"/>
  <c r="DH11" i="9" s="1"/>
  <c r="DD11" i="9"/>
  <c r="DC11" i="9"/>
  <c r="DE10" i="9"/>
  <c r="DD10" i="9"/>
  <c r="DC10" i="9"/>
  <c r="DC5" i="9"/>
  <c r="DD5" i="9"/>
  <c r="DE5" i="9"/>
  <c r="DC6" i="9"/>
  <c r="DD6" i="9"/>
  <c r="DE6" i="9"/>
  <c r="DC7" i="9"/>
  <c r="DD7" i="9"/>
  <c r="DE7" i="9"/>
  <c r="DC8" i="9"/>
  <c r="DD8" i="9"/>
  <c r="DE8" i="9"/>
  <c r="DE4" i="9"/>
  <c r="DC4" i="9"/>
  <c r="DD4" i="9"/>
  <c r="CY38" i="9"/>
  <c r="CX38" i="9"/>
  <c r="CW38" i="9"/>
  <c r="CY37" i="9"/>
  <c r="CX37" i="9"/>
  <c r="CW37" i="9"/>
  <c r="CY36" i="9"/>
  <c r="CX36" i="9"/>
  <c r="CW36" i="9"/>
  <c r="CY35" i="9"/>
  <c r="CX35" i="9"/>
  <c r="CW35" i="9"/>
  <c r="CY34" i="9"/>
  <c r="CX34" i="9"/>
  <c r="CW34" i="9"/>
  <c r="CY32" i="9"/>
  <c r="CX32" i="9"/>
  <c r="CW32" i="9"/>
  <c r="CY31" i="9"/>
  <c r="CX31" i="9"/>
  <c r="CW31" i="9"/>
  <c r="CY30" i="9"/>
  <c r="CX30" i="9"/>
  <c r="CW30" i="9"/>
  <c r="CZ30" i="9" s="1"/>
  <c r="CY29" i="9"/>
  <c r="DB29" i="9" s="1"/>
  <c r="CX29" i="9"/>
  <c r="CW29" i="9"/>
  <c r="CY28" i="9"/>
  <c r="CX28" i="9"/>
  <c r="CW28" i="9"/>
  <c r="CY26" i="9"/>
  <c r="CX26" i="9"/>
  <c r="CW26" i="9"/>
  <c r="CY25" i="9"/>
  <c r="CX25" i="9"/>
  <c r="CW25" i="9"/>
  <c r="CY24" i="9"/>
  <c r="CX24" i="9"/>
  <c r="CW24" i="9"/>
  <c r="CY23" i="9"/>
  <c r="CX23" i="9"/>
  <c r="CW23" i="9"/>
  <c r="CY22" i="9"/>
  <c r="CX22" i="9"/>
  <c r="CW22" i="9"/>
  <c r="CY20" i="9"/>
  <c r="CX20" i="9"/>
  <c r="CW20" i="9"/>
  <c r="CY19" i="9"/>
  <c r="DB19" i="9" s="1"/>
  <c r="CX19" i="9"/>
  <c r="CW19" i="9"/>
  <c r="CY18" i="9"/>
  <c r="CX18" i="9"/>
  <c r="CW18" i="9"/>
  <c r="CY17" i="9"/>
  <c r="CX17" i="9"/>
  <c r="CW17" i="9"/>
  <c r="CY16" i="9"/>
  <c r="CX16" i="9"/>
  <c r="CW16" i="9"/>
  <c r="CY14" i="9"/>
  <c r="CX14" i="9"/>
  <c r="CW14" i="9"/>
  <c r="CY13" i="9"/>
  <c r="DB13" i="9" s="1"/>
  <c r="CX13" i="9"/>
  <c r="CW13" i="9"/>
  <c r="CY12" i="9"/>
  <c r="CX12" i="9"/>
  <c r="CW12" i="9"/>
  <c r="CZ12" i="9" s="1"/>
  <c r="CY11" i="9"/>
  <c r="CX11" i="9"/>
  <c r="CW11" i="9"/>
  <c r="CY10" i="9"/>
  <c r="CX10" i="9"/>
  <c r="CW10" i="9"/>
  <c r="CW5" i="9"/>
  <c r="CX5" i="9"/>
  <c r="CY5" i="9"/>
  <c r="CW6" i="9"/>
  <c r="CX6" i="9"/>
  <c r="CY6" i="9"/>
  <c r="CW7" i="9"/>
  <c r="CX7" i="9"/>
  <c r="CY7" i="9"/>
  <c r="CW8" i="9"/>
  <c r="CX8" i="9"/>
  <c r="CY8" i="9"/>
  <c r="CY4" i="9"/>
  <c r="CW4" i="9"/>
  <c r="CX4" i="9"/>
  <c r="CS38" i="9"/>
  <c r="CR38" i="9"/>
  <c r="CQ38" i="9"/>
  <c r="CS37" i="9"/>
  <c r="CR37" i="9"/>
  <c r="CQ37" i="9"/>
  <c r="CS36" i="9"/>
  <c r="CR36" i="9"/>
  <c r="CQ36" i="9"/>
  <c r="CS35" i="9"/>
  <c r="CR35" i="9"/>
  <c r="CQ35" i="9"/>
  <c r="CS34" i="9"/>
  <c r="CR34" i="9"/>
  <c r="CQ34" i="9"/>
  <c r="CS32" i="9"/>
  <c r="CR32" i="9"/>
  <c r="CQ32" i="9"/>
  <c r="CS31" i="9"/>
  <c r="CV31" i="9" s="1"/>
  <c r="CR31" i="9"/>
  <c r="CQ31" i="9"/>
  <c r="CT31" i="9" s="1"/>
  <c r="CS30" i="9"/>
  <c r="CR30" i="9"/>
  <c r="CQ30" i="9"/>
  <c r="CS29" i="9"/>
  <c r="CR29" i="9"/>
  <c r="CQ29" i="9"/>
  <c r="CS28" i="9"/>
  <c r="CR28" i="9"/>
  <c r="CQ28" i="9"/>
  <c r="CT28" i="9" s="1"/>
  <c r="CS26" i="9"/>
  <c r="CR26" i="9"/>
  <c r="CQ26" i="9"/>
  <c r="CS25" i="9"/>
  <c r="CR25" i="9"/>
  <c r="CQ25" i="9"/>
  <c r="CS24" i="9"/>
  <c r="CR24" i="9"/>
  <c r="CQ24" i="9"/>
  <c r="CT24" i="9" s="1"/>
  <c r="CS23" i="9"/>
  <c r="CV23" i="9" s="1"/>
  <c r="CR23" i="9"/>
  <c r="CQ23" i="9"/>
  <c r="CS22" i="9"/>
  <c r="CR22" i="9"/>
  <c r="CQ22" i="9"/>
  <c r="CS20" i="9"/>
  <c r="CR20" i="9"/>
  <c r="CQ20" i="9"/>
  <c r="CS19" i="9"/>
  <c r="CV19" i="9" s="1"/>
  <c r="CR19" i="9"/>
  <c r="CQ19" i="9"/>
  <c r="CS18" i="9"/>
  <c r="CR18" i="9"/>
  <c r="CQ18" i="9"/>
  <c r="CS17" i="9"/>
  <c r="CR17" i="9"/>
  <c r="CQ17" i="9"/>
  <c r="CS16" i="9"/>
  <c r="CR16" i="9"/>
  <c r="CQ16" i="9"/>
  <c r="CS14" i="9"/>
  <c r="CR14" i="9"/>
  <c r="CQ14" i="9"/>
  <c r="CS13" i="9"/>
  <c r="CR13" i="9"/>
  <c r="CQ13" i="9"/>
  <c r="CS12" i="9"/>
  <c r="CR12" i="9"/>
  <c r="CQ12" i="9"/>
  <c r="CS11" i="9"/>
  <c r="CR11" i="9"/>
  <c r="CQ11" i="9"/>
  <c r="CS10" i="9"/>
  <c r="CR10" i="9"/>
  <c r="CQ10" i="9"/>
  <c r="CQ5" i="9"/>
  <c r="CR5" i="9"/>
  <c r="CS5" i="9"/>
  <c r="CQ6" i="9"/>
  <c r="CR6" i="9"/>
  <c r="CS6" i="9"/>
  <c r="CQ7" i="9"/>
  <c r="CT7" i="9" s="1"/>
  <c r="CR7" i="9"/>
  <c r="CS7" i="9"/>
  <c r="CQ8" i="9"/>
  <c r="CR8" i="9"/>
  <c r="CS8" i="9"/>
  <c r="CS4" i="9"/>
  <c r="CR4" i="9"/>
  <c r="CQ4" i="9"/>
  <c r="CM38" i="9"/>
  <c r="CL38" i="9"/>
  <c r="CK38" i="9"/>
  <c r="CM37" i="9"/>
  <c r="CL37" i="9"/>
  <c r="CK37" i="9"/>
  <c r="CM36" i="9"/>
  <c r="CL36" i="9"/>
  <c r="CK36" i="9"/>
  <c r="CM35" i="9"/>
  <c r="CL35" i="9"/>
  <c r="CK35" i="9"/>
  <c r="CM34" i="9"/>
  <c r="CL34" i="9"/>
  <c r="CK34" i="9"/>
  <c r="CM32" i="9"/>
  <c r="CL32" i="9"/>
  <c r="CK32" i="9"/>
  <c r="CM31" i="9"/>
  <c r="CL31" i="9"/>
  <c r="CK31" i="9"/>
  <c r="CM30" i="9"/>
  <c r="CL30" i="9"/>
  <c r="CK30" i="9"/>
  <c r="CM29" i="9"/>
  <c r="CL29" i="9"/>
  <c r="CK29" i="9"/>
  <c r="CM28" i="9"/>
  <c r="CL28" i="9"/>
  <c r="CK28" i="9"/>
  <c r="CM26" i="9"/>
  <c r="CL26" i="9"/>
  <c r="CK26" i="9"/>
  <c r="CM25" i="9"/>
  <c r="CL25" i="9"/>
  <c r="CK25" i="9"/>
  <c r="CM24" i="9"/>
  <c r="CL24" i="9"/>
  <c r="CK24" i="9"/>
  <c r="CM23" i="9"/>
  <c r="CL23" i="9"/>
  <c r="CK23" i="9"/>
  <c r="CM22" i="9"/>
  <c r="CL22" i="9"/>
  <c r="CK22" i="9"/>
  <c r="CM20" i="9"/>
  <c r="CL20" i="9"/>
  <c r="CK20" i="9"/>
  <c r="CN20" i="9" s="1"/>
  <c r="CM19" i="9"/>
  <c r="CL19" i="9"/>
  <c r="CK19" i="9"/>
  <c r="CM18" i="9"/>
  <c r="CL18" i="9"/>
  <c r="CK18" i="9"/>
  <c r="CM17" i="9"/>
  <c r="CL17" i="9"/>
  <c r="CK17" i="9"/>
  <c r="CM16" i="9"/>
  <c r="CL16" i="9"/>
  <c r="CK16" i="9"/>
  <c r="CM14" i="9"/>
  <c r="CL14" i="9"/>
  <c r="CK14" i="9"/>
  <c r="CM13" i="9"/>
  <c r="CL13" i="9"/>
  <c r="CK13" i="9"/>
  <c r="CM12" i="9"/>
  <c r="CL12" i="9"/>
  <c r="CK12" i="9"/>
  <c r="CM11" i="9"/>
  <c r="CL11" i="9"/>
  <c r="CK11" i="9"/>
  <c r="CM10" i="9"/>
  <c r="CL10" i="9"/>
  <c r="CK10" i="9"/>
  <c r="CK5" i="9"/>
  <c r="CL5" i="9"/>
  <c r="CM5" i="9"/>
  <c r="CK6" i="9"/>
  <c r="CL6" i="9"/>
  <c r="CM6" i="9"/>
  <c r="CK7" i="9"/>
  <c r="CL7" i="9"/>
  <c r="CM7" i="9"/>
  <c r="CP7" i="9" s="1"/>
  <c r="CK8" i="9"/>
  <c r="CL8" i="9"/>
  <c r="CM8" i="9"/>
  <c r="CM4" i="9"/>
  <c r="CK4" i="9"/>
  <c r="CL4" i="9"/>
  <c r="CG38" i="9"/>
  <c r="CF38" i="9"/>
  <c r="CE38" i="9"/>
  <c r="CG37" i="9"/>
  <c r="CF37" i="9"/>
  <c r="CE37" i="9"/>
  <c r="CG36" i="9"/>
  <c r="CF36" i="9"/>
  <c r="CE36" i="9"/>
  <c r="CG35" i="9"/>
  <c r="CF35" i="9"/>
  <c r="CE35" i="9"/>
  <c r="CG34" i="9"/>
  <c r="CF34" i="9"/>
  <c r="CE34" i="9"/>
  <c r="CG32" i="9"/>
  <c r="CF32" i="9"/>
  <c r="CE32" i="9"/>
  <c r="CG31" i="9"/>
  <c r="CF31" i="9"/>
  <c r="CE31" i="9"/>
  <c r="CG30" i="9"/>
  <c r="CF30" i="9"/>
  <c r="CE30" i="9"/>
  <c r="CG29" i="9"/>
  <c r="CF29" i="9"/>
  <c r="CE29" i="9"/>
  <c r="CG28" i="9"/>
  <c r="CF28" i="9"/>
  <c r="CE28" i="9"/>
  <c r="CG26" i="9"/>
  <c r="CF26" i="9"/>
  <c r="CE26" i="9"/>
  <c r="CG25" i="9"/>
  <c r="CF25" i="9"/>
  <c r="CE25" i="9"/>
  <c r="CG24" i="9"/>
  <c r="CF24" i="9"/>
  <c r="CE24" i="9"/>
  <c r="CG23" i="9"/>
  <c r="CJ23" i="9" s="1"/>
  <c r="CF23" i="9"/>
  <c r="CE23" i="9"/>
  <c r="CG22" i="9"/>
  <c r="CF22" i="9"/>
  <c r="CE22" i="9"/>
  <c r="CG20" i="9"/>
  <c r="CF20" i="9"/>
  <c r="CE20" i="9"/>
  <c r="CG19" i="9"/>
  <c r="CF19" i="9"/>
  <c r="CE19" i="9"/>
  <c r="CH19" i="9" s="1"/>
  <c r="CG18" i="9"/>
  <c r="CF18" i="9"/>
  <c r="CE18" i="9"/>
  <c r="CG17" i="9"/>
  <c r="CF17" i="9"/>
  <c r="CE17" i="9"/>
  <c r="CG16" i="9"/>
  <c r="CF16" i="9"/>
  <c r="CE16" i="9"/>
  <c r="CG14" i="9"/>
  <c r="CF14" i="9"/>
  <c r="CE14" i="9"/>
  <c r="CG13" i="9"/>
  <c r="CF13" i="9"/>
  <c r="CE13" i="9"/>
  <c r="CG12" i="9"/>
  <c r="CF12" i="9"/>
  <c r="CE12" i="9"/>
  <c r="CG11" i="9"/>
  <c r="CJ11" i="9" s="1"/>
  <c r="CF11" i="9"/>
  <c r="CE11" i="9"/>
  <c r="CG10" i="9"/>
  <c r="CF10" i="9"/>
  <c r="CE10" i="9"/>
  <c r="CE5" i="9"/>
  <c r="CF5" i="9"/>
  <c r="CG5" i="9"/>
  <c r="CE6" i="9"/>
  <c r="CF6" i="9"/>
  <c r="CG6" i="9"/>
  <c r="CE7" i="9"/>
  <c r="CF7" i="9"/>
  <c r="CG7" i="9"/>
  <c r="CE8" i="9"/>
  <c r="CF8" i="9"/>
  <c r="CG8" i="9"/>
  <c r="CG4" i="9"/>
  <c r="CE4" i="9"/>
  <c r="CF4" i="9"/>
  <c r="CA38" i="9"/>
  <c r="BZ38" i="9"/>
  <c r="BY38" i="9"/>
  <c r="CA37" i="9"/>
  <c r="BZ37" i="9"/>
  <c r="BY37" i="9"/>
  <c r="CA36" i="9"/>
  <c r="BZ36" i="9"/>
  <c r="BY36" i="9"/>
  <c r="CA35" i="9"/>
  <c r="BZ35" i="9"/>
  <c r="BY35" i="9"/>
  <c r="CA34" i="9"/>
  <c r="BZ34" i="9"/>
  <c r="BY34" i="9"/>
  <c r="CA32" i="9"/>
  <c r="BZ32" i="9"/>
  <c r="BY32" i="9"/>
  <c r="CA31" i="9"/>
  <c r="BZ31" i="9"/>
  <c r="BY31" i="9"/>
  <c r="CA30" i="9"/>
  <c r="BZ30" i="9"/>
  <c r="BY30" i="9"/>
  <c r="CA29" i="9"/>
  <c r="BZ29" i="9"/>
  <c r="BY29" i="9"/>
  <c r="CA28" i="9"/>
  <c r="BZ28" i="9"/>
  <c r="BY28" i="9"/>
  <c r="CA26" i="9"/>
  <c r="BZ26" i="9"/>
  <c r="BY26" i="9"/>
  <c r="CA25" i="9"/>
  <c r="CD25" i="9" s="1"/>
  <c r="BZ25" i="9"/>
  <c r="BY25" i="9"/>
  <c r="CA24" i="9"/>
  <c r="CD24" i="9" s="1"/>
  <c r="BZ24" i="9"/>
  <c r="BY24" i="9"/>
  <c r="CA23" i="9"/>
  <c r="BZ23" i="9"/>
  <c r="BY23" i="9"/>
  <c r="CA22" i="9"/>
  <c r="BZ22" i="9"/>
  <c r="BY22" i="9"/>
  <c r="CB22" i="9" s="1"/>
  <c r="CA20" i="9"/>
  <c r="BZ20" i="9"/>
  <c r="BY20" i="9"/>
  <c r="CA19" i="9"/>
  <c r="CD19" i="9" s="1"/>
  <c r="BZ19" i="9"/>
  <c r="BY19" i="9"/>
  <c r="CB19" i="9" s="1"/>
  <c r="CA18" i="9"/>
  <c r="BZ18" i="9"/>
  <c r="BY18" i="9"/>
  <c r="CA17" i="9"/>
  <c r="BZ17" i="9"/>
  <c r="BY17" i="9"/>
  <c r="CA16" i="9"/>
  <c r="BZ16" i="9"/>
  <c r="BY16" i="9"/>
  <c r="CA14" i="9"/>
  <c r="BZ14" i="9"/>
  <c r="BY14" i="9"/>
  <c r="CA13" i="9"/>
  <c r="BZ13" i="9"/>
  <c r="BY13" i="9"/>
  <c r="CB13" i="9" s="1"/>
  <c r="CA12" i="9"/>
  <c r="BZ12" i="9"/>
  <c r="BY12" i="9"/>
  <c r="CB12" i="9" s="1"/>
  <c r="CA11" i="9"/>
  <c r="BZ11" i="9"/>
  <c r="BY11" i="9"/>
  <c r="CA10" i="9"/>
  <c r="BZ10" i="9"/>
  <c r="BY10" i="9"/>
  <c r="BY5" i="9"/>
  <c r="BZ5" i="9"/>
  <c r="CA5" i="9"/>
  <c r="BY6" i="9"/>
  <c r="BZ6" i="9"/>
  <c r="CA6" i="9"/>
  <c r="BY7" i="9"/>
  <c r="BZ7" i="9"/>
  <c r="CA7" i="9"/>
  <c r="BY8" i="9"/>
  <c r="BZ8" i="9"/>
  <c r="CA8" i="9"/>
  <c r="CA4" i="9"/>
  <c r="BY4" i="9"/>
  <c r="BZ4" i="9"/>
  <c r="BU38" i="9"/>
  <c r="BT38" i="9"/>
  <c r="BS38" i="9"/>
  <c r="BU37" i="9"/>
  <c r="BT37" i="9"/>
  <c r="BS37" i="9"/>
  <c r="BU36" i="9"/>
  <c r="BT36" i="9"/>
  <c r="BS36" i="9"/>
  <c r="BU35" i="9"/>
  <c r="BT35" i="9"/>
  <c r="BS35" i="9"/>
  <c r="BU34" i="9"/>
  <c r="BT34" i="9"/>
  <c r="BS34" i="9"/>
  <c r="BU32" i="9"/>
  <c r="BT32" i="9"/>
  <c r="BS32" i="9"/>
  <c r="BU31" i="9"/>
  <c r="BX31" i="9" s="1"/>
  <c r="BT31" i="9"/>
  <c r="BS31" i="9"/>
  <c r="BU30" i="9"/>
  <c r="BT30" i="9"/>
  <c r="BS30" i="9"/>
  <c r="BU29" i="9"/>
  <c r="BT29" i="9"/>
  <c r="BS29" i="9"/>
  <c r="BU28" i="9"/>
  <c r="BT28" i="9"/>
  <c r="BS28" i="9"/>
  <c r="BU26" i="9"/>
  <c r="BT26" i="9"/>
  <c r="BS26" i="9"/>
  <c r="BU25" i="9"/>
  <c r="BT25" i="9"/>
  <c r="BS25" i="9"/>
  <c r="BU24" i="9"/>
  <c r="BT24" i="9"/>
  <c r="BS24" i="9"/>
  <c r="BU23" i="9"/>
  <c r="BT23" i="9"/>
  <c r="BS23" i="9"/>
  <c r="BU22" i="9"/>
  <c r="BT22" i="9"/>
  <c r="BS22" i="9"/>
  <c r="BV22" i="9" s="1"/>
  <c r="BU20" i="9"/>
  <c r="BT20" i="9"/>
  <c r="BS20" i="9"/>
  <c r="BU19" i="9"/>
  <c r="BX19" i="9" s="1"/>
  <c r="BT19" i="9"/>
  <c r="BS19" i="9"/>
  <c r="BU18" i="9"/>
  <c r="BT18" i="9"/>
  <c r="BS18" i="9"/>
  <c r="BU17" i="9"/>
  <c r="BT17" i="9"/>
  <c r="BS17" i="9"/>
  <c r="BU16" i="9"/>
  <c r="BT16" i="9"/>
  <c r="BS16" i="9"/>
  <c r="BU14" i="9"/>
  <c r="BT14" i="9"/>
  <c r="BS14" i="9"/>
  <c r="BU13" i="9"/>
  <c r="BT13" i="9"/>
  <c r="BS13" i="9"/>
  <c r="BV13" i="9" s="1"/>
  <c r="BU12" i="9"/>
  <c r="BT12" i="9"/>
  <c r="BS12" i="9"/>
  <c r="BU11" i="9"/>
  <c r="BX11" i="9" s="1"/>
  <c r="BT11" i="9"/>
  <c r="BS11" i="9"/>
  <c r="BU10" i="9"/>
  <c r="BT10" i="9"/>
  <c r="BS10" i="9"/>
  <c r="BS5" i="9"/>
  <c r="BT5" i="9"/>
  <c r="BU5" i="9"/>
  <c r="BS6" i="9"/>
  <c r="BT6" i="9"/>
  <c r="BU6" i="9"/>
  <c r="BS7" i="9"/>
  <c r="BT7" i="9"/>
  <c r="BU7" i="9"/>
  <c r="BS8" i="9"/>
  <c r="BT8" i="9"/>
  <c r="BU8" i="9"/>
  <c r="BS4" i="9"/>
  <c r="BU4" i="9"/>
  <c r="BT4" i="9"/>
  <c r="BO38" i="9"/>
  <c r="BN38" i="9"/>
  <c r="BM38" i="9"/>
  <c r="BO37" i="9"/>
  <c r="BN37" i="9"/>
  <c r="BM37" i="9"/>
  <c r="BO36" i="9"/>
  <c r="BN36" i="9"/>
  <c r="BM36" i="9"/>
  <c r="BO35" i="9"/>
  <c r="BN35" i="9"/>
  <c r="BM35" i="9"/>
  <c r="BO34" i="9"/>
  <c r="BN34" i="9"/>
  <c r="BM34" i="9"/>
  <c r="BO32" i="9"/>
  <c r="BN32" i="9"/>
  <c r="BM32" i="9"/>
  <c r="BO31" i="9"/>
  <c r="BN31" i="9"/>
  <c r="BM31" i="9"/>
  <c r="BO30" i="9"/>
  <c r="BN30" i="9"/>
  <c r="BM30" i="9"/>
  <c r="BO29" i="9"/>
  <c r="BR29" i="9" s="1"/>
  <c r="BN29" i="9"/>
  <c r="BM29" i="9"/>
  <c r="BO28" i="9"/>
  <c r="BN28" i="9"/>
  <c r="BM28" i="9"/>
  <c r="BO26" i="9"/>
  <c r="BN26" i="9"/>
  <c r="BM26" i="9"/>
  <c r="BO25" i="9"/>
  <c r="BN25" i="9"/>
  <c r="BM25" i="9"/>
  <c r="BP25" i="9" s="1"/>
  <c r="BO24" i="9"/>
  <c r="BN24" i="9"/>
  <c r="BM24" i="9"/>
  <c r="BO23" i="9"/>
  <c r="BN23" i="9"/>
  <c r="BM23" i="9"/>
  <c r="BO22" i="9"/>
  <c r="BN22" i="9"/>
  <c r="BM22" i="9"/>
  <c r="BP22" i="9" s="1"/>
  <c r="BO20" i="9"/>
  <c r="BN20" i="9"/>
  <c r="BM20" i="9"/>
  <c r="BO19" i="9"/>
  <c r="BN19" i="9"/>
  <c r="BM19" i="9"/>
  <c r="BO18" i="9"/>
  <c r="BN18" i="9"/>
  <c r="BM18" i="9"/>
  <c r="BO17" i="9"/>
  <c r="BN17" i="9"/>
  <c r="BM17" i="9"/>
  <c r="BO16" i="9"/>
  <c r="BN16" i="9"/>
  <c r="BM16" i="9"/>
  <c r="BO14" i="9"/>
  <c r="BN14" i="9"/>
  <c r="BM14" i="9"/>
  <c r="BO13" i="9"/>
  <c r="BN13" i="9"/>
  <c r="BM13" i="9"/>
  <c r="BO12" i="9"/>
  <c r="BN12" i="9"/>
  <c r="BM12" i="9"/>
  <c r="BO11" i="9"/>
  <c r="BN11" i="9"/>
  <c r="BM11" i="9"/>
  <c r="BO10" i="9"/>
  <c r="BN10" i="9"/>
  <c r="BM10" i="9"/>
  <c r="BM5" i="9"/>
  <c r="BN5" i="9"/>
  <c r="BO5" i="9"/>
  <c r="BM6" i="9"/>
  <c r="BP6" i="9" s="1"/>
  <c r="BN6" i="9"/>
  <c r="BO6" i="9"/>
  <c r="BR6" i="9" s="1"/>
  <c r="BM7" i="9"/>
  <c r="BN7" i="9"/>
  <c r="BO7" i="9"/>
  <c r="BM8" i="9"/>
  <c r="BN8" i="9"/>
  <c r="BO8" i="9"/>
  <c r="BO4" i="9"/>
  <c r="BM4" i="9"/>
  <c r="BN4" i="9"/>
  <c r="BJ34" i="9"/>
  <c r="BI38" i="9"/>
  <c r="BH38" i="9"/>
  <c r="BG38" i="9"/>
  <c r="BI37" i="9"/>
  <c r="BH37" i="9"/>
  <c r="BG37" i="9"/>
  <c r="BI36" i="9"/>
  <c r="BH36" i="9"/>
  <c r="BG36" i="9"/>
  <c r="BI35" i="9"/>
  <c r="BH35" i="9"/>
  <c r="BG35" i="9"/>
  <c r="BI34" i="9"/>
  <c r="BH34" i="9"/>
  <c r="BG34" i="9"/>
  <c r="BI32" i="9"/>
  <c r="BH32" i="9"/>
  <c r="BG32" i="9"/>
  <c r="BI31" i="9"/>
  <c r="BL31" i="9" s="1"/>
  <c r="BH31" i="9"/>
  <c r="BG31" i="9"/>
  <c r="BI30" i="9"/>
  <c r="BH30" i="9"/>
  <c r="BG30" i="9"/>
  <c r="BI29" i="9"/>
  <c r="BH29" i="9"/>
  <c r="BG29" i="9"/>
  <c r="BI28" i="9"/>
  <c r="BH28" i="9"/>
  <c r="BG28" i="9"/>
  <c r="BI26" i="9"/>
  <c r="BH26" i="9"/>
  <c r="BG26" i="9"/>
  <c r="BI25" i="9"/>
  <c r="BH25" i="9"/>
  <c r="BG25" i="9"/>
  <c r="BI24" i="9"/>
  <c r="BH24" i="9"/>
  <c r="BG24" i="9"/>
  <c r="BI23" i="9"/>
  <c r="BH23" i="9"/>
  <c r="BG23" i="9"/>
  <c r="BI22" i="9"/>
  <c r="BH22" i="9"/>
  <c r="BG22" i="9"/>
  <c r="BI20" i="9"/>
  <c r="BH20" i="9"/>
  <c r="BG20" i="9"/>
  <c r="BJ20" i="9" s="1"/>
  <c r="BI19" i="9"/>
  <c r="BH19" i="9"/>
  <c r="BG19" i="9"/>
  <c r="BI18" i="9"/>
  <c r="BH18" i="9"/>
  <c r="BG18" i="9"/>
  <c r="BI17" i="9"/>
  <c r="BL17" i="9" s="1"/>
  <c r="BH17" i="9"/>
  <c r="BG17" i="9"/>
  <c r="BI16" i="9"/>
  <c r="BH16" i="9"/>
  <c r="BG16" i="9"/>
  <c r="BI14" i="9"/>
  <c r="BH14" i="9"/>
  <c r="BG14" i="9"/>
  <c r="BI13" i="9"/>
  <c r="BH13" i="9"/>
  <c r="BG13" i="9"/>
  <c r="BI12" i="9"/>
  <c r="BH12" i="9"/>
  <c r="BG12" i="9"/>
  <c r="BI11" i="9"/>
  <c r="BH11" i="9"/>
  <c r="BG11" i="9"/>
  <c r="BI10" i="9"/>
  <c r="BH10" i="9"/>
  <c r="BG10" i="9"/>
  <c r="BG5" i="9"/>
  <c r="BH5" i="9"/>
  <c r="BI5" i="9"/>
  <c r="BG6" i="9"/>
  <c r="BH6" i="9"/>
  <c r="BI6" i="9"/>
  <c r="BG7" i="9"/>
  <c r="BH7" i="9"/>
  <c r="BI7" i="9"/>
  <c r="BG8" i="9"/>
  <c r="BH8" i="9"/>
  <c r="BI8" i="9"/>
  <c r="BI4" i="9"/>
  <c r="BG4" i="9"/>
  <c r="BH4" i="9"/>
  <c r="BD34" i="9"/>
  <c r="BC38" i="9"/>
  <c r="BB38" i="9"/>
  <c r="BA38" i="9"/>
  <c r="BC37" i="9"/>
  <c r="BB37" i="9"/>
  <c r="BA37" i="9"/>
  <c r="BC36" i="9"/>
  <c r="BB36" i="9"/>
  <c r="BA36" i="9"/>
  <c r="BC35" i="9"/>
  <c r="BB35" i="9"/>
  <c r="BA35" i="9"/>
  <c r="BC34" i="9"/>
  <c r="BB34" i="9"/>
  <c r="BA34" i="9"/>
  <c r="BC32" i="9"/>
  <c r="BB32" i="9"/>
  <c r="BA32" i="9"/>
  <c r="BC31" i="9"/>
  <c r="BF31" i="9" s="1"/>
  <c r="BB31" i="9"/>
  <c r="BA31" i="9"/>
  <c r="BD31" i="9" s="1"/>
  <c r="BC30" i="9"/>
  <c r="BB30" i="9"/>
  <c r="BA30" i="9"/>
  <c r="BC29" i="9"/>
  <c r="BB29" i="9"/>
  <c r="BA29" i="9"/>
  <c r="BC28" i="9"/>
  <c r="BB28" i="9"/>
  <c r="BE28" i="9" s="1"/>
  <c r="BA28" i="9"/>
  <c r="BC26" i="9"/>
  <c r="BB26" i="9"/>
  <c r="BA26" i="9"/>
  <c r="BC25" i="9"/>
  <c r="BF25" i="9" s="1"/>
  <c r="BB25" i="9"/>
  <c r="BA25" i="9"/>
  <c r="BC24" i="9"/>
  <c r="BB24" i="9"/>
  <c r="BE24" i="9" s="1"/>
  <c r="BA24" i="9"/>
  <c r="BC23" i="9"/>
  <c r="BB23" i="9"/>
  <c r="BA23" i="9"/>
  <c r="BC22" i="9"/>
  <c r="BB22" i="9"/>
  <c r="BA22" i="9"/>
  <c r="BC20" i="9"/>
  <c r="BB20" i="9"/>
  <c r="BA20" i="9"/>
  <c r="BC19" i="9"/>
  <c r="BB19" i="9"/>
  <c r="BA19" i="9"/>
  <c r="BC18" i="9"/>
  <c r="BB18" i="9"/>
  <c r="BA18" i="9"/>
  <c r="BC17" i="9"/>
  <c r="BB17" i="9"/>
  <c r="BA17" i="9"/>
  <c r="BC16" i="9"/>
  <c r="BB16" i="9"/>
  <c r="BA16" i="9"/>
  <c r="BC14" i="9"/>
  <c r="BB14" i="9"/>
  <c r="BA14" i="9"/>
  <c r="BC13" i="9"/>
  <c r="BB13" i="9"/>
  <c r="BA13" i="9"/>
  <c r="BC12" i="9"/>
  <c r="BB12" i="9"/>
  <c r="BA12" i="9"/>
  <c r="BC11" i="9"/>
  <c r="BF11" i="9" s="1"/>
  <c r="BB11" i="9"/>
  <c r="BA11" i="9"/>
  <c r="BC10" i="9"/>
  <c r="BB10" i="9"/>
  <c r="BA10" i="9"/>
  <c r="BA5" i="9"/>
  <c r="BB5" i="9"/>
  <c r="BC5" i="9"/>
  <c r="BA6" i="9"/>
  <c r="BB6" i="9"/>
  <c r="BC6" i="9"/>
  <c r="BA7" i="9"/>
  <c r="BB7" i="9"/>
  <c r="BC7" i="9"/>
  <c r="BA8" i="9"/>
  <c r="BB8" i="9"/>
  <c r="BC8" i="9"/>
  <c r="BC4" i="9"/>
  <c r="BA4" i="9"/>
  <c r="BB4" i="9"/>
  <c r="AV4" i="9"/>
  <c r="AD47" i="19"/>
  <c r="AD48" i="19"/>
  <c r="AD49" i="19"/>
  <c r="AD50" i="19"/>
  <c r="AB56" i="19" s="1"/>
  <c r="AB47" i="19"/>
  <c r="AB48" i="19"/>
  <c r="AB49" i="19"/>
  <c r="AB50" i="19"/>
  <c r="AC47" i="19"/>
  <c r="AC48" i="19"/>
  <c r="AC49" i="19"/>
  <c r="AC50" i="19"/>
  <c r="AC46" i="19"/>
  <c r="AB52" i="19" s="1"/>
  <c r="Z46" i="19"/>
  <c r="AD46" i="19"/>
  <c r="AB46" i="19"/>
  <c r="AB55" i="19"/>
  <c r="Z47" i="19"/>
  <c r="Z48" i="19"/>
  <c r="Z49" i="19"/>
  <c r="Z50" i="19"/>
  <c r="AB54" i="19"/>
  <c r="AB53" i="19"/>
  <c r="J34" i="19"/>
  <c r="H7" i="18"/>
  <c r="K34" i="19"/>
  <c r="K40" i="19" s="1"/>
  <c r="H2" i="18"/>
  <c r="H3" i="18"/>
  <c r="H4" i="18"/>
  <c r="H5" i="18"/>
  <c r="H6" i="18"/>
  <c r="R99" i="19"/>
  <c r="X98" i="19"/>
  <c r="V98" i="19"/>
  <c r="R98" i="19"/>
  <c r="R97" i="19"/>
  <c r="R96" i="19"/>
  <c r="R95" i="19"/>
  <c r="R93" i="19"/>
  <c r="X92" i="19"/>
  <c r="V92" i="19"/>
  <c r="R92" i="19"/>
  <c r="R91" i="19"/>
  <c r="R90" i="19"/>
  <c r="R89" i="19"/>
  <c r="X87" i="19"/>
  <c r="V87" i="19"/>
  <c r="R87" i="19"/>
  <c r="X86" i="19"/>
  <c r="V86" i="19"/>
  <c r="R86" i="19"/>
  <c r="X85" i="19"/>
  <c r="V85" i="19"/>
  <c r="R85" i="19"/>
  <c r="X84" i="19"/>
  <c r="V84" i="19"/>
  <c r="R84" i="19"/>
  <c r="X83" i="19"/>
  <c r="V83" i="19"/>
  <c r="R83" i="19"/>
  <c r="X81" i="19"/>
  <c r="V81" i="19"/>
  <c r="R81" i="19"/>
  <c r="X80" i="19"/>
  <c r="V80" i="19"/>
  <c r="R80" i="19"/>
  <c r="X79" i="19"/>
  <c r="V79" i="19"/>
  <c r="R79" i="19"/>
  <c r="X78" i="19"/>
  <c r="V78" i="19"/>
  <c r="R78" i="19"/>
  <c r="X77" i="19"/>
  <c r="V77" i="19"/>
  <c r="R77" i="19"/>
  <c r="X75" i="19"/>
  <c r="V75" i="19"/>
  <c r="R75" i="19"/>
  <c r="X74" i="19"/>
  <c r="V74" i="19"/>
  <c r="R74" i="19"/>
  <c r="R73" i="19"/>
  <c r="R72" i="19"/>
  <c r="R71" i="19"/>
  <c r="X69" i="19"/>
  <c r="V69" i="19"/>
  <c r="R69" i="19"/>
  <c r="X68" i="19"/>
  <c r="V68" i="19"/>
  <c r="R68" i="19"/>
  <c r="X67" i="19"/>
  <c r="V67" i="19"/>
  <c r="R67" i="19"/>
  <c r="X66" i="19"/>
  <c r="V66" i="19"/>
  <c r="R66" i="19"/>
  <c r="X65" i="19"/>
  <c r="V65" i="19"/>
  <c r="R65" i="19"/>
  <c r="R63" i="19"/>
  <c r="X62" i="19"/>
  <c r="V62" i="19"/>
  <c r="R62" i="19"/>
  <c r="X61" i="19"/>
  <c r="V61" i="19"/>
  <c r="R61" i="19"/>
  <c r="R60" i="19"/>
  <c r="X59" i="19"/>
  <c r="V59" i="19"/>
  <c r="R59" i="19"/>
  <c r="U38" i="19"/>
  <c r="U44" i="19" s="1"/>
  <c r="T38" i="19"/>
  <c r="T44" i="19" s="1"/>
  <c r="R38" i="19"/>
  <c r="R44" i="19" s="1"/>
  <c r="Q38" i="19"/>
  <c r="Q44" i="19" s="1"/>
  <c r="P38" i="19"/>
  <c r="P44" i="19" s="1"/>
  <c r="O38" i="19"/>
  <c r="O44" i="19" s="1"/>
  <c r="N38" i="19"/>
  <c r="N44" i="19" s="1"/>
  <c r="M38" i="19"/>
  <c r="M44" i="19" s="1"/>
  <c r="L38" i="19"/>
  <c r="L44" i="19" s="1"/>
  <c r="K38" i="19"/>
  <c r="K44" i="19" s="1"/>
  <c r="J38" i="19"/>
  <c r="J44" i="19" s="1"/>
  <c r="X37" i="19"/>
  <c r="V37" i="19"/>
  <c r="U37" i="19"/>
  <c r="U43" i="19" s="1"/>
  <c r="T37" i="19"/>
  <c r="T43" i="19" s="1"/>
  <c r="S37" i="19"/>
  <c r="S43" i="19" s="1"/>
  <c r="R37" i="19"/>
  <c r="R43" i="19" s="1"/>
  <c r="Q37" i="19"/>
  <c r="Q43" i="19" s="1"/>
  <c r="P37" i="19"/>
  <c r="P43" i="19" s="1"/>
  <c r="O37" i="19"/>
  <c r="O43" i="19" s="1"/>
  <c r="N37" i="19"/>
  <c r="N43" i="19" s="1"/>
  <c r="M37" i="19"/>
  <c r="M43" i="19" s="1"/>
  <c r="L37" i="19"/>
  <c r="L43" i="19" s="1"/>
  <c r="K37" i="19"/>
  <c r="K43" i="19" s="1"/>
  <c r="J37" i="19"/>
  <c r="J43" i="19" s="1"/>
  <c r="U36" i="19"/>
  <c r="U42" i="19" s="1"/>
  <c r="T36" i="19"/>
  <c r="T42" i="19" s="1"/>
  <c r="S36" i="19"/>
  <c r="S42" i="19" s="1"/>
  <c r="R36" i="19"/>
  <c r="R42" i="19" s="1"/>
  <c r="Q36" i="19"/>
  <c r="Q42" i="19" s="1"/>
  <c r="P36" i="19"/>
  <c r="P42" i="19" s="1"/>
  <c r="O36" i="19"/>
  <c r="O42" i="19" s="1"/>
  <c r="N36" i="19"/>
  <c r="N42" i="19" s="1"/>
  <c r="M36" i="19"/>
  <c r="M42" i="19" s="1"/>
  <c r="L36" i="19"/>
  <c r="L42" i="19" s="1"/>
  <c r="K36" i="19"/>
  <c r="K42" i="19" s="1"/>
  <c r="J36" i="19"/>
  <c r="J42" i="19" s="1"/>
  <c r="U35" i="19"/>
  <c r="U41" i="19" s="1"/>
  <c r="T35" i="19"/>
  <c r="T41" i="19" s="1"/>
  <c r="S35" i="19"/>
  <c r="S41" i="19" s="1"/>
  <c r="R35" i="19"/>
  <c r="R41" i="19" s="1"/>
  <c r="Q35" i="19"/>
  <c r="Q41" i="19" s="1"/>
  <c r="P35" i="19"/>
  <c r="P41" i="19" s="1"/>
  <c r="O35" i="19"/>
  <c r="O41" i="19" s="1"/>
  <c r="N35" i="19"/>
  <c r="N41" i="19" s="1"/>
  <c r="M35" i="19"/>
  <c r="M41" i="19" s="1"/>
  <c r="L35" i="19"/>
  <c r="L41" i="19" s="1"/>
  <c r="K35" i="19"/>
  <c r="K41" i="19" s="1"/>
  <c r="J35" i="19"/>
  <c r="J41" i="19" s="1"/>
  <c r="U34" i="19"/>
  <c r="U40" i="19" s="1"/>
  <c r="T34" i="19"/>
  <c r="T40" i="19" s="1"/>
  <c r="S34" i="19"/>
  <c r="S40" i="19" s="1"/>
  <c r="R34" i="19"/>
  <c r="R40" i="19" s="1"/>
  <c r="Q34" i="19"/>
  <c r="Q40" i="19" s="1"/>
  <c r="P34" i="19"/>
  <c r="P40" i="19" s="1"/>
  <c r="O34" i="19"/>
  <c r="O40" i="19" s="1"/>
  <c r="N34" i="19"/>
  <c r="N40" i="19" s="1"/>
  <c r="M34" i="19"/>
  <c r="M40" i="19" s="1"/>
  <c r="L34" i="19"/>
  <c r="L40" i="19" s="1"/>
  <c r="BH32" i="19"/>
  <c r="BF32" i="19"/>
  <c r="AY32" i="19"/>
  <c r="AW32" i="19"/>
  <c r="AP32" i="19"/>
  <c r="AN32" i="19"/>
  <c r="AG32" i="19"/>
  <c r="AE32" i="19"/>
  <c r="W32" i="19"/>
  <c r="Q87" i="19" s="1"/>
  <c r="S32" i="19"/>
  <c r="BH31" i="19"/>
  <c r="BF31" i="19"/>
  <c r="BB31" i="19"/>
  <c r="AY31" i="19"/>
  <c r="AW31" i="19"/>
  <c r="AZ31" i="19" s="1"/>
  <c r="AP31" i="19"/>
  <c r="AS31" i="19" s="1"/>
  <c r="AV31" i="19" s="1"/>
  <c r="AN31" i="19"/>
  <c r="AQ31" i="19" s="1"/>
  <c r="AG31" i="19"/>
  <c r="AJ31" i="19" s="1"/>
  <c r="AE31" i="19"/>
  <c r="AH31" i="19" s="1"/>
  <c r="AK31" i="19" s="1"/>
  <c r="AA31" i="19"/>
  <c r="AD31" i="19" s="1"/>
  <c r="Y31" i="19"/>
  <c r="W31" i="19"/>
  <c r="BH30" i="19"/>
  <c r="BF30" i="19"/>
  <c r="BI30" i="19" s="1"/>
  <c r="AY30" i="19"/>
  <c r="AW30" i="19"/>
  <c r="AZ30" i="19" s="1"/>
  <c r="AP30" i="19"/>
  <c r="AS30" i="19" s="1"/>
  <c r="AV30" i="19" s="1"/>
  <c r="AN30" i="19"/>
  <c r="AQ30" i="19" s="1"/>
  <c r="AT30" i="19" s="1"/>
  <c r="AG30" i="19"/>
  <c r="AJ30" i="19" s="1"/>
  <c r="AM30" i="19" s="1"/>
  <c r="AE30" i="19"/>
  <c r="AA30" i="19"/>
  <c r="AD30" i="19" s="1"/>
  <c r="Y30" i="19"/>
  <c r="AB30" i="19" s="1"/>
  <c r="W30" i="19"/>
  <c r="T85" i="19" s="1"/>
  <c r="BH29" i="19"/>
  <c r="BF29" i="19"/>
  <c r="BI29" i="19" s="1"/>
  <c r="AY29" i="19"/>
  <c r="BB29" i="19" s="1"/>
  <c r="AW29" i="19"/>
  <c r="AZ29" i="19" s="1"/>
  <c r="BC29" i="19" s="1"/>
  <c r="AP29" i="19"/>
  <c r="AS29" i="19" s="1"/>
  <c r="AN29" i="19"/>
  <c r="AQ29" i="19" s="1"/>
  <c r="AG29" i="19"/>
  <c r="AE29" i="19"/>
  <c r="AA29" i="19"/>
  <c r="AD29" i="19" s="1"/>
  <c r="Y29" i="19"/>
  <c r="AB29" i="19" s="1"/>
  <c r="W29" i="19"/>
  <c r="AX29" i="19" s="1"/>
  <c r="BA29" i="19" s="1"/>
  <c r="BD29" i="19" s="1"/>
  <c r="BH28" i="19"/>
  <c r="BK28" i="19" s="1"/>
  <c r="BN28" i="19" s="1"/>
  <c r="BF28" i="19"/>
  <c r="AY28" i="19"/>
  <c r="BB28" i="19" s="1"/>
  <c r="AW28" i="19"/>
  <c r="AZ28" i="19" s="1"/>
  <c r="BC28" i="19" s="1"/>
  <c r="AP28" i="19"/>
  <c r="AS28" i="19" s="1"/>
  <c r="AV28" i="19" s="1"/>
  <c r="AN28" i="19"/>
  <c r="AQ28" i="19" s="1"/>
  <c r="AG28" i="19"/>
  <c r="AJ28" i="19" s="1"/>
  <c r="AE28" i="19"/>
  <c r="AH28" i="19" s="1"/>
  <c r="AK28" i="19" s="1"/>
  <c r="AA28" i="19"/>
  <c r="AD28" i="19" s="1"/>
  <c r="Y28" i="19"/>
  <c r="W28" i="19"/>
  <c r="BG28" i="19" s="1"/>
  <c r="BH26" i="19"/>
  <c r="BK26" i="19" s="1"/>
  <c r="BN26" i="19" s="1"/>
  <c r="BF26" i="19"/>
  <c r="BI26" i="19" s="1"/>
  <c r="BL26" i="19" s="1"/>
  <c r="AY26" i="19"/>
  <c r="BB26" i="19" s="1"/>
  <c r="BE26" i="19" s="1"/>
  <c r="AW26" i="19"/>
  <c r="AZ26" i="19" s="1"/>
  <c r="BC26" i="19" s="1"/>
  <c r="AP26" i="19"/>
  <c r="AS26" i="19" s="1"/>
  <c r="AV26" i="19" s="1"/>
  <c r="AN26" i="19"/>
  <c r="AQ26" i="19" s="1"/>
  <c r="AT26" i="19" s="1"/>
  <c r="AG26" i="19"/>
  <c r="AJ26" i="19" s="1"/>
  <c r="AM26" i="19" s="1"/>
  <c r="AE26" i="19"/>
  <c r="AH26" i="19" s="1"/>
  <c r="AK26" i="19" s="1"/>
  <c r="AA26" i="19"/>
  <c r="AD26" i="19" s="1"/>
  <c r="Y26" i="19"/>
  <c r="AB26" i="19" s="1"/>
  <c r="W26" i="19"/>
  <c r="N81" i="19" s="1"/>
  <c r="BH25" i="19"/>
  <c r="BK25" i="19" s="1"/>
  <c r="BN25" i="19" s="1"/>
  <c r="BF25" i="19"/>
  <c r="BI25" i="19" s="1"/>
  <c r="BL25" i="19" s="1"/>
  <c r="AY25" i="19"/>
  <c r="BB25" i="19" s="1"/>
  <c r="BE25" i="19" s="1"/>
  <c r="AW25" i="19"/>
  <c r="AZ25" i="19" s="1"/>
  <c r="BC25" i="19" s="1"/>
  <c r="AS25" i="19"/>
  <c r="AV25" i="19" s="1"/>
  <c r="AP25" i="19"/>
  <c r="AN25" i="19"/>
  <c r="AQ25" i="19" s="1"/>
  <c r="AT25" i="19" s="1"/>
  <c r="AG25" i="19"/>
  <c r="AJ25" i="19" s="1"/>
  <c r="AM25" i="19" s="1"/>
  <c r="AE25" i="19"/>
  <c r="AH25" i="19" s="1"/>
  <c r="AK25" i="19" s="1"/>
  <c r="AA25" i="19"/>
  <c r="AD25" i="19" s="1"/>
  <c r="Y25" i="19"/>
  <c r="AB25" i="19" s="1"/>
  <c r="W25" i="19"/>
  <c r="W80" i="19" s="1"/>
  <c r="BK24" i="19"/>
  <c r="BN24" i="19" s="1"/>
  <c r="BH24" i="19"/>
  <c r="BF24" i="19"/>
  <c r="BI24" i="19" s="1"/>
  <c r="BL24" i="19" s="1"/>
  <c r="AY24" i="19"/>
  <c r="BB24" i="19" s="1"/>
  <c r="BE24" i="19" s="1"/>
  <c r="AW24" i="19"/>
  <c r="AZ24" i="19" s="1"/>
  <c r="BC24" i="19" s="1"/>
  <c r="AP24" i="19"/>
  <c r="AS24" i="19" s="1"/>
  <c r="AV24" i="19" s="1"/>
  <c r="AN24" i="19"/>
  <c r="AQ24" i="19" s="1"/>
  <c r="AT24" i="19" s="1"/>
  <c r="AG24" i="19"/>
  <c r="AJ24" i="19" s="1"/>
  <c r="AM24" i="19" s="1"/>
  <c r="AE24" i="19"/>
  <c r="AH24" i="19" s="1"/>
  <c r="AK24" i="19" s="1"/>
  <c r="AA24" i="19"/>
  <c r="AD24" i="19" s="1"/>
  <c r="Y24" i="19"/>
  <c r="AB24" i="19" s="1"/>
  <c r="W24" i="19"/>
  <c r="W79" i="19" s="1"/>
  <c r="BH23" i="19"/>
  <c r="BK23" i="19" s="1"/>
  <c r="BN23" i="19" s="1"/>
  <c r="BF23" i="19"/>
  <c r="BI23" i="19" s="1"/>
  <c r="BL23" i="19" s="1"/>
  <c r="AY23" i="19"/>
  <c r="AW23" i="19"/>
  <c r="AZ23" i="19" s="1"/>
  <c r="BC23" i="19" s="1"/>
  <c r="AP23" i="19"/>
  <c r="AS23" i="19" s="1"/>
  <c r="AV23" i="19" s="1"/>
  <c r="AN23" i="19"/>
  <c r="AQ23" i="19" s="1"/>
  <c r="AT23" i="19" s="1"/>
  <c r="AG23" i="19"/>
  <c r="AJ23" i="19" s="1"/>
  <c r="AM23" i="19" s="1"/>
  <c r="AE23" i="19"/>
  <c r="AH23" i="19" s="1"/>
  <c r="AK23" i="19" s="1"/>
  <c r="AA23" i="19"/>
  <c r="AD23" i="19" s="1"/>
  <c r="Y23" i="19"/>
  <c r="W23" i="19"/>
  <c r="N78" i="19" s="1"/>
  <c r="BH22" i="19"/>
  <c r="BF22" i="19"/>
  <c r="BI22" i="19" s="1"/>
  <c r="BL22" i="19" s="1"/>
  <c r="AY22" i="19"/>
  <c r="AW22" i="19"/>
  <c r="AZ22" i="19" s="1"/>
  <c r="BC22" i="19" s="1"/>
  <c r="AP22" i="19"/>
  <c r="AN22" i="19"/>
  <c r="AG22" i="19"/>
  <c r="AJ22" i="19" s="1"/>
  <c r="AM22" i="19" s="1"/>
  <c r="AE22" i="19"/>
  <c r="AA22" i="19"/>
  <c r="AD22" i="19" s="1"/>
  <c r="Y22" i="19"/>
  <c r="AB22" i="19" s="1"/>
  <c r="W22" i="19"/>
  <c r="Q77" i="19" s="1"/>
  <c r="BH20" i="19"/>
  <c r="BK20" i="19" s="1"/>
  <c r="BN20" i="19" s="1"/>
  <c r="BF20" i="19"/>
  <c r="BI20" i="19" s="1"/>
  <c r="BL20" i="19" s="1"/>
  <c r="AY20" i="19"/>
  <c r="BB20" i="19" s="1"/>
  <c r="BE20" i="19" s="1"/>
  <c r="AW20" i="19"/>
  <c r="AZ20" i="19" s="1"/>
  <c r="AP20" i="19"/>
  <c r="AS20" i="19" s="1"/>
  <c r="AV20" i="19" s="1"/>
  <c r="AN20" i="19"/>
  <c r="AQ20" i="19" s="1"/>
  <c r="AT20" i="19" s="1"/>
  <c r="AG20" i="19"/>
  <c r="AJ20" i="19" s="1"/>
  <c r="AM20" i="19" s="1"/>
  <c r="AE20" i="19"/>
  <c r="AH20" i="19" s="1"/>
  <c r="AK20" i="19" s="1"/>
  <c r="AA20" i="19"/>
  <c r="AD20" i="19" s="1"/>
  <c r="Y20" i="19"/>
  <c r="AB20" i="19" s="1"/>
  <c r="W20" i="19"/>
  <c r="S75" i="19" s="1"/>
  <c r="BH19" i="19"/>
  <c r="BK19" i="19" s="1"/>
  <c r="BN19" i="19" s="1"/>
  <c r="BF19" i="19"/>
  <c r="BI19" i="19" s="1"/>
  <c r="BL19" i="19" s="1"/>
  <c r="AY19" i="19"/>
  <c r="BB19" i="19" s="1"/>
  <c r="BE19" i="19" s="1"/>
  <c r="AW19" i="19"/>
  <c r="AZ19" i="19" s="1"/>
  <c r="BC19" i="19" s="1"/>
  <c r="AP19" i="19"/>
  <c r="AS19" i="19" s="1"/>
  <c r="AV19" i="19" s="1"/>
  <c r="AN19" i="19"/>
  <c r="AQ19" i="19" s="1"/>
  <c r="AT19" i="19" s="1"/>
  <c r="AG19" i="19"/>
  <c r="AJ19" i="19" s="1"/>
  <c r="AM19" i="19" s="1"/>
  <c r="AE19" i="19"/>
  <c r="AH19" i="19" s="1"/>
  <c r="AK19" i="19" s="1"/>
  <c r="AA19" i="19"/>
  <c r="AD19" i="19" s="1"/>
  <c r="Y19" i="19"/>
  <c r="AB19" i="19" s="1"/>
  <c r="W19" i="19"/>
  <c r="Q74" i="19" s="1"/>
  <c r="X18" i="19"/>
  <c r="BH18" i="19" s="1"/>
  <c r="BK18" i="19" s="1"/>
  <c r="BN18" i="19" s="1"/>
  <c r="V18" i="19"/>
  <c r="BF18" i="19" s="1"/>
  <c r="BI18" i="19" s="1"/>
  <c r="BL18" i="19" s="1"/>
  <c r="X17" i="19"/>
  <c r="AP17" i="19" s="1"/>
  <c r="AS17" i="19" s="1"/>
  <c r="AV17" i="19" s="1"/>
  <c r="V17" i="19"/>
  <c r="AA16" i="19"/>
  <c r="AD16" i="19" s="1"/>
  <c r="X16" i="19"/>
  <c r="BH16" i="19" s="1"/>
  <c r="BK16" i="19" s="1"/>
  <c r="BN16" i="19" s="1"/>
  <c r="V16" i="19"/>
  <c r="AE16" i="19" s="1"/>
  <c r="AH16" i="19" s="1"/>
  <c r="AK16" i="19" s="1"/>
  <c r="BH14" i="19"/>
  <c r="BK14" i="19" s="1"/>
  <c r="BN14" i="19" s="1"/>
  <c r="BF14" i="19"/>
  <c r="BI14" i="19" s="1"/>
  <c r="BL14" i="19" s="1"/>
  <c r="AY14" i="19"/>
  <c r="BB14" i="19" s="1"/>
  <c r="BE14" i="19" s="1"/>
  <c r="AW14" i="19"/>
  <c r="AZ14" i="19" s="1"/>
  <c r="BC14" i="19" s="1"/>
  <c r="AP14" i="19"/>
  <c r="AS14" i="19" s="1"/>
  <c r="AV14" i="19" s="1"/>
  <c r="AN14" i="19"/>
  <c r="AQ14" i="19" s="1"/>
  <c r="AT14" i="19" s="1"/>
  <c r="AG14" i="19"/>
  <c r="AJ14" i="19" s="1"/>
  <c r="AM14" i="19" s="1"/>
  <c r="AE14" i="19"/>
  <c r="AH14" i="19" s="1"/>
  <c r="AK14" i="19" s="1"/>
  <c r="AA14" i="19"/>
  <c r="AD14" i="19" s="1"/>
  <c r="Y14" i="19"/>
  <c r="AB14" i="19" s="1"/>
  <c r="W14" i="19"/>
  <c r="W69" i="19" s="1"/>
  <c r="BH13" i="19"/>
  <c r="BK13" i="19" s="1"/>
  <c r="BN13" i="19" s="1"/>
  <c r="BF13" i="19"/>
  <c r="BI13" i="19" s="1"/>
  <c r="BL13" i="19" s="1"/>
  <c r="AY13" i="19"/>
  <c r="BB13" i="19" s="1"/>
  <c r="BE13" i="19" s="1"/>
  <c r="AW13" i="19"/>
  <c r="AZ13" i="19" s="1"/>
  <c r="BC13" i="19" s="1"/>
  <c r="AP13" i="19"/>
  <c r="AS13" i="19" s="1"/>
  <c r="AV13" i="19" s="1"/>
  <c r="AN13" i="19"/>
  <c r="AQ13" i="19" s="1"/>
  <c r="AT13" i="19" s="1"/>
  <c r="AG13" i="19"/>
  <c r="AJ13" i="19" s="1"/>
  <c r="AM13" i="19" s="1"/>
  <c r="AE13" i="19"/>
  <c r="AH13" i="19" s="1"/>
  <c r="AK13" i="19" s="1"/>
  <c r="AA13" i="19"/>
  <c r="AD13" i="19" s="1"/>
  <c r="Y13" i="19"/>
  <c r="AB13" i="19" s="1"/>
  <c r="W13" i="19"/>
  <c r="J68" i="19" s="1"/>
  <c r="BH12" i="19"/>
  <c r="BK12" i="19" s="1"/>
  <c r="BN12" i="19" s="1"/>
  <c r="BF12" i="19"/>
  <c r="BI12" i="19" s="1"/>
  <c r="BL12" i="19" s="1"/>
  <c r="AY12" i="19"/>
  <c r="BB12" i="19" s="1"/>
  <c r="BE12" i="19" s="1"/>
  <c r="AW12" i="19"/>
  <c r="AZ12" i="19" s="1"/>
  <c r="BC12" i="19" s="1"/>
  <c r="AP12" i="19"/>
  <c r="AS12" i="19" s="1"/>
  <c r="AV12" i="19" s="1"/>
  <c r="AN12" i="19"/>
  <c r="AQ12" i="19" s="1"/>
  <c r="AT12" i="19" s="1"/>
  <c r="AG12" i="19"/>
  <c r="AJ12" i="19" s="1"/>
  <c r="AM12" i="19" s="1"/>
  <c r="AE12" i="19"/>
  <c r="AH12" i="19" s="1"/>
  <c r="AK12" i="19" s="1"/>
  <c r="AA12" i="19"/>
  <c r="AD12" i="19" s="1"/>
  <c r="Y12" i="19"/>
  <c r="AB12" i="19" s="1"/>
  <c r="W12" i="19"/>
  <c r="M67" i="19" s="1"/>
  <c r="BH11" i="19"/>
  <c r="BK11" i="19" s="1"/>
  <c r="BN11" i="19" s="1"/>
  <c r="BF11" i="19"/>
  <c r="BI11" i="19" s="1"/>
  <c r="BL11" i="19" s="1"/>
  <c r="AY11" i="19"/>
  <c r="BB11" i="19" s="1"/>
  <c r="BE11" i="19" s="1"/>
  <c r="AW11" i="19"/>
  <c r="AZ11" i="19" s="1"/>
  <c r="BC11" i="19" s="1"/>
  <c r="AP11" i="19"/>
  <c r="AS11" i="19" s="1"/>
  <c r="AV11" i="19" s="1"/>
  <c r="AN11" i="19"/>
  <c r="AQ11" i="19" s="1"/>
  <c r="AT11" i="19" s="1"/>
  <c r="AG11" i="19"/>
  <c r="AJ11" i="19" s="1"/>
  <c r="AM11" i="19" s="1"/>
  <c r="AE11" i="19"/>
  <c r="AH11" i="19" s="1"/>
  <c r="AK11" i="19" s="1"/>
  <c r="AA11" i="19"/>
  <c r="AD11" i="19" s="1"/>
  <c r="Y11" i="19"/>
  <c r="AB11" i="19" s="1"/>
  <c r="W11" i="19"/>
  <c r="Q66" i="19" s="1"/>
  <c r="BH10" i="19"/>
  <c r="BK10" i="19" s="1"/>
  <c r="BN10" i="19" s="1"/>
  <c r="BF10" i="19"/>
  <c r="BI10" i="19" s="1"/>
  <c r="BL10" i="19" s="1"/>
  <c r="AY10" i="19"/>
  <c r="BB10" i="19" s="1"/>
  <c r="BE10" i="19" s="1"/>
  <c r="AW10" i="19"/>
  <c r="AZ10" i="19" s="1"/>
  <c r="BC10" i="19" s="1"/>
  <c r="AP10" i="19"/>
  <c r="AS10" i="19" s="1"/>
  <c r="AV10" i="19" s="1"/>
  <c r="AN10" i="19"/>
  <c r="AQ10" i="19" s="1"/>
  <c r="AT10" i="19" s="1"/>
  <c r="AG10" i="19"/>
  <c r="AJ10" i="19" s="1"/>
  <c r="AM10" i="19" s="1"/>
  <c r="AF10" i="19"/>
  <c r="AI10" i="19" s="1"/>
  <c r="AL10" i="19" s="1"/>
  <c r="AE10" i="19"/>
  <c r="AH10" i="19" s="1"/>
  <c r="AK10" i="19" s="1"/>
  <c r="AA10" i="19"/>
  <c r="AD10" i="19" s="1"/>
  <c r="Y10" i="19"/>
  <c r="AB10" i="19" s="1"/>
  <c r="W10" i="19"/>
  <c r="Q65" i="19" s="1"/>
  <c r="X8" i="19"/>
  <c r="V8" i="19"/>
  <c r="AE8" i="19" s="1"/>
  <c r="BH7" i="19"/>
  <c r="BK7" i="19" s="1"/>
  <c r="BN7" i="19" s="1"/>
  <c r="BF7" i="19"/>
  <c r="BI7" i="19" s="1"/>
  <c r="BL7" i="19" s="1"/>
  <c r="AY7" i="19"/>
  <c r="BB7" i="19" s="1"/>
  <c r="BE7" i="19" s="1"/>
  <c r="AW7" i="19"/>
  <c r="AZ7" i="19" s="1"/>
  <c r="BC7" i="19" s="1"/>
  <c r="AP7" i="19"/>
  <c r="AS7" i="19" s="1"/>
  <c r="AV7" i="19" s="1"/>
  <c r="AN7" i="19"/>
  <c r="AQ7" i="19" s="1"/>
  <c r="AT7" i="19" s="1"/>
  <c r="AJ7" i="19"/>
  <c r="AM7" i="19" s="1"/>
  <c r="AG7" i="19"/>
  <c r="AE7" i="19"/>
  <c r="AH7" i="19" s="1"/>
  <c r="AK7" i="19" s="1"/>
  <c r="AA7" i="19"/>
  <c r="AD7" i="19" s="1"/>
  <c r="Y7" i="19"/>
  <c r="AB7" i="19" s="1"/>
  <c r="W7" i="19"/>
  <c r="T62" i="19" s="1"/>
  <c r="BH6" i="19"/>
  <c r="BK6" i="19" s="1"/>
  <c r="BN6" i="19" s="1"/>
  <c r="BF6" i="19"/>
  <c r="BI6" i="19" s="1"/>
  <c r="BL6" i="19" s="1"/>
  <c r="AY6" i="19"/>
  <c r="BB6" i="19" s="1"/>
  <c r="BE6" i="19" s="1"/>
  <c r="AW6" i="19"/>
  <c r="AZ6" i="19" s="1"/>
  <c r="BC6" i="19" s="1"/>
  <c r="AP6" i="19"/>
  <c r="AS6" i="19" s="1"/>
  <c r="AV6" i="19" s="1"/>
  <c r="AN6" i="19"/>
  <c r="AQ6" i="19" s="1"/>
  <c r="AT6" i="19" s="1"/>
  <c r="AG6" i="19"/>
  <c r="AJ6" i="19" s="1"/>
  <c r="AM6" i="19" s="1"/>
  <c r="AE6" i="19"/>
  <c r="AH6" i="19" s="1"/>
  <c r="AK6" i="19" s="1"/>
  <c r="AA6" i="19"/>
  <c r="AD6" i="19" s="1"/>
  <c r="Y6" i="19"/>
  <c r="AB6" i="19" s="1"/>
  <c r="W6" i="19"/>
  <c r="AX6" i="19" s="1"/>
  <c r="BA6" i="19" s="1"/>
  <c r="BD6" i="19" s="1"/>
  <c r="X5" i="19"/>
  <c r="AG5" i="19" s="1"/>
  <c r="AJ5" i="19" s="1"/>
  <c r="AM5" i="19" s="1"/>
  <c r="V5" i="19"/>
  <c r="V60" i="19" s="1"/>
  <c r="BH4" i="19"/>
  <c r="BK4" i="19" s="1"/>
  <c r="BN4" i="19" s="1"/>
  <c r="BF4" i="19"/>
  <c r="BI4" i="19" s="1"/>
  <c r="BL4" i="19" s="1"/>
  <c r="AY4" i="19"/>
  <c r="BB4" i="19" s="1"/>
  <c r="BE4" i="19" s="1"/>
  <c r="AW4" i="19"/>
  <c r="AZ4" i="19" s="1"/>
  <c r="BC4" i="19" s="1"/>
  <c r="AP4" i="19"/>
  <c r="AS4" i="19" s="1"/>
  <c r="AV4" i="19" s="1"/>
  <c r="AN4" i="19"/>
  <c r="AQ4" i="19" s="1"/>
  <c r="AT4" i="19" s="1"/>
  <c r="AG4" i="19"/>
  <c r="AJ4" i="19" s="1"/>
  <c r="AM4" i="19" s="1"/>
  <c r="AE4" i="19"/>
  <c r="AH4" i="19" s="1"/>
  <c r="AK4" i="19" s="1"/>
  <c r="AA4" i="19"/>
  <c r="AD4" i="19" s="1"/>
  <c r="Y4" i="19"/>
  <c r="AB4" i="19" s="1"/>
  <c r="W4" i="19"/>
  <c r="S59" i="19" s="1"/>
  <c r="C3" i="18"/>
  <c r="C4" i="18"/>
  <c r="C5" i="18"/>
  <c r="C6" i="18"/>
  <c r="C2" i="18"/>
  <c r="BD2" i="14"/>
  <c r="BE2" i="14"/>
  <c r="BD31" i="14"/>
  <c r="BE31" i="14"/>
  <c r="BF31" i="14"/>
  <c r="BG31" i="14"/>
  <c r="BD32" i="14"/>
  <c r="BE32" i="14"/>
  <c r="BF32" i="14"/>
  <c r="BG32" i="14"/>
  <c r="BD33" i="14"/>
  <c r="BE33" i="14"/>
  <c r="BF33" i="14"/>
  <c r="BG33" i="14"/>
  <c r="BD34" i="14"/>
  <c r="BE34" i="14"/>
  <c r="BF34" i="14"/>
  <c r="BG34" i="14"/>
  <c r="BD35" i="14"/>
  <c r="BE35" i="14"/>
  <c r="BF35" i="14"/>
  <c r="BG35" i="14"/>
  <c r="BG30" i="14"/>
  <c r="BF30" i="14"/>
  <c r="BE30" i="14"/>
  <c r="BD30" i="14"/>
  <c r="BD24" i="14"/>
  <c r="BE24" i="14"/>
  <c r="BF24" i="14"/>
  <c r="BG24" i="14"/>
  <c r="BD25" i="14"/>
  <c r="BE25" i="14"/>
  <c r="BF25" i="14"/>
  <c r="BG25" i="14"/>
  <c r="BD26" i="14"/>
  <c r="BE26" i="14"/>
  <c r="BF26" i="14"/>
  <c r="BG26" i="14"/>
  <c r="BD27" i="14"/>
  <c r="BE27" i="14"/>
  <c r="BF27" i="14"/>
  <c r="BG27" i="14"/>
  <c r="BD28" i="14"/>
  <c r="BE28" i="14"/>
  <c r="BF28" i="14"/>
  <c r="BG28" i="14"/>
  <c r="BG23" i="14"/>
  <c r="BF23" i="14"/>
  <c r="BE23" i="14"/>
  <c r="BD23" i="14"/>
  <c r="BD17" i="14"/>
  <c r="BE17" i="14"/>
  <c r="BF17" i="14"/>
  <c r="BG17" i="14"/>
  <c r="BD18" i="14"/>
  <c r="BE18" i="14"/>
  <c r="BF18" i="14"/>
  <c r="BG18" i="14"/>
  <c r="BD19" i="14"/>
  <c r="BE19" i="14"/>
  <c r="BF19" i="14"/>
  <c r="BG19" i="14"/>
  <c r="BD20" i="14"/>
  <c r="BE20" i="14"/>
  <c r="BF20" i="14"/>
  <c r="BG20" i="14"/>
  <c r="BD21" i="14"/>
  <c r="BE21" i="14"/>
  <c r="BF21" i="14"/>
  <c r="BG21" i="14"/>
  <c r="BG16" i="14"/>
  <c r="BF16" i="14"/>
  <c r="BE16" i="14"/>
  <c r="BD16" i="14"/>
  <c r="BD9" i="14"/>
  <c r="BD10" i="14"/>
  <c r="BE10" i="14"/>
  <c r="BF10" i="14"/>
  <c r="BG10" i="14"/>
  <c r="BD11" i="14"/>
  <c r="BE11" i="14"/>
  <c r="BF11" i="14"/>
  <c r="BG11" i="14"/>
  <c r="BD12" i="14"/>
  <c r="BE12" i="14"/>
  <c r="BF12" i="14"/>
  <c r="BG12" i="14"/>
  <c r="BD13" i="14"/>
  <c r="BE13" i="14"/>
  <c r="BF13" i="14"/>
  <c r="BG13" i="14"/>
  <c r="BD14" i="14"/>
  <c r="BE14" i="14"/>
  <c r="BF14" i="14"/>
  <c r="BG14" i="14"/>
  <c r="BG9" i="14"/>
  <c r="BF9" i="14"/>
  <c r="BE9" i="14"/>
  <c r="BG2" i="14"/>
  <c r="BF2" i="14"/>
  <c r="BD3" i="14"/>
  <c r="BE3" i="14"/>
  <c r="BF3" i="14"/>
  <c r="BG3" i="14"/>
  <c r="BD4" i="14"/>
  <c r="BE4" i="14"/>
  <c r="BF4" i="14"/>
  <c r="BG4" i="14"/>
  <c r="BD5" i="14"/>
  <c r="BE5" i="14"/>
  <c r="BF5" i="14"/>
  <c r="BG5" i="14"/>
  <c r="BD6" i="14"/>
  <c r="BE6" i="14"/>
  <c r="BF6" i="14"/>
  <c r="BG6" i="14"/>
  <c r="BD7" i="14"/>
  <c r="BE7" i="14"/>
  <c r="BF7" i="14"/>
  <c r="BG7" i="14"/>
  <c r="I51" i="14"/>
  <c r="J51" i="14"/>
  <c r="K51" i="14"/>
  <c r="L51" i="14"/>
  <c r="I52" i="14"/>
  <c r="J52" i="14"/>
  <c r="K52" i="14"/>
  <c r="L52" i="14"/>
  <c r="I53" i="14"/>
  <c r="J53" i="14"/>
  <c r="K53" i="14"/>
  <c r="L53" i="14"/>
  <c r="I47" i="14"/>
  <c r="J47" i="14"/>
  <c r="K47" i="14"/>
  <c r="L47" i="14"/>
  <c r="I48" i="14"/>
  <c r="J48" i="14"/>
  <c r="K48" i="14"/>
  <c r="L48" i="14"/>
  <c r="I49" i="14"/>
  <c r="J49" i="14"/>
  <c r="K49" i="14"/>
  <c r="L49" i="14"/>
  <c r="I43" i="14"/>
  <c r="J43" i="14"/>
  <c r="K43" i="14"/>
  <c r="L43" i="14"/>
  <c r="I44" i="14"/>
  <c r="J44" i="14"/>
  <c r="K44" i="14"/>
  <c r="L44" i="14"/>
  <c r="I45" i="14"/>
  <c r="J45" i="14"/>
  <c r="K45" i="14"/>
  <c r="L45" i="14"/>
  <c r="I39" i="14"/>
  <c r="J39" i="14"/>
  <c r="K39" i="14"/>
  <c r="L39" i="14"/>
  <c r="I40" i="14"/>
  <c r="J40" i="14"/>
  <c r="K40" i="14"/>
  <c r="L40" i="14"/>
  <c r="I41" i="14"/>
  <c r="J41" i="14"/>
  <c r="K41" i="14"/>
  <c r="L41" i="14"/>
  <c r="I37" i="14"/>
  <c r="J37" i="14"/>
  <c r="K37" i="14"/>
  <c r="L37" i="14"/>
  <c r="AP4" i="14"/>
  <c r="AQ4" i="14"/>
  <c r="AR4" i="14"/>
  <c r="AP5" i="14"/>
  <c r="AQ5" i="14"/>
  <c r="AR5" i="14"/>
  <c r="AP6" i="14"/>
  <c r="AQ6" i="14"/>
  <c r="AR6" i="14"/>
  <c r="AP7" i="14"/>
  <c r="AQ7" i="14"/>
  <c r="AR7" i="14"/>
  <c r="AP8" i="14"/>
  <c r="AQ8" i="14"/>
  <c r="AR8" i="14"/>
  <c r="AP9" i="14"/>
  <c r="AQ9" i="14"/>
  <c r="AR9" i="14"/>
  <c r="AP10" i="14"/>
  <c r="AQ10" i="14"/>
  <c r="AR10" i="14"/>
  <c r="AP11" i="14"/>
  <c r="AQ11" i="14"/>
  <c r="AR11" i="14"/>
  <c r="AP12" i="14"/>
  <c r="AQ12" i="14"/>
  <c r="AR12" i="14"/>
  <c r="AP13" i="14"/>
  <c r="AQ13" i="14"/>
  <c r="AR13" i="14"/>
  <c r="AP14" i="14"/>
  <c r="AQ14" i="14"/>
  <c r="AR14" i="14"/>
  <c r="AP15" i="14"/>
  <c r="AQ15" i="14"/>
  <c r="AR15" i="14"/>
  <c r="AP16" i="14"/>
  <c r="AQ16" i="14"/>
  <c r="AR16" i="14"/>
  <c r="AP17" i="14"/>
  <c r="AQ17" i="14"/>
  <c r="AR17" i="14"/>
  <c r="AP18" i="14"/>
  <c r="AQ18" i="14"/>
  <c r="AR18" i="14"/>
  <c r="AP19" i="14"/>
  <c r="AQ19" i="14"/>
  <c r="AR19" i="14"/>
  <c r="AP20" i="14"/>
  <c r="AQ20" i="14"/>
  <c r="AR20" i="14"/>
  <c r="AP21" i="14"/>
  <c r="AQ21" i="14"/>
  <c r="AR21" i="14"/>
  <c r="AP22" i="14"/>
  <c r="AQ22" i="14"/>
  <c r="AR22" i="14"/>
  <c r="AP23" i="14"/>
  <c r="AQ23" i="14"/>
  <c r="AR23" i="14"/>
  <c r="AP24" i="14"/>
  <c r="AQ24" i="14"/>
  <c r="AR24" i="14"/>
  <c r="AP25" i="14"/>
  <c r="AQ25" i="14"/>
  <c r="AR25" i="14"/>
  <c r="AP26" i="14"/>
  <c r="AQ26" i="14"/>
  <c r="AR26" i="14"/>
  <c r="AP27" i="14"/>
  <c r="AQ27" i="14"/>
  <c r="AR27" i="14"/>
  <c r="AP28" i="14"/>
  <c r="AQ28" i="14"/>
  <c r="AR28" i="14"/>
  <c r="AP29" i="14"/>
  <c r="AQ29" i="14"/>
  <c r="AR29" i="14"/>
  <c r="AP30" i="14"/>
  <c r="AQ30" i="14"/>
  <c r="AR30" i="14"/>
  <c r="AP31" i="14"/>
  <c r="AQ31" i="14"/>
  <c r="AR31" i="14"/>
  <c r="AP32" i="14"/>
  <c r="AQ32" i="14"/>
  <c r="AR32" i="14"/>
  <c r="AP3" i="14"/>
  <c r="AQ3" i="14"/>
  <c r="AR3" i="14"/>
  <c r="AS4" i="14"/>
  <c r="AS5" i="14"/>
  <c r="AS6" i="14"/>
  <c r="AS7" i="14"/>
  <c r="AS8" i="14"/>
  <c r="AS9" i="14"/>
  <c r="AS10" i="14"/>
  <c r="AS11" i="14"/>
  <c r="AS12" i="14"/>
  <c r="AS13" i="14"/>
  <c r="AS14" i="14"/>
  <c r="AS15" i="14"/>
  <c r="AS16" i="14"/>
  <c r="AS17" i="14"/>
  <c r="AS18" i="14"/>
  <c r="AS19" i="14"/>
  <c r="AS20" i="14"/>
  <c r="AS21" i="14"/>
  <c r="AS22" i="14"/>
  <c r="AS23" i="14"/>
  <c r="AS24" i="14"/>
  <c r="AS25" i="14"/>
  <c r="AS26" i="14"/>
  <c r="AS27" i="14"/>
  <c r="AS28" i="14"/>
  <c r="AS29" i="14"/>
  <c r="AS30" i="14"/>
  <c r="AS31" i="14"/>
  <c r="AS32" i="14"/>
  <c r="AS3" i="14"/>
  <c r="BD4" i="9"/>
  <c r="I3" i="14"/>
  <c r="J3" i="14"/>
  <c r="I4" i="14"/>
  <c r="J4" i="14"/>
  <c r="I5" i="14"/>
  <c r="J5" i="14"/>
  <c r="I6" i="14"/>
  <c r="J6" i="14"/>
  <c r="I7" i="14"/>
  <c r="J7" i="14"/>
  <c r="I8" i="14"/>
  <c r="J8" i="14"/>
  <c r="I9" i="14"/>
  <c r="J9" i="14"/>
  <c r="I10" i="14"/>
  <c r="J10" i="14"/>
  <c r="I11" i="14"/>
  <c r="J11" i="14"/>
  <c r="I12" i="14"/>
  <c r="J12" i="14"/>
  <c r="I13" i="14"/>
  <c r="J13" i="14"/>
  <c r="I14" i="14"/>
  <c r="J14" i="14"/>
  <c r="I15" i="14"/>
  <c r="J15" i="14"/>
  <c r="I16" i="14"/>
  <c r="J16" i="14"/>
  <c r="I17" i="14"/>
  <c r="J17" i="14"/>
  <c r="I18" i="14"/>
  <c r="J18" i="14"/>
  <c r="I19" i="14"/>
  <c r="J19" i="14"/>
  <c r="I20" i="14"/>
  <c r="J20" i="14"/>
  <c r="I21" i="14"/>
  <c r="J21" i="14"/>
  <c r="I22" i="14"/>
  <c r="J22" i="14"/>
  <c r="I23" i="14"/>
  <c r="J23" i="14"/>
  <c r="I24" i="14"/>
  <c r="J24" i="14"/>
  <c r="I25" i="14"/>
  <c r="J25" i="14"/>
  <c r="I26" i="14"/>
  <c r="J26" i="14"/>
  <c r="I27" i="14"/>
  <c r="J27" i="14"/>
  <c r="I28" i="14"/>
  <c r="J28" i="14"/>
  <c r="I29" i="14"/>
  <c r="J29" i="14"/>
  <c r="I30" i="14"/>
  <c r="J30" i="14"/>
  <c r="I31" i="14"/>
  <c r="J31" i="14"/>
  <c r="I32" i="14"/>
  <c r="J32" i="14"/>
  <c r="I33" i="14"/>
  <c r="J33" i="14"/>
  <c r="I34" i="14"/>
  <c r="J34" i="14"/>
  <c r="I35" i="14"/>
  <c r="J35" i="14"/>
  <c r="I36" i="14"/>
  <c r="J36" i="14"/>
  <c r="I38" i="14"/>
  <c r="J38" i="14"/>
  <c r="I42" i="14"/>
  <c r="J42" i="14"/>
  <c r="I46" i="14"/>
  <c r="J46" i="14"/>
  <c r="I50" i="14"/>
  <c r="J50" i="14"/>
  <c r="I54" i="14"/>
  <c r="J54" i="14"/>
  <c r="I55" i="14"/>
  <c r="J55" i="14"/>
  <c r="I56" i="14"/>
  <c r="J56" i="14"/>
  <c r="I57" i="14"/>
  <c r="J57" i="14"/>
  <c r="I58" i="14"/>
  <c r="J58" i="14"/>
  <c r="I59" i="14"/>
  <c r="J59" i="14"/>
  <c r="I60" i="14"/>
  <c r="J60" i="14"/>
  <c r="I61" i="14"/>
  <c r="J61" i="14"/>
  <c r="I62" i="14"/>
  <c r="J62" i="14"/>
  <c r="I63" i="14"/>
  <c r="J63" i="14"/>
  <c r="I64" i="14"/>
  <c r="J64" i="14"/>
  <c r="I65" i="14"/>
  <c r="J65" i="14"/>
  <c r="I66" i="14"/>
  <c r="J66" i="14"/>
  <c r="I67" i="14"/>
  <c r="J67" i="14"/>
  <c r="I68" i="14"/>
  <c r="J68" i="14"/>
  <c r="I69" i="14"/>
  <c r="J69" i="14"/>
  <c r="I70" i="14"/>
  <c r="J70" i="14"/>
  <c r="I71" i="14"/>
  <c r="J71" i="14"/>
  <c r="I72" i="14"/>
  <c r="J72" i="14"/>
  <c r="I73" i="14"/>
  <c r="J73" i="14"/>
  <c r="I74" i="14"/>
  <c r="J74" i="14"/>
  <c r="I75" i="14"/>
  <c r="J75" i="14"/>
  <c r="I76" i="14"/>
  <c r="J76" i="14"/>
  <c r="I77" i="14"/>
  <c r="J77" i="14"/>
  <c r="I78" i="14"/>
  <c r="J78" i="14"/>
  <c r="I79" i="14"/>
  <c r="J79" i="14"/>
  <c r="I80" i="14"/>
  <c r="J80" i="14"/>
  <c r="I81" i="14"/>
  <c r="J81" i="14"/>
  <c r="I82" i="14"/>
  <c r="J82" i="14"/>
  <c r="I83" i="14"/>
  <c r="J83" i="14"/>
  <c r="I84" i="14"/>
  <c r="J84" i="14"/>
  <c r="I85" i="14"/>
  <c r="J85" i="14"/>
  <c r="I86" i="14"/>
  <c r="J86" i="14"/>
  <c r="I87" i="14"/>
  <c r="J87" i="14"/>
  <c r="I88" i="14"/>
  <c r="J88" i="14"/>
  <c r="I89" i="14"/>
  <c r="J89" i="14"/>
  <c r="I90" i="14"/>
  <c r="J90" i="14"/>
  <c r="I91" i="14"/>
  <c r="J91" i="14"/>
  <c r="I92" i="14"/>
  <c r="J92" i="14"/>
  <c r="I93" i="14"/>
  <c r="J93" i="14"/>
  <c r="I94" i="14"/>
  <c r="J94" i="14"/>
  <c r="I95" i="14"/>
  <c r="J95" i="14"/>
  <c r="I96" i="14"/>
  <c r="J96" i="14"/>
  <c r="I97" i="14"/>
  <c r="J97" i="14"/>
  <c r="I98" i="14"/>
  <c r="J98" i="14"/>
  <c r="I99" i="14"/>
  <c r="J99" i="14"/>
  <c r="I100" i="14"/>
  <c r="J100" i="14"/>
  <c r="I101" i="14"/>
  <c r="J101" i="14"/>
  <c r="I102" i="14"/>
  <c r="J102" i="14"/>
  <c r="I103" i="14"/>
  <c r="J103" i="14"/>
  <c r="I104" i="14"/>
  <c r="J104" i="14"/>
  <c r="I105" i="14"/>
  <c r="J105" i="14"/>
  <c r="I106" i="14"/>
  <c r="J106" i="14"/>
  <c r="I107" i="14"/>
  <c r="J107" i="14"/>
  <c r="I108" i="14"/>
  <c r="J108" i="14"/>
  <c r="I109" i="14"/>
  <c r="J109" i="14"/>
  <c r="I110" i="14"/>
  <c r="J110" i="14"/>
  <c r="I111" i="14"/>
  <c r="J111" i="14"/>
  <c r="I112" i="14"/>
  <c r="J112" i="14"/>
  <c r="I113" i="14"/>
  <c r="J113" i="14"/>
  <c r="I114" i="14"/>
  <c r="J114" i="14"/>
  <c r="I115" i="14"/>
  <c r="J115" i="14"/>
  <c r="I116" i="14"/>
  <c r="J116" i="14"/>
  <c r="I117" i="14"/>
  <c r="J117" i="14"/>
  <c r="I118" i="14"/>
  <c r="J118" i="14"/>
  <c r="I119" i="14"/>
  <c r="J119" i="14"/>
  <c r="I120" i="14"/>
  <c r="J120" i="14"/>
  <c r="I121" i="14"/>
  <c r="J121" i="14"/>
  <c r="I122" i="14"/>
  <c r="J122" i="14"/>
  <c r="I123" i="14"/>
  <c r="J123" i="14"/>
  <c r="I124" i="14"/>
  <c r="J124" i="14"/>
  <c r="I125" i="14"/>
  <c r="J125" i="14"/>
  <c r="I126" i="14"/>
  <c r="J126" i="14"/>
  <c r="I127" i="14"/>
  <c r="J127" i="14"/>
  <c r="I128" i="14"/>
  <c r="J128" i="14"/>
  <c r="I129" i="14"/>
  <c r="J129" i="14"/>
  <c r="I130" i="14"/>
  <c r="J130" i="14"/>
  <c r="I131" i="14"/>
  <c r="J131" i="14"/>
  <c r="I132" i="14"/>
  <c r="J132" i="14"/>
  <c r="I133" i="14"/>
  <c r="J133" i="14"/>
  <c r="I134" i="14"/>
  <c r="J134" i="14"/>
  <c r="I135" i="14"/>
  <c r="J135" i="14"/>
  <c r="I136" i="14"/>
  <c r="J136" i="14"/>
  <c r="I137" i="14"/>
  <c r="J137" i="14"/>
  <c r="I138" i="14"/>
  <c r="J138" i="14"/>
  <c r="I139" i="14"/>
  <c r="J139" i="14"/>
  <c r="I140" i="14"/>
  <c r="J140" i="14"/>
  <c r="I141" i="14"/>
  <c r="J141" i="14"/>
  <c r="I142" i="14"/>
  <c r="J142" i="14"/>
  <c r="I143" i="14"/>
  <c r="J143" i="14"/>
  <c r="I144" i="14"/>
  <c r="J144" i="14"/>
  <c r="I145" i="14"/>
  <c r="J145" i="14"/>
  <c r="I146" i="14"/>
  <c r="J146" i="14"/>
  <c r="I147" i="14"/>
  <c r="J147" i="14"/>
  <c r="I148" i="14"/>
  <c r="J148" i="14"/>
  <c r="I149" i="14"/>
  <c r="J149" i="14"/>
  <c r="I150" i="14"/>
  <c r="J150" i="14"/>
  <c r="I151" i="14"/>
  <c r="J151" i="14"/>
  <c r="I152" i="14"/>
  <c r="J152" i="14"/>
  <c r="I153" i="14"/>
  <c r="J153" i="14"/>
  <c r="I154" i="14"/>
  <c r="J154" i="14"/>
  <c r="I155" i="14"/>
  <c r="J155" i="14"/>
  <c r="I156" i="14"/>
  <c r="J156" i="14"/>
  <c r="I157" i="14"/>
  <c r="J157" i="14"/>
  <c r="I158" i="14"/>
  <c r="J158" i="14"/>
  <c r="I159" i="14"/>
  <c r="J159" i="14"/>
  <c r="I160" i="14"/>
  <c r="J160" i="14"/>
  <c r="I161" i="14"/>
  <c r="J161" i="14"/>
  <c r="I162" i="14"/>
  <c r="J162" i="14"/>
  <c r="I163" i="14"/>
  <c r="J163" i="14"/>
  <c r="I164" i="14"/>
  <c r="J164" i="14"/>
  <c r="I165" i="14"/>
  <c r="J165" i="14"/>
  <c r="I166" i="14"/>
  <c r="J166" i="14"/>
  <c r="I167" i="14"/>
  <c r="J167" i="14"/>
  <c r="I168" i="14"/>
  <c r="J168" i="14"/>
  <c r="I169" i="14"/>
  <c r="J169" i="14"/>
  <c r="I170" i="14"/>
  <c r="J170" i="14"/>
  <c r="I171" i="14"/>
  <c r="J171" i="14"/>
  <c r="I172" i="14"/>
  <c r="J172" i="14"/>
  <c r="I173" i="14"/>
  <c r="J173" i="14"/>
  <c r="I174" i="14"/>
  <c r="J174" i="14"/>
  <c r="I175" i="14"/>
  <c r="J175" i="14"/>
  <c r="I176" i="14"/>
  <c r="J176" i="14"/>
  <c r="I177" i="14"/>
  <c r="J177" i="14"/>
  <c r="I178" i="14"/>
  <c r="J178" i="14"/>
  <c r="I179" i="14"/>
  <c r="J179" i="14"/>
  <c r="I180" i="14"/>
  <c r="J180" i="14"/>
  <c r="I181" i="14"/>
  <c r="J181" i="14"/>
  <c r="I182" i="14"/>
  <c r="J182" i="14"/>
  <c r="I183" i="14"/>
  <c r="J183" i="14"/>
  <c r="I184" i="14"/>
  <c r="J184" i="14"/>
  <c r="I185" i="14"/>
  <c r="J185" i="14"/>
  <c r="I186" i="14"/>
  <c r="J186" i="14"/>
  <c r="I187" i="14"/>
  <c r="J187" i="14"/>
  <c r="I188" i="14"/>
  <c r="J188" i="14"/>
  <c r="I189" i="14"/>
  <c r="J189" i="14"/>
  <c r="I190" i="14"/>
  <c r="J190" i="14"/>
  <c r="I191" i="14"/>
  <c r="J191" i="14"/>
  <c r="I192" i="14"/>
  <c r="J192" i="14"/>
  <c r="I193" i="14"/>
  <c r="J193" i="14"/>
  <c r="I194" i="14"/>
  <c r="J194" i="14"/>
  <c r="I195" i="14"/>
  <c r="J195" i="14"/>
  <c r="I196" i="14"/>
  <c r="J196" i="14"/>
  <c r="I197" i="14"/>
  <c r="J197" i="14"/>
  <c r="I198" i="14"/>
  <c r="J198" i="14"/>
  <c r="I199" i="14"/>
  <c r="J199" i="14"/>
  <c r="I200" i="14"/>
  <c r="J200" i="14"/>
  <c r="I201" i="14"/>
  <c r="J201" i="14"/>
  <c r="I202" i="14"/>
  <c r="J202" i="14"/>
  <c r="I203" i="14"/>
  <c r="J203" i="14"/>
  <c r="I204" i="14"/>
  <c r="J204" i="14"/>
  <c r="I205" i="14"/>
  <c r="J205" i="14"/>
  <c r="I206" i="14"/>
  <c r="J206" i="14"/>
  <c r="I207" i="14"/>
  <c r="J207" i="14"/>
  <c r="I208" i="14"/>
  <c r="J208" i="14"/>
  <c r="I209" i="14"/>
  <c r="J209" i="14"/>
  <c r="I210" i="14"/>
  <c r="J210" i="14"/>
  <c r="I211" i="14"/>
  <c r="J211" i="14"/>
  <c r="I212" i="14"/>
  <c r="J212" i="14"/>
  <c r="I213" i="14"/>
  <c r="J213" i="14"/>
  <c r="I214" i="14"/>
  <c r="J214" i="14"/>
  <c r="I215" i="14"/>
  <c r="J215" i="14"/>
  <c r="I216" i="14"/>
  <c r="J216" i="14"/>
  <c r="I217" i="14"/>
  <c r="J217" i="14"/>
  <c r="I218" i="14"/>
  <c r="J218" i="14"/>
  <c r="I219" i="14"/>
  <c r="J219" i="14"/>
  <c r="I220" i="14"/>
  <c r="J220" i="14"/>
  <c r="I221" i="14"/>
  <c r="J221" i="14"/>
  <c r="I222" i="14"/>
  <c r="J222" i="14"/>
  <c r="I223" i="14"/>
  <c r="J223" i="14"/>
  <c r="I224" i="14"/>
  <c r="J224" i="14"/>
  <c r="I225" i="14"/>
  <c r="J225" i="14"/>
  <c r="I226" i="14"/>
  <c r="J226" i="14"/>
  <c r="I227" i="14"/>
  <c r="J227" i="14"/>
  <c r="I228" i="14"/>
  <c r="J228" i="14"/>
  <c r="I229" i="14"/>
  <c r="J229" i="14"/>
  <c r="I230" i="14"/>
  <c r="J230" i="14"/>
  <c r="I231" i="14"/>
  <c r="J231" i="14"/>
  <c r="I232" i="14"/>
  <c r="J232" i="14"/>
  <c r="I233" i="14"/>
  <c r="J233" i="14"/>
  <c r="I234" i="14"/>
  <c r="J234" i="14"/>
  <c r="I235" i="14"/>
  <c r="J235" i="14"/>
  <c r="I236" i="14"/>
  <c r="J236" i="14"/>
  <c r="I237" i="14"/>
  <c r="J237" i="14"/>
  <c r="I238" i="14"/>
  <c r="J238" i="14"/>
  <c r="I239" i="14"/>
  <c r="J239" i="14"/>
  <c r="I240" i="14"/>
  <c r="J240" i="14"/>
  <c r="I241" i="14"/>
  <c r="J241" i="14"/>
  <c r="I242" i="14"/>
  <c r="J242" i="14"/>
  <c r="I243" i="14"/>
  <c r="J243" i="14"/>
  <c r="I244" i="14"/>
  <c r="J244" i="14"/>
  <c r="I245" i="14"/>
  <c r="J245" i="14"/>
  <c r="I246" i="14"/>
  <c r="J246" i="14"/>
  <c r="I247" i="14"/>
  <c r="J247" i="14"/>
  <c r="I248" i="14"/>
  <c r="J248" i="14"/>
  <c r="I249" i="14"/>
  <c r="J249" i="14"/>
  <c r="I250" i="14"/>
  <c r="J250" i="14"/>
  <c r="I251" i="14"/>
  <c r="J251" i="14"/>
  <c r="I252" i="14"/>
  <c r="J252" i="14"/>
  <c r="I253" i="14"/>
  <c r="J253" i="14"/>
  <c r="I254" i="14"/>
  <c r="J254" i="14"/>
  <c r="I255" i="14"/>
  <c r="J255" i="14"/>
  <c r="I256" i="14"/>
  <c r="J256" i="14"/>
  <c r="I257" i="14"/>
  <c r="J257" i="14"/>
  <c r="I258" i="14"/>
  <c r="J258" i="14"/>
  <c r="I259" i="14"/>
  <c r="J259" i="14"/>
  <c r="I260" i="14"/>
  <c r="J260" i="14"/>
  <c r="I261" i="14"/>
  <c r="J261" i="14"/>
  <c r="I262" i="14"/>
  <c r="J262" i="14"/>
  <c r="I263" i="14"/>
  <c r="J263" i="14"/>
  <c r="I264" i="14"/>
  <c r="J264" i="14"/>
  <c r="I265" i="14"/>
  <c r="J265" i="14"/>
  <c r="I266" i="14"/>
  <c r="J266" i="14"/>
  <c r="I267" i="14"/>
  <c r="J267" i="14"/>
  <c r="I268" i="14"/>
  <c r="J268" i="14"/>
  <c r="I269" i="14"/>
  <c r="J269" i="14"/>
  <c r="I270" i="14"/>
  <c r="J270" i="14"/>
  <c r="I271" i="14"/>
  <c r="J271" i="14"/>
  <c r="I272" i="14"/>
  <c r="J272" i="14"/>
  <c r="I273" i="14"/>
  <c r="J273" i="14"/>
  <c r="I274" i="14"/>
  <c r="J274" i="14"/>
  <c r="I275" i="14"/>
  <c r="J275" i="14"/>
  <c r="I276" i="14"/>
  <c r="J276" i="14"/>
  <c r="I277" i="14"/>
  <c r="J277" i="14"/>
  <c r="I278" i="14"/>
  <c r="J278" i="14"/>
  <c r="I279" i="14"/>
  <c r="J279" i="14"/>
  <c r="I280" i="14"/>
  <c r="J280" i="14"/>
  <c r="I281" i="14"/>
  <c r="J281" i="14"/>
  <c r="I282" i="14"/>
  <c r="J282" i="14"/>
  <c r="I283" i="14"/>
  <c r="J283" i="14"/>
  <c r="I284" i="14"/>
  <c r="J284" i="14"/>
  <c r="I285" i="14"/>
  <c r="J285" i="14"/>
  <c r="I286" i="14"/>
  <c r="J286" i="14"/>
  <c r="I287" i="14"/>
  <c r="J287" i="14"/>
  <c r="I288" i="14"/>
  <c r="J288" i="14"/>
  <c r="I289" i="14"/>
  <c r="J289" i="14"/>
  <c r="I290" i="14"/>
  <c r="J290" i="14"/>
  <c r="I291" i="14"/>
  <c r="J291" i="14"/>
  <c r="I292" i="14"/>
  <c r="J292" i="14"/>
  <c r="I293" i="14"/>
  <c r="J293" i="14"/>
  <c r="I294" i="14"/>
  <c r="J294" i="14"/>
  <c r="I295" i="14"/>
  <c r="J295" i="14"/>
  <c r="I296" i="14"/>
  <c r="J296" i="14"/>
  <c r="I297" i="14"/>
  <c r="J297" i="14"/>
  <c r="I298" i="14"/>
  <c r="J298" i="14"/>
  <c r="I299" i="14"/>
  <c r="J299" i="14"/>
  <c r="I300" i="14"/>
  <c r="J300" i="14"/>
  <c r="I301" i="14"/>
  <c r="J301" i="14"/>
  <c r="I2" i="14"/>
  <c r="J2" i="14"/>
  <c r="L3" i="14"/>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8" i="14"/>
  <c r="L42" i="14"/>
  <c r="L46" i="14"/>
  <c r="L50" i="14"/>
  <c r="L54" i="14"/>
  <c r="L55"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8" i="14"/>
  <c r="L219" i="14"/>
  <c r="L220" i="14"/>
  <c r="L221" i="14"/>
  <c r="L222" i="14"/>
  <c r="L223" i="14"/>
  <c r="L224" i="14"/>
  <c r="L225" i="14"/>
  <c r="L226" i="14"/>
  <c r="L227" i="14"/>
  <c r="L228" i="14"/>
  <c r="L229" i="14"/>
  <c r="L230" i="14"/>
  <c r="L231" i="14"/>
  <c r="L232" i="14"/>
  <c r="L233" i="14"/>
  <c r="L234" i="14"/>
  <c r="L235" i="14"/>
  <c r="L236" i="14"/>
  <c r="L237" i="14"/>
  <c r="L238" i="14"/>
  <c r="L239" i="14"/>
  <c r="L240" i="14"/>
  <c r="L241" i="14"/>
  <c r="L242" i="14"/>
  <c r="L243" i="14"/>
  <c r="L244" i="14"/>
  <c r="L245" i="14"/>
  <c r="L246" i="14"/>
  <c r="L247" i="14"/>
  <c r="L248" i="14"/>
  <c r="L249" i="14"/>
  <c r="L250" i="14"/>
  <c r="L251" i="14"/>
  <c r="L252" i="14"/>
  <c r="L253" i="14"/>
  <c r="L254" i="14"/>
  <c r="L255" i="14"/>
  <c r="L256" i="14"/>
  <c r="L257" i="14"/>
  <c r="L258" i="14"/>
  <c r="L259" i="14"/>
  <c r="L260" i="14"/>
  <c r="L261" i="14"/>
  <c r="L262" i="14"/>
  <c r="L263" i="14"/>
  <c r="L264" i="14"/>
  <c r="L265" i="14"/>
  <c r="L266" i="14"/>
  <c r="L267" i="14"/>
  <c r="L268" i="14"/>
  <c r="L269" i="14"/>
  <c r="L270" i="14"/>
  <c r="L271" i="14"/>
  <c r="L272" i="14"/>
  <c r="L273" i="14"/>
  <c r="L274" i="14"/>
  <c r="L275" i="14"/>
  <c r="L276" i="14"/>
  <c r="L277" i="14"/>
  <c r="L278" i="14"/>
  <c r="L279" i="14"/>
  <c r="L280" i="14"/>
  <c r="L281" i="14"/>
  <c r="L282" i="14"/>
  <c r="L283" i="14"/>
  <c r="L284" i="14"/>
  <c r="L285" i="14"/>
  <c r="L286" i="14"/>
  <c r="L287" i="14"/>
  <c r="L288" i="14"/>
  <c r="L289" i="14"/>
  <c r="L290" i="14"/>
  <c r="L291" i="14"/>
  <c r="L292" i="14"/>
  <c r="L293" i="14"/>
  <c r="L294" i="14"/>
  <c r="L295" i="14"/>
  <c r="L296" i="14"/>
  <c r="L297" i="14"/>
  <c r="L298" i="14"/>
  <c r="L299" i="14"/>
  <c r="L300" i="14"/>
  <c r="L301" i="14"/>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8" i="14"/>
  <c r="K42" i="14"/>
  <c r="K46" i="14"/>
  <c r="K50" i="14"/>
  <c r="K54" i="14"/>
  <c r="K55"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85" i="14"/>
  <c r="K86" i="14"/>
  <c r="K87" i="14"/>
  <c r="K88" i="14"/>
  <c r="K89" i="14"/>
  <c r="K90" i="14"/>
  <c r="K91" i="14"/>
  <c r="K92" i="14"/>
  <c r="K93" i="14"/>
  <c r="K94" i="14"/>
  <c r="K95" i="14"/>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K136" i="14"/>
  <c r="K137" i="14"/>
  <c r="K138" i="14"/>
  <c r="K139" i="14"/>
  <c r="K140" i="14"/>
  <c r="K141" i="14"/>
  <c r="K142" i="14"/>
  <c r="K143" i="14"/>
  <c r="K144" i="14"/>
  <c r="K145" i="14"/>
  <c r="K146" i="14"/>
  <c r="K147" i="14"/>
  <c r="K148" i="14"/>
  <c r="K149" i="14"/>
  <c r="K150" i="14"/>
  <c r="K151" i="14"/>
  <c r="K152" i="14"/>
  <c r="K153" i="14"/>
  <c r="K154" i="14"/>
  <c r="K155" i="14"/>
  <c r="K156" i="14"/>
  <c r="K157" i="14"/>
  <c r="K158" i="14"/>
  <c r="K159" i="14"/>
  <c r="K160" i="14"/>
  <c r="K161" i="14"/>
  <c r="K162" i="14"/>
  <c r="K163" i="14"/>
  <c r="K164" i="14"/>
  <c r="K165" i="14"/>
  <c r="K166" i="14"/>
  <c r="K167" i="14"/>
  <c r="K168" i="14"/>
  <c r="K169" i="14"/>
  <c r="K170" i="14"/>
  <c r="K171" i="14"/>
  <c r="K172" i="14"/>
  <c r="K173" i="14"/>
  <c r="K174" i="14"/>
  <c r="K175" i="14"/>
  <c r="K176" i="14"/>
  <c r="K177" i="14"/>
  <c r="K178" i="14"/>
  <c r="K179" i="14"/>
  <c r="K180" i="14"/>
  <c r="K181" i="14"/>
  <c r="K182" i="14"/>
  <c r="K183" i="14"/>
  <c r="K184" i="14"/>
  <c r="K185" i="14"/>
  <c r="K186" i="14"/>
  <c r="K187" i="14"/>
  <c r="K188" i="14"/>
  <c r="K189" i="14"/>
  <c r="K190" i="14"/>
  <c r="K191" i="14"/>
  <c r="K192" i="14"/>
  <c r="K193" i="14"/>
  <c r="K194" i="14"/>
  <c r="K195" i="14"/>
  <c r="K196" i="14"/>
  <c r="K197" i="14"/>
  <c r="K198" i="14"/>
  <c r="K199" i="14"/>
  <c r="K200" i="14"/>
  <c r="K201" i="14"/>
  <c r="K202" i="14"/>
  <c r="K203" i="14"/>
  <c r="K204" i="14"/>
  <c r="K205" i="14"/>
  <c r="K206" i="14"/>
  <c r="K207" i="14"/>
  <c r="K208" i="14"/>
  <c r="K209" i="14"/>
  <c r="K210" i="14"/>
  <c r="K211" i="14"/>
  <c r="K212" i="14"/>
  <c r="K213" i="14"/>
  <c r="K214" i="14"/>
  <c r="K215" i="14"/>
  <c r="K216" i="14"/>
  <c r="K217" i="14"/>
  <c r="K218" i="14"/>
  <c r="K219" i="14"/>
  <c r="K220" i="14"/>
  <c r="K221" i="14"/>
  <c r="K222" i="14"/>
  <c r="K223" i="14"/>
  <c r="K224" i="14"/>
  <c r="K225" i="14"/>
  <c r="K226" i="14"/>
  <c r="K227" i="14"/>
  <c r="K228" i="14"/>
  <c r="K229" i="14"/>
  <c r="K230" i="14"/>
  <c r="K231" i="14"/>
  <c r="K232" i="14"/>
  <c r="K233" i="14"/>
  <c r="K234" i="14"/>
  <c r="K235" i="14"/>
  <c r="K236" i="14"/>
  <c r="K237" i="14"/>
  <c r="K238" i="14"/>
  <c r="K239" i="14"/>
  <c r="K240" i="14"/>
  <c r="K241" i="14"/>
  <c r="K242" i="14"/>
  <c r="K243" i="14"/>
  <c r="K244" i="14"/>
  <c r="K245" i="14"/>
  <c r="K246" i="14"/>
  <c r="K247" i="14"/>
  <c r="K248" i="14"/>
  <c r="K249" i="14"/>
  <c r="K250" i="14"/>
  <c r="K251" i="14"/>
  <c r="K252" i="14"/>
  <c r="K253" i="14"/>
  <c r="K254" i="14"/>
  <c r="K255" i="14"/>
  <c r="K256" i="14"/>
  <c r="K257" i="14"/>
  <c r="K258" i="14"/>
  <c r="K259" i="14"/>
  <c r="K260" i="14"/>
  <c r="K261" i="14"/>
  <c r="K262" i="14"/>
  <c r="K263" i="14"/>
  <c r="K264" i="14"/>
  <c r="K265" i="14"/>
  <c r="K266" i="14"/>
  <c r="K267" i="14"/>
  <c r="K268" i="14"/>
  <c r="K269" i="14"/>
  <c r="K270" i="14"/>
  <c r="K271" i="14"/>
  <c r="K272" i="14"/>
  <c r="K273" i="14"/>
  <c r="K274" i="14"/>
  <c r="K275" i="14"/>
  <c r="K276" i="14"/>
  <c r="K277" i="14"/>
  <c r="K278" i="14"/>
  <c r="K279" i="14"/>
  <c r="K280" i="14"/>
  <c r="K281" i="14"/>
  <c r="K282" i="14"/>
  <c r="K283" i="14"/>
  <c r="K284" i="14"/>
  <c r="K285" i="14"/>
  <c r="K286" i="14"/>
  <c r="K287" i="14"/>
  <c r="K288" i="14"/>
  <c r="K289" i="14"/>
  <c r="K290" i="14"/>
  <c r="K291" i="14"/>
  <c r="K292" i="14"/>
  <c r="K293" i="14"/>
  <c r="K294" i="14"/>
  <c r="K295" i="14"/>
  <c r="K296" i="14"/>
  <c r="K297" i="14"/>
  <c r="K298" i="14"/>
  <c r="K299" i="14"/>
  <c r="K300" i="14"/>
  <c r="K301" i="14"/>
  <c r="K2" i="14"/>
  <c r="DF31" i="9"/>
  <c r="DB31" i="9"/>
  <c r="CZ31" i="9"/>
  <c r="CN31" i="9"/>
  <c r="CP31" i="9"/>
  <c r="CJ31" i="9"/>
  <c r="CH31" i="9"/>
  <c r="CD31" i="9"/>
  <c r="CB31" i="9"/>
  <c r="DH30" i="9"/>
  <c r="DF30" i="9"/>
  <c r="DB30" i="9"/>
  <c r="CV30" i="9"/>
  <c r="CT30" i="9"/>
  <c r="CP30" i="9"/>
  <c r="CN30" i="9"/>
  <c r="CJ30" i="9"/>
  <c r="CH30" i="9"/>
  <c r="CD30" i="9"/>
  <c r="CB30" i="9"/>
  <c r="DH29" i="9"/>
  <c r="DF29" i="9"/>
  <c r="CZ29" i="9"/>
  <c r="CV29" i="9"/>
  <c r="CU29" i="9"/>
  <c r="CT29" i="9"/>
  <c r="CP29" i="9"/>
  <c r="CN29" i="9"/>
  <c r="CJ29" i="9"/>
  <c r="CH29" i="9"/>
  <c r="CD29" i="9"/>
  <c r="CB29" i="9"/>
  <c r="DH28" i="9"/>
  <c r="DB28" i="9"/>
  <c r="CZ28" i="9"/>
  <c r="CV28" i="9"/>
  <c r="CP28" i="9"/>
  <c r="CN28" i="9"/>
  <c r="CJ28" i="9"/>
  <c r="CH28" i="9"/>
  <c r="CD28" i="9"/>
  <c r="CB28" i="9"/>
  <c r="DH26" i="9"/>
  <c r="DF26" i="9"/>
  <c r="DB26" i="9"/>
  <c r="CZ26" i="9"/>
  <c r="CV26" i="9"/>
  <c r="CT26" i="9"/>
  <c r="CP26" i="9"/>
  <c r="CN26" i="9"/>
  <c r="CJ26" i="9"/>
  <c r="CH26" i="9"/>
  <c r="CD26" i="9"/>
  <c r="CB26" i="9"/>
  <c r="DH25" i="9"/>
  <c r="DF25" i="9"/>
  <c r="DB25" i="9"/>
  <c r="CZ25" i="9"/>
  <c r="CV25" i="9"/>
  <c r="CT25" i="9"/>
  <c r="CP25" i="9"/>
  <c r="CN25" i="9"/>
  <c r="CJ25" i="9"/>
  <c r="CH25" i="9"/>
  <c r="CB25" i="9"/>
  <c r="DH24" i="9"/>
  <c r="DF24" i="9"/>
  <c r="DB24" i="9"/>
  <c r="CZ24" i="9"/>
  <c r="CV24" i="9"/>
  <c r="CP24" i="9"/>
  <c r="CN24" i="9"/>
  <c r="CJ24" i="9"/>
  <c r="CI24" i="9"/>
  <c r="CH24" i="9"/>
  <c r="CB24" i="9"/>
  <c r="DH23" i="9"/>
  <c r="DF23" i="9"/>
  <c r="DB23" i="9"/>
  <c r="CZ23" i="9"/>
  <c r="CT23" i="9"/>
  <c r="CP23" i="9"/>
  <c r="CN23" i="9"/>
  <c r="CH23" i="9"/>
  <c r="CD23" i="9"/>
  <c r="CB23" i="9"/>
  <c r="DH22" i="9"/>
  <c r="DF22" i="9"/>
  <c r="DB22" i="9"/>
  <c r="CZ22" i="9"/>
  <c r="CT22" i="9"/>
  <c r="CV22" i="9"/>
  <c r="CP22" i="9"/>
  <c r="CN22" i="9"/>
  <c r="CJ22" i="9"/>
  <c r="CI22" i="9"/>
  <c r="CH22" i="9"/>
  <c r="CD22" i="9"/>
  <c r="DH20" i="9"/>
  <c r="DF20" i="9"/>
  <c r="DB20" i="9"/>
  <c r="CZ20" i="9"/>
  <c r="CV20" i="9"/>
  <c r="CT20" i="9"/>
  <c r="CP20" i="9"/>
  <c r="CH20" i="9"/>
  <c r="CJ20" i="9"/>
  <c r="CD20" i="9"/>
  <c r="CB20" i="9"/>
  <c r="DH19" i="9"/>
  <c r="DF19" i="9"/>
  <c r="CZ19" i="9"/>
  <c r="CT19" i="9"/>
  <c r="CP19" i="9"/>
  <c r="CN19" i="9"/>
  <c r="CJ19" i="9"/>
  <c r="DH14" i="9"/>
  <c r="DF14" i="9"/>
  <c r="DB14" i="9"/>
  <c r="CZ14" i="9"/>
  <c r="CV14" i="9"/>
  <c r="CU14" i="9"/>
  <c r="CT14" i="9"/>
  <c r="CP14" i="9"/>
  <c r="CN14" i="9"/>
  <c r="CJ14" i="9"/>
  <c r="CH14" i="9"/>
  <c r="CD14" i="9"/>
  <c r="CB14" i="9"/>
  <c r="DF13" i="9"/>
  <c r="CZ13" i="9"/>
  <c r="CV13" i="9"/>
  <c r="CT13" i="9"/>
  <c r="CP13" i="9"/>
  <c r="CN13" i="9"/>
  <c r="CJ13" i="9"/>
  <c r="CH13" i="9"/>
  <c r="CD13" i="9"/>
  <c r="DH12" i="9"/>
  <c r="DF12" i="9"/>
  <c r="DB12" i="9"/>
  <c r="CV12" i="9"/>
  <c r="CT12" i="9"/>
  <c r="CP12" i="9"/>
  <c r="CN12" i="9"/>
  <c r="CJ12" i="9"/>
  <c r="CH12" i="9"/>
  <c r="CD12" i="9"/>
  <c r="DF11" i="9"/>
  <c r="DB11" i="9"/>
  <c r="CZ11" i="9"/>
  <c r="CV11" i="9"/>
  <c r="CT11" i="9"/>
  <c r="CP11" i="9"/>
  <c r="CN11" i="9"/>
  <c r="CH11" i="9"/>
  <c r="CD11" i="9"/>
  <c r="CB11" i="9"/>
  <c r="DH10" i="9"/>
  <c r="DF10" i="9"/>
  <c r="DB10" i="9"/>
  <c r="CZ10" i="9"/>
  <c r="CV10" i="9"/>
  <c r="CT10" i="9"/>
  <c r="CP10" i="9"/>
  <c r="CN10" i="9"/>
  <c r="CJ10" i="9"/>
  <c r="CH10" i="9"/>
  <c r="CB10" i="9"/>
  <c r="CD10" i="9"/>
  <c r="CB6" i="9"/>
  <c r="CD6" i="9"/>
  <c r="CH6" i="9"/>
  <c r="CJ6" i="9"/>
  <c r="CN6" i="9"/>
  <c r="CP6" i="9"/>
  <c r="CT6" i="9"/>
  <c r="CV6" i="9"/>
  <c r="CZ6" i="9"/>
  <c r="DB6" i="9"/>
  <c r="DF6" i="9"/>
  <c r="DG6" i="9"/>
  <c r="DH6" i="9"/>
  <c r="CB7" i="9"/>
  <c r="CD7" i="9"/>
  <c r="CH7" i="9"/>
  <c r="CJ7" i="9"/>
  <c r="CN7" i="9"/>
  <c r="CV7" i="9"/>
  <c r="CZ7" i="9"/>
  <c r="DB7" i="9"/>
  <c r="DF7" i="9"/>
  <c r="DH7" i="9"/>
  <c r="CJ4" i="9"/>
  <c r="CD4" i="9"/>
  <c r="DH4" i="9"/>
  <c r="DB4" i="9"/>
  <c r="CV4" i="9"/>
  <c r="CP4" i="9"/>
  <c r="DF4" i="9"/>
  <c r="CZ4" i="9"/>
  <c r="CT4" i="9"/>
  <c r="CN4" i="9"/>
  <c r="CH4" i="9"/>
  <c r="CB4" i="9"/>
  <c r="BV31" i="9"/>
  <c r="BX30" i="9"/>
  <c r="BV30" i="9"/>
  <c r="BX29" i="9"/>
  <c r="BV29" i="9"/>
  <c r="BX28" i="9"/>
  <c r="BV28" i="9"/>
  <c r="BX26" i="9"/>
  <c r="BV26" i="9"/>
  <c r="BX25" i="9"/>
  <c r="BV25" i="9"/>
  <c r="BX24" i="9"/>
  <c r="BV24" i="9"/>
  <c r="BX23" i="9"/>
  <c r="BV23" i="9"/>
  <c r="BX22" i="9"/>
  <c r="BX20" i="9"/>
  <c r="BV20" i="9"/>
  <c r="BV19" i="9"/>
  <c r="BX14" i="9"/>
  <c r="BV14" i="9"/>
  <c r="BX13" i="9"/>
  <c r="BX12" i="9"/>
  <c r="BV12" i="9"/>
  <c r="BV11" i="9"/>
  <c r="BX10" i="9"/>
  <c r="BV10" i="9"/>
  <c r="BV6" i="9"/>
  <c r="BX6" i="9"/>
  <c r="BV7" i="9"/>
  <c r="BX7" i="9"/>
  <c r="BX4" i="9"/>
  <c r="BV4" i="9"/>
  <c r="BR31" i="9"/>
  <c r="BQ31" i="9"/>
  <c r="BP31" i="9"/>
  <c r="BR30" i="9"/>
  <c r="BP30" i="9"/>
  <c r="BP29" i="9"/>
  <c r="BR28" i="9"/>
  <c r="BP28" i="9"/>
  <c r="BR26" i="9"/>
  <c r="BP26" i="9"/>
  <c r="BR25" i="9"/>
  <c r="BR24" i="9"/>
  <c r="BP24" i="9"/>
  <c r="BR23" i="9"/>
  <c r="BP23" i="9"/>
  <c r="BR22" i="9"/>
  <c r="BR20" i="9"/>
  <c r="BP20" i="9"/>
  <c r="BR19" i="9"/>
  <c r="BP19" i="9"/>
  <c r="BR16" i="9"/>
  <c r="BR14" i="9"/>
  <c r="BP14" i="9"/>
  <c r="BP13" i="9"/>
  <c r="BR13" i="9"/>
  <c r="BR12" i="9"/>
  <c r="BP12" i="9"/>
  <c r="BR11" i="9"/>
  <c r="BP11" i="9"/>
  <c r="BR10" i="9"/>
  <c r="BP10" i="9"/>
  <c r="BQ6" i="9"/>
  <c r="BR7" i="9"/>
  <c r="BP7" i="9"/>
  <c r="BR4" i="9"/>
  <c r="BP4" i="9"/>
  <c r="BK32" i="9"/>
  <c r="BJ31" i="9"/>
  <c r="BL30" i="9"/>
  <c r="BJ30" i="9"/>
  <c r="BL29" i="9"/>
  <c r="BJ29" i="9"/>
  <c r="BL28" i="9"/>
  <c r="BJ28" i="9"/>
  <c r="BL26" i="9"/>
  <c r="BJ26" i="9"/>
  <c r="BL25" i="9"/>
  <c r="BJ25" i="9"/>
  <c r="BL24" i="9"/>
  <c r="BJ24" i="9"/>
  <c r="BL23" i="9"/>
  <c r="BJ23" i="9"/>
  <c r="BL22" i="9"/>
  <c r="BJ22" i="9"/>
  <c r="BL20" i="9"/>
  <c r="BL19" i="9"/>
  <c r="BJ19" i="9"/>
  <c r="BL14" i="9"/>
  <c r="BJ14" i="9"/>
  <c r="BL13" i="9"/>
  <c r="BJ13" i="9"/>
  <c r="BL12" i="9"/>
  <c r="BJ12" i="9"/>
  <c r="BL11" i="9"/>
  <c r="BJ11" i="9"/>
  <c r="BL10" i="9"/>
  <c r="BJ10" i="9"/>
  <c r="BJ6" i="9"/>
  <c r="BL6" i="9"/>
  <c r="BL7" i="9"/>
  <c r="BJ7" i="9"/>
  <c r="BL4" i="9"/>
  <c r="AW4" i="9"/>
  <c r="AZ4" i="9" s="1"/>
  <c r="BJ4" i="9"/>
  <c r="AU4" i="9"/>
  <c r="AX4" i="9" s="1"/>
  <c r="BF26" i="9"/>
  <c r="BD26" i="9"/>
  <c r="BD25" i="9"/>
  <c r="BF24" i="9"/>
  <c r="BF12" i="9"/>
  <c r="BD11" i="9"/>
  <c r="BF10" i="9"/>
  <c r="BF6" i="9"/>
  <c r="BF30" i="9"/>
  <c r="BD30" i="9"/>
  <c r="BF29" i="9"/>
  <c r="BD29" i="9"/>
  <c r="BF28" i="9"/>
  <c r="BD28" i="9"/>
  <c r="BD24" i="9"/>
  <c r="BF23" i="9"/>
  <c r="BD23" i="9"/>
  <c r="BF22" i="9"/>
  <c r="BD22" i="9"/>
  <c r="BF20" i="9"/>
  <c r="BD20" i="9"/>
  <c r="BF19" i="9"/>
  <c r="BD19" i="9"/>
  <c r="BF14" i="9"/>
  <c r="BD14" i="9"/>
  <c r="BF13" i="9"/>
  <c r="BD13" i="9"/>
  <c r="BD12" i="9"/>
  <c r="BD10" i="9"/>
  <c r="BD6" i="9"/>
  <c r="BD7" i="9"/>
  <c r="BF7" i="9"/>
  <c r="BF4" i="9"/>
  <c r="AI87" i="9"/>
  <c r="AT86" i="9"/>
  <c r="AR86" i="9"/>
  <c r="AI86" i="9"/>
  <c r="AI85" i="9"/>
  <c r="AI84" i="9"/>
  <c r="AI83" i="9"/>
  <c r="AI81" i="9"/>
  <c r="AT80" i="9"/>
  <c r="AR80" i="9"/>
  <c r="AI80" i="9"/>
  <c r="AI79" i="9"/>
  <c r="AI78" i="9"/>
  <c r="AI77" i="9"/>
  <c r="AT75" i="9"/>
  <c r="AR75" i="9"/>
  <c r="AI75" i="9"/>
  <c r="AT74" i="9"/>
  <c r="AR74" i="9"/>
  <c r="AI74" i="9"/>
  <c r="AT73" i="9"/>
  <c r="AR73" i="9"/>
  <c r="AI73" i="9"/>
  <c r="AT72" i="9"/>
  <c r="AR72" i="9"/>
  <c r="AI72" i="9"/>
  <c r="AT71" i="9"/>
  <c r="AR71" i="9"/>
  <c r="AI71" i="9"/>
  <c r="AT69" i="9"/>
  <c r="AR69" i="9"/>
  <c r="AI69" i="9"/>
  <c r="AT68" i="9"/>
  <c r="AR68" i="9"/>
  <c r="AI68" i="9"/>
  <c r="AT67" i="9"/>
  <c r="AR67" i="9"/>
  <c r="AI67" i="9"/>
  <c r="AT66" i="9"/>
  <c r="AR66" i="9"/>
  <c r="AI66" i="9"/>
  <c r="AT65" i="9"/>
  <c r="AR65" i="9"/>
  <c r="AI65" i="9"/>
  <c r="AT63" i="9"/>
  <c r="AR63" i="9"/>
  <c r="AI63" i="9"/>
  <c r="AT62" i="9"/>
  <c r="AR62" i="9"/>
  <c r="AI62" i="9"/>
  <c r="AI61" i="9"/>
  <c r="AI60" i="9"/>
  <c r="AI59" i="9"/>
  <c r="AT57" i="9"/>
  <c r="AR57" i="9"/>
  <c r="AI57" i="9"/>
  <c r="AT56" i="9"/>
  <c r="AR56" i="9"/>
  <c r="AI56" i="9"/>
  <c r="AT55" i="9"/>
  <c r="AR55" i="9"/>
  <c r="AI55" i="9"/>
  <c r="AT54" i="9"/>
  <c r="AR54" i="9"/>
  <c r="AI54" i="9"/>
  <c r="AT53" i="9"/>
  <c r="AR53" i="9"/>
  <c r="AI53" i="9"/>
  <c r="AI51" i="9"/>
  <c r="AT50" i="9"/>
  <c r="AR50" i="9"/>
  <c r="AI50" i="9"/>
  <c r="AT49" i="9"/>
  <c r="AR49" i="9"/>
  <c r="AI49" i="9"/>
  <c r="AI48" i="9"/>
  <c r="AT47" i="9"/>
  <c r="AR47" i="9"/>
  <c r="AI47" i="9"/>
  <c r="AQ38" i="9"/>
  <c r="AQ44" i="9" s="1"/>
  <c r="AO38" i="9"/>
  <c r="AO44" i="9" s="1"/>
  <c r="AI44" i="9"/>
  <c r="AF44" i="9"/>
  <c r="AC38" i="9"/>
  <c r="AC44" i="9" s="1"/>
  <c r="Z44" i="9"/>
  <c r="W44" i="9"/>
  <c r="T38" i="9"/>
  <c r="T44" i="9" s="1"/>
  <c r="Q38" i="9"/>
  <c r="Q44" i="9" s="1"/>
  <c r="N44" i="9"/>
  <c r="K44" i="9"/>
  <c r="AT37" i="9"/>
  <c r="AR37" i="9"/>
  <c r="AQ37" i="9"/>
  <c r="AQ43" i="9" s="1"/>
  <c r="AO37" i="9"/>
  <c r="AO43" i="9" s="1"/>
  <c r="AL37" i="9"/>
  <c r="AL43" i="9" s="1"/>
  <c r="AI37" i="9"/>
  <c r="AI43" i="9" s="1"/>
  <c r="AF43" i="9"/>
  <c r="AC37" i="9"/>
  <c r="AC43" i="9" s="1"/>
  <c r="Z37" i="9"/>
  <c r="W43" i="9"/>
  <c r="T37" i="9"/>
  <c r="T43" i="9" s="1"/>
  <c r="Q37" i="9"/>
  <c r="Q43" i="9" s="1"/>
  <c r="N43" i="9"/>
  <c r="K43" i="9"/>
  <c r="AQ36" i="9"/>
  <c r="AQ42" i="9" s="1"/>
  <c r="AO36" i="9"/>
  <c r="AO42" i="9" s="1"/>
  <c r="AL36" i="9"/>
  <c r="AL42" i="9" s="1"/>
  <c r="AI36" i="9"/>
  <c r="AI42" i="9" s="1"/>
  <c r="AF42" i="9"/>
  <c r="AC36" i="9"/>
  <c r="AC42" i="9" s="1"/>
  <c r="Z36" i="9"/>
  <c r="Z42" i="9" s="1"/>
  <c r="W42" i="9"/>
  <c r="T36" i="9"/>
  <c r="T42" i="9" s="1"/>
  <c r="Q36" i="9"/>
  <c r="Q42" i="9" s="1"/>
  <c r="N42" i="9"/>
  <c r="K42" i="9"/>
  <c r="AQ35" i="9"/>
  <c r="AQ41" i="9" s="1"/>
  <c r="AO35" i="9"/>
  <c r="AO41" i="9" s="1"/>
  <c r="AL35" i="9"/>
  <c r="AL41" i="9" s="1"/>
  <c r="AI35" i="9"/>
  <c r="AI41" i="9" s="1"/>
  <c r="AF41" i="9"/>
  <c r="AC35" i="9"/>
  <c r="AC41" i="9" s="1"/>
  <c r="Z35" i="9"/>
  <c r="Z41" i="9" s="1"/>
  <c r="W41" i="9"/>
  <c r="T35" i="9"/>
  <c r="T41" i="9" s="1"/>
  <c r="Q35" i="9"/>
  <c r="Q41" i="9" s="1"/>
  <c r="N41" i="9"/>
  <c r="K41" i="9"/>
  <c r="AQ34" i="9"/>
  <c r="AQ40" i="9" s="1"/>
  <c r="AO34" i="9"/>
  <c r="AO40" i="9" s="1"/>
  <c r="AL34" i="9"/>
  <c r="AL40" i="9" s="1"/>
  <c r="AI34" i="9"/>
  <c r="AI40" i="9" s="1"/>
  <c r="AF40" i="9"/>
  <c r="AC34" i="9"/>
  <c r="AC40" i="9" s="1"/>
  <c r="Z34" i="9"/>
  <c r="Z40" i="9" s="1"/>
  <c r="W40" i="9"/>
  <c r="T34" i="9"/>
  <c r="T40" i="9" s="1"/>
  <c r="Q34" i="9"/>
  <c r="Q40" i="9" s="1"/>
  <c r="N40" i="9"/>
  <c r="K40" i="9"/>
  <c r="AS32" i="9"/>
  <c r="AL32" i="9"/>
  <c r="BX32" i="9" s="1"/>
  <c r="AW31" i="9"/>
  <c r="AU31" i="9"/>
  <c r="AS31" i="9"/>
  <c r="CU31" i="9" s="1"/>
  <c r="AW30" i="9"/>
  <c r="AZ30" i="9" s="1"/>
  <c r="AU30" i="9"/>
  <c r="AX30" i="9" s="1"/>
  <c r="AS30" i="9"/>
  <c r="BE30" i="9" s="1"/>
  <c r="AW29" i="9"/>
  <c r="AZ29" i="9" s="1"/>
  <c r="AU29" i="9"/>
  <c r="AX29" i="9" s="1"/>
  <c r="AS29" i="9"/>
  <c r="AW28" i="9"/>
  <c r="AU28" i="9"/>
  <c r="AX28" i="9" s="1"/>
  <c r="AS28" i="9"/>
  <c r="CO28" i="9" s="1"/>
  <c r="AW26" i="9"/>
  <c r="AZ26" i="9" s="1"/>
  <c r="AU26" i="9"/>
  <c r="AX26" i="9" s="1"/>
  <c r="AS26" i="9"/>
  <c r="DG26" i="9" s="1"/>
  <c r="AW25" i="9"/>
  <c r="AZ25" i="9" s="1"/>
  <c r="AU25" i="9"/>
  <c r="AX25" i="9" s="1"/>
  <c r="AS25" i="9"/>
  <c r="DA25" i="9" s="1"/>
  <c r="AW24" i="9"/>
  <c r="AZ24" i="9" s="1"/>
  <c r="AU24" i="9"/>
  <c r="AX24" i="9" s="1"/>
  <c r="AS24" i="9"/>
  <c r="AW23" i="9"/>
  <c r="AZ23" i="9" s="1"/>
  <c r="AU23" i="9"/>
  <c r="AX23" i="9" s="1"/>
  <c r="AS23" i="9"/>
  <c r="CI23" i="9" s="1"/>
  <c r="AW22" i="9"/>
  <c r="AZ22" i="9" s="1"/>
  <c r="AU22" i="9"/>
  <c r="AX22" i="9" s="1"/>
  <c r="AS22" i="9"/>
  <c r="AW20" i="9"/>
  <c r="AZ20" i="9" s="1"/>
  <c r="AU20" i="9"/>
  <c r="AX20" i="9" s="1"/>
  <c r="AS20" i="9"/>
  <c r="BW20" i="9" s="1"/>
  <c r="AW19" i="9"/>
  <c r="AZ19" i="9" s="1"/>
  <c r="AU19" i="9"/>
  <c r="AX19" i="9" s="1"/>
  <c r="AS19" i="9"/>
  <c r="CU19" i="9" s="1"/>
  <c r="AT18" i="9"/>
  <c r="BL18" i="9" s="1"/>
  <c r="AR18" i="9"/>
  <c r="BJ18" i="9" s="1"/>
  <c r="AT17" i="9"/>
  <c r="BR17" i="9" s="1"/>
  <c r="AR17" i="9"/>
  <c r="DF17" i="9" s="1"/>
  <c r="AT16" i="9"/>
  <c r="BF16" i="9" s="1"/>
  <c r="AR16" i="9"/>
  <c r="CZ16" i="9" s="1"/>
  <c r="AW14" i="9"/>
  <c r="AZ14" i="9" s="1"/>
  <c r="AU14" i="9"/>
  <c r="AX14" i="9" s="1"/>
  <c r="AS14" i="9"/>
  <c r="DA14" i="9" s="1"/>
  <c r="AW13" i="9"/>
  <c r="AZ13" i="9" s="1"/>
  <c r="AU13" i="9"/>
  <c r="AX13" i="9" s="1"/>
  <c r="AS13" i="9"/>
  <c r="DA13" i="9" s="1"/>
  <c r="AW12" i="9"/>
  <c r="AZ12" i="9" s="1"/>
  <c r="AU12" i="9"/>
  <c r="AX12" i="9" s="1"/>
  <c r="AS12" i="9"/>
  <c r="AW11" i="9"/>
  <c r="AZ11" i="9" s="1"/>
  <c r="AU11" i="9"/>
  <c r="AX11" i="9" s="1"/>
  <c r="AS11" i="9"/>
  <c r="DG11" i="9" s="1"/>
  <c r="AW10" i="9"/>
  <c r="AZ10" i="9" s="1"/>
  <c r="AU10" i="9"/>
  <c r="AX10" i="9" s="1"/>
  <c r="AS10" i="9"/>
  <c r="CU10" i="9" s="1"/>
  <c r="AT8" i="9"/>
  <c r="BL8" i="9" s="1"/>
  <c r="AR8" i="9"/>
  <c r="CN8" i="9" s="1"/>
  <c r="AW7" i="9"/>
  <c r="AZ7" i="9" s="1"/>
  <c r="AU7" i="9"/>
  <c r="AX7" i="9" s="1"/>
  <c r="AS7" i="9"/>
  <c r="AW6" i="9"/>
  <c r="AZ6" i="9" s="1"/>
  <c r="AU6" i="9"/>
  <c r="AX6" i="9" s="1"/>
  <c r="AS6" i="9"/>
  <c r="BK6" i="9" s="1"/>
  <c r="AT5" i="9"/>
  <c r="CJ5" i="9" s="1"/>
  <c r="AR5" i="9"/>
  <c r="CT5" i="9" s="1"/>
  <c r="AS4" i="9"/>
  <c r="DA4" i="9" s="1"/>
  <c r="DG24" i="9" l="1"/>
  <c r="CJ8" i="9"/>
  <c r="CI26" i="9"/>
  <c r="BF5" i="9"/>
  <c r="BQ28" i="9"/>
  <c r="BX18" i="9"/>
  <c r="DG19" i="9"/>
  <c r="BJ37" i="9"/>
  <c r="BL5" i="9"/>
  <c r="BJ32" i="9"/>
  <c r="BW31" i="9"/>
  <c r="CN18" i="9"/>
  <c r="CZ32" i="9"/>
  <c r="DB8" i="9"/>
  <c r="BW13" i="9"/>
  <c r="DF18" i="9"/>
  <c r="BK4" i="9"/>
  <c r="BW10" i="9"/>
  <c r="DA23" i="9"/>
  <c r="DB5" i="9"/>
  <c r="CU30" i="9"/>
  <c r="BQ13" i="9"/>
  <c r="BE4" i="9"/>
  <c r="BQ19" i="9"/>
  <c r="CC4" i="9"/>
  <c r="CU6" i="9"/>
  <c r="CV5" i="9"/>
  <c r="CI28" i="9"/>
  <c r="CB32" i="9"/>
  <c r="BR8" i="9"/>
  <c r="CZ37" i="9"/>
  <c r="BD32" i="9"/>
  <c r="CH17" i="9"/>
  <c r="CV32" i="9"/>
  <c r="CV16" i="9"/>
  <c r="DH16" i="9"/>
  <c r="CP16" i="9"/>
  <c r="BL16" i="9"/>
  <c r="DB16" i="9"/>
  <c r="CJ16" i="9"/>
  <c r="BR37" i="9"/>
  <c r="AV12" i="9"/>
  <c r="AL98" i="9" s="1"/>
  <c r="CO12" i="9"/>
  <c r="BW12" i="9"/>
  <c r="BQ12" i="9"/>
  <c r="DG12" i="9"/>
  <c r="BK12" i="9"/>
  <c r="DA12" i="9"/>
  <c r="CI12" i="9"/>
  <c r="CU12" i="9"/>
  <c r="CC12" i="9"/>
  <c r="AU17" i="9"/>
  <c r="AX17" i="9" s="1"/>
  <c r="CB17" i="9"/>
  <c r="CN17" i="9"/>
  <c r="BJ17" i="9"/>
  <c r="CT17" i="9"/>
  <c r="BV17" i="9"/>
  <c r="BP17" i="9"/>
  <c r="BD17" i="9"/>
  <c r="CZ17" i="9"/>
  <c r="AL65" i="9"/>
  <c r="DA22" i="9"/>
  <c r="CU22" i="9"/>
  <c r="CC22" i="9"/>
  <c r="BK22" i="9"/>
  <c r="BE22" i="9"/>
  <c r="DG22" i="9"/>
  <c r="CO22" i="9"/>
  <c r="BQ22" i="9"/>
  <c r="BW22" i="9"/>
  <c r="AV25" i="9"/>
  <c r="AI111" i="9" s="1"/>
  <c r="CU25" i="9"/>
  <c r="DG25" i="9"/>
  <c r="CI25" i="9"/>
  <c r="CC25" i="9"/>
  <c r="BK25" i="9"/>
  <c r="CO25" i="9"/>
  <c r="BE25" i="9"/>
  <c r="BQ25" i="9"/>
  <c r="BW25" i="9"/>
  <c r="CD16" i="9"/>
  <c r="BE12" i="9"/>
  <c r="BX16" i="9"/>
  <c r="Z43" i="9"/>
  <c r="DB37" i="9"/>
  <c r="T66" i="9"/>
  <c r="DG23" i="9"/>
  <c r="AS50" i="9"/>
  <c r="CC7" i="9"/>
  <c r="CO7" i="9"/>
  <c r="BW7" i="9"/>
  <c r="DA7" i="9"/>
  <c r="AU16" i="9"/>
  <c r="AX16" i="9" s="1"/>
  <c r="CH16" i="9"/>
  <c r="DA29" i="9"/>
  <c r="BW29" i="9"/>
  <c r="BQ29" i="9"/>
  <c r="CI29" i="9"/>
  <c r="CC29" i="9"/>
  <c r="W75" i="9"/>
  <c r="CO32" i="9"/>
  <c r="DG32" i="9"/>
  <c r="CJ37" i="9"/>
  <c r="BX37" i="9"/>
  <c r="CV37" i="9"/>
  <c r="DE37" i="9"/>
  <c r="DH37" i="9" s="1"/>
  <c r="CP37" i="9"/>
  <c r="BE6" i="9"/>
  <c r="BD16" i="9"/>
  <c r="BE19" i="9"/>
  <c r="BE31" i="9"/>
  <c r="AY4" i="9"/>
  <c r="BK11" i="9"/>
  <c r="BQ10" i="9"/>
  <c r="BR18" i="9"/>
  <c r="BV16" i="9"/>
  <c r="BW28" i="9"/>
  <c r="DF8" i="9"/>
  <c r="DG7" i="9"/>
  <c r="CI6" i="9"/>
  <c r="CH5" i="9"/>
  <c r="CI10" i="9"/>
  <c r="CC13" i="9"/>
  <c r="CC14" i="9"/>
  <c r="CB16" i="9"/>
  <c r="CI20" i="9"/>
  <c r="DA20" i="9"/>
  <c r="DG31" i="9"/>
  <c r="CU32" i="9"/>
  <c r="CD37" i="9"/>
  <c r="BF8" i="9"/>
  <c r="BE20" i="9"/>
  <c r="BE32" i="9"/>
  <c r="BK7" i="9"/>
  <c r="BJ5" i="9"/>
  <c r="BK20" i="9"/>
  <c r="BK26" i="9"/>
  <c r="BL32" i="9"/>
  <c r="BQ11" i="9"/>
  <c r="BW6" i="9"/>
  <c r="CI4" i="9"/>
  <c r="CZ8" i="9"/>
  <c r="CC6" i="9"/>
  <c r="DA11" i="9"/>
  <c r="CI14" i="9"/>
  <c r="CJ17" i="9"/>
  <c r="DH17" i="9"/>
  <c r="CC19" i="9"/>
  <c r="DA28" i="9"/>
  <c r="CC31" i="9"/>
  <c r="CC32" i="9"/>
  <c r="DA32" i="9"/>
  <c r="BD5" i="9"/>
  <c r="BE29" i="9"/>
  <c r="BF32" i="9"/>
  <c r="BD37" i="9"/>
  <c r="BK14" i="9"/>
  <c r="BK24" i="9"/>
  <c r="BK30" i="9"/>
  <c r="BP8" i="9"/>
  <c r="BX8" i="9"/>
  <c r="BW19" i="9"/>
  <c r="BW23" i="9"/>
  <c r="CO4" i="9"/>
  <c r="CV8" i="9"/>
  <c r="CH8" i="9"/>
  <c r="CD5" i="9"/>
  <c r="CI13" i="9"/>
  <c r="CP18" i="9"/>
  <c r="CO20" i="9"/>
  <c r="CO26" i="9"/>
  <c r="CI30" i="9"/>
  <c r="CH32" i="9"/>
  <c r="CN37" i="9"/>
  <c r="DC37" i="9"/>
  <c r="DF37" i="9" s="1"/>
  <c r="AS56" i="9"/>
  <c r="CU13" i="9"/>
  <c r="BD8" i="9"/>
  <c r="BE13" i="9"/>
  <c r="BF17" i="9"/>
  <c r="BK10" i="9"/>
  <c r="BQ23" i="9"/>
  <c r="BP32" i="9"/>
  <c r="BW11" i="9"/>
  <c r="BV32" i="9"/>
  <c r="CU4" i="9"/>
  <c r="CB8" i="9"/>
  <c r="CI7" i="9"/>
  <c r="DG10" i="9"/>
  <c r="CO11" i="9"/>
  <c r="DF16" i="9"/>
  <c r="CO23" i="9"/>
  <c r="CO24" i="9"/>
  <c r="CO29" i="9"/>
  <c r="CI32" i="9"/>
  <c r="DF32" i="9"/>
  <c r="AR79" i="9"/>
  <c r="CH18" i="9"/>
  <c r="CT18" i="9"/>
  <c r="CI31" i="9"/>
  <c r="CO31" i="9"/>
  <c r="BE10" i="9"/>
  <c r="BD18" i="9"/>
  <c r="BF37" i="9"/>
  <c r="BJ16" i="9"/>
  <c r="BK28" i="9"/>
  <c r="BQ4" i="9"/>
  <c r="BR5" i="9"/>
  <c r="BQ32" i="9"/>
  <c r="BV8" i="9"/>
  <c r="BW32" i="9"/>
  <c r="CT8" i="9"/>
  <c r="DH5" i="9"/>
  <c r="CN16" i="9"/>
  <c r="CB18" i="9"/>
  <c r="CZ18" i="9"/>
  <c r="DA30" i="9"/>
  <c r="DA31" i="9"/>
  <c r="CJ32" i="9"/>
  <c r="DH32" i="9"/>
  <c r="AF47" i="9"/>
  <c r="DG4" i="9"/>
  <c r="AO69" i="9"/>
  <c r="DA26" i="9"/>
  <c r="DA6" i="9"/>
  <c r="CO6" i="9"/>
  <c r="AV14" i="9"/>
  <c r="CO14" i="9"/>
  <c r="CU28" i="9"/>
  <c r="DG28" i="9"/>
  <c r="CC28" i="9"/>
  <c r="BE7" i="9"/>
  <c r="BK31" i="9"/>
  <c r="BQ14" i="9"/>
  <c r="BR32" i="9"/>
  <c r="BW4" i="9"/>
  <c r="BW26" i="9"/>
  <c r="CO13" i="9"/>
  <c r="DG13" i="9"/>
  <c r="DG29" i="9"/>
  <c r="CP17" i="9"/>
  <c r="BX17" i="9"/>
  <c r="DB17" i="9"/>
  <c r="K73" i="9"/>
  <c r="DG30" i="9"/>
  <c r="CC30" i="9"/>
  <c r="CO30" i="9"/>
  <c r="CP8" i="9"/>
  <c r="CD8" i="9"/>
  <c r="CN5" i="9"/>
  <c r="CZ5" i="9"/>
  <c r="CB5" i="9"/>
  <c r="CV18" i="9"/>
  <c r="DH18" i="9"/>
  <c r="CD18" i="9"/>
  <c r="AS62" i="9"/>
  <c r="CO19" i="9"/>
  <c r="DA19" i="9"/>
  <c r="AV11" i="9"/>
  <c r="AY11" i="9" s="1"/>
  <c r="CI11" i="9"/>
  <c r="CU11" i="9"/>
  <c r="AV24" i="9"/>
  <c r="K110" i="9" s="1"/>
  <c r="DA24" i="9"/>
  <c r="BE14" i="9"/>
  <c r="BF18" i="9"/>
  <c r="BE26" i="9"/>
  <c r="BK13" i="9"/>
  <c r="BK19" i="9"/>
  <c r="BL37" i="9"/>
  <c r="BQ7" i="9"/>
  <c r="BP5" i="9"/>
  <c r="BP18" i="9"/>
  <c r="BQ26" i="9"/>
  <c r="BX5" i="9"/>
  <c r="BW14" i="9"/>
  <c r="BW30" i="9"/>
  <c r="DH8" i="9"/>
  <c r="CU7" i="9"/>
  <c r="DF5" i="9"/>
  <c r="CP5" i="9"/>
  <c r="DG14" i="9"/>
  <c r="CD17" i="9"/>
  <c r="CJ18" i="9"/>
  <c r="DB18" i="9"/>
  <c r="CU24" i="9"/>
  <c r="CC26" i="9"/>
  <c r="CU26" i="9"/>
  <c r="Z53" i="9"/>
  <c r="CC10" i="9"/>
  <c r="CO10" i="9"/>
  <c r="DA10" i="9"/>
  <c r="CU20" i="9"/>
  <c r="BQ20" i="9"/>
  <c r="DG20" i="9"/>
  <c r="CC20" i="9"/>
  <c r="CP32" i="9"/>
  <c r="DB32" i="9"/>
  <c r="CN32" i="9"/>
  <c r="CT32" i="9"/>
  <c r="CD32" i="9"/>
  <c r="CH37" i="9"/>
  <c r="BE11" i="9"/>
  <c r="BE23" i="9"/>
  <c r="BJ8" i="9"/>
  <c r="BK23" i="9"/>
  <c r="BK29" i="9"/>
  <c r="BP16" i="9"/>
  <c r="BQ24" i="9"/>
  <c r="BQ30" i="9"/>
  <c r="BP37" i="9"/>
  <c r="BV5" i="9"/>
  <c r="BV18" i="9"/>
  <c r="BW24" i="9"/>
  <c r="BV37" i="9"/>
  <c r="CC11" i="9"/>
  <c r="CT16" i="9"/>
  <c r="CV17" i="9"/>
  <c r="CI19" i="9"/>
  <c r="CC23" i="9"/>
  <c r="CU23" i="9"/>
  <c r="CC24" i="9"/>
  <c r="CB37" i="9"/>
  <c r="CT37" i="9"/>
  <c r="AF14" i="19"/>
  <c r="AI14" i="19" s="1"/>
  <c r="AL14" i="19" s="1"/>
  <c r="AF29" i="19"/>
  <c r="AI29" i="19" s="1"/>
  <c r="AO32" i="19"/>
  <c r="AO4" i="19"/>
  <c r="AR4" i="19" s="1"/>
  <c r="AU4" i="19" s="1"/>
  <c r="AF32" i="19"/>
  <c r="Y18" i="19"/>
  <c r="AB18" i="19" s="1"/>
  <c r="AE18" i="19"/>
  <c r="AH18" i="19" s="1"/>
  <c r="AK18" i="19" s="1"/>
  <c r="AN18" i="19"/>
  <c r="AQ18" i="19" s="1"/>
  <c r="AT18" i="19" s="1"/>
  <c r="BG25" i="19"/>
  <c r="BJ25" i="19" s="1"/>
  <c r="BM25" i="19" s="1"/>
  <c r="AW18" i="19"/>
  <c r="AZ18" i="19" s="1"/>
  <c r="BC18" i="19" s="1"/>
  <c r="AX32" i="19"/>
  <c r="AX7" i="19"/>
  <c r="BA7" i="19" s="1"/>
  <c r="BD7" i="19" s="1"/>
  <c r="AO13" i="19"/>
  <c r="AR13" i="19" s="1"/>
  <c r="AU13" i="19" s="1"/>
  <c r="AF24" i="19"/>
  <c r="AI24" i="19" s="1"/>
  <c r="AL24" i="19" s="1"/>
  <c r="AF20" i="19"/>
  <c r="AI20" i="19" s="1"/>
  <c r="AL20" i="19" s="1"/>
  <c r="AX30" i="19"/>
  <c r="BA30" i="19" s="1"/>
  <c r="AX13" i="19"/>
  <c r="BA13" i="19" s="1"/>
  <c r="BD13" i="19" s="1"/>
  <c r="BG23" i="19"/>
  <c r="BJ23" i="19" s="1"/>
  <c r="BM23" i="19" s="1"/>
  <c r="Y5" i="19"/>
  <c r="AB5" i="19" s="1"/>
  <c r="AE5" i="19"/>
  <c r="AH5" i="19" s="1"/>
  <c r="AK5" i="19" s="1"/>
  <c r="AY16" i="19"/>
  <c r="BB16" i="19" s="1"/>
  <c r="BE16" i="19" s="1"/>
  <c r="AX10" i="19"/>
  <c r="BA10" i="19" s="1"/>
  <c r="BD10" i="19" s="1"/>
  <c r="V90" i="19"/>
  <c r="AO20" i="19"/>
  <c r="AR20" i="19" s="1"/>
  <c r="AU20" i="19" s="1"/>
  <c r="AX4" i="19"/>
  <c r="BA4" i="19" s="1"/>
  <c r="BD4" i="19" s="1"/>
  <c r="AF13" i="19"/>
  <c r="AI13" i="19" s="1"/>
  <c r="AL13" i="19" s="1"/>
  <c r="Z20" i="19"/>
  <c r="X130" i="19" s="1"/>
  <c r="Z24" i="19"/>
  <c r="AC24" i="19" s="1"/>
  <c r="AF26" i="19"/>
  <c r="AI26" i="19" s="1"/>
  <c r="AL26" i="19" s="1"/>
  <c r="AH32" i="19"/>
  <c r="AK32" i="19" s="1"/>
  <c r="Z4" i="19"/>
  <c r="AX23" i="19"/>
  <c r="BA23" i="19" s="1"/>
  <c r="BD23" i="19" s="1"/>
  <c r="AF25" i="19"/>
  <c r="AI25" i="19" s="1"/>
  <c r="AL25" i="19" s="1"/>
  <c r="AF7" i="19"/>
  <c r="AI7" i="19" s="1"/>
  <c r="AL7" i="19" s="1"/>
  <c r="AA18" i="19"/>
  <c r="AD18" i="19" s="1"/>
  <c r="AF19" i="19"/>
  <c r="AI19" i="19" s="1"/>
  <c r="AL19" i="19" s="1"/>
  <c r="AX26" i="19"/>
  <c r="BA26" i="19" s="1"/>
  <c r="BD26" i="19" s="1"/>
  <c r="AF30" i="19"/>
  <c r="AI30" i="19" s="1"/>
  <c r="AL30" i="19" s="1"/>
  <c r="AY37" i="19"/>
  <c r="BG7" i="19"/>
  <c r="BJ7" i="19" s="1"/>
  <c r="BM7" i="19" s="1"/>
  <c r="AZ32" i="19"/>
  <c r="BC32" i="19" s="1"/>
  <c r="AO7" i="19"/>
  <c r="AR7" i="19" s="1"/>
  <c r="AU7" i="19" s="1"/>
  <c r="AO30" i="19"/>
  <c r="AA17" i="19"/>
  <c r="AD17" i="19" s="1"/>
  <c r="AX25" i="19"/>
  <c r="BA25" i="19" s="1"/>
  <c r="BD25" i="19" s="1"/>
  <c r="AX14" i="19"/>
  <c r="BA14" i="19" s="1"/>
  <c r="BD14" i="19" s="1"/>
  <c r="Z7" i="19"/>
  <c r="X117" i="19" s="1"/>
  <c r="AN8" i="19"/>
  <c r="AQ8" i="19" s="1"/>
  <c r="AT8" i="19" s="1"/>
  <c r="BG14" i="19"/>
  <c r="BJ14" i="19" s="1"/>
  <c r="BM14" i="19" s="1"/>
  <c r="AG17" i="19"/>
  <c r="AJ17" i="19" s="1"/>
  <c r="AM17" i="19" s="1"/>
  <c r="BG22" i="19"/>
  <c r="BJ22" i="19" s="1"/>
  <c r="BM22" i="19" s="1"/>
  <c r="W77" i="19"/>
  <c r="AO10" i="19"/>
  <c r="AR10" i="19" s="1"/>
  <c r="AU10" i="19" s="1"/>
  <c r="AG16" i="19"/>
  <c r="AJ16" i="19" s="1"/>
  <c r="AM16" i="19" s="1"/>
  <c r="Y17" i="19"/>
  <c r="AB17" i="19" s="1"/>
  <c r="BH17" i="19"/>
  <c r="BK17" i="19" s="1"/>
  <c r="BN17" i="19" s="1"/>
  <c r="AY18" i="19"/>
  <c r="BB18" i="19" s="1"/>
  <c r="BE18" i="19" s="1"/>
  <c r="AX19" i="19"/>
  <c r="BA19" i="19" s="1"/>
  <c r="BD19" i="19" s="1"/>
  <c r="Z23" i="19"/>
  <c r="AC23" i="19" s="1"/>
  <c r="BG26" i="19"/>
  <c r="BJ26" i="19" s="1"/>
  <c r="BM26" i="19" s="1"/>
  <c r="O66" i="19"/>
  <c r="T68" i="19"/>
  <c r="AX12" i="19"/>
  <c r="BA12" i="19" s="1"/>
  <c r="BD12" i="19" s="1"/>
  <c r="Z13" i="19"/>
  <c r="AC13" i="19" s="1"/>
  <c r="AN16" i="19"/>
  <c r="AQ16" i="19" s="1"/>
  <c r="AT16" i="19" s="1"/>
  <c r="AX22" i="19"/>
  <c r="BA22" i="19" s="1"/>
  <c r="BD22" i="19" s="1"/>
  <c r="Z26" i="19"/>
  <c r="X136" i="19" s="1"/>
  <c r="AO26" i="19"/>
  <c r="AR26" i="19" s="1"/>
  <c r="AU26" i="19" s="1"/>
  <c r="BG30" i="19"/>
  <c r="W68" i="19"/>
  <c r="AP16" i="19"/>
  <c r="AS16" i="19" s="1"/>
  <c r="AV16" i="19" s="1"/>
  <c r="AF23" i="19"/>
  <c r="AI23" i="19" s="1"/>
  <c r="AL23" i="19" s="1"/>
  <c r="J59" i="19"/>
  <c r="P78" i="19"/>
  <c r="AF11" i="19"/>
  <c r="AI11" i="19" s="1"/>
  <c r="AL11" i="19" s="1"/>
  <c r="AF12" i="19"/>
  <c r="AI12" i="19" s="1"/>
  <c r="AL12" i="19" s="1"/>
  <c r="AW16" i="19"/>
  <c r="AZ16" i="19" s="1"/>
  <c r="BC16" i="19" s="1"/>
  <c r="BC34" i="19" s="1"/>
  <c r="BG19" i="19"/>
  <c r="BJ19" i="19" s="1"/>
  <c r="BM19" i="19" s="1"/>
  <c r="BG20" i="19"/>
  <c r="BJ20" i="19" s="1"/>
  <c r="BM20" i="19" s="1"/>
  <c r="AF22" i="19"/>
  <c r="AI22" i="19" s="1"/>
  <c r="AL22" i="19" s="1"/>
  <c r="AI32" i="19"/>
  <c r="AL32" i="19" s="1"/>
  <c r="M59" i="19"/>
  <c r="S69" i="19"/>
  <c r="Q75" i="19"/>
  <c r="O85" i="19"/>
  <c r="X95" i="19"/>
  <c r="AN17" i="19"/>
  <c r="AQ17" i="19" s="1"/>
  <c r="AT17" i="19" s="1"/>
  <c r="T69" i="19"/>
  <c r="W78" i="19"/>
  <c r="P85" i="19"/>
  <c r="AO19" i="19"/>
  <c r="AR19" i="19" s="1"/>
  <c r="AU19" i="19" s="1"/>
  <c r="AF4" i="19"/>
  <c r="AI4" i="19" s="1"/>
  <c r="AL4" i="19" s="1"/>
  <c r="AO11" i="19"/>
  <c r="AR11" i="19" s="1"/>
  <c r="AU11" i="19" s="1"/>
  <c r="Y16" i="19"/>
  <c r="AB16" i="19" s="1"/>
  <c r="Z19" i="19"/>
  <c r="N68" i="19"/>
  <c r="AO12" i="19"/>
  <c r="AR12" i="19" s="1"/>
  <c r="AU12" i="19" s="1"/>
  <c r="AW17" i="19"/>
  <c r="AZ17" i="19" s="1"/>
  <c r="BC17" i="19" s="1"/>
  <c r="AO23" i="19"/>
  <c r="AR23" i="19" s="1"/>
  <c r="AU23" i="19" s="1"/>
  <c r="P68" i="19"/>
  <c r="BK32" i="19"/>
  <c r="BG4" i="19"/>
  <c r="BJ4" i="19" s="1"/>
  <c r="BM4" i="19" s="1"/>
  <c r="BG13" i="19"/>
  <c r="BJ13" i="19" s="1"/>
  <c r="BM13" i="19" s="1"/>
  <c r="BF17" i="19"/>
  <c r="BI17" i="19" s="1"/>
  <c r="BL17" i="19" s="1"/>
  <c r="Z22" i="19"/>
  <c r="AC22" i="19" s="1"/>
  <c r="AO22" i="19"/>
  <c r="AR22" i="19" s="1"/>
  <c r="AU22" i="19" s="1"/>
  <c r="N66" i="19"/>
  <c r="C10" i="18"/>
  <c r="AH8" i="19"/>
  <c r="AK8" i="19" s="1"/>
  <c r="AE38" i="19"/>
  <c r="BC20" i="19"/>
  <c r="AD34" i="19"/>
  <c r="BJ28" i="19"/>
  <c r="BE29" i="19"/>
  <c r="AP5" i="19"/>
  <c r="AS5" i="19" s="1"/>
  <c r="AV5" i="19" s="1"/>
  <c r="W8" i="19"/>
  <c r="W93" i="19" s="1"/>
  <c r="X132" i="19"/>
  <c r="R132" i="19"/>
  <c r="AD37" i="19"/>
  <c r="AA5" i="19"/>
  <c r="AD5" i="19" s="1"/>
  <c r="AO6" i="19"/>
  <c r="AR6" i="19" s="1"/>
  <c r="AU6" i="19" s="1"/>
  <c r="BG6" i="19"/>
  <c r="BJ6" i="19" s="1"/>
  <c r="BM6" i="19" s="1"/>
  <c r="X99" i="19"/>
  <c r="X93" i="19"/>
  <c r="X63" i="19"/>
  <c r="X38" i="19"/>
  <c r="AA8" i="19"/>
  <c r="AD8" i="19" s="1"/>
  <c r="AP8" i="19"/>
  <c r="AS8" i="19" s="1"/>
  <c r="AV8" i="19" s="1"/>
  <c r="BH8" i="19"/>
  <c r="BK8" i="19" s="1"/>
  <c r="BN8" i="19" s="1"/>
  <c r="R136" i="19"/>
  <c r="AV37" i="19"/>
  <c r="BF36" i="19"/>
  <c r="Y8" i="19"/>
  <c r="AB8" i="19" s="1"/>
  <c r="R130" i="19"/>
  <c r="AQ22" i="19"/>
  <c r="AT22" i="19" s="1"/>
  <c r="AN34" i="19"/>
  <c r="O83" i="19"/>
  <c r="N83" i="19"/>
  <c r="M83" i="19"/>
  <c r="AF28" i="19"/>
  <c r="W83" i="19"/>
  <c r="AO28" i="19"/>
  <c r="AX28" i="19"/>
  <c r="T83" i="19"/>
  <c r="S83" i="19"/>
  <c r="Q83" i="19"/>
  <c r="P83" i="19"/>
  <c r="Z28" i="19"/>
  <c r="M138" i="19" s="1"/>
  <c r="BB30" i="19"/>
  <c r="AJ32" i="19"/>
  <c r="AH29" i="19"/>
  <c r="X129" i="19"/>
  <c r="R129" i="19"/>
  <c r="V129" i="19"/>
  <c r="BH34" i="19"/>
  <c r="AB28" i="19"/>
  <c r="AB34" i="19" s="1"/>
  <c r="BC30" i="19"/>
  <c r="O86" i="19"/>
  <c r="M141" i="19"/>
  <c r="W86" i="19"/>
  <c r="W37" i="19"/>
  <c r="V43" i="19" s="1"/>
  <c r="T86" i="19"/>
  <c r="N86" i="19"/>
  <c r="W92" i="19"/>
  <c r="M86" i="19"/>
  <c r="AF31" i="19"/>
  <c r="J86" i="19"/>
  <c r="AO31" i="19"/>
  <c r="W98" i="19"/>
  <c r="S86" i="19"/>
  <c r="Q86" i="19"/>
  <c r="P86" i="19"/>
  <c r="AX31" i="19"/>
  <c r="Z31" i="19"/>
  <c r="W141" i="19" s="1"/>
  <c r="AT36" i="19"/>
  <c r="BB23" i="19"/>
  <c r="BE23" i="19" s="1"/>
  <c r="AT29" i="19"/>
  <c r="X60" i="19"/>
  <c r="BH5" i="19"/>
  <c r="BK5" i="19" s="1"/>
  <c r="BN5" i="19" s="1"/>
  <c r="X35" i="19"/>
  <c r="AM28" i="19"/>
  <c r="AM34" i="19" s="1"/>
  <c r="AJ34" i="19"/>
  <c r="AA36" i="19"/>
  <c r="AA48" i="19" s="1"/>
  <c r="BB22" i="19"/>
  <c r="BE22" i="19" s="1"/>
  <c r="AY34" i="19"/>
  <c r="BK22" i="19"/>
  <c r="BN22" i="19" s="1"/>
  <c r="BN34" i="19" s="1"/>
  <c r="BI36" i="19"/>
  <c r="BL30" i="19"/>
  <c r="BL36" i="19" s="1"/>
  <c r="AM31" i="19"/>
  <c r="AM37" i="19" s="1"/>
  <c r="AJ37" i="19"/>
  <c r="AB36" i="19"/>
  <c r="R114" i="19"/>
  <c r="X114" i="19"/>
  <c r="X144" i="19"/>
  <c r="AN5" i="19"/>
  <c r="AQ5" i="19" s="1"/>
  <c r="AT5" i="19" s="1"/>
  <c r="AW5" i="19"/>
  <c r="AZ5" i="19" s="1"/>
  <c r="BC5" i="19" s="1"/>
  <c r="BF5" i="19"/>
  <c r="BI5" i="19" s="1"/>
  <c r="BL5" i="19" s="1"/>
  <c r="AY5" i="19"/>
  <c r="BB5" i="19" s="1"/>
  <c r="BE5" i="19" s="1"/>
  <c r="AF6" i="19"/>
  <c r="AI6" i="19" s="1"/>
  <c r="AL6" i="19" s="1"/>
  <c r="AG8" i="19"/>
  <c r="AJ8" i="19" s="1"/>
  <c r="AM8" i="19" s="1"/>
  <c r="AY8" i="19"/>
  <c r="BB8" i="19" s="1"/>
  <c r="BE8" i="19" s="1"/>
  <c r="X97" i="19"/>
  <c r="X73" i="19"/>
  <c r="X36" i="19"/>
  <c r="X91" i="19"/>
  <c r="AG18" i="19"/>
  <c r="AP18" i="19"/>
  <c r="AS18" i="19" s="1"/>
  <c r="AV18" i="19" s="1"/>
  <c r="AV36" i="19" s="1"/>
  <c r="AC19" i="19"/>
  <c r="AK37" i="19"/>
  <c r="BG31" i="19"/>
  <c r="AA37" i="19"/>
  <c r="AA49" i="19" s="1"/>
  <c r="S136" i="19"/>
  <c r="Q97" i="19"/>
  <c r="Q91" i="19"/>
  <c r="Q61" i="19"/>
  <c r="P97" i="19"/>
  <c r="O116" i="19"/>
  <c r="M97" i="19"/>
  <c r="N61" i="19"/>
  <c r="J97" i="19"/>
  <c r="P91" i="19"/>
  <c r="M61" i="19"/>
  <c r="O91" i="19"/>
  <c r="J61" i="19"/>
  <c r="T91" i="19"/>
  <c r="P61" i="19"/>
  <c r="S91" i="19"/>
  <c r="O61" i="19"/>
  <c r="T97" i="19"/>
  <c r="S97" i="19"/>
  <c r="N91" i="19"/>
  <c r="O97" i="19"/>
  <c r="J91" i="19"/>
  <c r="W61" i="19"/>
  <c r="Z6" i="19"/>
  <c r="M91" i="19"/>
  <c r="N97" i="19"/>
  <c r="T61" i="19"/>
  <c r="S61" i="19"/>
  <c r="V99" i="19"/>
  <c r="V63" i="19"/>
  <c r="V93" i="19"/>
  <c r="AW8" i="19"/>
  <c r="AZ8" i="19" s="1"/>
  <c r="BC8" i="19" s="1"/>
  <c r="V38" i="19"/>
  <c r="BF8" i="19"/>
  <c r="BI8" i="19" s="1"/>
  <c r="BL8" i="19" s="1"/>
  <c r="X90" i="19"/>
  <c r="Y37" i="19"/>
  <c r="AB31" i="19"/>
  <c r="AB37" i="19" s="1"/>
  <c r="W5" i="19"/>
  <c r="Y35" i="19"/>
  <c r="AB23" i="19"/>
  <c r="AD35" i="19"/>
  <c r="Y36" i="19"/>
  <c r="BH37" i="19"/>
  <c r="BA32" i="19"/>
  <c r="J83" i="19"/>
  <c r="AV29" i="19"/>
  <c r="AV35" i="19" s="1"/>
  <c r="AS35" i="19"/>
  <c r="AN36" i="19"/>
  <c r="BD30" i="19"/>
  <c r="AZ37" i="19"/>
  <c r="N59" i="19"/>
  <c r="M65" i="19"/>
  <c r="X72" i="19"/>
  <c r="J80" i="19"/>
  <c r="AR30" i="19"/>
  <c r="AQ36" i="19"/>
  <c r="N65" i="19"/>
  <c r="AN38" i="19"/>
  <c r="O65" i="19"/>
  <c r="W117" i="19"/>
  <c r="AL29" i="19"/>
  <c r="AD36" i="19"/>
  <c r="AQ37" i="19"/>
  <c r="BB37" i="19"/>
  <c r="S87" i="19"/>
  <c r="AA32" i="19"/>
  <c r="BB32" i="19"/>
  <c r="S38" i="19"/>
  <c r="S44" i="19" s="1"/>
  <c r="P74" i="19"/>
  <c r="W129" i="19"/>
  <c r="W65" i="19"/>
  <c r="J65" i="19"/>
  <c r="T65" i="19"/>
  <c r="S65" i="19"/>
  <c r="P65" i="19"/>
  <c r="S66" i="19"/>
  <c r="T66" i="19"/>
  <c r="J66" i="19"/>
  <c r="AX11" i="19"/>
  <c r="BA11" i="19" s="1"/>
  <c r="BD11" i="19" s="1"/>
  <c r="W66" i="19"/>
  <c r="P66" i="19"/>
  <c r="M69" i="19"/>
  <c r="Q69" i="19"/>
  <c r="P69" i="19"/>
  <c r="O69" i="19"/>
  <c r="AO14" i="19"/>
  <c r="AR14" i="19" s="1"/>
  <c r="AU14" i="19" s="1"/>
  <c r="N69" i="19"/>
  <c r="J69" i="19"/>
  <c r="AE34" i="19"/>
  <c r="AP34" i="19"/>
  <c r="O80" i="19"/>
  <c r="Q80" i="19"/>
  <c r="P80" i="19"/>
  <c r="T80" i="19"/>
  <c r="S80" i="19"/>
  <c r="Z25" i="19"/>
  <c r="O135" i="19" s="1"/>
  <c r="N80" i="19"/>
  <c r="M80" i="19"/>
  <c r="S84" i="19"/>
  <c r="M84" i="19"/>
  <c r="J84" i="19"/>
  <c r="W84" i="19"/>
  <c r="BG29" i="19"/>
  <c r="T84" i="19"/>
  <c r="Q84" i="19"/>
  <c r="AJ29" i="19"/>
  <c r="BK29" i="19"/>
  <c r="AE36" i="19"/>
  <c r="AH30" i="19"/>
  <c r="BH36" i="19"/>
  <c r="BC31" i="19"/>
  <c r="BC37" i="19" s="1"/>
  <c r="M87" i="19"/>
  <c r="T87" i="19"/>
  <c r="P87" i="19"/>
  <c r="BG32" i="19"/>
  <c r="O87" i="19"/>
  <c r="N87" i="19"/>
  <c r="J87" i="19"/>
  <c r="Z32" i="19"/>
  <c r="W142" i="19" s="1"/>
  <c r="W87" i="19"/>
  <c r="AP38" i="19"/>
  <c r="AN37" i="19"/>
  <c r="P77" i="19"/>
  <c r="N84" i="19"/>
  <c r="S98" i="19"/>
  <c r="Q67" i="19"/>
  <c r="T67" i="19"/>
  <c r="S67" i="19"/>
  <c r="J67" i="19"/>
  <c r="W67" i="19"/>
  <c r="P67" i="19"/>
  <c r="V95" i="19"/>
  <c r="V89" i="19"/>
  <c r="V71" i="19"/>
  <c r="V34" i="19"/>
  <c r="V72" i="19"/>
  <c r="AE17" i="19"/>
  <c r="AH17" i="19" s="1"/>
  <c r="AK17" i="19" s="1"/>
  <c r="V35" i="19"/>
  <c r="V96" i="19"/>
  <c r="AG34" i="19"/>
  <c r="BL29" i="19"/>
  <c r="AE37" i="19"/>
  <c r="Y32" i="19"/>
  <c r="AQ32" i="19"/>
  <c r="N67" i="19"/>
  <c r="O84" i="19"/>
  <c r="T144" i="19"/>
  <c r="T114" i="19"/>
  <c r="S144" i="19"/>
  <c r="S114" i="19"/>
  <c r="N144" i="19"/>
  <c r="N114" i="19"/>
  <c r="O95" i="19"/>
  <c r="S89" i="19"/>
  <c r="Q59" i="19"/>
  <c r="Q144" i="19"/>
  <c r="Q114" i="19"/>
  <c r="N95" i="19"/>
  <c r="P59" i="19"/>
  <c r="P144" i="19"/>
  <c r="P114" i="19"/>
  <c r="M95" i="19"/>
  <c r="Q89" i="19"/>
  <c r="O59" i="19"/>
  <c r="O144" i="19"/>
  <c r="Q95" i="19"/>
  <c r="P89" i="19"/>
  <c r="M144" i="19"/>
  <c r="P95" i="19"/>
  <c r="O89" i="19"/>
  <c r="J144" i="19"/>
  <c r="J95" i="19"/>
  <c r="N89" i="19"/>
  <c r="W59" i="19"/>
  <c r="M89" i="19"/>
  <c r="J89" i="19"/>
  <c r="T59" i="19"/>
  <c r="W114" i="19"/>
  <c r="O114" i="19"/>
  <c r="Z10" i="19"/>
  <c r="T120" i="19" s="1"/>
  <c r="Z11" i="19"/>
  <c r="Z14" i="19"/>
  <c r="O124" i="19" s="1"/>
  <c r="W16" i="19"/>
  <c r="W34" i="19" s="1"/>
  <c r="W17" i="19"/>
  <c r="V91" i="19"/>
  <c r="V97" i="19"/>
  <c r="V73" i="19"/>
  <c r="V36" i="19"/>
  <c r="O129" i="19"/>
  <c r="O74" i="19"/>
  <c r="N129" i="19"/>
  <c r="M129" i="19"/>
  <c r="J129" i="19"/>
  <c r="M74" i="19"/>
  <c r="J74" i="19"/>
  <c r="W74" i="19"/>
  <c r="S129" i="19"/>
  <c r="N74" i="19"/>
  <c r="Q129" i="19"/>
  <c r="P129" i="19"/>
  <c r="S74" i="19"/>
  <c r="T129" i="19"/>
  <c r="M130" i="19"/>
  <c r="M75" i="19"/>
  <c r="W130" i="19"/>
  <c r="J130" i="19"/>
  <c r="P130" i="19"/>
  <c r="J75" i="19"/>
  <c r="Q130" i="19"/>
  <c r="W75" i="19"/>
  <c r="O130" i="19"/>
  <c r="P75" i="19"/>
  <c r="AX20" i="19"/>
  <c r="BA20" i="19" s="1"/>
  <c r="BD20" i="19" s="1"/>
  <c r="O75" i="19"/>
  <c r="N75" i="19"/>
  <c r="T130" i="19"/>
  <c r="S130" i="19"/>
  <c r="N130" i="19"/>
  <c r="T75" i="19"/>
  <c r="Q134" i="19"/>
  <c r="Q79" i="19"/>
  <c r="P134" i="19"/>
  <c r="O134" i="19"/>
  <c r="T134" i="19"/>
  <c r="N134" i="19"/>
  <c r="S79" i="19"/>
  <c r="M134" i="19"/>
  <c r="J134" i="19"/>
  <c r="P79" i="19"/>
  <c r="S134" i="19"/>
  <c r="AO24" i="19"/>
  <c r="AR24" i="19" s="1"/>
  <c r="AU24" i="19" s="1"/>
  <c r="O79" i="19"/>
  <c r="AX24" i="19"/>
  <c r="BA24" i="19" s="1"/>
  <c r="BD24" i="19" s="1"/>
  <c r="N79" i="19"/>
  <c r="BG24" i="19"/>
  <c r="BJ24" i="19" s="1"/>
  <c r="BM24" i="19" s="1"/>
  <c r="M79" i="19"/>
  <c r="J79" i="19"/>
  <c r="AO25" i="19"/>
  <c r="AR25" i="19" s="1"/>
  <c r="AU25" i="19" s="1"/>
  <c r="N136" i="19"/>
  <c r="BE28" i="19"/>
  <c r="BE34" i="19" s="1"/>
  <c r="Z29" i="19"/>
  <c r="Q139" i="19" s="1"/>
  <c r="AO29" i="19"/>
  <c r="AW36" i="19"/>
  <c r="BJ30" i="19"/>
  <c r="AS37" i="19"/>
  <c r="BE31" i="19"/>
  <c r="BE37" i="19" s="1"/>
  <c r="AR32" i="19"/>
  <c r="AA34" i="19"/>
  <c r="AA46" i="19" s="1"/>
  <c r="AW37" i="19"/>
  <c r="O67" i="19"/>
  <c r="T74" i="19"/>
  <c r="T79" i="19"/>
  <c r="P84" i="19"/>
  <c r="T89" i="19"/>
  <c r="S95" i="19"/>
  <c r="W134" i="19"/>
  <c r="O147" i="19"/>
  <c r="O117" i="19"/>
  <c r="O98" i="19"/>
  <c r="O92" i="19"/>
  <c r="O62" i="19"/>
  <c r="N147" i="19"/>
  <c r="N117" i="19"/>
  <c r="N98" i="19"/>
  <c r="M147" i="19"/>
  <c r="M117" i="19"/>
  <c r="Q147" i="19"/>
  <c r="Q117" i="19"/>
  <c r="M98" i="19"/>
  <c r="Q92" i="19"/>
  <c r="M62" i="19"/>
  <c r="P147" i="19"/>
  <c r="P117" i="19"/>
  <c r="J98" i="19"/>
  <c r="P92" i="19"/>
  <c r="J62" i="19"/>
  <c r="J147" i="19"/>
  <c r="J117" i="19"/>
  <c r="N92" i="19"/>
  <c r="W62" i="19"/>
  <c r="T117" i="19"/>
  <c r="P98" i="19"/>
  <c r="S62" i="19"/>
  <c r="S117" i="19"/>
  <c r="Q62" i="19"/>
  <c r="T92" i="19"/>
  <c r="P62" i="19"/>
  <c r="T147" i="19"/>
  <c r="S92" i="19"/>
  <c r="N62" i="19"/>
  <c r="S147" i="19"/>
  <c r="T98" i="19"/>
  <c r="M92" i="19"/>
  <c r="Q98" i="19"/>
  <c r="BG10" i="19"/>
  <c r="BJ10" i="19" s="1"/>
  <c r="BM10" i="19" s="1"/>
  <c r="BG11" i="19"/>
  <c r="BJ11" i="19" s="1"/>
  <c r="BM11" i="19" s="1"/>
  <c r="Z12" i="19"/>
  <c r="S122" i="19" s="1"/>
  <c r="BG12" i="19"/>
  <c r="BJ12" i="19" s="1"/>
  <c r="BM12" i="19" s="1"/>
  <c r="X123" i="19"/>
  <c r="R123" i="19"/>
  <c r="V123" i="19"/>
  <c r="X34" i="19"/>
  <c r="X89" i="19"/>
  <c r="X71" i="19"/>
  <c r="BF16" i="19"/>
  <c r="BI16" i="19" s="1"/>
  <c r="BL16" i="19" s="1"/>
  <c r="X96" i="19"/>
  <c r="AY17" i="19"/>
  <c r="BB17" i="19" s="1"/>
  <c r="BE17" i="19" s="1"/>
  <c r="W18" i="19"/>
  <c r="W91" i="19" s="1"/>
  <c r="T132" i="19"/>
  <c r="S132" i="19"/>
  <c r="N132" i="19"/>
  <c r="W132" i="19"/>
  <c r="T77" i="19"/>
  <c r="S77" i="19"/>
  <c r="P132" i="19"/>
  <c r="O77" i="19"/>
  <c r="O132" i="19"/>
  <c r="N77" i="19"/>
  <c r="M132" i="19"/>
  <c r="M77" i="19"/>
  <c r="J132" i="19"/>
  <c r="J77" i="19"/>
  <c r="Q132" i="19"/>
  <c r="AH22" i="19"/>
  <c r="AK22" i="19" s="1"/>
  <c r="AK34" i="19" s="1"/>
  <c r="AS22" i="19"/>
  <c r="AV22" i="19" s="1"/>
  <c r="AV34" i="19" s="1"/>
  <c r="AT28" i="19"/>
  <c r="BI28" i="19"/>
  <c r="BK30" i="19"/>
  <c r="AH37" i="19"/>
  <c r="AT31" i="19"/>
  <c r="AT37" i="19" s="1"/>
  <c r="BF37" i="19"/>
  <c r="BI31" i="19"/>
  <c r="AS32" i="19"/>
  <c r="M66" i="19"/>
  <c r="J92" i="19"/>
  <c r="T95" i="19"/>
  <c r="J123" i="19"/>
  <c r="J81" i="19"/>
  <c r="S85" i="19"/>
  <c r="P123" i="19"/>
  <c r="O133" i="19"/>
  <c r="Q123" i="19"/>
  <c r="P133" i="19"/>
  <c r="S123" i="19"/>
  <c r="T133" i="19"/>
  <c r="J78" i="19"/>
  <c r="S81" i="19"/>
  <c r="Q85" i="19"/>
  <c r="J85" i="19"/>
  <c r="W85" i="19"/>
  <c r="M78" i="19"/>
  <c r="T81" i="19"/>
  <c r="M136" i="19"/>
  <c r="M81" i="19"/>
  <c r="W136" i="19"/>
  <c r="J136" i="19"/>
  <c r="P136" i="19"/>
  <c r="Q81" i="19"/>
  <c r="P81" i="19"/>
  <c r="T136" i="19"/>
  <c r="O81" i="19"/>
  <c r="AP37" i="19"/>
  <c r="BI32" i="19"/>
  <c r="M85" i="19"/>
  <c r="O136" i="19"/>
  <c r="O123" i="19"/>
  <c r="O68" i="19"/>
  <c r="N123" i="19"/>
  <c r="M123" i="19"/>
  <c r="W123" i="19"/>
  <c r="S68" i="19"/>
  <c r="T123" i="19"/>
  <c r="Q68" i="19"/>
  <c r="S133" i="19"/>
  <c r="S78" i="19"/>
  <c r="Q133" i="19"/>
  <c r="W133" i="19"/>
  <c r="J133" i="19"/>
  <c r="T78" i="19"/>
  <c r="Q78" i="19"/>
  <c r="Z30" i="19"/>
  <c r="W140" i="19" s="1"/>
  <c r="AG37" i="19"/>
  <c r="BK31" i="19"/>
  <c r="M68" i="19"/>
  <c r="O78" i="19"/>
  <c r="W81" i="19"/>
  <c r="N85" i="19"/>
  <c r="Q136" i="19"/>
  <c r="AC83" i="9"/>
  <c r="K77" i="9"/>
  <c r="Z83" i="9"/>
  <c r="T77" i="9"/>
  <c r="AC86" i="9"/>
  <c r="AV22" i="9"/>
  <c r="AY22" i="9" s="1"/>
  <c r="AC67" i="9"/>
  <c r="AU18" i="9"/>
  <c r="AX18" i="9" s="1"/>
  <c r="AX36" i="9" s="1"/>
  <c r="K65" i="9"/>
  <c r="AV7" i="9"/>
  <c r="Z93" i="9" s="1"/>
  <c r="T65" i="9"/>
  <c r="AT84" i="9"/>
  <c r="Z75" i="9"/>
  <c r="K50" i="9"/>
  <c r="K53" i="9"/>
  <c r="K75" i="9"/>
  <c r="T53" i="9"/>
  <c r="AS65" i="9"/>
  <c r="AV23" i="9"/>
  <c r="AI109" i="9" s="1"/>
  <c r="AW17" i="9"/>
  <c r="AZ17" i="9" s="1"/>
  <c r="W50" i="9"/>
  <c r="AL69" i="9"/>
  <c r="Z100" i="9"/>
  <c r="AR85" i="9"/>
  <c r="AR61" i="9"/>
  <c r="AR36" i="9"/>
  <c r="AS18" i="9"/>
  <c r="AR87" i="9"/>
  <c r="AR81" i="9"/>
  <c r="AR38" i="9"/>
  <c r="AR51" i="9"/>
  <c r="AR48" i="9"/>
  <c r="AU34" i="9"/>
  <c r="AS8" i="9"/>
  <c r="AT87" i="9"/>
  <c r="AT81" i="9"/>
  <c r="AT51" i="9"/>
  <c r="AT38" i="9"/>
  <c r="AW8" i="9"/>
  <c r="AZ8" i="9" s="1"/>
  <c r="AU8" i="9"/>
  <c r="AX8" i="9" s="1"/>
  <c r="AS5" i="9"/>
  <c r="Z56" i="9"/>
  <c r="AC56" i="9"/>
  <c r="W56" i="9"/>
  <c r="T56" i="9"/>
  <c r="AF56" i="9"/>
  <c r="K56" i="9"/>
  <c r="AL56" i="9"/>
  <c r="AV13" i="9"/>
  <c r="AS99" i="9" s="1"/>
  <c r="AO56" i="9"/>
  <c r="T63" i="9"/>
  <c r="AO63" i="9"/>
  <c r="AL63" i="9"/>
  <c r="AF63" i="9"/>
  <c r="AC63" i="9"/>
  <c r="Z63" i="9"/>
  <c r="W63" i="9"/>
  <c r="AS63" i="9"/>
  <c r="K63" i="9"/>
  <c r="AT48" i="9"/>
  <c r="AF85" i="9"/>
  <c r="AF79" i="9"/>
  <c r="AF49" i="9"/>
  <c r="AC85" i="9"/>
  <c r="W79" i="9"/>
  <c r="AS49" i="9"/>
  <c r="T79" i="9"/>
  <c r="AO85" i="9"/>
  <c r="K79" i="9"/>
  <c r="AO49" i="9"/>
  <c r="AL85" i="9"/>
  <c r="AC49" i="9"/>
  <c r="AC79" i="9"/>
  <c r="Z49" i="9"/>
  <c r="Z85" i="9"/>
  <c r="Z79" i="9"/>
  <c r="W49" i="9"/>
  <c r="W85" i="9"/>
  <c r="T85" i="9"/>
  <c r="K49" i="9"/>
  <c r="K85" i="9"/>
  <c r="AL79" i="9"/>
  <c r="AL49" i="9"/>
  <c r="AV6" i="9"/>
  <c r="AF92" i="9" s="1"/>
  <c r="T49" i="9"/>
  <c r="AO79" i="9"/>
  <c r="Z74" i="9"/>
  <c r="AS86" i="9"/>
  <c r="AL74" i="9"/>
  <c r="AS80" i="9"/>
  <c r="AF74" i="9"/>
  <c r="AO74" i="9"/>
  <c r="AC74" i="9"/>
  <c r="W74" i="9"/>
  <c r="AS74" i="9"/>
  <c r="AS37" i="9"/>
  <c r="AV31" i="9"/>
  <c r="AO117" i="9" s="1"/>
  <c r="K74" i="9"/>
  <c r="AT100" i="9"/>
  <c r="AR100" i="9"/>
  <c r="AI100" i="9"/>
  <c r="AY14" i="9"/>
  <c r="AV20" i="9"/>
  <c r="AF106" i="9" s="1"/>
  <c r="AX31" i="9"/>
  <c r="AX37" i="9" s="1"/>
  <c r="AU37" i="9"/>
  <c r="T74" i="9"/>
  <c r="AU5" i="9"/>
  <c r="AX5" i="9" s="1"/>
  <c r="AL54" i="9"/>
  <c r="AF54" i="9"/>
  <c r="AC54" i="9"/>
  <c r="Z54" i="9"/>
  <c r="AO97" i="9"/>
  <c r="AS54" i="9"/>
  <c r="AO54" i="9"/>
  <c r="T54" i="9"/>
  <c r="K54" i="9"/>
  <c r="W54" i="9"/>
  <c r="AT111" i="9"/>
  <c r="AR111" i="9"/>
  <c r="AY25" i="9"/>
  <c r="AW5" i="9"/>
  <c r="AT98" i="9"/>
  <c r="AY12" i="9"/>
  <c r="AI98" i="9"/>
  <c r="AR83" i="9"/>
  <c r="AR77" i="9"/>
  <c r="AR59" i="9"/>
  <c r="AR34" i="9"/>
  <c r="AS16" i="9"/>
  <c r="AR108" i="9"/>
  <c r="AY24" i="9"/>
  <c r="AL72" i="9"/>
  <c r="AO72" i="9"/>
  <c r="AF72" i="9"/>
  <c r="AV29" i="9"/>
  <c r="W115" i="9" s="1"/>
  <c r="AC72" i="9"/>
  <c r="Z72" i="9"/>
  <c r="W72" i="9"/>
  <c r="T72" i="9"/>
  <c r="AS72" i="9"/>
  <c r="K72" i="9"/>
  <c r="AF67" i="9"/>
  <c r="Z67" i="9"/>
  <c r="W67" i="9"/>
  <c r="T67" i="9"/>
  <c r="W110" i="9"/>
  <c r="AS67" i="9"/>
  <c r="AO67" i="9"/>
  <c r="Z111" i="9"/>
  <c r="Z68" i="9"/>
  <c r="W111" i="9"/>
  <c r="T111" i="9"/>
  <c r="AC111" i="9"/>
  <c r="W68" i="9"/>
  <c r="K111" i="9"/>
  <c r="T68" i="9"/>
  <c r="K68" i="9"/>
  <c r="AC68" i="9"/>
  <c r="AS111" i="9"/>
  <c r="AS68" i="9"/>
  <c r="AO111" i="9"/>
  <c r="AL111" i="9"/>
  <c r="AF68" i="9"/>
  <c r="AT34" i="9"/>
  <c r="K67" i="9"/>
  <c r="T86" i="9"/>
  <c r="AF55" i="9"/>
  <c r="Z98" i="9"/>
  <c r="T98" i="9"/>
  <c r="AC55" i="9"/>
  <c r="K98" i="9"/>
  <c r="Z55" i="9"/>
  <c r="W55" i="9"/>
  <c r="K55" i="9"/>
  <c r="AS55" i="9"/>
  <c r="W98" i="9"/>
  <c r="T55" i="9"/>
  <c r="W53" i="9"/>
  <c r="AL67" i="9"/>
  <c r="AF77" i="9"/>
  <c r="W80" i="9"/>
  <c r="AF83" i="9"/>
  <c r="AF111" i="9"/>
  <c r="AT83" i="9"/>
  <c r="AT59" i="9"/>
  <c r="AT77" i="9"/>
  <c r="AT79" i="9"/>
  <c r="AT85" i="9"/>
  <c r="AZ31" i="9"/>
  <c r="AZ37" i="9" s="1"/>
  <c r="AW37" i="9"/>
  <c r="AS71" i="9"/>
  <c r="K71" i="9"/>
  <c r="AO71" i="9"/>
  <c r="AF71" i="9"/>
  <c r="AC71" i="9"/>
  <c r="Z71" i="9"/>
  <c r="W71" i="9"/>
  <c r="T71" i="9"/>
  <c r="AL55" i="9"/>
  <c r="K66" i="9"/>
  <c r="AC47" i="9"/>
  <c r="AO55" i="9"/>
  <c r="AS57" i="9"/>
  <c r="AF73" i="9"/>
  <c r="AO73" i="9"/>
  <c r="AL73" i="9"/>
  <c r="AC73" i="9"/>
  <c r="Z73" i="9"/>
  <c r="W73" i="9"/>
  <c r="T73" i="9"/>
  <c r="AL38" i="9"/>
  <c r="AL44" i="9" s="1"/>
  <c r="AU32" i="9"/>
  <c r="AL75" i="9"/>
  <c r="AR84" i="9"/>
  <c r="AR60" i="9"/>
  <c r="AR35" i="9"/>
  <c r="AW18" i="9"/>
  <c r="AZ18" i="9" s="1"/>
  <c r="AZ36" i="9" s="1"/>
  <c r="T69" i="9"/>
  <c r="W69" i="9"/>
  <c r="K69" i="9"/>
  <c r="AS69" i="9"/>
  <c r="AF69" i="9"/>
  <c r="AC69" i="9"/>
  <c r="Z69" i="9"/>
  <c r="AV28" i="9"/>
  <c r="Z114" i="9" s="1"/>
  <c r="AL68" i="9"/>
  <c r="AL71" i="9"/>
  <c r="AX34" i="9"/>
  <c r="AW16" i="9"/>
  <c r="AZ16" i="9" s="1"/>
  <c r="K83" i="9"/>
  <c r="AC77" i="9"/>
  <c r="W47" i="9"/>
  <c r="Z77" i="9"/>
  <c r="T47" i="9"/>
  <c r="AO83" i="9"/>
  <c r="W77" i="9"/>
  <c r="AS47" i="9"/>
  <c r="K47" i="9"/>
  <c r="T83" i="9"/>
  <c r="AO77" i="9"/>
  <c r="AL83" i="9"/>
  <c r="AL77" i="9"/>
  <c r="AO47" i="9"/>
  <c r="W83" i="9"/>
  <c r="Z47" i="9"/>
  <c r="AS17" i="9"/>
  <c r="AV30" i="9"/>
  <c r="AF116" i="9" s="1"/>
  <c r="AW32" i="9"/>
  <c r="AT36" i="9"/>
  <c r="AO68" i="9"/>
  <c r="AS73" i="9"/>
  <c r="AR78" i="9"/>
  <c r="AL53" i="9"/>
  <c r="AF53" i="9"/>
  <c r="AS53" i="9"/>
  <c r="AO53" i="9"/>
  <c r="AC53" i="9"/>
  <c r="Z62" i="9"/>
  <c r="AO62" i="9"/>
  <c r="AL62" i="9"/>
  <c r="AF62" i="9"/>
  <c r="AC62" i="9"/>
  <c r="W62" i="9"/>
  <c r="T62" i="9"/>
  <c r="K62" i="9"/>
  <c r="Z86" i="9"/>
  <c r="Z80" i="9"/>
  <c r="Z50" i="9"/>
  <c r="W86" i="9"/>
  <c r="T80" i="9"/>
  <c r="K80" i="9"/>
  <c r="AO50" i="9"/>
  <c r="AO86" i="9"/>
  <c r="AL50" i="9"/>
  <c r="AO80" i="9"/>
  <c r="AL80" i="9"/>
  <c r="AF50" i="9"/>
  <c r="AC50" i="9"/>
  <c r="AL86" i="9"/>
  <c r="AF80" i="9"/>
  <c r="AC80" i="9"/>
  <c r="T50" i="9"/>
  <c r="AF86" i="9"/>
  <c r="AV10" i="9"/>
  <c r="K96" i="9" s="1"/>
  <c r="T100" i="9"/>
  <c r="T57" i="9"/>
  <c r="AS100" i="9"/>
  <c r="K100" i="9"/>
  <c r="AC100" i="9"/>
  <c r="Z57" i="9"/>
  <c r="AO100" i="9"/>
  <c r="W57" i="9"/>
  <c r="AL100" i="9"/>
  <c r="K57" i="9"/>
  <c r="AF100" i="9"/>
  <c r="AO57" i="9"/>
  <c r="AL57" i="9"/>
  <c r="AF57" i="9"/>
  <c r="AC57" i="9"/>
  <c r="W100" i="9"/>
  <c r="AT60" i="9"/>
  <c r="AT35" i="9"/>
  <c r="AT78" i="9"/>
  <c r="AV19" i="9"/>
  <c r="AL66" i="9"/>
  <c r="AC66" i="9"/>
  <c r="Z66" i="9"/>
  <c r="W66" i="9"/>
  <c r="AS66" i="9"/>
  <c r="AO66" i="9"/>
  <c r="AF66" i="9"/>
  <c r="AV26" i="9"/>
  <c r="T112" i="9" s="1"/>
  <c r="AZ28" i="9"/>
  <c r="AL47" i="9"/>
  <c r="AT61" i="9"/>
  <c r="K86" i="9"/>
  <c r="W65" i="9"/>
  <c r="Z65" i="9"/>
  <c r="T75" i="9"/>
  <c r="AF75" i="9"/>
  <c r="AC75" i="9"/>
  <c r="AO75" i="9"/>
  <c r="AF65" i="9"/>
  <c r="AC65" i="9"/>
  <c r="AV32" i="9"/>
  <c r="Z118" i="9" s="1"/>
  <c r="AO65" i="9"/>
  <c r="AS75" i="9"/>
  <c r="F67" i="7"/>
  <c r="C67" i="7"/>
  <c r="F66" i="7"/>
  <c r="C66" i="7"/>
  <c r="F65" i="7"/>
  <c r="C65" i="7"/>
  <c r="F64" i="7"/>
  <c r="C64" i="7"/>
  <c r="F63" i="7"/>
  <c r="C63" i="7"/>
  <c r="F61" i="7"/>
  <c r="C61" i="7"/>
  <c r="F60" i="7"/>
  <c r="C60" i="7"/>
  <c r="F59" i="7"/>
  <c r="C59" i="7"/>
  <c r="F58" i="7"/>
  <c r="C58" i="7"/>
  <c r="F57" i="7"/>
  <c r="C57" i="7"/>
  <c r="F55" i="7"/>
  <c r="C55" i="7"/>
  <c r="F54" i="7"/>
  <c r="C54" i="7"/>
  <c r="F53" i="7"/>
  <c r="C53" i="7"/>
  <c r="F52" i="7"/>
  <c r="C52" i="7"/>
  <c r="F51" i="7"/>
  <c r="C51" i="7"/>
  <c r="F49" i="7"/>
  <c r="C49" i="7"/>
  <c r="F48" i="7"/>
  <c r="C48" i="7"/>
  <c r="F47" i="7"/>
  <c r="C47" i="7"/>
  <c r="F46" i="7"/>
  <c r="C46" i="7"/>
  <c r="F45" i="7"/>
  <c r="C45" i="7"/>
  <c r="C40" i="7"/>
  <c r="F40" i="7"/>
  <c r="C41" i="7"/>
  <c r="F41" i="7"/>
  <c r="C42" i="7"/>
  <c r="F42" i="7"/>
  <c r="C43" i="7"/>
  <c r="F43" i="7"/>
  <c r="F39" i="7"/>
  <c r="C39" i="7"/>
  <c r="J78" i="2"/>
  <c r="M78" i="2"/>
  <c r="N78" i="2"/>
  <c r="O78" i="2"/>
  <c r="P78" i="2"/>
  <c r="Q78" i="2"/>
  <c r="R78" i="2"/>
  <c r="S78" i="2"/>
  <c r="T78" i="2"/>
  <c r="V78" i="2"/>
  <c r="W78" i="2"/>
  <c r="X78" i="2"/>
  <c r="J79" i="2"/>
  <c r="M79" i="2"/>
  <c r="N79" i="2"/>
  <c r="O79" i="2"/>
  <c r="P79" i="2"/>
  <c r="Q79" i="2"/>
  <c r="R79" i="2"/>
  <c r="S79" i="2"/>
  <c r="T79" i="2"/>
  <c r="V79" i="2"/>
  <c r="W79" i="2"/>
  <c r="X79" i="2"/>
  <c r="J80" i="2"/>
  <c r="M80" i="2"/>
  <c r="N80" i="2"/>
  <c r="O80" i="2"/>
  <c r="P80" i="2"/>
  <c r="Q80" i="2"/>
  <c r="R80" i="2"/>
  <c r="S80" i="2"/>
  <c r="T80" i="2"/>
  <c r="V80" i="2"/>
  <c r="W80" i="2"/>
  <c r="X80" i="2"/>
  <c r="J81" i="2"/>
  <c r="M81" i="2"/>
  <c r="N81" i="2"/>
  <c r="O81" i="2"/>
  <c r="P81" i="2"/>
  <c r="Q81" i="2"/>
  <c r="R81" i="2"/>
  <c r="S81" i="2"/>
  <c r="T81" i="2"/>
  <c r="V81" i="2"/>
  <c r="W81" i="2"/>
  <c r="X81" i="2"/>
  <c r="X77" i="2"/>
  <c r="W77" i="2"/>
  <c r="V77" i="2"/>
  <c r="S77" i="2"/>
  <c r="T77" i="2"/>
  <c r="R77" i="2"/>
  <c r="Q77" i="2"/>
  <c r="P77" i="2"/>
  <c r="O77" i="2"/>
  <c r="N77" i="2"/>
  <c r="M77" i="2"/>
  <c r="J77" i="2"/>
  <c r="J83" i="2"/>
  <c r="X86" i="2"/>
  <c r="V86" i="2"/>
  <c r="R84" i="2"/>
  <c r="R85" i="2"/>
  <c r="R86" i="2"/>
  <c r="R87" i="2"/>
  <c r="R83" i="2"/>
  <c r="J42" i="2"/>
  <c r="X75" i="2"/>
  <c r="V75" i="2"/>
  <c r="X74" i="2"/>
  <c r="V74" i="2"/>
  <c r="X73" i="2"/>
  <c r="V73" i="2"/>
  <c r="X72" i="2"/>
  <c r="V72" i="2"/>
  <c r="X71" i="2"/>
  <c r="V71" i="2"/>
  <c r="X69" i="2"/>
  <c r="V69" i="2"/>
  <c r="X68" i="2"/>
  <c r="V68" i="2"/>
  <c r="X67" i="2"/>
  <c r="V67" i="2"/>
  <c r="X66" i="2"/>
  <c r="V66" i="2"/>
  <c r="X65" i="2"/>
  <c r="V65" i="2"/>
  <c r="X63" i="2"/>
  <c r="V63" i="2"/>
  <c r="X62" i="2"/>
  <c r="V62" i="2"/>
  <c r="X57" i="2"/>
  <c r="V57" i="2"/>
  <c r="X56" i="2"/>
  <c r="V56" i="2"/>
  <c r="X55" i="2"/>
  <c r="V55" i="2"/>
  <c r="X54" i="2"/>
  <c r="V54" i="2"/>
  <c r="X53" i="2"/>
  <c r="V53" i="2"/>
  <c r="V49" i="2"/>
  <c r="X49" i="2"/>
  <c r="V50" i="2"/>
  <c r="X50" i="2"/>
  <c r="X47" i="2"/>
  <c r="V47" i="2"/>
  <c r="R75" i="2"/>
  <c r="R74" i="2"/>
  <c r="R73" i="2"/>
  <c r="R72" i="2"/>
  <c r="R71" i="2"/>
  <c r="R69" i="2"/>
  <c r="R68" i="2"/>
  <c r="R67" i="2"/>
  <c r="R66" i="2"/>
  <c r="R65" i="2"/>
  <c r="R63" i="2"/>
  <c r="R62" i="2"/>
  <c r="R61" i="2"/>
  <c r="R60" i="2"/>
  <c r="R59" i="2"/>
  <c r="R57" i="2"/>
  <c r="R56" i="2"/>
  <c r="R55" i="2"/>
  <c r="R54" i="2"/>
  <c r="R53" i="2"/>
  <c r="R48" i="2"/>
  <c r="R49" i="2"/>
  <c r="R50" i="2"/>
  <c r="R51" i="2"/>
  <c r="R47" i="2"/>
  <c r="U34" i="2"/>
  <c r="U40" i="2" s="1"/>
  <c r="O38" i="2"/>
  <c r="O44" i="2" s="1"/>
  <c r="O37" i="2"/>
  <c r="O43" i="2" s="1"/>
  <c r="O36" i="2"/>
  <c r="O42" i="2" s="1"/>
  <c r="O35" i="2"/>
  <c r="O41" i="2" s="1"/>
  <c r="O34" i="2"/>
  <c r="O40" i="2" s="1"/>
  <c r="J38" i="2"/>
  <c r="J44" i="2" s="1"/>
  <c r="J37" i="2"/>
  <c r="J43" i="2" s="1"/>
  <c r="J36" i="2"/>
  <c r="J35" i="2"/>
  <c r="J41" i="2" s="1"/>
  <c r="J34" i="2"/>
  <c r="J40" i="2" s="1"/>
  <c r="K38" i="2"/>
  <c r="K44" i="2" s="1"/>
  <c r="K37" i="2"/>
  <c r="K43" i="2" s="1"/>
  <c r="K36" i="2"/>
  <c r="K42" i="2" s="1"/>
  <c r="K35" i="2"/>
  <c r="K41" i="2" s="1"/>
  <c r="K34" i="2"/>
  <c r="K40" i="2" s="1"/>
  <c r="L38" i="2"/>
  <c r="L44" i="2" s="1"/>
  <c r="L37" i="2"/>
  <c r="L43" i="2" s="1"/>
  <c r="L36" i="2"/>
  <c r="L42" i="2" s="1"/>
  <c r="L35" i="2"/>
  <c r="L41" i="2" s="1"/>
  <c r="L34" i="2"/>
  <c r="L40" i="2" s="1"/>
  <c r="M38" i="2"/>
  <c r="M44" i="2" s="1"/>
  <c r="M37" i="2"/>
  <c r="M43" i="2" s="1"/>
  <c r="M36" i="2"/>
  <c r="M42" i="2" s="1"/>
  <c r="M35" i="2"/>
  <c r="M41" i="2" s="1"/>
  <c r="M34" i="2"/>
  <c r="M40" i="2" s="1"/>
  <c r="N38" i="2"/>
  <c r="N44" i="2" s="1"/>
  <c r="N37" i="2"/>
  <c r="N43" i="2" s="1"/>
  <c r="N36" i="2"/>
  <c r="N42" i="2" s="1"/>
  <c r="N35" i="2"/>
  <c r="N41" i="2" s="1"/>
  <c r="N34" i="2"/>
  <c r="N40" i="2" s="1"/>
  <c r="P38" i="2"/>
  <c r="P44" i="2" s="1"/>
  <c r="P37" i="2"/>
  <c r="P43" i="2" s="1"/>
  <c r="P36" i="2"/>
  <c r="P42" i="2" s="1"/>
  <c r="P35" i="2"/>
  <c r="P41" i="2" s="1"/>
  <c r="P34" i="2"/>
  <c r="P40" i="2" s="1"/>
  <c r="Q38" i="2"/>
  <c r="Q44" i="2" s="1"/>
  <c r="Q37" i="2"/>
  <c r="Q43" i="2" s="1"/>
  <c r="Q36" i="2"/>
  <c r="Q42" i="2" s="1"/>
  <c r="Q35" i="2"/>
  <c r="Q41" i="2" s="1"/>
  <c r="Q34" i="2"/>
  <c r="Q40" i="2" s="1"/>
  <c r="R38" i="2"/>
  <c r="R44" i="2" s="1"/>
  <c r="R37" i="2"/>
  <c r="R43" i="2" s="1"/>
  <c r="R36" i="2"/>
  <c r="R42" i="2" s="1"/>
  <c r="R35" i="2"/>
  <c r="R41" i="2" s="1"/>
  <c r="R34" i="2"/>
  <c r="R40" i="2" s="1"/>
  <c r="S37" i="2"/>
  <c r="S43" i="2" s="1"/>
  <c r="S36" i="2"/>
  <c r="S42" i="2" s="1"/>
  <c r="S35" i="2"/>
  <c r="S41" i="2" s="1"/>
  <c r="S34" i="2"/>
  <c r="S40" i="2" s="1"/>
  <c r="T38" i="2"/>
  <c r="T44" i="2" s="1"/>
  <c r="T37" i="2"/>
  <c r="T43" i="2" s="1"/>
  <c r="T36" i="2"/>
  <c r="T42" i="2" s="1"/>
  <c r="T35" i="2"/>
  <c r="T41" i="2" s="1"/>
  <c r="T34" i="2"/>
  <c r="T40" i="2" s="1"/>
  <c r="U38" i="2"/>
  <c r="U44" i="2" s="1"/>
  <c r="U37" i="2"/>
  <c r="U43" i="2" s="1"/>
  <c r="U36" i="2"/>
  <c r="U42" i="2" s="1"/>
  <c r="U35" i="2"/>
  <c r="U41" i="2" s="1"/>
  <c r="X37" i="2"/>
  <c r="V37" i="2"/>
  <c r="AZ34" i="9" l="1"/>
  <c r="T97" i="9"/>
  <c r="K97" i="9"/>
  <c r="AR97" i="9"/>
  <c r="AS97" i="9"/>
  <c r="AT97" i="9"/>
  <c r="W97" i="9"/>
  <c r="AF97" i="9"/>
  <c r="AI97" i="9"/>
  <c r="Z97" i="9"/>
  <c r="AL97" i="9"/>
  <c r="AC97" i="9"/>
  <c r="T110" i="9"/>
  <c r="AF110" i="9"/>
  <c r="DE38" i="9"/>
  <c r="DH38" i="9" s="1"/>
  <c r="CV38" i="9"/>
  <c r="CP38" i="9"/>
  <c r="DB38" i="9"/>
  <c r="BF38" i="9"/>
  <c r="CD38" i="9"/>
  <c r="BR38" i="9"/>
  <c r="BX38" i="9"/>
  <c r="BL38" i="9"/>
  <c r="CJ38" i="9"/>
  <c r="AS93" i="9"/>
  <c r="Z90" i="9"/>
  <c r="CT35" i="9"/>
  <c r="CH35" i="9"/>
  <c r="BV35" i="9"/>
  <c r="DC35" i="9"/>
  <c r="DF35" i="9" s="1"/>
  <c r="CZ35" i="9"/>
  <c r="BJ35" i="9"/>
  <c r="BD35" i="9"/>
  <c r="CB35" i="9"/>
  <c r="CN35" i="9"/>
  <c r="BP35" i="9"/>
  <c r="AO98" i="9"/>
  <c r="AR110" i="9"/>
  <c r="AR98" i="9"/>
  <c r="AS36" i="9"/>
  <c r="CI18" i="9"/>
  <c r="CU18" i="9"/>
  <c r="DG18" i="9"/>
  <c r="BQ18" i="9"/>
  <c r="DA18" i="9"/>
  <c r="CC18" i="9"/>
  <c r="BE18" i="9"/>
  <c r="BK18" i="9"/>
  <c r="CO18" i="9"/>
  <c r="BW18" i="9"/>
  <c r="AS110" i="9"/>
  <c r="K90" i="9"/>
  <c r="AT110" i="9"/>
  <c r="AS81" i="9"/>
  <c r="CC8" i="9"/>
  <c r="DG8" i="9"/>
  <c r="CO8" i="9"/>
  <c r="BK8" i="9"/>
  <c r="CU8" i="9"/>
  <c r="BW8" i="9"/>
  <c r="BE8" i="9"/>
  <c r="CI8" i="9"/>
  <c r="BQ8" i="9"/>
  <c r="DA8" i="9"/>
  <c r="DE36" i="9"/>
  <c r="DH36" i="9" s="1"/>
  <c r="CJ36" i="9"/>
  <c r="CV36" i="9"/>
  <c r="BX36" i="9"/>
  <c r="BR36" i="9"/>
  <c r="DB36" i="9"/>
  <c r="BL36" i="9"/>
  <c r="CD36" i="9"/>
  <c r="BF36" i="9"/>
  <c r="CP36" i="9"/>
  <c r="K120" i="9"/>
  <c r="W90" i="9"/>
  <c r="AS98" i="9"/>
  <c r="AC98" i="9"/>
  <c r="AO110" i="9"/>
  <c r="AS120" i="9"/>
  <c r="CI16" i="9"/>
  <c r="CU16" i="9"/>
  <c r="CO16" i="9"/>
  <c r="BK16" i="9"/>
  <c r="DG16" i="9"/>
  <c r="DA16" i="9"/>
  <c r="BQ16" i="9"/>
  <c r="BW16" i="9"/>
  <c r="CC16" i="9"/>
  <c r="BE16" i="9"/>
  <c r="AT120" i="9"/>
  <c r="DB34" i="9"/>
  <c r="CP34" i="9"/>
  <c r="CJ34" i="9"/>
  <c r="CD34" i="9"/>
  <c r="CV34" i="9"/>
  <c r="BF34" i="9"/>
  <c r="BL34" i="9"/>
  <c r="DE34" i="9"/>
  <c r="DH34" i="9" s="1"/>
  <c r="BX34" i="9"/>
  <c r="BR34" i="9"/>
  <c r="DC36" i="9"/>
  <c r="DF36" i="9" s="1"/>
  <c r="CH36" i="9"/>
  <c r="CZ36" i="9"/>
  <c r="CN36" i="9"/>
  <c r="BV36" i="9"/>
  <c r="BP36" i="9"/>
  <c r="CB36" i="9"/>
  <c r="BJ36" i="9"/>
  <c r="BD36" i="9"/>
  <c r="CT36" i="9"/>
  <c r="AF90" i="9"/>
  <c r="AC120" i="9"/>
  <c r="AL120" i="9"/>
  <c r="AF98" i="9"/>
  <c r="Z110" i="9"/>
  <c r="CT34" i="9"/>
  <c r="DC34" i="9"/>
  <c r="DF34" i="9" s="1"/>
  <c r="BV34" i="9"/>
  <c r="BP34" i="9"/>
  <c r="CB34" i="9"/>
  <c r="CN34" i="9"/>
  <c r="CZ34" i="9"/>
  <c r="CH34" i="9"/>
  <c r="AI90" i="9"/>
  <c r="BW5" i="9"/>
  <c r="CO5" i="9"/>
  <c r="DA5" i="9"/>
  <c r="CI5" i="9"/>
  <c r="DG5" i="9"/>
  <c r="BQ5" i="9"/>
  <c r="CC5" i="9"/>
  <c r="CU5" i="9"/>
  <c r="BE5" i="9"/>
  <c r="BK5" i="9"/>
  <c r="AS78" i="9"/>
  <c r="CO17" i="9"/>
  <c r="DA17" i="9"/>
  <c r="CU17" i="9"/>
  <c r="CC17" i="9"/>
  <c r="BW17" i="9"/>
  <c r="BQ17" i="9"/>
  <c r="BE17" i="9"/>
  <c r="BK17" i="9"/>
  <c r="DG17" i="9"/>
  <c r="CI17" i="9"/>
  <c r="AF120" i="9"/>
  <c r="T90" i="9"/>
  <c r="AO90" i="9"/>
  <c r="AL110" i="9"/>
  <c r="AC110" i="9"/>
  <c r="AX35" i="9"/>
  <c r="AI120" i="9"/>
  <c r="CZ38" i="9"/>
  <c r="CH38" i="9"/>
  <c r="CB38" i="9"/>
  <c r="BD38" i="9"/>
  <c r="CT38" i="9"/>
  <c r="BP38" i="9"/>
  <c r="DC38" i="9"/>
  <c r="DF38" i="9" s="1"/>
  <c r="BV38" i="9"/>
  <c r="CN38" i="9"/>
  <c r="BJ38" i="9"/>
  <c r="CJ35" i="9"/>
  <c r="DB35" i="9"/>
  <c r="CD35" i="9"/>
  <c r="CV35" i="9"/>
  <c r="CP35" i="9"/>
  <c r="BX35" i="9"/>
  <c r="BR35" i="9"/>
  <c r="DE35" i="9"/>
  <c r="DH35" i="9" s="1"/>
  <c r="BL35" i="9"/>
  <c r="BF35" i="9"/>
  <c r="AI110" i="9"/>
  <c r="AC90" i="9"/>
  <c r="Z120" i="9"/>
  <c r="W120" i="9"/>
  <c r="AU35" i="9"/>
  <c r="AW36" i="9"/>
  <c r="T120" i="9"/>
  <c r="AO120" i="9"/>
  <c r="AR43" i="9"/>
  <c r="DD37" i="9"/>
  <c r="W35" i="19"/>
  <c r="AG35" i="19"/>
  <c r="O138" i="19"/>
  <c r="V147" i="19"/>
  <c r="V130" i="19"/>
  <c r="S135" i="19"/>
  <c r="AZ36" i="19"/>
  <c r="R147" i="19"/>
  <c r="AA35" i="19"/>
  <c r="AA47" i="19" s="1"/>
  <c r="J135" i="19"/>
  <c r="M135" i="19"/>
  <c r="AC20" i="19"/>
  <c r="BC36" i="19"/>
  <c r="X133" i="19"/>
  <c r="P135" i="19"/>
  <c r="X134" i="19"/>
  <c r="M114" i="19"/>
  <c r="N135" i="19"/>
  <c r="T146" i="19"/>
  <c r="V41" i="19"/>
  <c r="W135" i="19"/>
  <c r="BC38" i="19"/>
  <c r="AC7" i="19"/>
  <c r="AZ35" i="19"/>
  <c r="AB35" i="19"/>
  <c r="R144" i="19"/>
  <c r="V144" i="19"/>
  <c r="V134" i="19"/>
  <c r="X147" i="19"/>
  <c r="R134" i="19"/>
  <c r="J114" i="19"/>
  <c r="AY36" i="19"/>
  <c r="V133" i="19"/>
  <c r="AC4" i="19"/>
  <c r="BH38" i="19"/>
  <c r="AT34" i="19"/>
  <c r="AQ34" i="19"/>
  <c r="Q135" i="19"/>
  <c r="V114" i="19"/>
  <c r="R117" i="19"/>
  <c r="S138" i="19"/>
  <c r="BK38" i="19"/>
  <c r="M133" i="19"/>
  <c r="T138" i="19"/>
  <c r="R133" i="19"/>
  <c r="AW34" i="19"/>
  <c r="W99" i="19"/>
  <c r="AZ34" i="19"/>
  <c r="AT35" i="19"/>
  <c r="BN32" i="19"/>
  <c r="BN38" i="19" s="1"/>
  <c r="BF38" i="19"/>
  <c r="Q122" i="19"/>
  <c r="W38" i="19"/>
  <c r="V44" i="19" s="1"/>
  <c r="N139" i="19"/>
  <c r="N120" i="19"/>
  <c r="BH35" i="19"/>
  <c r="V117" i="19"/>
  <c r="AG38" i="19"/>
  <c r="AC26" i="19"/>
  <c r="W120" i="19"/>
  <c r="S120" i="19"/>
  <c r="W36" i="19"/>
  <c r="V42" i="19" s="1"/>
  <c r="BB34" i="19"/>
  <c r="O146" i="19"/>
  <c r="W147" i="19"/>
  <c r="V136" i="19"/>
  <c r="T135" i="19"/>
  <c r="P146" i="19"/>
  <c r="N141" i="19"/>
  <c r="V132" i="19"/>
  <c r="V40" i="19"/>
  <c r="O140" i="19"/>
  <c r="O139" i="19"/>
  <c r="J120" i="19"/>
  <c r="W96" i="19"/>
  <c r="W97" i="19"/>
  <c r="O141" i="19"/>
  <c r="M122" i="19"/>
  <c r="P139" i="19"/>
  <c r="P120" i="19"/>
  <c r="N116" i="19"/>
  <c r="W116" i="19"/>
  <c r="AY38" i="19"/>
  <c r="T141" i="19"/>
  <c r="J139" i="19"/>
  <c r="Q120" i="19"/>
  <c r="AW35" i="19"/>
  <c r="Q146" i="19"/>
  <c r="BC35" i="19"/>
  <c r="P141" i="19"/>
  <c r="AH38" i="19"/>
  <c r="AN35" i="19"/>
  <c r="P138" i="19"/>
  <c r="J138" i="19"/>
  <c r="M139" i="19"/>
  <c r="S139" i="19"/>
  <c r="AP35" i="19"/>
  <c r="S146" i="19"/>
  <c r="M146" i="19"/>
  <c r="AK38" i="19"/>
  <c r="S141" i="19"/>
  <c r="Y34" i="19"/>
  <c r="AE35" i="19"/>
  <c r="Q138" i="19"/>
  <c r="N133" i="19"/>
  <c r="D4" i="18"/>
  <c r="D5" i="18"/>
  <c r="D6" i="18"/>
  <c r="D2" i="18"/>
  <c r="D3" i="18"/>
  <c r="J40" i="19" s="1"/>
  <c r="BA31" i="19"/>
  <c r="AX37" i="19"/>
  <c r="AF37" i="19"/>
  <c r="AE43" i="19" s="1"/>
  <c r="AI31" i="19"/>
  <c r="AH35" i="19"/>
  <c r="AK29" i="19"/>
  <c r="AK35" i="19" s="1"/>
  <c r="W89" i="19"/>
  <c r="BB35" i="19"/>
  <c r="BE35" i="19"/>
  <c r="AK30" i="19"/>
  <c r="AK36" i="19" s="1"/>
  <c r="AH36" i="19"/>
  <c r="AS34" i="19"/>
  <c r="BI37" i="19"/>
  <c r="BL31" i="19"/>
  <c r="BL37" i="19" s="1"/>
  <c r="AU32" i="19"/>
  <c r="AH34" i="19"/>
  <c r="R121" i="19"/>
  <c r="X121" i="19"/>
  <c r="V121" i="19"/>
  <c r="AC11" i="19"/>
  <c r="N122" i="19"/>
  <c r="P142" i="19"/>
  <c r="BN29" i="19"/>
  <c r="BN35" i="19" s="1"/>
  <c r="BK35" i="19"/>
  <c r="N124" i="19"/>
  <c r="J124" i="19"/>
  <c r="W95" i="19"/>
  <c r="P140" i="19"/>
  <c r="S124" i="19"/>
  <c r="Q140" i="19"/>
  <c r="V120" i="19"/>
  <c r="X120" i="19"/>
  <c r="R120" i="19"/>
  <c r="AC10" i="19"/>
  <c r="AJ35" i="19"/>
  <c r="AM29" i="19"/>
  <c r="AM35" i="19" s="1"/>
  <c r="W124" i="19"/>
  <c r="M121" i="19"/>
  <c r="M120" i="19"/>
  <c r="BI35" i="19"/>
  <c r="BF35" i="19"/>
  <c r="AQ35" i="19"/>
  <c r="P71" i="19"/>
  <c r="O71" i="19"/>
  <c r="N71" i="19"/>
  <c r="Z16" i="19"/>
  <c r="P126" i="19" s="1"/>
  <c r="Q71" i="19"/>
  <c r="M71" i="19"/>
  <c r="J71" i="19"/>
  <c r="W71" i="19"/>
  <c r="T71" i="19"/>
  <c r="S71" i="19"/>
  <c r="AF16" i="19"/>
  <c r="AI16" i="19" s="1"/>
  <c r="AL16" i="19" s="1"/>
  <c r="AO16" i="19"/>
  <c r="AR16" i="19" s="1"/>
  <c r="AU16" i="19" s="1"/>
  <c r="AX16" i="19"/>
  <c r="BA16" i="19" s="1"/>
  <c r="BD16" i="19" s="1"/>
  <c r="BG16" i="19"/>
  <c r="M140" i="19"/>
  <c r="O142" i="19"/>
  <c r="AJ18" i="19"/>
  <c r="AG36" i="19"/>
  <c r="BL35" i="19"/>
  <c r="T142" i="19"/>
  <c r="J142" i="19"/>
  <c r="N121" i="19"/>
  <c r="O120" i="19"/>
  <c r="R146" i="19"/>
  <c r="X116" i="19"/>
  <c r="V116" i="19"/>
  <c r="X146" i="19"/>
  <c r="R116" i="19"/>
  <c r="W146" i="19"/>
  <c r="V146" i="19"/>
  <c r="AC6" i="19"/>
  <c r="P116" i="19"/>
  <c r="W90" i="19"/>
  <c r="BM28" i="19"/>
  <c r="X124" i="19"/>
  <c r="V124" i="19"/>
  <c r="R124" i="19"/>
  <c r="AC14" i="19"/>
  <c r="T124" i="19"/>
  <c r="P124" i="19"/>
  <c r="S140" i="19"/>
  <c r="BM30" i="19"/>
  <c r="M124" i="19"/>
  <c r="J121" i="19"/>
  <c r="BG37" i="19"/>
  <c r="BJ31" i="19"/>
  <c r="AW38" i="19"/>
  <c r="Q141" i="19"/>
  <c r="AJ38" i="19"/>
  <c r="AM32" i="19"/>
  <c r="AM38" i="19" s="1"/>
  <c r="BI38" i="19"/>
  <c r="BL32" i="19"/>
  <c r="BL38" i="19" s="1"/>
  <c r="X142" i="19"/>
  <c r="V142" i="19"/>
  <c r="AC32" i="19"/>
  <c r="R142" i="19"/>
  <c r="R122" i="19"/>
  <c r="V122" i="19"/>
  <c r="X122" i="19"/>
  <c r="AC12" i="19"/>
  <c r="W122" i="19"/>
  <c r="W121" i="19"/>
  <c r="AS36" i="19"/>
  <c r="W144" i="19"/>
  <c r="AY35" i="19"/>
  <c r="BB36" i="19"/>
  <c r="BE30" i="19"/>
  <c r="BE36" i="19" s="1"/>
  <c r="AZ38" i="19"/>
  <c r="AT32" i="19"/>
  <c r="AT38" i="19" s="1"/>
  <c r="AQ38" i="19"/>
  <c r="BD32" i="19"/>
  <c r="AI28" i="19"/>
  <c r="BN30" i="19"/>
  <c r="BN36" i="19" s="1"/>
  <c r="BK36" i="19"/>
  <c r="T122" i="19"/>
  <c r="Q124" i="19"/>
  <c r="O121" i="19"/>
  <c r="O122" i="19"/>
  <c r="BJ32" i="19"/>
  <c r="M142" i="19"/>
  <c r="BJ29" i="19"/>
  <c r="W139" i="19"/>
  <c r="X135" i="19"/>
  <c r="R135" i="19"/>
  <c r="V135" i="19"/>
  <c r="AC25" i="19"/>
  <c r="P121" i="19"/>
  <c r="Q121" i="19"/>
  <c r="BB38" i="19"/>
  <c r="BE32" i="19"/>
  <c r="BE38" i="19" s="1"/>
  <c r="AP36" i="19"/>
  <c r="BK34" i="19"/>
  <c r="S96" i="19"/>
  <c r="S90" i="19"/>
  <c r="S60" i="19"/>
  <c r="N96" i="19"/>
  <c r="O60" i="19"/>
  <c r="M96" i="19"/>
  <c r="Q90" i="19"/>
  <c r="N60" i="19"/>
  <c r="J96" i="19"/>
  <c r="P90" i="19"/>
  <c r="M60" i="19"/>
  <c r="T96" i="19"/>
  <c r="T90" i="19"/>
  <c r="J60" i="19"/>
  <c r="Q96" i="19"/>
  <c r="O90" i="19"/>
  <c r="P96" i="19"/>
  <c r="N90" i="19"/>
  <c r="O96" i="19"/>
  <c r="M90" i="19"/>
  <c r="W60" i="19"/>
  <c r="T60" i="19"/>
  <c r="AX5" i="19"/>
  <c r="BA5" i="19" s="1"/>
  <c r="BD5" i="19" s="1"/>
  <c r="Q60" i="19"/>
  <c r="BG5" i="19"/>
  <c r="BJ5" i="19" s="1"/>
  <c r="BM5" i="19" s="1"/>
  <c r="P60" i="19"/>
  <c r="J90" i="19"/>
  <c r="AF5" i="19"/>
  <c r="AI5" i="19" s="1"/>
  <c r="AL5" i="19" s="1"/>
  <c r="AO5" i="19"/>
  <c r="AR5" i="19" s="1"/>
  <c r="AU5" i="19" s="1"/>
  <c r="Z5" i="19"/>
  <c r="J116" i="19"/>
  <c r="N140" i="19"/>
  <c r="AO37" i="19"/>
  <c r="AR31" i="19"/>
  <c r="W138" i="19"/>
  <c r="Y38" i="19"/>
  <c r="AB32" i="19"/>
  <c r="AB38" i="19" s="1"/>
  <c r="BI34" i="19"/>
  <c r="BL28" i="19"/>
  <c r="BL34" i="19" s="1"/>
  <c r="Q73" i="19"/>
  <c r="N73" i="19"/>
  <c r="M73" i="19"/>
  <c r="J73" i="19"/>
  <c r="Z18" i="19"/>
  <c r="Q128" i="19" s="1"/>
  <c r="W73" i="19"/>
  <c r="T73" i="19"/>
  <c r="S73" i="19"/>
  <c r="P73" i="19"/>
  <c r="AF18" i="19"/>
  <c r="O73" i="19"/>
  <c r="BG18" i="19"/>
  <c r="BJ18" i="19" s="1"/>
  <c r="BM18" i="19" s="1"/>
  <c r="AO18" i="19"/>
  <c r="AR18" i="19" s="1"/>
  <c r="AU18" i="19" s="1"/>
  <c r="AX18" i="19"/>
  <c r="AR29" i="19"/>
  <c r="P122" i="19"/>
  <c r="T121" i="19"/>
  <c r="AU30" i="19"/>
  <c r="J146" i="19"/>
  <c r="V138" i="19"/>
  <c r="X138" i="19"/>
  <c r="R138" i="19"/>
  <c r="Z34" i="19"/>
  <c r="AC28" i="19"/>
  <c r="BA28" i="19"/>
  <c r="N138" i="19"/>
  <c r="M99" i="19"/>
  <c r="M93" i="19"/>
  <c r="M63" i="19"/>
  <c r="J99" i="19"/>
  <c r="P99" i="19"/>
  <c r="O99" i="19"/>
  <c r="P93" i="19"/>
  <c r="J63" i="19"/>
  <c r="N99" i="19"/>
  <c r="O93" i="19"/>
  <c r="W63" i="19"/>
  <c r="N93" i="19"/>
  <c r="S99" i="19"/>
  <c r="T63" i="19"/>
  <c r="S63" i="19"/>
  <c r="Q99" i="19"/>
  <c r="Q63" i="19"/>
  <c r="P63" i="19"/>
  <c r="S93" i="19"/>
  <c r="N63" i="19"/>
  <c r="T99" i="19"/>
  <c r="BG8" i="19"/>
  <c r="BJ8" i="19" s="1"/>
  <c r="BM8" i="19" s="1"/>
  <c r="T93" i="19"/>
  <c r="Z8" i="19"/>
  <c r="Q93" i="19"/>
  <c r="J93" i="19"/>
  <c r="AX8" i="19"/>
  <c r="AF8" i="19"/>
  <c r="O63" i="19"/>
  <c r="AO8" i="19"/>
  <c r="N142" i="19"/>
  <c r="AA38" i="19"/>
  <c r="AA50" i="19" s="1"/>
  <c r="AD32" i="19"/>
  <c r="AD38" i="19" s="1"/>
  <c r="V140" i="19"/>
  <c r="X140" i="19"/>
  <c r="R140" i="19"/>
  <c r="AC30" i="19"/>
  <c r="J140" i="19"/>
  <c r="AS38" i="19"/>
  <c r="AV32" i="19"/>
  <c r="AV38" i="19" s="1"/>
  <c r="BK37" i="19"/>
  <c r="BN31" i="19"/>
  <c r="BN37" i="19" s="1"/>
  <c r="T140" i="19"/>
  <c r="BF34" i="19"/>
  <c r="R139" i="19"/>
  <c r="AC29" i="19"/>
  <c r="V139" i="19"/>
  <c r="X139" i="19"/>
  <c r="S72" i="19"/>
  <c r="O72" i="19"/>
  <c r="N72" i="19"/>
  <c r="M72" i="19"/>
  <c r="AO17" i="19"/>
  <c r="AR17" i="19" s="1"/>
  <c r="AU17" i="19" s="1"/>
  <c r="N127" i="19"/>
  <c r="T72" i="19"/>
  <c r="Q72" i="19"/>
  <c r="P72" i="19"/>
  <c r="J72" i="19"/>
  <c r="AF17" i="19"/>
  <c r="AX17" i="19"/>
  <c r="W72" i="19"/>
  <c r="Z17" i="19"/>
  <c r="BG17" i="19"/>
  <c r="BJ17" i="19" s="1"/>
  <c r="BM17" i="19" s="1"/>
  <c r="J122" i="19"/>
  <c r="Q142" i="19"/>
  <c r="T139" i="19"/>
  <c r="S121" i="19"/>
  <c r="S142" i="19"/>
  <c r="AO36" i="19"/>
  <c r="M116" i="19"/>
  <c r="S116" i="19"/>
  <c r="N146" i="19"/>
  <c r="T116" i="19"/>
  <c r="Q116" i="19"/>
  <c r="X141" i="19"/>
  <c r="R141" i="19"/>
  <c r="Z37" i="19"/>
  <c r="Y43" i="19" s="1"/>
  <c r="Y49" i="19" s="1"/>
  <c r="V141" i="19"/>
  <c r="AC31" i="19"/>
  <c r="J141" i="19"/>
  <c r="AR28" i="19"/>
  <c r="AS38" i="9"/>
  <c r="AI108" i="9"/>
  <c r="AS87" i="9"/>
  <c r="AR120" i="9"/>
  <c r="T108" i="9"/>
  <c r="Z108" i="9"/>
  <c r="AO108" i="9"/>
  <c r="AS108" i="9"/>
  <c r="AR123" i="9"/>
  <c r="AF93" i="9"/>
  <c r="AL123" i="9"/>
  <c r="T123" i="9"/>
  <c r="Z123" i="9"/>
  <c r="AS123" i="9"/>
  <c r="T93" i="9"/>
  <c r="K93" i="9"/>
  <c r="W93" i="9"/>
  <c r="AO123" i="9"/>
  <c r="AC108" i="9"/>
  <c r="W108" i="9"/>
  <c r="AS90" i="9"/>
  <c r="AL90" i="9"/>
  <c r="K115" i="9"/>
  <c r="AL108" i="9"/>
  <c r="K108" i="9"/>
  <c r="AC115" i="9"/>
  <c r="AF115" i="9"/>
  <c r="AO115" i="9"/>
  <c r="AL114" i="9"/>
  <c r="AF108" i="9"/>
  <c r="AT108" i="9"/>
  <c r="AU36" i="9"/>
  <c r="AT90" i="9"/>
  <c r="K109" i="9"/>
  <c r="W109" i="9"/>
  <c r="AS109" i="9"/>
  <c r="AO116" i="9"/>
  <c r="AR90" i="9"/>
  <c r="T109" i="9"/>
  <c r="AF109" i="9"/>
  <c r="AO109" i="9"/>
  <c r="T115" i="9"/>
  <c r="Z109" i="9"/>
  <c r="AL109" i="9"/>
  <c r="AC109" i="9"/>
  <c r="AS115" i="9"/>
  <c r="K92" i="9"/>
  <c r="AL92" i="9"/>
  <c r="Z92" i="9"/>
  <c r="T122" i="9"/>
  <c r="Z122" i="9"/>
  <c r="AL122" i="9"/>
  <c r="AS85" i="9"/>
  <c r="W114" i="9"/>
  <c r="AR93" i="9"/>
  <c r="W117" i="9"/>
  <c r="AS77" i="9"/>
  <c r="AI93" i="9"/>
  <c r="K123" i="9"/>
  <c r="AI123" i="9"/>
  <c r="K114" i="9"/>
  <c r="AT93" i="9"/>
  <c r="AY23" i="9"/>
  <c r="AC123" i="9"/>
  <c r="AT123" i="9"/>
  <c r="AR109" i="9"/>
  <c r="W123" i="9"/>
  <c r="AS34" i="9"/>
  <c r="AC93" i="9"/>
  <c r="AF123" i="9"/>
  <c r="AF117" i="9"/>
  <c r="AT109" i="9"/>
  <c r="AC118" i="9"/>
  <c r="AO93" i="9"/>
  <c r="AF118" i="9"/>
  <c r="Z115" i="9"/>
  <c r="AS84" i="9"/>
  <c r="AC114" i="9"/>
  <c r="AS92" i="9"/>
  <c r="AS35" i="9"/>
  <c r="AC99" i="9"/>
  <c r="AL112" i="9"/>
  <c r="AO114" i="9"/>
  <c r="AC117" i="9"/>
  <c r="Z117" i="9"/>
  <c r="AL99" i="9"/>
  <c r="K99" i="9"/>
  <c r="T99" i="9"/>
  <c r="AL116" i="9"/>
  <c r="W99" i="9"/>
  <c r="T114" i="9"/>
  <c r="W92" i="9"/>
  <c r="AC92" i="9"/>
  <c r="AO99" i="9"/>
  <c r="AL93" i="9"/>
  <c r="AY7" i="9"/>
  <c r="AF114" i="9"/>
  <c r="K117" i="9"/>
  <c r="AL117" i="9"/>
  <c r="AC122" i="9"/>
  <c r="Z99" i="9"/>
  <c r="AS96" i="9"/>
  <c r="AS117" i="9"/>
  <c r="K106" i="9"/>
  <c r="K122" i="9"/>
  <c r="AS106" i="9"/>
  <c r="AT105" i="9"/>
  <c r="AI105" i="9"/>
  <c r="AR105" i="9"/>
  <c r="AY19" i="9"/>
  <c r="AF105" i="9"/>
  <c r="W105" i="9"/>
  <c r="AO112" i="9"/>
  <c r="AL106" i="9"/>
  <c r="AC106" i="9"/>
  <c r="AC96" i="9"/>
  <c r="K112" i="9"/>
  <c r="Z116" i="9"/>
  <c r="W96" i="9"/>
  <c r="AL105" i="9"/>
  <c r="AO96" i="9"/>
  <c r="AS112" i="9"/>
  <c r="AX32" i="9"/>
  <c r="AX38" i="9" s="1"/>
  <c r="AU38" i="9"/>
  <c r="AC116" i="9"/>
  <c r="AO106" i="9"/>
  <c r="Z106" i="9"/>
  <c r="T106" i="9"/>
  <c r="T96" i="9"/>
  <c r="T118" i="9"/>
  <c r="W112" i="9"/>
  <c r="AS116" i="9"/>
  <c r="AL84" i="9"/>
  <c r="AL78" i="9"/>
  <c r="AL48" i="9"/>
  <c r="Z78" i="9"/>
  <c r="K48" i="9"/>
  <c r="W78" i="9"/>
  <c r="AS48" i="9"/>
  <c r="AO84" i="9"/>
  <c r="T78" i="9"/>
  <c r="Z84" i="9"/>
  <c r="K78" i="9"/>
  <c r="W48" i="9"/>
  <c r="W84" i="9"/>
  <c r="T48" i="9"/>
  <c r="T84" i="9"/>
  <c r="K84" i="9"/>
  <c r="AC84" i="9"/>
  <c r="AC78" i="9"/>
  <c r="Z48" i="9"/>
  <c r="AO78" i="9"/>
  <c r="AF84" i="9"/>
  <c r="AF78" i="9"/>
  <c r="AO48" i="9"/>
  <c r="AF48" i="9"/>
  <c r="AC48" i="9"/>
  <c r="AV5" i="9"/>
  <c r="AS91" i="9" s="1"/>
  <c r="T87" i="9"/>
  <c r="T81" i="9"/>
  <c r="T51" i="9"/>
  <c r="K87" i="9"/>
  <c r="AC87" i="9"/>
  <c r="K81" i="9"/>
  <c r="AO51" i="9"/>
  <c r="AL51" i="9"/>
  <c r="W87" i="9"/>
  <c r="AO81" i="9"/>
  <c r="AL81" i="9"/>
  <c r="AF51" i="9"/>
  <c r="AF81" i="9"/>
  <c r="Z51" i="9"/>
  <c r="AO87" i="9"/>
  <c r="Z87" i="9"/>
  <c r="AS51" i="9"/>
  <c r="AC81" i="9"/>
  <c r="AC51" i="9"/>
  <c r="Z81" i="9"/>
  <c r="W51" i="9"/>
  <c r="AL87" i="9"/>
  <c r="W81" i="9"/>
  <c r="K51" i="9"/>
  <c r="AF87" i="9"/>
  <c r="AV8" i="9"/>
  <c r="AS94" i="9" s="1"/>
  <c r="K105" i="9"/>
  <c r="Z112" i="9"/>
  <c r="AL118" i="9"/>
  <c r="K116" i="9"/>
  <c r="AS118" i="9"/>
  <c r="AI116" i="9"/>
  <c r="AR116" i="9"/>
  <c r="AT116" i="9"/>
  <c r="AY30" i="9"/>
  <c r="AO105" i="9"/>
  <c r="AW34" i="9"/>
  <c r="T116" i="9"/>
  <c r="T59" i="9"/>
  <c r="K59" i="9"/>
  <c r="AS59" i="9"/>
  <c r="AO59" i="9"/>
  <c r="AL59" i="9"/>
  <c r="AF59" i="9"/>
  <c r="AC59" i="9"/>
  <c r="Z59" i="9"/>
  <c r="W59" i="9"/>
  <c r="AV16" i="9"/>
  <c r="AS102" i="9" s="1"/>
  <c r="AT106" i="9"/>
  <c r="AR106" i="9"/>
  <c r="AI106" i="9"/>
  <c r="AY20" i="9"/>
  <c r="AF61" i="9"/>
  <c r="AS61" i="9"/>
  <c r="AO61" i="9"/>
  <c r="W61" i="9"/>
  <c r="T61" i="9"/>
  <c r="K61" i="9"/>
  <c r="Z61" i="9"/>
  <c r="AL61" i="9"/>
  <c r="AV18" i="9"/>
  <c r="T104" i="9" s="1"/>
  <c r="AC61" i="9"/>
  <c r="AS79" i="9"/>
  <c r="AT112" i="9"/>
  <c r="AR112" i="9"/>
  <c r="AI112" i="9"/>
  <c r="AY26" i="9"/>
  <c r="AR96" i="9"/>
  <c r="AI96" i="9"/>
  <c r="AT96" i="9"/>
  <c r="Z96" i="9"/>
  <c r="AY10" i="9"/>
  <c r="AC105" i="9"/>
  <c r="AS105" i="9"/>
  <c r="AR114" i="9"/>
  <c r="AT114" i="9"/>
  <c r="AI114" i="9"/>
  <c r="AY28" i="9"/>
  <c r="AF112" i="9"/>
  <c r="AS114" i="9"/>
  <c r="T92" i="9"/>
  <c r="AO92" i="9"/>
  <c r="AT99" i="9"/>
  <c r="AI99" i="9"/>
  <c r="AR99" i="9"/>
  <c r="AY13" i="9"/>
  <c r="AF99" i="9"/>
  <c r="AT118" i="9"/>
  <c r="AR118" i="9"/>
  <c r="AI118" i="9"/>
  <c r="AY32" i="9"/>
  <c r="K118" i="9"/>
  <c r="Z105" i="9"/>
  <c r="AC112" i="9"/>
  <c r="AL96" i="9"/>
  <c r="AO118" i="9"/>
  <c r="W118" i="9"/>
  <c r="T105" i="9"/>
  <c r="AF96" i="9"/>
  <c r="AZ32" i="9"/>
  <c r="AZ38" i="9" s="1"/>
  <c r="AW38" i="9"/>
  <c r="AL60" i="9"/>
  <c r="K60" i="9"/>
  <c r="AS60" i="9"/>
  <c r="AO60" i="9"/>
  <c r="T60" i="9"/>
  <c r="AF60" i="9"/>
  <c r="AC60" i="9"/>
  <c r="Z60" i="9"/>
  <c r="AV17" i="9"/>
  <c r="AC103" i="9" s="1"/>
  <c r="W60" i="9"/>
  <c r="W116" i="9"/>
  <c r="AS83" i="9"/>
  <c r="AI115" i="9"/>
  <c r="AT115" i="9"/>
  <c r="AR115" i="9"/>
  <c r="AY29" i="9"/>
  <c r="AL115" i="9"/>
  <c r="AZ5" i="9"/>
  <c r="AZ35" i="9" s="1"/>
  <c r="AW35" i="9"/>
  <c r="AT117" i="9"/>
  <c r="AI117" i="9"/>
  <c r="AR117" i="9"/>
  <c r="AY31" i="9"/>
  <c r="AV37" i="9"/>
  <c r="AU43" i="9" s="1"/>
  <c r="T117" i="9"/>
  <c r="AT122" i="9"/>
  <c r="AT92" i="9"/>
  <c r="AS122" i="9"/>
  <c r="AR122" i="9"/>
  <c r="AR92" i="9"/>
  <c r="AI122" i="9"/>
  <c r="AI92" i="9"/>
  <c r="AY6" i="9"/>
  <c r="W122" i="9"/>
  <c r="AO122" i="9"/>
  <c r="AF122" i="9"/>
  <c r="W106" i="9"/>
  <c r="BH32" i="2"/>
  <c r="BF32" i="2"/>
  <c r="AY32" i="2"/>
  <c r="AW32" i="2"/>
  <c r="AP32" i="2"/>
  <c r="AN32" i="2"/>
  <c r="BH31" i="2"/>
  <c r="BF31" i="2"/>
  <c r="AY31" i="2"/>
  <c r="AW31" i="2"/>
  <c r="AP31" i="2"/>
  <c r="AN31" i="2"/>
  <c r="BH30" i="2"/>
  <c r="BF30" i="2"/>
  <c r="AY30" i="2"/>
  <c r="AW30" i="2"/>
  <c r="AP30" i="2"/>
  <c r="AN30" i="2"/>
  <c r="BH29" i="2"/>
  <c r="BF29" i="2"/>
  <c r="AY29" i="2"/>
  <c r="AW29" i="2"/>
  <c r="AP29" i="2"/>
  <c r="AN29" i="2"/>
  <c r="BH28" i="2"/>
  <c r="BF28" i="2"/>
  <c r="AY28" i="2"/>
  <c r="AW28" i="2"/>
  <c r="AP28" i="2"/>
  <c r="AN28" i="2"/>
  <c r="BH26" i="2"/>
  <c r="BK26" i="2" s="1"/>
  <c r="BN26" i="2" s="1"/>
  <c r="BF26" i="2"/>
  <c r="BI26" i="2" s="1"/>
  <c r="BL26" i="2" s="1"/>
  <c r="AY26" i="2"/>
  <c r="BB26" i="2" s="1"/>
  <c r="BE26" i="2" s="1"/>
  <c r="AW26" i="2"/>
  <c r="AZ26" i="2" s="1"/>
  <c r="BC26" i="2" s="1"/>
  <c r="AP26" i="2"/>
  <c r="AS26" i="2" s="1"/>
  <c r="AV26" i="2" s="1"/>
  <c r="AN26" i="2"/>
  <c r="AQ26" i="2" s="1"/>
  <c r="AT26" i="2" s="1"/>
  <c r="BH25" i="2"/>
  <c r="BK25" i="2" s="1"/>
  <c r="BN25" i="2" s="1"/>
  <c r="BF25" i="2"/>
  <c r="BI25" i="2" s="1"/>
  <c r="BL25" i="2" s="1"/>
  <c r="AY25" i="2"/>
  <c r="BB25" i="2" s="1"/>
  <c r="BE25" i="2" s="1"/>
  <c r="AW25" i="2"/>
  <c r="AZ25" i="2" s="1"/>
  <c r="BC25" i="2" s="1"/>
  <c r="AP25" i="2"/>
  <c r="AS25" i="2" s="1"/>
  <c r="AV25" i="2" s="1"/>
  <c r="AN25" i="2"/>
  <c r="AQ25" i="2" s="1"/>
  <c r="AT25" i="2" s="1"/>
  <c r="BH24" i="2"/>
  <c r="BK24" i="2" s="1"/>
  <c r="BN24" i="2" s="1"/>
  <c r="BF24" i="2"/>
  <c r="BI24" i="2" s="1"/>
  <c r="BL24" i="2" s="1"/>
  <c r="AY24" i="2"/>
  <c r="BB24" i="2" s="1"/>
  <c r="BE24" i="2" s="1"/>
  <c r="AW24" i="2"/>
  <c r="AZ24" i="2" s="1"/>
  <c r="BC24" i="2" s="1"/>
  <c r="AP24" i="2"/>
  <c r="AS24" i="2" s="1"/>
  <c r="AV24" i="2" s="1"/>
  <c r="AN24" i="2"/>
  <c r="AQ24" i="2" s="1"/>
  <c r="AT24" i="2" s="1"/>
  <c r="BH23" i="2"/>
  <c r="BK23" i="2" s="1"/>
  <c r="BN23" i="2" s="1"/>
  <c r="BF23" i="2"/>
  <c r="BI23" i="2" s="1"/>
  <c r="BL23" i="2" s="1"/>
  <c r="AY23" i="2"/>
  <c r="BB23" i="2" s="1"/>
  <c r="BE23" i="2" s="1"/>
  <c r="AW23" i="2"/>
  <c r="AZ23" i="2" s="1"/>
  <c r="BC23" i="2" s="1"/>
  <c r="AP23" i="2"/>
  <c r="AS23" i="2" s="1"/>
  <c r="AV23" i="2" s="1"/>
  <c r="AN23" i="2"/>
  <c r="AQ23" i="2" s="1"/>
  <c r="AT23" i="2" s="1"/>
  <c r="BH22" i="2"/>
  <c r="BK22" i="2" s="1"/>
  <c r="BN22" i="2" s="1"/>
  <c r="BF22" i="2"/>
  <c r="BI22" i="2" s="1"/>
  <c r="BL22" i="2" s="1"/>
  <c r="AY22" i="2"/>
  <c r="BB22" i="2" s="1"/>
  <c r="BE22" i="2" s="1"/>
  <c r="AW22" i="2"/>
  <c r="AZ22" i="2" s="1"/>
  <c r="BC22" i="2" s="1"/>
  <c r="AP22" i="2"/>
  <c r="AS22" i="2" s="1"/>
  <c r="AV22" i="2" s="1"/>
  <c r="AN22" i="2"/>
  <c r="AQ22" i="2" s="1"/>
  <c r="AT22" i="2" s="1"/>
  <c r="BH20" i="2"/>
  <c r="BK20" i="2" s="1"/>
  <c r="BN20" i="2" s="1"/>
  <c r="BF20" i="2"/>
  <c r="BI20" i="2" s="1"/>
  <c r="BL20" i="2" s="1"/>
  <c r="AY20" i="2"/>
  <c r="BB20" i="2" s="1"/>
  <c r="BE20" i="2" s="1"/>
  <c r="AW20" i="2"/>
  <c r="AZ20" i="2" s="1"/>
  <c r="BC20" i="2" s="1"/>
  <c r="AP20" i="2"/>
  <c r="AS20" i="2" s="1"/>
  <c r="AV20" i="2" s="1"/>
  <c r="AN20" i="2"/>
  <c r="AQ20" i="2" s="1"/>
  <c r="AT20" i="2" s="1"/>
  <c r="BH19" i="2"/>
  <c r="BK19" i="2" s="1"/>
  <c r="BN19" i="2" s="1"/>
  <c r="BF19" i="2"/>
  <c r="BI19" i="2" s="1"/>
  <c r="BL19" i="2" s="1"/>
  <c r="AY19" i="2"/>
  <c r="BB19" i="2" s="1"/>
  <c r="BE19" i="2" s="1"/>
  <c r="AW19" i="2"/>
  <c r="AZ19" i="2" s="1"/>
  <c r="BC19" i="2" s="1"/>
  <c r="AP19" i="2"/>
  <c r="AS19" i="2" s="1"/>
  <c r="AV19" i="2" s="1"/>
  <c r="AN19" i="2"/>
  <c r="AQ19" i="2" s="1"/>
  <c r="AT19" i="2" s="1"/>
  <c r="BH14" i="2"/>
  <c r="BK14" i="2" s="1"/>
  <c r="BN14" i="2" s="1"/>
  <c r="BF14" i="2"/>
  <c r="BI14" i="2" s="1"/>
  <c r="BL14" i="2" s="1"/>
  <c r="AY14" i="2"/>
  <c r="BB14" i="2" s="1"/>
  <c r="BE14" i="2" s="1"/>
  <c r="AW14" i="2"/>
  <c r="AZ14" i="2" s="1"/>
  <c r="BC14" i="2" s="1"/>
  <c r="AP14" i="2"/>
  <c r="AS14" i="2" s="1"/>
  <c r="AV14" i="2" s="1"/>
  <c r="AN14" i="2"/>
  <c r="AQ14" i="2" s="1"/>
  <c r="AT14" i="2" s="1"/>
  <c r="BH13" i="2"/>
  <c r="BK13" i="2" s="1"/>
  <c r="BN13" i="2" s="1"/>
  <c r="BF13" i="2"/>
  <c r="BI13" i="2" s="1"/>
  <c r="BL13" i="2" s="1"/>
  <c r="AY13" i="2"/>
  <c r="BB13" i="2" s="1"/>
  <c r="BE13" i="2" s="1"/>
  <c r="AW13" i="2"/>
  <c r="AZ13" i="2" s="1"/>
  <c r="BC13" i="2" s="1"/>
  <c r="AP13" i="2"/>
  <c r="AS13" i="2" s="1"/>
  <c r="AV13" i="2" s="1"/>
  <c r="AN13" i="2"/>
  <c r="AQ13" i="2" s="1"/>
  <c r="AT13" i="2" s="1"/>
  <c r="BH12" i="2"/>
  <c r="BK12" i="2" s="1"/>
  <c r="BN12" i="2" s="1"/>
  <c r="BF12" i="2"/>
  <c r="BI12" i="2" s="1"/>
  <c r="BL12" i="2" s="1"/>
  <c r="AY12" i="2"/>
  <c r="BB12" i="2" s="1"/>
  <c r="BE12" i="2" s="1"/>
  <c r="AW12" i="2"/>
  <c r="AZ12" i="2" s="1"/>
  <c r="BC12" i="2" s="1"/>
  <c r="AP12" i="2"/>
  <c r="AS12" i="2" s="1"/>
  <c r="AV12" i="2" s="1"/>
  <c r="AN12" i="2"/>
  <c r="AQ12" i="2" s="1"/>
  <c r="AT12" i="2" s="1"/>
  <c r="BH11" i="2"/>
  <c r="BK11" i="2" s="1"/>
  <c r="BN11" i="2" s="1"/>
  <c r="BF11" i="2"/>
  <c r="BI11" i="2" s="1"/>
  <c r="BL11" i="2" s="1"/>
  <c r="AY11" i="2"/>
  <c r="BB11" i="2" s="1"/>
  <c r="BE11" i="2" s="1"/>
  <c r="AW11" i="2"/>
  <c r="AZ11" i="2" s="1"/>
  <c r="BC11" i="2" s="1"/>
  <c r="AP11" i="2"/>
  <c r="AS11" i="2" s="1"/>
  <c r="AV11" i="2" s="1"/>
  <c r="AN11" i="2"/>
  <c r="AQ11" i="2" s="1"/>
  <c r="AT11" i="2" s="1"/>
  <c r="BH10" i="2"/>
  <c r="BK10" i="2" s="1"/>
  <c r="BN10" i="2" s="1"/>
  <c r="BF10" i="2"/>
  <c r="BI10" i="2" s="1"/>
  <c r="BL10" i="2" s="1"/>
  <c r="AY10" i="2"/>
  <c r="BB10" i="2" s="1"/>
  <c r="BE10" i="2" s="1"/>
  <c r="AW10" i="2"/>
  <c r="AZ10" i="2" s="1"/>
  <c r="BC10" i="2" s="1"/>
  <c r="AP10" i="2"/>
  <c r="AS10" i="2" s="1"/>
  <c r="AV10" i="2" s="1"/>
  <c r="AN10" i="2"/>
  <c r="AQ10" i="2" s="1"/>
  <c r="AT10" i="2" s="1"/>
  <c r="AN6" i="2"/>
  <c r="AQ6" i="2" s="1"/>
  <c r="AT6" i="2" s="1"/>
  <c r="AP6" i="2"/>
  <c r="AS6" i="2" s="1"/>
  <c r="AW6" i="2"/>
  <c r="AZ6" i="2" s="1"/>
  <c r="BC6" i="2" s="1"/>
  <c r="AY6" i="2"/>
  <c r="BB6" i="2" s="1"/>
  <c r="BF6" i="2"/>
  <c r="BI6" i="2" s="1"/>
  <c r="BL6" i="2" s="1"/>
  <c r="BH6" i="2"/>
  <c r="BK6" i="2" s="1"/>
  <c r="AN7" i="2"/>
  <c r="AQ7" i="2" s="1"/>
  <c r="AT7" i="2" s="1"/>
  <c r="AP7" i="2"/>
  <c r="AS7" i="2" s="1"/>
  <c r="AW7" i="2"/>
  <c r="AZ7" i="2" s="1"/>
  <c r="BC7" i="2" s="1"/>
  <c r="AY7" i="2"/>
  <c r="BB7" i="2" s="1"/>
  <c r="BF7" i="2"/>
  <c r="BI7" i="2" s="1"/>
  <c r="BL7" i="2" s="1"/>
  <c r="BH7" i="2"/>
  <c r="BK7" i="2" s="1"/>
  <c r="BH4" i="2"/>
  <c r="BK4" i="2" s="1"/>
  <c r="BF4" i="2"/>
  <c r="BI4" i="2" s="1"/>
  <c r="BL4" i="2" s="1"/>
  <c r="AY4" i="2"/>
  <c r="BB4" i="2" s="1"/>
  <c r="AW4" i="2"/>
  <c r="AZ4" i="2" s="1"/>
  <c r="BC4" i="2" s="1"/>
  <c r="AP4" i="2"/>
  <c r="AS4" i="2" s="1"/>
  <c r="AN4" i="2"/>
  <c r="AQ4" i="2" s="1"/>
  <c r="AT4" i="2" s="1"/>
  <c r="AG32" i="2"/>
  <c r="AE32" i="2"/>
  <c r="AG31" i="2"/>
  <c r="AE31" i="2"/>
  <c r="AG30" i="2"/>
  <c r="AE30" i="2"/>
  <c r="AH30" i="2" s="1"/>
  <c r="AG29" i="2"/>
  <c r="AE29" i="2"/>
  <c r="AG28" i="2"/>
  <c r="AE28" i="2"/>
  <c r="AG26" i="2"/>
  <c r="AJ26" i="2" s="1"/>
  <c r="AM26" i="2" s="1"/>
  <c r="AE26" i="2"/>
  <c r="AH26" i="2" s="1"/>
  <c r="AK26" i="2" s="1"/>
  <c r="AG25" i="2"/>
  <c r="AJ25" i="2" s="1"/>
  <c r="AM25" i="2" s="1"/>
  <c r="AE25" i="2"/>
  <c r="AH25" i="2" s="1"/>
  <c r="AK25" i="2" s="1"/>
  <c r="AG24" i="2"/>
  <c r="AJ24" i="2" s="1"/>
  <c r="AM24" i="2" s="1"/>
  <c r="AE24" i="2"/>
  <c r="AH24" i="2" s="1"/>
  <c r="AK24" i="2" s="1"/>
  <c r="AG23" i="2"/>
  <c r="AJ23" i="2" s="1"/>
  <c r="AM23" i="2" s="1"/>
  <c r="AE23" i="2"/>
  <c r="AH23" i="2" s="1"/>
  <c r="AK23" i="2" s="1"/>
  <c r="AG22" i="2"/>
  <c r="AJ22" i="2" s="1"/>
  <c r="AM22" i="2" s="1"/>
  <c r="AE22" i="2"/>
  <c r="AH22" i="2" s="1"/>
  <c r="AK22" i="2" s="1"/>
  <c r="AG20" i="2"/>
  <c r="AJ20" i="2" s="1"/>
  <c r="AM20" i="2" s="1"/>
  <c r="AE20" i="2"/>
  <c r="AH20" i="2" s="1"/>
  <c r="AK20" i="2" s="1"/>
  <c r="AG19" i="2"/>
  <c r="AJ19" i="2" s="1"/>
  <c r="AM19" i="2" s="1"/>
  <c r="AE19" i="2"/>
  <c r="AH19" i="2" s="1"/>
  <c r="AK19" i="2" s="1"/>
  <c r="AG14" i="2"/>
  <c r="AJ14" i="2" s="1"/>
  <c r="AM14" i="2" s="1"/>
  <c r="AE14" i="2"/>
  <c r="AH14" i="2" s="1"/>
  <c r="AK14" i="2" s="1"/>
  <c r="AG13" i="2"/>
  <c r="AJ13" i="2" s="1"/>
  <c r="AM13" i="2" s="1"/>
  <c r="AE13" i="2"/>
  <c r="AH13" i="2" s="1"/>
  <c r="AK13" i="2" s="1"/>
  <c r="AG12" i="2"/>
  <c r="AJ12" i="2" s="1"/>
  <c r="AM12" i="2" s="1"/>
  <c r="AE12" i="2"/>
  <c r="AH12" i="2" s="1"/>
  <c r="AK12" i="2" s="1"/>
  <c r="AG11" i="2"/>
  <c r="AJ11" i="2" s="1"/>
  <c r="AM11" i="2" s="1"/>
  <c r="AE11" i="2"/>
  <c r="AH11" i="2" s="1"/>
  <c r="AK11" i="2" s="1"/>
  <c r="AG10" i="2"/>
  <c r="AJ10" i="2" s="1"/>
  <c r="AM10" i="2" s="1"/>
  <c r="AE10" i="2"/>
  <c r="AH10" i="2" s="1"/>
  <c r="AK10" i="2" s="1"/>
  <c r="AE6" i="2"/>
  <c r="AH6" i="2" s="1"/>
  <c r="AK6" i="2" s="1"/>
  <c r="AG6" i="2"/>
  <c r="AJ6" i="2" s="1"/>
  <c r="AE7" i="2"/>
  <c r="AH7" i="2" s="1"/>
  <c r="AK7" i="2" s="1"/>
  <c r="AG7" i="2"/>
  <c r="AJ7" i="2" s="1"/>
  <c r="AG4" i="2"/>
  <c r="AJ4" i="2" s="1"/>
  <c r="AE4" i="2"/>
  <c r="AH4" i="2" s="1"/>
  <c r="AK4" i="2" s="1"/>
  <c r="AA4" i="2"/>
  <c r="AD4" i="2" s="1"/>
  <c r="Y4" i="2"/>
  <c r="AB4" i="2" s="1"/>
  <c r="Q26" i="3"/>
  <c r="M26" i="3"/>
  <c r="U26" i="3" s="1"/>
  <c r="X26" i="3" s="1"/>
  <c r="U25" i="3"/>
  <c r="X25" i="3" s="1"/>
  <c r="S25" i="3"/>
  <c r="V25" i="3" s="1"/>
  <c r="Q25" i="3"/>
  <c r="T25" i="3" s="1"/>
  <c r="W25" i="3" s="1"/>
  <c r="U24" i="3"/>
  <c r="X24" i="3" s="1"/>
  <c r="S24" i="3"/>
  <c r="V24" i="3" s="1"/>
  <c r="Q24" i="3"/>
  <c r="T24" i="3" s="1"/>
  <c r="W24" i="3" s="1"/>
  <c r="U23" i="3"/>
  <c r="X23" i="3" s="1"/>
  <c r="S23" i="3"/>
  <c r="V23" i="3" s="1"/>
  <c r="Q23" i="3"/>
  <c r="T23" i="3" s="1"/>
  <c r="W23" i="3" s="1"/>
  <c r="U22" i="3"/>
  <c r="X22" i="3" s="1"/>
  <c r="S22" i="3"/>
  <c r="V22" i="3" s="1"/>
  <c r="Q22" i="3"/>
  <c r="T22" i="3" s="1"/>
  <c r="W22" i="3" s="1"/>
  <c r="U21" i="3"/>
  <c r="X21" i="3" s="1"/>
  <c r="S21" i="3"/>
  <c r="V21" i="3" s="1"/>
  <c r="Q21" i="3"/>
  <c r="T21" i="3" s="1"/>
  <c r="W21" i="3" s="1"/>
  <c r="U20" i="3"/>
  <c r="X20" i="3" s="1"/>
  <c r="S20" i="3"/>
  <c r="V20" i="3" s="1"/>
  <c r="Q20" i="3"/>
  <c r="T20" i="3" s="1"/>
  <c r="W20" i="3" s="1"/>
  <c r="U19" i="3"/>
  <c r="X19" i="3" s="1"/>
  <c r="S19" i="3"/>
  <c r="V19" i="3" s="1"/>
  <c r="Q19" i="3"/>
  <c r="T19" i="3" s="1"/>
  <c r="W19" i="3" s="1"/>
  <c r="U18" i="3"/>
  <c r="X18" i="3" s="1"/>
  <c r="S18" i="3"/>
  <c r="V18" i="3" s="1"/>
  <c r="Q18" i="3"/>
  <c r="T18" i="3" s="1"/>
  <c r="W18" i="3" s="1"/>
  <c r="U17" i="3"/>
  <c r="X17" i="3" s="1"/>
  <c r="S17" i="3"/>
  <c r="V17" i="3" s="1"/>
  <c r="Q17" i="3"/>
  <c r="T17" i="3" s="1"/>
  <c r="W17" i="3" s="1"/>
  <c r="U16" i="3"/>
  <c r="X16" i="3" s="1"/>
  <c r="S16" i="3"/>
  <c r="V16" i="3" s="1"/>
  <c r="Q16" i="3"/>
  <c r="T16" i="3" s="1"/>
  <c r="W16" i="3" s="1"/>
  <c r="U15" i="3"/>
  <c r="X15" i="3" s="1"/>
  <c r="S15" i="3"/>
  <c r="V15" i="3" s="1"/>
  <c r="Q15" i="3"/>
  <c r="T15" i="3" s="1"/>
  <c r="W15" i="3" s="1"/>
  <c r="R14" i="3"/>
  <c r="U14" i="3" s="1"/>
  <c r="X14" i="3" s="1"/>
  <c r="P14" i="3"/>
  <c r="S14" i="3" s="1"/>
  <c r="V14" i="3" s="1"/>
  <c r="R13" i="3"/>
  <c r="U13" i="3" s="1"/>
  <c r="X13" i="3" s="1"/>
  <c r="P13" i="3"/>
  <c r="Q13" i="3" s="1"/>
  <c r="T13" i="3" s="1"/>
  <c r="W13" i="3" s="1"/>
  <c r="R12" i="3"/>
  <c r="U12" i="3" s="1"/>
  <c r="X12" i="3" s="1"/>
  <c r="P12" i="3"/>
  <c r="U11" i="3"/>
  <c r="X11" i="3" s="1"/>
  <c r="S11" i="3"/>
  <c r="V11" i="3" s="1"/>
  <c r="Q11" i="3"/>
  <c r="T11" i="3" s="1"/>
  <c r="W11" i="3" s="1"/>
  <c r="U10" i="3"/>
  <c r="X10" i="3" s="1"/>
  <c r="S10" i="3"/>
  <c r="V10" i="3" s="1"/>
  <c r="Q10" i="3"/>
  <c r="T10" i="3" s="1"/>
  <c r="W10" i="3" s="1"/>
  <c r="U9" i="3"/>
  <c r="X9" i="3" s="1"/>
  <c r="S9" i="3"/>
  <c r="V9" i="3" s="1"/>
  <c r="Q9" i="3"/>
  <c r="T9" i="3" s="1"/>
  <c r="W9" i="3" s="1"/>
  <c r="U8" i="3"/>
  <c r="X8" i="3" s="1"/>
  <c r="S8" i="3"/>
  <c r="V8" i="3" s="1"/>
  <c r="Q8" i="3"/>
  <c r="T8" i="3" s="1"/>
  <c r="W8" i="3" s="1"/>
  <c r="U7" i="3"/>
  <c r="X7" i="3" s="1"/>
  <c r="S7" i="3"/>
  <c r="V7" i="3" s="1"/>
  <c r="Q7" i="3"/>
  <c r="T7" i="3" s="1"/>
  <c r="W7" i="3" s="1"/>
  <c r="R6" i="3"/>
  <c r="U6" i="3" s="1"/>
  <c r="X6" i="3" s="1"/>
  <c r="P6" i="3"/>
  <c r="S6" i="3" s="1"/>
  <c r="V6" i="3" s="1"/>
  <c r="U5" i="3"/>
  <c r="X5" i="3" s="1"/>
  <c r="S5" i="3"/>
  <c r="V5" i="3" s="1"/>
  <c r="Q5" i="3"/>
  <c r="T5" i="3" s="1"/>
  <c r="W5" i="3" s="1"/>
  <c r="U4" i="3"/>
  <c r="X4" i="3" s="1"/>
  <c r="S4" i="3"/>
  <c r="V4" i="3" s="1"/>
  <c r="Q4" i="3"/>
  <c r="T4" i="3" s="1"/>
  <c r="W4" i="3" s="1"/>
  <c r="R3" i="3"/>
  <c r="U3" i="3" s="1"/>
  <c r="X3" i="3" s="1"/>
  <c r="P3" i="3"/>
  <c r="S3" i="3" s="1"/>
  <c r="V3" i="3" s="1"/>
  <c r="U2" i="3"/>
  <c r="X2" i="3" s="1"/>
  <c r="S2" i="3"/>
  <c r="V2" i="3" s="1"/>
  <c r="Q2" i="3"/>
  <c r="T2" i="3" s="1"/>
  <c r="W2" i="3" s="1"/>
  <c r="W32" i="2"/>
  <c r="S32" i="2"/>
  <c r="AA31" i="2"/>
  <c r="Y31" i="2"/>
  <c r="W31" i="2"/>
  <c r="AA30" i="2"/>
  <c r="Y30" i="2"/>
  <c r="W30" i="2"/>
  <c r="AA29" i="2"/>
  <c r="Y29" i="2"/>
  <c r="W29" i="2"/>
  <c r="AA28" i="2"/>
  <c r="Y28" i="2"/>
  <c r="W28" i="2"/>
  <c r="AA26" i="2"/>
  <c r="AD26" i="2" s="1"/>
  <c r="Y26" i="2"/>
  <c r="AB26" i="2" s="1"/>
  <c r="W26" i="2"/>
  <c r="AA25" i="2"/>
  <c r="AD25" i="2" s="1"/>
  <c r="Y25" i="2"/>
  <c r="AB25" i="2" s="1"/>
  <c r="W25" i="2"/>
  <c r="AA24" i="2"/>
  <c r="AD24" i="2" s="1"/>
  <c r="Y24" i="2"/>
  <c r="AB24" i="2" s="1"/>
  <c r="W24" i="2"/>
  <c r="AA23" i="2"/>
  <c r="AD23" i="2" s="1"/>
  <c r="Y23" i="2"/>
  <c r="AB23" i="2" s="1"/>
  <c r="W23" i="2"/>
  <c r="AA22" i="2"/>
  <c r="AD22" i="2" s="1"/>
  <c r="Y22" i="2"/>
  <c r="AB22" i="2" s="1"/>
  <c r="W22" i="2"/>
  <c r="AA20" i="2"/>
  <c r="AD20" i="2" s="1"/>
  <c r="Y20" i="2"/>
  <c r="AB20" i="2" s="1"/>
  <c r="W20" i="2"/>
  <c r="AA19" i="2"/>
  <c r="AD19" i="2" s="1"/>
  <c r="Y19" i="2"/>
  <c r="AB19" i="2" s="1"/>
  <c r="W19" i="2"/>
  <c r="X18" i="2"/>
  <c r="V18" i="2"/>
  <c r="X17" i="2"/>
  <c r="V17" i="2"/>
  <c r="X16" i="2"/>
  <c r="V16" i="2"/>
  <c r="AA14" i="2"/>
  <c r="AD14" i="2" s="1"/>
  <c r="Y14" i="2"/>
  <c r="AB14" i="2" s="1"/>
  <c r="W14" i="2"/>
  <c r="AA13" i="2"/>
  <c r="AD13" i="2" s="1"/>
  <c r="Y13" i="2"/>
  <c r="AB13" i="2" s="1"/>
  <c r="W13" i="2"/>
  <c r="AA12" i="2"/>
  <c r="AD12" i="2" s="1"/>
  <c r="Y12" i="2"/>
  <c r="AB12" i="2" s="1"/>
  <c r="W12" i="2"/>
  <c r="AA11" i="2"/>
  <c r="AD11" i="2" s="1"/>
  <c r="Y11" i="2"/>
  <c r="AB11" i="2" s="1"/>
  <c r="W11" i="2"/>
  <c r="AA10" i="2"/>
  <c r="AD10" i="2" s="1"/>
  <c r="Y10" i="2"/>
  <c r="AB10" i="2" s="1"/>
  <c r="W10" i="2"/>
  <c r="X8" i="2"/>
  <c r="V8" i="2"/>
  <c r="AA7" i="2"/>
  <c r="AD7" i="2" s="1"/>
  <c r="Y7" i="2"/>
  <c r="AB7" i="2" s="1"/>
  <c r="W7" i="2"/>
  <c r="AA6" i="2"/>
  <c r="AD6" i="2" s="1"/>
  <c r="Y6" i="2"/>
  <c r="AB6" i="2" s="1"/>
  <c r="W6" i="2"/>
  <c r="X5" i="2"/>
  <c r="V5" i="2"/>
  <c r="W4" i="2"/>
  <c r="DG37" i="9" l="1"/>
  <c r="DF43" i="9" s="1"/>
  <c r="DC43" i="9"/>
  <c r="BG43" i="9"/>
  <c r="BK37" i="9"/>
  <c r="BJ43" i="9" s="1"/>
  <c r="BY43" i="9"/>
  <c r="CC37" i="9"/>
  <c r="CB43" i="9" s="1"/>
  <c r="CK43" i="9"/>
  <c r="CO37" i="9"/>
  <c r="CN43" i="9" s="1"/>
  <c r="DA37" i="9"/>
  <c r="CZ43" i="9" s="1"/>
  <c r="CW43" i="9"/>
  <c r="DD36" i="9"/>
  <c r="CU37" i="9"/>
  <c r="CT43" i="9" s="1"/>
  <c r="CQ43" i="9"/>
  <c r="AR40" i="9"/>
  <c r="DD34" i="9"/>
  <c r="AR42" i="9"/>
  <c r="BS43" i="9"/>
  <c r="BW37" i="9"/>
  <c r="BV43" i="9" s="1"/>
  <c r="AR41" i="9"/>
  <c r="DD35" i="9"/>
  <c r="BM43" i="9"/>
  <c r="BQ37" i="9"/>
  <c r="BP43" i="9" s="1"/>
  <c r="AR44" i="9"/>
  <c r="DD38" i="9"/>
  <c r="CI37" i="9"/>
  <c r="CH43" i="9" s="1"/>
  <c r="CE43" i="9"/>
  <c r="BE37" i="9"/>
  <c r="BD43" i="9" s="1"/>
  <c r="BA43" i="9"/>
  <c r="AU36" i="19"/>
  <c r="AT42" i="19" s="1"/>
  <c r="M148" i="19"/>
  <c r="Y55" i="19"/>
  <c r="Y40" i="19"/>
  <c r="Y46" i="19" s="1"/>
  <c r="O115" i="19"/>
  <c r="Y53" i="19"/>
  <c r="J128" i="19"/>
  <c r="T128" i="19"/>
  <c r="N128" i="19"/>
  <c r="O128" i="19"/>
  <c r="P128" i="19"/>
  <c r="S128" i="19"/>
  <c r="BM36" i="19"/>
  <c r="BL42" i="19" s="1"/>
  <c r="Z36" i="19"/>
  <c r="Y42" i="19" s="1"/>
  <c r="Y48" i="19" s="1"/>
  <c r="AF34" i="19"/>
  <c r="AE40" i="19" s="1"/>
  <c r="BJ36" i="19"/>
  <c r="BI42" i="19" s="1"/>
  <c r="BG36" i="19"/>
  <c r="AX34" i="19"/>
  <c r="J126" i="19"/>
  <c r="J115" i="19"/>
  <c r="P115" i="19"/>
  <c r="W115" i="19"/>
  <c r="N126" i="19"/>
  <c r="N118" i="19"/>
  <c r="P145" i="19"/>
  <c r="S126" i="19"/>
  <c r="W126" i="19"/>
  <c r="T126" i="19"/>
  <c r="Z35" i="19"/>
  <c r="Y41" i="19" s="1"/>
  <c r="Y47" i="19" s="1"/>
  <c r="AO34" i="19"/>
  <c r="M145" i="19"/>
  <c r="J145" i="19"/>
  <c r="BG38" i="19"/>
  <c r="P118" i="19"/>
  <c r="T115" i="19"/>
  <c r="M115" i="19"/>
  <c r="Q127" i="19"/>
  <c r="N145" i="19"/>
  <c r="O145" i="19"/>
  <c r="N115" i="19"/>
  <c r="S115" i="19"/>
  <c r="O126" i="19"/>
  <c r="S145" i="19"/>
  <c r="W127" i="19"/>
  <c r="AR36" i="19"/>
  <c r="AQ42" i="19" s="1"/>
  <c r="M128" i="19"/>
  <c r="W128" i="19"/>
  <c r="Q126" i="19"/>
  <c r="AM18" i="19"/>
  <c r="AM36" i="19" s="1"/>
  <c r="AJ36" i="19"/>
  <c r="X148" i="19"/>
  <c r="W148" i="19"/>
  <c r="V148" i="19"/>
  <c r="R148" i="19"/>
  <c r="R118" i="19"/>
  <c r="AC8" i="19"/>
  <c r="AC38" i="19" s="1"/>
  <c r="AB44" i="19" s="1"/>
  <c r="V118" i="19"/>
  <c r="X118" i="19"/>
  <c r="S118" i="19"/>
  <c r="AI18" i="19"/>
  <c r="AF36" i="19"/>
  <c r="AE42" i="19" s="1"/>
  <c r="O127" i="19"/>
  <c r="S127" i="19"/>
  <c r="N148" i="19"/>
  <c r="S148" i="19"/>
  <c r="J118" i="19"/>
  <c r="BA34" i="19"/>
  <c r="AZ40" i="19" s="1"/>
  <c r="BD28" i="19"/>
  <c r="BD34" i="19" s="1"/>
  <c r="BC40" i="19" s="1"/>
  <c r="BA17" i="19"/>
  <c r="AX35" i="19"/>
  <c r="AR8" i="19"/>
  <c r="AO38" i="19"/>
  <c r="W118" i="19"/>
  <c r="AO35" i="19"/>
  <c r="AR37" i="19"/>
  <c r="AQ43" i="19" s="1"/>
  <c r="AU31" i="19"/>
  <c r="AU37" i="19" s="1"/>
  <c r="AT43" i="19" s="1"/>
  <c r="BJ16" i="19"/>
  <c r="BG34" i="19"/>
  <c r="AC37" i="19"/>
  <c r="AB43" i="19" s="1"/>
  <c r="AI17" i="19"/>
  <c r="AF35" i="19"/>
  <c r="AE41" i="19" s="1"/>
  <c r="P127" i="19"/>
  <c r="J148" i="19"/>
  <c r="AU29" i="19"/>
  <c r="AU35" i="19" s="1"/>
  <c r="AT41" i="19" s="1"/>
  <c r="AR35" i="19"/>
  <c r="AQ41" i="19" s="1"/>
  <c r="AI8" i="19"/>
  <c r="AF38" i="19"/>
  <c r="AE44" i="19" s="1"/>
  <c r="O148" i="19"/>
  <c r="BA18" i="19"/>
  <c r="AX36" i="19"/>
  <c r="BM29" i="19"/>
  <c r="BM35" i="19" s="1"/>
  <c r="BL41" i="19" s="1"/>
  <c r="BJ35" i="19"/>
  <c r="BI41" i="19" s="1"/>
  <c r="AL31" i="19"/>
  <c r="AL37" i="19" s="1"/>
  <c r="AK43" i="19" s="1"/>
  <c r="AI37" i="19"/>
  <c r="AH43" i="19" s="1"/>
  <c r="BA8" i="19"/>
  <c r="AX38" i="19"/>
  <c r="O118" i="19"/>
  <c r="Q148" i="19"/>
  <c r="T118" i="19"/>
  <c r="BG35" i="19"/>
  <c r="AI34" i="19"/>
  <c r="AH40" i="19" s="1"/>
  <c r="AL28" i="19"/>
  <c r="AL34" i="19" s="1"/>
  <c r="AK40" i="19" s="1"/>
  <c r="BJ37" i="19"/>
  <c r="BI43" i="19" s="1"/>
  <c r="BM31" i="19"/>
  <c r="BM37" i="19" s="1"/>
  <c r="BL43" i="19" s="1"/>
  <c r="R126" i="19"/>
  <c r="AC16" i="19"/>
  <c r="AC34" i="19" s="1"/>
  <c r="AB40" i="19" s="1"/>
  <c r="V126" i="19"/>
  <c r="X126" i="19"/>
  <c r="P148" i="19"/>
  <c r="T127" i="19"/>
  <c r="Q118" i="19"/>
  <c r="T148" i="19"/>
  <c r="R145" i="19"/>
  <c r="R115" i="19"/>
  <c r="W145" i="19"/>
  <c r="X145" i="19"/>
  <c r="V145" i="19"/>
  <c r="AC5" i="19"/>
  <c r="V115" i="19"/>
  <c r="X115" i="19"/>
  <c r="T145" i="19"/>
  <c r="Q115" i="19"/>
  <c r="Z38" i="19"/>
  <c r="Y44" i="19" s="1"/>
  <c r="Y50" i="19" s="1"/>
  <c r="AR34" i="19"/>
  <c r="AQ40" i="19" s="1"/>
  <c r="AU28" i="19"/>
  <c r="AU34" i="19" s="1"/>
  <c r="AT40" i="19" s="1"/>
  <c r="R127" i="19"/>
  <c r="AC17" i="19"/>
  <c r="X127" i="19"/>
  <c r="V127" i="19"/>
  <c r="M127" i="19"/>
  <c r="J127" i="19"/>
  <c r="M118" i="19"/>
  <c r="R128" i="19"/>
  <c r="AC18" i="19"/>
  <c r="AC36" i="19" s="1"/>
  <c r="AB42" i="19" s="1"/>
  <c r="X128" i="19"/>
  <c r="V128" i="19"/>
  <c r="Q145" i="19"/>
  <c r="BJ38" i="19"/>
  <c r="BI44" i="19" s="1"/>
  <c r="BM32" i="19"/>
  <c r="BM38" i="19" s="1"/>
  <c r="BL44" i="19" s="1"/>
  <c r="M126" i="19"/>
  <c r="BA37" i="19"/>
  <c r="AZ43" i="19" s="1"/>
  <c r="BD31" i="19"/>
  <c r="BD37" i="19" s="1"/>
  <c r="BC43" i="19" s="1"/>
  <c r="W103" i="9"/>
  <c r="AF121" i="9"/>
  <c r="AV38" i="9"/>
  <c r="AC104" i="9"/>
  <c r="AO124" i="9"/>
  <c r="K94" i="9"/>
  <c r="AS104" i="9"/>
  <c r="Z103" i="9"/>
  <c r="K103" i="9"/>
  <c r="AS103" i="9"/>
  <c r="AF103" i="9"/>
  <c r="Z94" i="9"/>
  <c r="AU44" i="9"/>
  <c r="AO104" i="9"/>
  <c r="Z124" i="9"/>
  <c r="AY37" i="9"/>
  <c r="AX43" i="9" s="1"/>
  <c r="T103" i="9"/>
  <c r="Z104" i="9"/>
  <c r="AC91" i="9"/>
  <c r="W102" i="9"/>
  <c r="AC102" i="9"/>
  <c r="K102" i="9"/>
  <c r="AF91" i="9"/>
  <c r="AL102" i="9"/>
  <c r="AO102" i="9"/>
  <c r="AL94" i="9"/>
  <c r="T121" i="9"/>
  <c r="AF104" i="9"/>
  <c r="AT124" i="9"/>
  <c r="AS124" i="9"/>
  <c r="AR124" i="9"/>
  <c r="AI124" i="9"/>
  <c r="AI94" i="9"/>
  <c r="AY8" i="9"/>
  <c r="AY38" i="9" s="1"/>
  <c r="AX44" i="9" s="1"/>
  <c r="AR94" i="9"/>
  <c r="AT94" i="9"/>
  <c r="AF94" i="9"/>
  <c r="K124" i="9"/>
  <c r="W121" i="9"/>
  <c r="T102" i="9"/>
  <c r="AO94" i="9"/>
  <c r="AF124" i="9"/>
  <c r="T91" i="9"/>
  <c r="AO91" i="9"/>
  <c r="AL91" i="9"/>
  <c r="AI104" i="9"/>
  <c r="AY18" i="9"/>
  <c r="AY36" i="9" s="1"/>
  <c r="AX42" i="9" s="1"/>
  <c r="AT104" i="9"/>
  <c r="AR104" i="9"/>
  <c r="W104" i="9"/>
  <c r="AV36" i="9"/>
  <c r="AU42" i="9" s="1"/>
  <c r="AO121" i="9"/>
  <c r="AL121" i="9"/>
  <c r="AI102" i="9"/>
  <c r="AY16" i="9"/>
  <c r="AY34" i="9" s="1"/>
  <c r="AX40" i="9" s="1"/>
  <c r="AT102" i="9"/>
  <c r="AR102" i="9"/>
  <c r="W94" i="9"/>
  <c r="AC94" i="9"/>
  <c r="Z91" i="9"/>
  <c r="K91" i="9"/>
  <c r="AF102" i="9"/>
  <c r="AV35" i="9"/>
  <c r="AU41" i="9" s="1"/>
  <c r="K104" i="9"/>
  <c r="AL104" i="9"/>
  <c r="W124" i="9"/>
  <c r="AC124" i="9"/>
  <c r="T94" i="9"/>
  <c r="Z121" i="9"/>
  <c r="AI121" i="9"/>
  <c r="AI91" i="9"/>
  <c r="AS121" i="9"/>
  <c r="AR121" i="9"/>
  <c r="AT121" i="9"/>
  <c r="AY5" i="9"/>
  <c r="AR91" i="9"/>
  <c r="AT91" i="9"/>
  <c r="AC121" i="9"/>
  <c r="AI103" i="9"/>
  <c r="AY17" i="9"/>
  <c r="AR103" i="9"/>
  <c r="AT103" i="9"/>
  <c r="AO103" i="9"/>
  <c r="AL103" i="9"/>
  <c r="AV34" i="9"/>
  <c r="AU40" i="9" s="1"/>
  <c r="Z102" i="9"/>
  <c r="AL124" i="9"/>
  <c r="T124" i="9"/>
  <c r="W91" i="9"/>
  <c r="K121" i="9"/>
  <c r="V84" i="2"/>
  <c r="S83" i="2"/>
  <c r="T83" i="2"/>
  <c r="Q83" i="2"/>
  <c r="J47" i="2"/>
  <c r="N83" i="2"/>
  <c r="M83" i="2"/>
  <c r="P83" i="2"/>
  <c r="O83" i="2"/>
  <c r="X87" i="2"/>
  <c r="V51" i="2"/>
  <c r="V87" i="2"/>
  <c r="X84" i="2"/>
  <c r="V85" i="2"/>
  <c r="W86" i="2"/>
  <c r="S86" i="2"/>
  <c r="T86" i="2"/>
  <c r="O123" i="2"/>
  <c r="N86" i="2"/>
  <c r="O86" i="2"/>
  <c r="P86" i="2"/>
  <c r="J86" i="2"/>
  <c r="M86" i="2"/>
  <c r="P123" i="2"/>
  <c r="Q86" i="2"/>
  <c r="V83" i="2"/>
  <c r="W85" i="2"/>
  <c r="X85" i="2"/>
  <c r="N85" i="2"/>
  <c r="Q85" i="2"/>
  <c r="O85" i="2"/>
  <c r="P85" i="2"/>
  <c r="T122" i="2"/>
  <c r="S85" i="2"/>
  <c r="T85" i="2"/>
  <c r="J85" i="2"/>
  <c r="M85" i="2"/>
  <c r="P122" i="2"/>
  <c r="X83" i="2"/>
  <c r="V61" i="2"/>
  <c r="Z19" i="2"/>
  <c r="N105" i="2" s="1"/>
  <c r="N62" i="2"/>
  <c r="O62" i="2"/>
  <c r="M62" i="2"/>
  <c r="O105" i="2"/>
  <c r="J62" i="2"/>
  <c r="S62" i="2"/>
  <c r="W62" i="2"/>
  <c r="Q105" i="2"/>
  <c r="T62" i="2"/>
  <c r="Q62" i="2"/>
  <c r="T105" i="2"/>
  <c r="P62" i="2"/>
  <c r="S71" i="2"/>
  <c r="Q71" i="2"/>
  <c r="P71" i="2"/>
  <c r="W71" i="2"/>
  <c r="O71" i="2"/>
  <c r="N71" i="2"/>
  <c r="J71" i="2"/>
  <c r="M71" i="2"/>
  <c r="T71" i="2"/>
  <c r="X60" i="2"/>
  <c r="J73" i="2"/>
  <c r="O73" i="2"/>
  <c r="M73" i="2"/>
  <c r="T73" i="2"/>
  <c r="P73" i="2"/>
  <c r="S73" i="2"/>
  <c r="Q73" i="2"/>
  <c r="W73" i="2"/>
  <c r="N73" i="2"/>
  <c r="AP8" i="2"/>
  <c r="AS8" i="2" s="1"/>
  <c r="AV8" i="2" s="1"/>
  <c r="X51" i="2"/>
  <c r="Z10" i="2"/>
  <c r="O96" i="2"/>
  <c r="S53" i="2"/>
  <c r="T96" i="2"/>
  <c r="Q53" i="2"/>
  <c r="Q96" i="2"/>
  <c r="P53" i="2"/>
  <c r="O53" i="2"/>
  <c r="P96" i="2"/>
  <c r="T53" i="2"/>
  <c r="N53" i="2"/>
  <c r="J53" i="2"/>
  <c r="S96" i="2"/>
  <c r="N96" i="2"/>
  <c r="J96" i="2"/>
  <c r="M53" i="2"/>
  <c r="W53" i="2"/>
  <c r="X61" i="2"/>
  <c r="Z6" i="2"/>
  <c r="O122" i="2" s="1"/>
  <c r="Q49" i="2"/>
  <c r="J92" i="2"/>
  <c r="S49" i="2"/>
  <c r="N49" i="2"/>
  <c r="T49" i="2"/>
  <c r="O92" i="2"/>
  <c r="W49" i="2"/>
  <c r="J49" i="2"/>
  <c r="M49" i="2"/>
  <c r="N92" i="2"/>
  <c r="O49" i="2"/>
  <c r="P49" i="2"/>
  <c r="Z11" i="2"/>
  <c r="Q97" i="2" s="1"/>
  <c r="T54" i="2"/>
  <c r="S54" i="2"/>
  <c r="Q54" i="2"/>
  <c r="P54" i="2"/>
  <c r="N54" i="2"/>
  <c r="W54" i="2"/>
  <c r="O54" i="2"/>
  <c r="M54" i="2"/>
  <c r="J54" i="2"/>
  <c r="V60" i="2"/>
  <c r="BG4" i="2"/>
  <c r="BJ4" i="2" s="1"/>
  <c r="BM4" i="2" s="1"/>
  <c r="Q47" i="2"/>
  <c r="S47" i="2"/>
  <c r="P47" i="2"/>
  <c r="W47" i="2"/>
  <c r="O47" i="2"/>
  <c r="N47" i="2"/>
  <c r="M47" i="2"/>
  <c r="T47" i="2"/>
  <c r="Z26" i="2"/>
  <c r="P69" i="2"/>
  <c r="O69" i="2"/>
  <c r="T69" i="2"/>
  <c r="N69" i="2"/>
  <c r="M69" i="2"/>
  <c r="J69" i="2"/>
  <c r="W69" i="2"/>
  <c r="Q69" i="2"/>
  <c r="S69" i="2"/>
  <c r="Y5" i="2"/>
  <c r="AB5" i="2" s="1"/>
  <c r="V48" i="2"/>
  <c r="Z23" i="2"/>
  <c r="S109" i="2" s="1"/>
  <c r="O109" i="2"/>
  <c r="M66" i="2"/>
  <c r="Q109" i="2"/>
  <c r="T66" i="2"/>
  <c r="M109" i="2"/>
  <c r="S66" i="2"/>
  <c r="Q66" i="2"/>
  <c r="N109" i="2"/>
  <c r="P66" i="2"/>
  <c r="T109" i="2"/>
  <c r="N66" i="2"/>
  <c r="W66" i="2"/>
  <c r="P109" i="2"/>
  <c r="O66" i="2"/>
  <c r="J66" i="2"/>
  <c r="AA5" i="2"/>
  <c r="AD5" i="2" s="1"/>
  <c r="X48" i="2"/>
  <c r="N74" i="2"/>
  <c r="M74" i="2"/>
  <c r="Q74" i="2"/>
  <c r="O74" i="2"/>
  <c r="J74" i="2"/>
  <c r="W74" i="2"/>
  <c r="S74" i="2"/>
  <c r="T74" i="2"/>
  <c r="P74" i="2"/>
  <c r="Z24" i="2"/>
  <c r="P110" i="2" s="1"/>
  <c r="J67" i="2"/>
  <c r="W67" i="2"/>
  <c r="M67" i="2"/>
  <c r="J110" i="2"/>
  <c r="T67" i="2"/>
  <c r="S67" i="2"/>
  <c r="O67" i="2"/>
  <c r="Q67" i="2"/>
  <c r="P67" i="2"/>
  <c r="N67" i="2"/>
  <c r="Z20" i="2"/>
  <c r="P106" i="2" s="1"/>
  <c r="P63" i="2"/>
  <c r="W63" i="2"/>
  <c r="O63" i="2"/>
  <c r="T63" i="2"/>
  <c r="N63" i="2"/>
  <c r="M63" i="2"/>
  <c r="J63" i="2"/>
  <c r="Q63" i="2"/>
  <c r="S63" i="2"/>
  <c r="S75" i="2"/>
  <c r="Z7" i="2"/>
  <c r="M123" i="2" s="1"/>
  <c r="T50" i="2"/>
  <c r="W50" i="2"/>
  <c r="J50" i="2"/>
  <c r="O50" i="2"/>
  <c r="M50" i="2"/>
  <c r="N50" i="2"/>
  <c r="P50" i="2"/>
  <c r="Q50" i="2"/>
  <c r="S50" i="2"/>
  <c r="V59" i="2"/>
  <c r="W72" i="2"/>
  <c r="T72" i="2"/>
  <c r="S72" i="2"/>
  <c r="Q72" i="2"/>
  <c r="M115" i="2"/>
  <c r="P72" i="2"/>
  <c r="O72" i="2"/>
  <c r="N72" i="2"/>
  <c r="M72" i="2"/>
  <c r="J72" i="2"/>
  <c r="Z22" i="2"/>
  <c r="T108" i="2" s="1"/>
  <c r="S65" i="2"/>
  <c r="Q65" i="2"/>
  <c r="P65" i="2"/>
  <c r="O65" i="2"/>
  <c r="N65" i="2"/>
  <c r="M65" i="2"/>
  <c r="J65" i="2"/>
  <c r="W65" i="2"/>
  <c r="T65" i="2"/>
  <c r="Z13" i="2"/>
  <c r="T99" i="2" s="1"/>
  <c r="N56" i="2"/>
  <c r="Q56" i="2"/>
  <c r="M56" i="2"/>
  <c r="J56" i="2"/>
  <c r="T56" i="2"/>
  <c r="S56" i="2"/>
  <c r="W56" i="2"/>
  <c r="O56" i="2"/>
  <c r="P56" i="2"/>
  <c r="Z14" i="2"/>
  <c r="W100" i="2" s="1"/>
  <c r="P57" i="2"/>
  <c r="O57" i="2"/>
  <c r="T57" i="2"/>
  <c r="N57" i="2"/>
  <c r="Q57" i="2"/>
  <c r="M57" i="2"/>
  <c r="W57" i="2"/>
  <c r="J57" i="2"/>
  <c r="S57" i="2"/>
  <c r="P75" i="2"/>
  <c r="W75" i="2"/>
  <c r="O75" i="2"/>
  <c r="N75" i="2"/>
  <c r="M75" i="2"/>
  <c r="J75" i="2"/>
  <c r="Q75" i="2"/>
  <c r="T75" i="2"/>
  <c r="Z12" i="2"/>
  <c r="Q98" i="2"/>
  <c r="J55" i="2"/>
  <c r="O55" i="2"/>
  <c r="W55" i="2"/>
  <c r="M55" i="2"/>
  <c r="S98" i="2"/>
  <c r="N98" i="2"/>
  <c r="J98" i="2"/>
  <c r="T55" i="2"/>
  <c r="P55" i="2"/>
  <c r="W98" i="2"/>
  <c r="P98" i="2"/>
  <c r="S55" i="2"/>
  <c r="T98" i="2"/>
  <c r="Q55" i="2"/>
  <c r="O98" i="2"/>
  <c r="M98" i="2"/>
  <c r="N55" i="2"/>
  <c r="X59" i="2"/>
  <c r="Z25" i="2"/>
  <c r="N68" i="2"/>
  <c r="M111" i="2"/>
  <c r="M68" i="2"/>
  <c r="Q111" i="2"/>
  <c r="S111" i="2"/>
  <c r="N111" i="2"/>
  <c r="J111" i="2"/>
  <c r="J68" i="2"/>
  <c r="Q68" i="2"/>
  <c r="P111" i="2"/>
  <c r="S68" i="2"/>
  <c r="O68" i="2"/>
  <c r="W111" i="2"/>
  <c r="T111" i="2"/>
  <c r="W68" i="2"/>
  <c r="T68" i="2"/>
  <c r="O111" i="2"/>
  <c r="P68" i="2"/>
  <c r="AG17" i="2"/>
  <c r="AJ17" i="2" s="1"/>
  <c r="AM17" i="2" s="1"/>
  <c r="X35" i="2"/>
  <c r="AH28" i="2"/>
  <c r="AZ28" i="2"/>
  <c r="BC28" i="2" s="1"/>
  <c r="BB31" i="2"/>
  <c r="BE31" i="2" s="1"/>
  <c r="AY37" i="2"/>
  <c r="AS28" i="2"/>
  <c r="AV28" i="2" s="1"/>
  <c r="AG18" i="2"/>
  <c r="AJ18" i="2" s="1"/>
  <c r="AM18" i="2" s="1"/>
  <c r="X36" i="2"/>
  <c r="AD30" i="2"/>
  <c r="AJ28" i="2"/>
  <c r="AM28" i="2" s="1"/>
  <c r="BB28" i="2"/>
  <c r="BE28" i="2" s="1"/>
  <c r="AS30" i="2"/>
  <c r="AV30" i="2" s="1"/>
  <c r="BI31" i="2"/>
  <c r="BF37" i="2"/>
  <c r="BK29" i="2"/>
  <c r="BN29" i="2" s="1"/>
  <c r="Y18" i="2"/>
  <c r="AB18" i="2" s="1"/>
  <c r="V36" i="2"/>
  <c r="Z31" i="2"/>
  <c r="P117" i="2" s="1"/>
  <c r="W37" i="2"/>
  <c r="AH29" i="2"/>
  <c r="AK29" i="2" s="1"/>
  <c r="AO4" i="2"/>
  <c r="AR4" i="2" s="1"/>
  <c r="AU4" i="2" s="1"/>
  <c r="AO26" i="2"/>
  <c r="AR26" i="2" s="1"/>
  <c r="AU26" i="2" s="1"/>
  <c r="BI28" i="2"/>
  <c r="BL28" i="2" s="1"/>
  <c r="AQ30" i="2"/>
  <c r="AT30" i="2" s="1"/>
  <c r="BK31" i="2"/>
  <c r="BN31" i="2" s="1"/>
  <c r="BH37" i="2"/>
  <c r="BK28" i="2"/>
  <c r="BN28" i="2" s="1"/>
  <c r="AZ30" i="2"/>
  <c r="BC30" i="2" s="1"/>
  <c r="AA8" i="2"/>
  <c r="AD8" i="2" s="1"/>
  <c r="X38" i="2"/>
  <c r="AQ29" i="2"/>
  <c r="AT29" i="2" s="1"/>
  <c r="BB30" i="2"/>
  <c r="BE30" i="2" s="1"/>
  <c r="AZ31" i="2"/>
  <c r="BC31" i="2" s="1"/>
  <c r="AW37" i="2"/>
  <c r="BG13" i="2"/>
  <c r="BJ13" i="2" s="1"/>
  <c r="BM13" i="2" s="1"/>
  <c r="AS29" i="2"/>
  <c r="AV29" i="2" s="1"/>
  <c r="BI30" i="2"/>
  <c r="AJ32" i="2"/>
  <c r="AM32" i="2" s="1"/>
  <c r="BF18" i="2"/>
  <c r="BI18" i="2" s="1"/>
  <c r="BL18" i="2" s="1"/>
  <c r="AD28" i="2"/>
  <c r="Z29" i="2"/>
  <c r="S115" i="2" s="1"/>
  <c r="BG32" i="2"/>
  <c r="AH31" i="2"/>
  <c r="AH37" i="2" s="1"/>
  <c r="AE37" i="2"/>
  <c r="AZ29" i="2"/>
  <c r="BC29" i="2" s="1"/>
  <c r="BK30" i="2"/>
  <c r="BN30" i="2" s="1"/>
  <c r="Z30" i="2"/>
  <c r="Z28" i="2"/>
  <c r="N114" i="2" s="1"/>
  <c r="AJ29" i="2"/>
  <c r="AM29" i="2" s="1"/>
  <c r="AD31" i="2"/>
  <c r="AD37" i="2" s="1"/>
  <c r="AA37" i="2"/>
  <c r="AJ30" i="2"/>
  <c r="AM30" i="2" s="1"/>
  <c r="AJ31" i="2"/>
  <c r="AM31" i="2" s="1"/>
  <c r="AG37" i="2"/>
  <c r="BB29" i="2"/>
  <c r="BE29" i="2" s="1"/>
  <c r="AQ31" i="2"/>
  <c r="AT31" i="2" s="1"/>
  <c r="AN37" i="2"/>
  <c r="AN8" i="2"/>
  <c r="AQ8" i="2" s="1"/>
  <c r="AT8" i="2" s="1"/>
  <c r="V38" i="2"/>
  <c r="AF14" i="2"/>
  <c r="AI14" i="2" s="1"/>
  <c r="AL14" i="2" s="1"/>
  <c r="AA32" i="2"/>
  <c r="S38" i="2"/>
  <c r="S44" i="2" s="1"/>
  <c r="Y16" i="2"/>
  <c r="AB16" i="2" s="1"/>
  <c r="V34" i="2"/>
  <c r="AA16" i="2"/>
  <c r="AD16" i="2" s="1"/>
  <c r="X34" i="2"/>
  <c r="Y17" i="2"/>
  <c r="AB17" i="2" s="1"/>
  <c r="V35" i="2"/>
  <c r="AD29" i="2"/>
  <c r="AF26" i="2"/>
  <c r="AI26" i="2" s="1"/>
  <c r="AL26" i="2" s="1"/>
  <c r="BF8" i="2"/>
  <c r="BI8" i="2" s="1"/>
  <c r="BL8" i="2" s="1"/>
  <c r="AQ28" i="2"/>
  <c r="AT28" i="2" s="1"/>
  <c r="BI29" i="2"/>
  <c r="BL29" i="2" s="1"/>
  <c r="AS31" i="2"/>
  <c r="AV31" i="2" s="1"/>
  <c r="AP37" i="2"/>
  <c r="BE7" i="2"/>
  <c r="BB37" i="2"/>
  <c r="BN6" i="2"/>
  <c r="AM7" i="2"/>
  <c r="BE6" i="2"/>
  <c r="AM6" i="2"/>
  <c r="BN7" i="2"/>
  <c r="AV7" i="2"/>
  <c r="AV6" i="2"/>
  <c r="AM4" i="2"/>
  <c r="BN4" i="2"/>
  <c r="AV4" i="2"/>
  <c r="BE4" i="2"/>
  <c r="AF12" i="2"/>
  <c r="AI12" i="2" s="1"/>
  <c r="AL12" i="2" s="1"/>
  <c r="BH8" i="2"/>
  <c r="BK8" i="2" s="1"/>
  <c r="AW18" i="2"/>
  <c r="AZ18" i="2" s="1"/>
  <c r="BC18" i="2" s="1"/>
  <c r="AO20" i="2"/>
  <c r="AR20" i="2" s="1"/>
  <c r="AU20" i="2" s="1"/>
  <c r="AX29" i="2"/>
  <c r="BL31" i="2"/>
  <c r="BI37" i="2"/>
  <c r="BL30" i="2"/>
  <c r="AQ32" i="2"/>
  <c r="AH32" i="2"/>
  <c r="AY16" i="2"/>
  <c r="BB16" i="2" s="1"/>
  <c r="BE16" i="2" s="1"/>
  <c r="BG22" i="2"/>
  <c r="BJ22" i="2" s="1"/>
  <c r="BM22" i="2" s="1"/>
  <c r="AO25" i="2"/>
  <c r="AR25" i="2" s="1"/>
  <c r="AU25" i="2" s="1"/>
  <c r="BG30" i="2"/>
  <c r="AO32" i="2"/>
  <c r="AF7" i="2"/>
  <c r="AI7" i="2" s="1"/>
  <c r="AL7" i="2" s="1"/>
  <c r="AK28" i="2"/>
  <c r="BF16" i="2"/>
  <c r="BI16" i="2" s="1"/>
  <c r="BL16" i="2" s="1"/>
  <c r="AB30" i="2"/>
  <c r="AX4" i="2"/>
  <c r="BA4" i="2" s="1"/>
  <c r="BD4" i="2" s="1"/>
  <c r="BG7" i="2"/>
  <c r="BJ7" i="2" s="1"/>
  <c r="BM7" i="2" s="1"/>
  <c r="AO12" i="2"/>
  <c r="AR12" i="2" s="1"/>
  <c r="AU12" i="2" s="1"/>
  <c r="AO13" i="2"/>
  <c r="AR13" i="2" s="1"/>
  <c r="AU13" i="2" s="1"/>
  <c r="BH16" i="2"/>
  <c r="BK16" i="2" s="1"/>
  <c r="BN16" i="2" s="1"/>
  <c r="AO30" i="2"/>
  <c r="AK30" i="2"/>
  <c r="AN17" i="2"/>
  <c r="AQ17" i="2" s="1"/>
  <c r="AT17" i="2" s="1"/>
  <c r="AX32" i="2"/>
  <c r="AB29" i="2"/>
  <c r="AN16" i="2"/>
  <c r="AQ16" i="2" s="1"/>
  <c r="AT16" i="2" s="1"/>
  <c r="AE16" i="2"/>
  <c r="AH16" i="2" s="1"/>
  <c r="AK16" i="2" s="1"/>
  <c r="AW17" i="2"/>
  <c r="AZ17" i="2" s="1"/>
  <c r="BC17" i="2" s="1"/>
  <c r="AO29" i="2"/>
  <c r="AB31" i="2"/>
  <c r="Y37" i="2"/>
  <c r="AF4" i="2"/>
  <c r="AI4" i="2" s="1"/>
  <c r="AL4" i="2" s="1"/>
  <c r="AG16" i="2"/>
  <c r="AJ16" i="2" s="1"/>
  <c r="AM16" i="2" s="1"/>
  <c r="AY17" i="2"/>
  <c r="BB17" i="2" s="1"/>
  <c r="BE17" i="2" s="1"/>
  <c r="AO22" i="2"/>
  <c r="AR22" i="2" s="1"/>
  <c r="AU22" i="2" s="1"/>
  <c r="BG26" i="2"/>
  <c r="BJ26" i="2" s="1"/>
  <c r="BM26" i="2" s="1"/>
  <c r="AO7" i="2"/>
  <c r="AR7" i="2" s="1"/>
  <c r="AU7" i="2" s="1"/>
  <c r="AB28" i="2"/>
  <c r="AF30" i="2"/>
  <c r="AX12" i="2"/>
  <c r="BA12" i="2" s="1"/>
  <c r="BD12" i="2" s="1"/>
  <c r="AX13" i="2"/>
  <c r="BA13" i="2" s="1"/>
  <c r="BD13" i="2" s="1"/>
  <c r="BF17" i="2"/>
  <c r="BI17" i="2" s="1"/>
  <c r="BL17" i="2" s="1"/>
  <c r="BG25" i="2"/>
  <c r="BJ25" i="2" s="1"/>
  <c r="BM25" i="2" s="1"/>
  <c r="AX30" i="2"/>
  <c r="AX23" i="2"/>
  <c r="BA23" i="2" s="1"/>
  <c r="BD23" i="2" s="1"/>
  <c r="BG10" i="2"/>
  <c r="BJ10" i="2" s="1"/>
  <c r="BM10" i="2" s="1"/>
  <c r="BG14" i="2"/>
  <c r="BJ14" i="2" s="1"/>
  <c r="BM14" i="2" s="1"/>
  <c r="AP18" i="2"/>
  <c r="AS18" i="2" s="1"/>
  <c r="AV18" i="2" s="1"/>
  <c r="AO24" i="2"/>
  <c r="AR24" i="2" s="1"/>
  <c r="AU24" i="2" s="1"/>
  <c r="BF5" i="2"/>
  <c r="BI5" i="2" s="1"/>
  <c r="BL5" i="2" s="1"/>
  <c r="AF11" i="2"/>
  <c r="AI11" i="2" s="1"/>
  <c r="AL11" i="2" s="1"/>
  <c r="AF23" i="2"/>
  <c r="AI23" i="2" s="1"/>
  <c r="AL23" i="2" s="1"/>
  <c r="AX6" i="2"/>
  <c r="BA6" i="2" s="1"/>
  <c r="BD6" i="2" s="1"/>
  <c r="AO10" i="2"/>
  <c r="AR10" i="2" s="1"/>
  <c r="AU10" i="2" s="1"/>
  <c r="BH18" i="2"/>
  <c r="BK18" i="2" s="1"/>
  <c r="BN18" i="2" s="1"/>
  <c r="AN5" i="2"/>
  <c r="AQ5" i="2" s="1"/>
  <c r="AT5" i="2" s="1"/>
  <c r="AF6" i="2"/>
  <c r="AI6" i="2" s="1"/>
  <c r="AL6" i="2" s="1"/>
  <c r="AF31" i="2"/>
  <c r="AY5" i="2"/>
  <c r="BB5" i="2" s="1"/>
  <c r="AX11" i="2"/>
  <c r="BA11" i="2" s="1"/>
  <c r="BD11" i="2" s="1"/>
  <c r="AX19" i="2"/>
  <c r="BA19" i="2" s="1"/>
  <c r="BD19" i="2" s="1"/>
  <c r="AS32" i="2"/>
  <c r="AV32" i="2" s="1"/>
  <c r="BG24" i="2"/>
  <c r="BJ24" i="2" s="1"/>
  <c r="BM24" i="2" s="1"/>
  <c r="AX31" i="2"/>
  <c r="AZ32" i="2"/>
  <c r="AF19" i="2"/>
  <c r="AI19" i="2" s="1"/>
  <c r="AL19" i="2" s="1"/>
  <c r="AX28" i="2"/>
  <c r="AG8" i="2"/>
  <c r="AJ8" i="2" s="1"/>
  <c r="AE17" i="2"/>
  <c r="AH17" i="2" s="1"/>
  <c r="AK17" i="2" s="1"/>
  <c r="AF20" i="2"/>
  <c r="AI20" i="2" s="1"/>
  <c r="AL20" i="2" s="1"/>
  <c r="AF32" i="2"/>
  <c r="AY8" i="2"/>
  <c r="BB8" i="2" s="1"/>
  <c r="AX10" i="2"/>
  <c r="BA10" i="2" s="1"/>
  <c r="BD10" i="2" s="1"/>
  <c r="AP16" i="2"/>
  <c r="AS16" i="2" s="1"/>
  <c r="AV16" i="2" s="1"/>
  <c r="AY18" i="2"/>
  <c r="BB18" i="2" s="1"/>
  <c r="BE18" i="2" s="1"/>
  <c r="BG23" i="2"/>
  <c r="BJ23" i="2" s="1"/>
  <c r="BM23" i="2" s="1"/>
  <c r="BG29" i="2"/>
  <c r="BB32" i="2"/>
  <c r="BE32" i="2" s="1"/>
  <c r="AG5" i="2"/>
  <c r="AJ5" i="2" s="1"/>
  <c r="AF24" i="2"/>
  <c r="AI24" i="2" s="1"/>
  <c r="AL24" i="2" s="1"/>
  <c r="AO6" i="2"/>
  <c r="AR6" i="2" s="1"/>
  <c r="AU6" i="2" s="1"/>
  <c r="AE5" i="2"/>
  <c r="AH5" i="2" s="1"/>
  <c r="AK5" i="2" s="1"/>
  <c r="AF29" i="2"/>
  <c r="AO11" i="2"/>
  <c r="AR11" i="2" s="1"/>
  <c r="AU11" i="2" s="1"/>
  <c r="BG11" i="2"/>
  <c r="BJ11" i="2" s="1"/>
  <c r="BM11" i="2" s="1"/>
  <c r="AP17" i="2"/>
  <c r="AS17" i="2" s="1"/>
  <c r="AV17" i="2" s="1"/>
  <c r="BH17" i="2"/>
  <c r="BK17" i="2" s="1"/>
  <c r="BN17" i="2" s="1"/>
  <c r="BG19" i="2"/>
  <c r="BJ19" i="2" s="1"/>
  <c r="BM19" i="2" s="1"/>
  <c r="AX24" i="2"/>
  <c r="BA24" i="2" s="1"/>
  <c r="BD24" i="2" s="1"/>
  <c r="BG28" i="2"/>
  <c r="BI32" i="2"/>
  <c r="AX20" i="2"/>
  <c r="BA20" i="2" s="1"/>
  <c r="BD20" i="2" s="1"/>
  <c r="AW5" i="2"/>
  <c r="AZ5" i="2" s="1"/>
  <c r="BC5" i="2" s="1"/>
  <c r="AX14" i="2"/>
  <c r="BA14" i="2" s="1"/>
  <c r="BD14" i="2" s="1"/>
  <c r="AO23" i="2"/>
  <c r="AR23" i="2" s="1"/>
  <c r="AU23" i="2" s="1"/>
  <c r="W8" i="2"/>
  <c r="Z4" i="2"/>
  <c r="O120" i="2" s="1"/>
  <c r="AE8" i="2"/>
  <c r="AH8" i="2" s="1"/>
  <c r="AK8" i="2" s="1"/>
  <c r="AF13" i="2"/>
  <c r="AI13" i="2" s="1"/>
  <c r="AL13" i="2" s="1"/>
  <c r="AF25" i="2"/>
  <c r="AI25" i="2" s="1"/>
  <c r="AL25" i="2" s="1"/>
  <c r="AW8" i="2"/>
  <c r="AZ8" i="2" s="1"/>
  <c r="BC8" i="2" s="1"/>
  <c r="AX7" i="2"/>
  <c r="BA7" i="2" s="1"/>
  <c r="BD7" i="2" s="1"/>
  <c r="BG6" i="2"/>
  <c r="BJ6" i="2" s="1"/>
  <c r="BM6" i="2" s="1"/>
  <c r="BH5" i="2"/>
  <c r="BK5" i="2" s="1"/>
  <c r="AP5" i="2"/>
  <c r="AS5" i="2" s="1"/>
  <c r="AW16" i="2"/>
  <c r="AZ16" i="2" s="1"/>
  <c r="BC16" i="2" s="1"/>
  <c r="AO19" i="2"/>
  <c r="AR19" i="2" s="1"/>
  <c r="AU19" i="2" s="1"/>
  <c r="AX22" i="2"/>
  <c r="BA22" i="2" s="1"/>
  <c r="BD22" i="2" s="1"/>
  <c r="AX25" i="2"/>
  <c r="BA25" i="2" s="1"/>
  <c r="BD25" i="2" s="1"/>
  <c r="AO31" i="2"/>
  <c r="AF28" i="2"/>
  <c r="AF10" i="2"/>
  <c r="AI10" i="2" s="1"/>
  <c r="AL10" i="2" s="1"/>
  <c r="AE18" i="2"/>
  <c r="AH18" i="2" s="1"/>
  <c r="AK18" i="2" s="1"/>
  <c r="AF22" i="2"/>
  <c r="AI22" i="2" s="1"/>
  <c r="AL22" i="2" s="1"/>
  <c r="BG12" i="2"/>
  <c r="BJ12" i="2" s="1"/>
  <c r="BM12" i="2" s="1"/>
  <c r="AO14" i="2"/>
  <c r="AR14" i="2" s="1"/>
  <c r="AU14" i="2" s="1"/>
  <c r="AN18" i="2"/>
  <c r="AQ18" i="2" s="1"/>
  <c r="AT18" i="2" s="1"/>
  <c r="BG20" i="2"/>
  <c r="BJ20" i="2" s="1"/>
  <c r="BM20" i="2" s="1"/>
  <c r="AX26" i="2"/>
  <c r="BA26" i="2" s="1"/>
  <c r="BD26" i="2" s="1"/>
  <c r="AO28" i="2"/>
  <c r="BG31" i="2"/>
  <c r="BK32" i="2"/>
  <c r="BN32" i="2" s="1"/>
  <c r="Q12" i="3"/>
  <c r="T12" i="3" s="1"/>
  <c r="W12" i="3" s="1"/>
  <c r="S13" i="3"/>
  <c r="V13" i="3" s="1"/>
  <c r="T26" i="3"/>
  <c r="W26" i="3" s="1"/>
  <c r="S12" i="3"/>
  <c r="V12" i="3" s="1"/>
  <c r="S26" i="3"/>
  <c r="V26" i="3" s="1"/>
  <c r="Q3" i="3"/>
  <c r="T3" i="3" s="1"/>
  <c r="W3" i="3" s="1"/>
  <c r="Q6" i="3"/>
  <c r="T6" i="3" s="1"/>
  <c r="W6" i="3" s="1"/>
  <c r="Q14" i="3"/>
  <c r="T14" i="3" s="1"/>
  <c r="W14" i="3" s="1"/>
  <c r="W18" i="2"/>
  <c r="W122" i="2" s="1"/>
  <c r="W16" i="2"/>
  <c r="W83" i="2" s="1"/>
  <c r="Z32" i="2"/>
  <c r="S118" i="2" s="1"/>
  <c r="Y8" i="2"/>
  <c r="AB8" i="2" s="1"/>
  <c r="W17" i="2"/>
  <c r="Y32" i="2"/>
  <c r="AA18" i="2"/>
  <c r="AD18" i="2" s="1"/>
  <c r="W5" i="2"/>
  <c r="AA17" i="2"/>
  <c r="AD17" i="2" s="1"/>
  <c r="BK38" i="9" l="1"/>
  <c r="BJ44" i="9" s="1"/>
  <c r="BG44" i="9"/>
  <c r="CI38" i="9"/>
  <c r="CH44" i="9" s="1"/>
  <c r="CE44" i="9"/>
  <c r="BG41" i="9"/>
  <c r="BK35" i="9"/>
  <c r="BJ41" i="9" s="1"/>
  <c r="CO34" i="9"/>
  <c r="CN40" i="9" s="1"/>
  <c r="CK40" i="9"/>
  <c r="BA42" i="9"/>
  <c r="BE36" i="9"/>
  <c r="BD42" i="9" s="1"/>
  <c r="CC36" i="9"/>
  <c r="CB42" i="9" s="1"/>
  <c r="BY42" i="9"/>
  <c r="DG38" i="9"/>
  <c r="DF44" i="9" s="1"/>
  <c r="DC44" i="9"/>
  <c r="CK41" i="9"/>
  <c r="CO35" i="9"/>
  <c r="CN41" i="9" s="1"/>
  <c r="CC34" i="9"/>
  <c r="CB40" i="9" s="1"/>
  <c r="BY40" i="9"/>
  <c r="DA36" i="9"/>
  <c r="CZ42" i="9" s="1"/>
  <c r="CW42" i="9"/>
  <c r="BS41" i="9"/>
  <c r="BW35" i="9"/>
  <c r="BV41" i="9" s="1"/>
  <c r="BQ34" i="9"/>
  <c r="BP40" i="9" s="1"/>
  <c r="BM40" i="9"/>
  <c r="BQ36" i="9"/>
  <c r="BP42" i="9" s="1"/>
  <c r="BM42" i="9"/>
  <c r="DC41" i="9"/>
  <c r="DG35" i="9"/>
  <c r="DF41" i="9" s="1"/>
  <c r="BW38" i="9"/>
  <c r="BV44" i="9" s="1"/>
  <c r="BS44" i="9"/>
  <c r="BQ38" i="9"/>
  <c r="BP44" i="9" s="1"/>
  <c r="BM44" i="9"/>
  <c r="CU35" i="9"/>
  <c r="CT41" i="9" s="1"/>
  <c r="CQ41" i="9"/>
  <c r="BW34" i="9"/>
  <c r="BV40" i="9" s="1"/>
  <c r="BS40" i="9"/>
  <c r="BW36" i="9"/>
  <c r="BV42" i="9" s="1"/>
  <c r="BS42" i="9"/>
  <c r="BA40" i="9"/>
  <c r="BE34" i="9"/>
  <c r="BD40" i="9" s="1"/>
  <c r="CU38" i="9"/>
  <c r="CT44" i="9" s="1"/>
  <c r="CQ44" i="9"/>
  <c r="CC35" i="9"/>
  <c r="CB41" i="9" s="1"/>
  <c r="BY41" i="9"/>
  <c r="DG34" i="9"/>
  <c r="DF40" i="9" s="1"/>
  <c r="DC40" i="9"/>
  <c r="CO36" i="9"/>
  <c r="CN42" i="9" s="1"/>
  <c r="CK42" i="9"/>
  <c r="BM41" i="9"/>
  <c r="BQ35" i="9"/>
  <c r="BP41" i="9" s="1"/>
  <c r="CK44" i="9"/>
  <c r="CO38" i="9"/>
  <c r="CN44" i="9" s="1"/>
  <c r="BA44" i="9"/>
  <c r="BE38" i="9"/>
  <c r="BD44" i="9" s="1"/>
  <c r="DA35" i="9"/>
  <c r="CZ41" i="9" s="1"/>
  <c r="CW41" i="9"/>
  <c r="DA34" i="9"/>
  <c r="CZ40" i="9" s="1"/>
  <c r="CW40" i="9"/>
  <c r="CQ42" i="9"/>
  <c r="CU36" i="9"/>
  <c r="CT42" i="9" s="1"/>
  <c r="BK36" i="9"/>
  <c r="BJ42" i="9" s="1"/>
  <c r="BG42" i="9"/>
  <c r="CW44" i="9"/>
  <c r="DA38" i="9"/>
  <c r="CZ44" i="9" s="1"/>
  <c r="CI35" i="9"/>
  <c r="CH41" i="9" s="1"/>
  <c r="CE41" i="9"/>
  <c r="CE40" i="9"/>
  <c r="CI34" i="9"/>
  <c r="CH40" i="9" s="1"/>
  <c r="CI36" i="9"/>
  <c r="CH42" i="9" s="1"/>
  <c r="CE42" i="9"/>
  <c r="CQ40" i="9"/>
  <c r="CU34" i="9"/>
  <c r="CT40" i="9" s="1"/>
  <c r="CC38" i="9"/>
  <c r="CB44" i="9" s="1"/>
  <c r="BY44" i="9"/>
  <c r="BE35" i="9"/>
  <c r="BD41" i="9" s="1"/>
  <c r="BA41" i="9"/>
  <c r="BK34" i="9"/>
  <c r="BJ40" i="9" s="1"/>
  <c r="BG40" i="9"/>
  <c r="DG36" i="9"/>
  <c r="DF42" i="9" s="1"/>
  <c r="DC42" i="9"/>
  <c r="AC35" i="19"/>
  <c r="AB41" i="19" s="1"/>
  <c r="Y52" i="19"/>
  <c r="Y54" i="19"/>
  <c r="Y56" i="19"/>
  <c r="BM16" i="19"/>
  <c r="BM34" i="19" s="1"/>
  <c r="BL40" i="19" s="1"/>
  <c r="BJ34" i="19"/>
  <c r="BI40" i="19" s="1"/>
  <c r="BD18" i="19"/>
  <c r="BD36" i="19" s="1"/>
  <c r="BC42" i="19" s="1"/>
  <c r="BA36" i="19"/>
  <c r="AZ42" i="19" s="1"/>
  <c r="AL17" i="19"/>
  <c r="AL35" i="19" s="1"/>
  <c r="AK41" i="19" s="1"/>
  <c r="AI35" i="19"/>
  <c r="AH41" i="19" s="1"/>
  <c r="AU8" i="19"/>
  <c r="AU38" i="19" s="1"/>
  <c r="AT44" i="19" s="1"/>
  <c r="AR38" i="19"/>
  <c r="AQ44" i="19" s="1"/>
  <c r="BD8" i="19"/>
  <c r="BD38" i="19" s="1"/>
  <c r="BC44" i="19" s="1"/>
  <c r="BA38" i="19"/>
  <c r="AZ44" i="19" s="1"/>
  <c r="AL8" i="19"/>
  <c r="AL38" i="19" s="1"/>
  <c r="AK44" i="19" s="1"/>
  <c r="AI38" i="19"/>
  <c r="AH44" i="19" s="1"/>
  <c r="AL18" i="19"/>
  <c r="AL36" i="19" s="1"/>
  <c r="AK42" i="19" s="1"/>
  <c r="AI36" i="19"/>
  <c r="AH42" i="19" s="1"/>
  <c r="BD17" i="19"/>
  <c r="BD35" i="19" s="1"/>
  <c r="BC41" i="19" s="1"/>
  <c r="BA35" i="19"/>
  <c r="AZ41" i="19" s="1"/>
  <c r="AY35" i="9"/>
  <c r="AX41" i="9" s="1"/>
  <c r="T118" i="2"/>
  <c r="T106" i="2"/>
  <c r="O117" i="2"/>
  <c r="M90" i="2"/>
  <c r="W97" i="2"/>
  <c r="T123" i="2"/>
  <c r="V122" i="2"/>
  <c r="J120" i="2"/>
  <c r="M120" i="2"/>
  <c r="T120" i="2"/>
  <c r="O90" i="2"/>
  <c r="T100" i="2"/>
  <c r="S97" i="2"/>
  <c r="W105" i="2"/>
  <c r="S122" i="2"/>
  <c r="N123" i="2"/>
  <c r="S123" i="2"/>
  <c r="N90" i="2"/>
  <c r="X90" i="2"/>
  <c r="R120" i="2"/>
  <c r="V90" i="2"/>
  <c r="Q106" i="2"/>
  <c r="W87" i="2"/>
  <c r="S120" i="2"/>
  <c r="J97" i="2"/>
  <c r="W120" i="2"/>
  <c r="J106" i="2"/>
  <c r="J109" i="2"/>
  <c r="W109" i="2"/>
  <c r="M97" i="2"/>
  <c r="P92" i="2"/>
  <c r="M96" i="2"/>
  <c r="V96" i="2"/>
  <c r="N120" i="2"/>
  <c r="J87" i="2"/>
  <c r="M87" i="2"/>
  <c r="N87" i="2"/>
  <c r="P87" i="2"/>
  <c r="Q87" i="2"/>
  <c r="O87" i="2"/>
  <c r="S87" i="2"/>
  <c r="T87" i="2"/>
  <c r="Q99" i="2"/>
  <c r="X93" i="2"/>
  <c r="R123" i="2"/>
  <c r="V123" i="2"/>
  <c r="V93" i="2"/>
  <c r="X123" i="2"/>
  <c r="P97" i="2"/>
  <c r="T92" i="2"/>
  <c r="R122" i="2"/>
  <c r="V92" i="2"/>
  <c r="X92" i="2"/>
  <c r="M122" i="2"/>
  <c r="N122" i="2"/>
  <c r="W123" i="2"/>
  <c r="S90" i="2"/>
  <c r="P99" i="2"/>
  <c r="T97" i="2"/>
  <c r="S105" i="2"/>
  <c r="X120" i="2"/>
  <c r="W92" i="2"/>
  <c r="V120" i="2"/>
  <c r="J123" i="2"/>
  <c r="P120" i="2"/>
  <c r="W90" i="2"/>
  <c r="N97" i="2"/>
  <c r="N100" i="2"/>
  <c r="W99" i="2"/>
  <c r="S108" i="2"/>
  <c r="P90" i="2"/>
  <c r="O97" i="2"/>
  <c r="S92" i="2"/>
  <c r="W96" i="2"/>
  <c r="P105" i="2"/>
  <c r="W84" i="2"/>
  <c r="J122" i="2"/>
  <c r="Q122" i="2"/>
  <c r="Q123" i="2"/>
  <c r="O84" i="2"/>
  <c r="P84" i="2"/>
  <c r="J84" i="2"/>
  <c r="M84" i="2"/>
  <c r="N84" i="2"/>
  <c r="T84" i="2"/>
  <c r="Q84" i="2"/>
  <c r="S84" i="2"/>
  <c r="J48" i="2"/>
  <c r="J115" i="2"/>
  <c r="J105" i="2"/>
  <c r="M105" i="2"/>
  <c r="X122" i="2"/>
  <c r="W93" i="2"/>
  <c r="Q120" i="2"/>
  <c r="AC7" i="2"/>
  <c r="R93" i="2"/>
  <c r="AC24" i="2"/>
  <c r="R110" i="2"/>
  <c r="X110" i="2"/>
  <c r="V110" i="2"/>
  <c r="AC26" i="2"/>
  <c r="X112" i="2"/>
  <c r="R112" i="2"/>
  <c r="V112" i="2"/>
  <c r="V43" i="2"/>
  <c r="V118" i="2"/>
  <c r="R118" i="2"/>
  <c r="X118" i="2"/>
  <c r="AC30" i="2"/>
  <c r="X116" i="2"/>
  <c r="V116" i="2"/>
  <c r="R116" i="2"/>
  <c r="Z37" i="2"/>
  <c r="Y43" i="2" s="1"/>
  <c r="V117" i="2"/>
  <c r="R117" i="2"/>
  <c r="X117" i="2"/>
  <c r="M118" i="2"/>
  <c r="S100" i="2"/>
  <c r="M108" i="2"/>
  <c r="Q93" i="2"/>
  <c r="AC20" i="2"/>
  <c r="R106" i="2"/>
  <c r="X106" i="2"/>
  <c r="V106" i="2"/>
  <c r="T117" i="2"/>
  <c r="P112" i="2"/>
  <c r="W114" i="2"/>
  <c r="J116" i="2"/>
  <c r="M116" i="2"/>
  <c r="Q114" i="2"/>
  <c r="T114" i="2"/>
  <c r="N118" i="2"/>
  <c r="P118" i="2"/>
  <c r="AC13" i="2"/>
  <c r="V99" i="2"/>
  <c r="X99" i="2"/>
  <c r="R99" i="2"/>
  <c r="W108" i="2"/>
  <c r="M110" i="2"/>
  <c r="N110" i="2"/>
  <c r="N117" i="2"/>
  <c r="M117" i="2"/>
  <c r="Q112" i="2"/>
  <c r="N116" i="2"/>
  <c r="P116" i="2"/>
  <c r="AC14" i="2"/>
  <c r="X100" i="2"/>
  <c r="V100" i="2"/>
  <c r="R100" i="2"/>
  <c r="P108" i="2"/>
  <c r="N93" i="2"/>
  <c r="S110" i="2"/>
  <c r="S117" i="2"/>
  <c r="J112" i="2"/>
  <c r="S116" i="2"/>
  <c r="W116" i="2"/>
  <c r="P114" i="2"/>
  <c r="W118" i="2"/>
  <c r="J99" i="2"/>
  <c r="N115" i="2"/>
  <c r="J93" i="2"/>
  <c r="M93" i="2"/>
  <c r="O106" i="2"/>
  <c r="S106" i="2"/>
  <c r="J117" i="2"/>
  <c r="W117" i="2"/>
  <c r="N112" i="2"/>
  <c r="M114" i="2"/>
  <c r="AP38" i="2"/>
  <c r="P100" i="2"/>
  <c r="N99" i="2"/>
  <c r="Q108" i="2"/>
  <c r="P93" i="2"/>
  <c r="O93" i="2"/>
  <c r="W106" i="2"/>
  <c r="T110" i="2"/>
  <c r="O110" i="2"/>
  <c r="S112" i="2"/>
  <c r="Q90" i="2"/>
  <c r="J90" i="2"/>
  <c r="Q92" i="2"/>
  <c r="J114" i="2"/>
  <c r="AM36" i="2"/>
  <c r="AC29" i="2"/>
  <c r="X115" i="2"/>
  <c r="V115" i="2"/>
  <c r="R115" i="2"/>
  <c r="Q118" i="2"/>
  <c r="Q100" i="2"/>
  <c r="S99" i="2"/>
  <c r="T115" i="2"/>
  <c r="S93" i="2"/>
  <c r="T93" i="2"/>
  <c r="N106" i="2"/>
  <c r="M112" i="2"/>
  <c r="W112" i="2"/>
  <c r="AC6" i="2"/>
  <c r="R92" i="2"/>
  <c r="Q116" i="2"/>
  <c r="O114" i="2"/>
  <c r="AC19" i="2"/>
  <c r="V105" i="2"/>
  <c r="R105" i="2"/>
  <c r="X105" i="2"/>
  <c r="AC28" i="2"/>
  <c r="R114" i="2"/>
  <c r="V114" i="2"/>
  <c r="X114" i="2"/>
  <c r="AC22" i="2"/>
  <c r="R108" i="2"/>
  <c r="X108" i="2"/>
  <c r="V108" i="2"/>
  <c r="W36" i="2"/>
  <c r="J61" i="2"/>
  <c r="W61" i="2"/>
  <c r="T61" i="2"/>
  <c r="S61" i="2"/>
  <c r="P61" i="2"/>
  <c r="Q61" i="2"/>
  <c r="O61" i="2"/>
  <c r="M61" i="2"/>
  <c r="N61" i="2"/>
  <c r="W38" i="2"/>
  <c r="W51" i="2"/>
  <c r="S51" i="2"/>
  <c r="J51" i="2"/>
  <c r="M51" i="2"/>
  <c r="N51" i="2"/>
  <c r="O51" i="2"/>
  <c r="N94" i="2"/>
  <c r="Q51" i="2"/>
  <c r="P51" i="2"/>
  <c r="T51" i="2"/>
  <c r="AC25" i="2"/>
  <c r="X111" i="2"/>
  <c r="V111" i="2"/>
  <c r="R111" i="2"/>
  <c r="M100" i="2"/>
  <c r="M99" i="2"/>
  <c r="J108" i="2"/>
  <c r="O115" i="2"/>
  <c r="Q115" i="2"/>
  <c r="M106" i="2"/>
  <c r="W110" i="2"/>
  <c r="Q117" i="2"/>
  <c r="O112" i="2"/>
  <c r="AC10" i="2"/>
  <c r="R96" i="2"/>
  <c r="X96" i="2"/>
  <c r="T116" i="2"/>
  <c r="S114" i="2"/>
  <c r="W34" i="2"/>
  <c r="V40" i="2" s="1"/>
  <c r="S59" i="2"/>
  <c r="Q59" i="2"/>
  <c r="J59" i="2"/>
  <c r="P59" i="2"/>
  <c r="W59" i="2"/>
  <c r="O59" i="2"/>
  <c r="T59" i="2"/>
  <c r="N59" i="2"/>
  <c r="M59" i="2"/>
  <c r="J118" i="2"/>
  <c r="W35" i="2"/>
  <c r="O48" i="2"/>
  <c r="W48" i="2"/>
  <c r="P48" i="2"/>
  <c r="Q48" i="2"/>
  <c r="S48" i="2"/>
  <c r="T48" i="2"/>
  <c r="N48" i="2"/>
  <c r="M48" i="2"/>
  <c r="AC4" i="2"/>
  <c r="R90" i="2"/>
  <c r="W60" i="2"/>
  <c r="N60" i="2"/>
  <c r="M60" i="2"/>
  <c r="T60" i="2"/>
  <c r="S60" i="2"/>
  <c r="Q60" i="2"/>
  <c r="P60" i="2"/>
  <c r="O60" i="2"/>
  <c r="J60" i="2"/>
  <c r="AC12" i="2"/>
  <c r="V98" i="2"/>
  <c r="R98" i="2"/>
  <c r="X98" i="2"/>
  <c r="O118" i="2"/>
  <c r="O100" i="2"/>
  <c r="J100" i="2"/>
  <c r="O99" i="2"/>
  <c r="N108" i="2"/>
  <c r="O108" i="2"/>
  <c r="W115" i="2"/>
  <c r="P115" i="2"/>
  <c r="Q110" i="2"/>
  <c r="AC23" i="2"/>
  <c r="R109" i="2"/>
  <c r="X109" i="2"/>
  <c r="V109" i="2"/>
  <c r="T112" i="2"/>
  <c r="T90" i="2"/>
  <c r="AC11" i="2"/>
  <c r="V97" i="2"/>
  <c r="R97" i="2"/>
  <c r="X97" i="2"/>
  <c r="M92" i="2"/>
  <c r="O116" i="2"/>
  <c r="AG36" i="2"/>
  <c r="BI35" i="2"/>
  <c r="AJ37" i="2"/>
  <c r="AM37" i="2"/>
  <c r="AY36" i="2"/>
  <c r="AK31" i="2"/>
  <c r="AK37" i="2" s="1"/>
  <c r="AN35" i="2"/>
  <c r="AZ37" i="2"/>
  <c r="AY34" i="2"/>
  <c r="BN37" i="2"/>
  <c r="BH36" i="2"/>
  <c r="AJ36" i="2"/>
  <c r="AY35" i="2"/>
  <c r="AN34" i="2"/>
  <c r="BF36" i="2"/>
  <c r="Y35" i="2"/>
  <c r="BI36" i="2"/>
  <c r="AE36" i="2"/>
  <c r="AV36" i="2"/>
  <c r="Y36" i="2"/>
  <c r="AS37" i="2"/>
  <c r="V42" i="2"/>
  <c r="AV37" i="2"/>
  <c r="AG34" i="2"/>
  <c r="AE38" i="2"/>
  <c r="BK37" i="2"/>
  <c r="BE37" i="2"/>
  <c r="BH34" i="2"/>
  <c r="AW38" i="2"/>
  <c r="AI28" i="2"/>
  <c r="AL28" i="2" s="1"/>
  <c r="AR31" i="2"/>
  <c r="AU31" i="2" s="1"/>
  <c r="AU37" i="2" s="1"/>
  <c r="AO37" i="2"/>
  <c r="BJ32" i="2"/>
  <c r="BM32" i="2" s="1"/>
  <c r="AN36" i="2"/>
  <c r="AD32" i="2"/>
  <c r="AD38" i="2" s="1"/>
  <c r="AA38" i="2"/>
  <c r="AP35" i="2"/>
  <c r="AW34" i="2"/>
  <c r="AR28" i="2"/>
  <c r="AU28" i="2" s="1"/>
  <c r="BJ29" i="2"/>
  <c r="BM29" i="2" s="1"/>
  <c r="BA28" i="2"/>
  <c r="AI30" i="2"/>
  <c r="AL30" i="2" s="1"/>
  <c r="BH38" i="2"/>
  <c r="AA35" i="2"/>
  <c r="AY38" i="2"/>
  <c r="BF34" i="2"/>
  <c r="BH35" i="2"/>
  <c r="AA36" i="2"/>
  <c r="AD35" i="2"/>
  <c r="AA34" i="2"/>
  <c r="AD36" i="2"/>
  <c r="AE34" i="2"/>
  <c r="BJ28" i="2"/>
  <c r="AR29" i="2"/>
  <c r="AQ37" i="2"/>
  <c r="AR32" i="2"/>
  <c r="AU32" i="2" s="1"/>
  <c r="AC31" i="2"/>
  <c r="AQ34" i="2"/>
  <c r="AJ34" i="2"/>
  <c r="BB36" i="2"/>
  <c r="AD34" i="2"/>
  <c r="AN38" i="2"/>
  <c r="AI32" i="2"/>
  <c r="AI31" i="2"/>
  <c r="AL31" i="2" s="1"/>
  <c r="AL37" i="2" s="1"/>
  <c r="AF37" i="2"/>
  <c r="AE43" i="2" s="1"/>
  <c r="Y34" i="2"/>
  <c r="BA29" i="2"/>
  <c r="BD29" i="2" s="1"/>
  <c r="BA31" i="2"/>
  <c r="BD31" i="2" s="1"/>
  <c r="BD37" i="2" s="1"/>
  <c r="AX37" i="2"/>
  <c r="AR30" i="2"/>
  <c r="AM34" i="2"/>
  <c r="BF35" i="2"/>
  <c r="BF38" i="2"/>
  <c r="AW35" i="2"/>
  <c r="AW36" i="2"/>
  <c r="BJ31" i="2"/>
  <c r="BM31" i="2" s="1"/>
  <c r="BM37" i="2" s="1"/>
  <c r="BG37" i="2"/>
  <c r="BA32" i="2"/>
  <c r="BD32" i="2" s="1"/>
  <c r="BJ30" i="2"/>
  <c r="BM30" i="2" s="1"/>
  <c r="AI29" i="2"/>
  <c r="AL29" i="2" s="1"/>
  <c r="BA30" i="2"/>
  <c r="BD30" i="2" s="1"/>
  <c r="AS36" i="2"/>
  <c r="AG35" i="2"/>
  <c r="AG38" i="2"/>
  <c r="AE35" i="2"/>
  <c r="AP36" i="2"/>
  <c r="AP34" i="2"/>
  <c r="AS38" i="2"/>
  <c r="AV38" i="2"/>
  <c r="BE36" i="2"/>
  <c r="AZ34" i="2"/>
  <c r="BB34" i="2"/>
  <c r="BE34" i="2"/>
  <c r="AH34" i="2"/>
  <c r="AS34" i="2"/>
  <c r="BK36" i="2"/>
  <c r="AV34" i="2"/>
  <c r="BN36" i="2"/>
  <c r="BK34" i="2"/>
  <c r="AZ36" i="2"/>
  <c r="AQ36" i="2"/>
  <c r="BN34" i="2"/>
  <c r="AM8" i="2"/>
  <c r="AM38" i="2" s="1"/>
  <c r="AJ38" i="2"/>
  <c r="AV5" i="2"/>
  <c r="AV35" i="2" s="1"/>
  <c r="AS35" i="2"/>
  <c r="BN8" i="2"/>
  <c r="BN38" i="2" s="1"/>
  <c r="BK38" i="2"/>
  <c r="BN5" i="2"/>
  <c r="BN35" i="2" s="1"/>
  <c r="BK35" i="2"/>
  <c r="BE8" i="2"/>
  <c r="BE38" i="2" s="1"/>
  <c r="BB38" i="2"/>
  <c r="AM5" i="2"/>
  <c r="AM35" i="2" s="1"/>
  <c r="AJ35" i="2"/>
  <c r="BE5" i="2"/>
  <c r="BE35" i="2" s="1"/>
  <c r="BB35" i="2"/>
  <c r="BC32" i="2"/>
  <c r="AZ38" i="2"/>
  <c r="BC37" i="2"/>
  <c r="AU30" i="2"/>
  <c r="BL36" i="2"/>
  <c r="AZ35" i="2"/>
  <c r="AB34" i="2"/>
  <c r="BC36" i="2"/>
  <c r="AK36" i="2"/>
  <c r="BL35" i="2"/>
  <c r="AT34" i="2"/>
  <c r="AH35" i="2"/>
  <c r="AH36" i="2"/>
  <c r="BL34" i="2"/>
  <c r="BM28" i="2"/>
  <c r="AB35" i="2"/>
  <c r="AK34" i="2"/>
  <c r="AC32" i="2"/>
  <c r="BL32" i="2"/>
  <c r="BI38" i="2"/>
  <c r="AT36" i="2"/>
  <c r="AK35" i="2"/>
  <c r="AK32" i="2"/>
  <c r="AH38" i="2"/>
  <c r="BC34" i="2"/>
  <c r="AI37" i="2"/>
  <c r="AH43" i="2" s="1"/>
  <c r="AU29" i="2"/>
  <c r="AQ35" i="2"/>
  <c r="AT32" i="2"/>
  <c r="AQ38" i="2"/>
  <c r="AB36" i="2"/>
  <c r="AB37" i="2"/>
  <c r="BC35" i="2"/>
  <c r="AB32" i="2"/>
  <c r="Y38" i="2"/>
  <c r="AT35" i="2"/>
  <c r="AT37" i="2"/>
  <c r="BI34" i="2"/>
  <c r="BL37" i="2"/>
  <c r="Z18" i="2"/>
  <c r="W104" i="2" s="1"/>
  <c r="AX18" i="2"/>
  <c r="BA18" i="2" s="1"/>
  <c r="BD18" i="2" s="1"/>
  <c r="AF18" i="2"/>
  <c r="AI18" i="2" s="1"/>
  <c r="AL18" i="2" s="1"/>
  <c r="AO18" i="2"/>
  <c r="AR18" i="2" s="1"/>
  <c r="AU18" i="2" s="1"/>
  <c r="BG18" i="2"/>
  <c r="BJ18" i="2" s="1"/>
  <c r="BM18" i="2" s="1"/>
  <c r="Z17" i="2"/>
  <c r="S103" i="2" s="1"/>
  <c r="AF17" i="2"/>
  <c r="AI17" i="2" s="1"/>
  <c r="AL17" i="2" s="1"/>
  <c r="BG17" i="2"/>
  <c r="BJ17" i="2" s="1"/>
  <c r="BM17" i="2" s="1"/>
  <c r="AO17" i="2"/>
  <c r="AR17" i="2" s="1"/>
  <c r="AU17" i="2" s="1"/>
  <c r="AX17" i="2"/>
  <c r="BA17" i="2" s="1"/>
  <c r="BD17" i="2" s="1"/>
  <c r="Z8" i="2"/>
  <c r="W124" i="2" s="1"/>
  <c r="AX8" i="2"/>
  <c r="BA8" i="2" s="1"/>
  <c r="BD8" i="2" s="1"/>
  <c r="AF8" i="2"/>
  <c r="AI8" i="2" s="1"/>
  <c r="AL8" i="2" s="1"/>
  <c r="BG8" i="2"/>
  <c r="BJ8" i="2" s="1"/>
  <c r="BM8" i="2" s="1"/>
  <c r="BM38" i="2" s="1"/>
  <c r="AO8" i="2"/>
  <c r="AR8" i="2" s="1"/>
  <c r="AU8" i="2" s="1"/>
  <c r="Z5" i="2"/>
  <c r="AO5" i="2"/>
  <c r="AR5" i="2" s="1"/>
  <c r="AU5" i="2" s="1"/>
  <c r="BG5" i="2"/>
  <c r="BJ5" i="2" s="1"/>
  <c r="BM5" i="2" s="1"/>
  <c r="AX5" i="2"/>
  <c r="BA5" i="2" s="1"/>
  <c r="BD5" i="2" s="1"/>
  <c r="AF5" i="2"/>
  <c r="AI5" i="2" s="1"/>
  <c r="AL5" i="2" s="1"/>
  <c r="Z16" i="2"/>
  <c r="AX16" i="2"/>
  <c r="BA16" i="2" s="1"/>
  <c r="BD16" i="2" s="1"/>
  <c r="AF16" i="2"/>
  <c r="AI16" i="2" s="1"/>
  <c r="AL16" i="2" s="1"/>
  <c r="AO16" i="2"/>
  <c r="AR16" i="2" s="1"/>
  <c r="AU16" i="2" s="1"/>
  <c r="BG16" i="2"/>
  <c r="BJ16" i="2" s="1"/>
  <c r="BM16" i="2" s="1"/>
  <c r="J91" i="2" l="1"/>
  <c r="R121" i="2"/>
  <c r="V121" i="2"/>
  <c r="X91" i="2"/>
  <c r="V91" i="2"/>
  <c r="X121" i="2"/>
  <c r="W103" i="2"/>
  <c r="P103" i="2"/>
  <c r="M121" i="2"/>
  <c r="P124" i="2"/>
  <c r="W94" i="2"/>
  <c r="T124" i="2"/>
  <c r="O121" i="2"/>
  <c r="O103" i="2"/>
  <c r="N121" i="2"/>
  <c r="W91" i="2"/>
  <c r="O124" i="2"/>
  <c r="N91" i="2"/>
  <c r="J124" i="2"/>
  <c r="M103" i="2"/>
  <c r="S121" i="2"/>
  <c r="M94" i="2"/>
  <c r="R124" i="2"/>
  <c r="X94" i="2"/>
  <c r="X124" i="2"/>
  <c r="V94" i="2"/>
  <c r="V124" i="2"/>
  <c r="Q91" i="2"/>
  <c r="P91" i="2"/>
  <c r="J121" i="2"/>
  <c r="Q121" i="2"/>
  <c r="N124" i="2"/>
  <c r="T103" i="2"/>
  <c r="M91" i="2"/>
  <c r="T121" i="2"/>
  <c r="P121" i="2"/>
  <c r="M124" i="2"/>
  <c r="W121" i="2"/>
  <c r="O91" i="2"/>
  <c r="Q124" i="2"/>
  <c r="S124" i="2"/>
  <c r="R102" i="2"/>
  <c r="V102" i="2"/>
  <c r="X102" i="2"/>
  <c r="J102" i="2"/>
  <c r="V44" i="2"/>
  <c r="S102" i="2"/>
  <c r="J104" i="2"/>
  <c r="Q94" i="2"/>
  <c r="N104" i="2"/>
  <c r="M104" i="2"/>
  <c r="N103" i="2"/>
  <c r="T102" i="2"/>
  <c r="T94" i="2"/>
  <c r="S104" i="2"/>
  <c r="O104" i="2"/>
  <c r="P94" i="2"/>
  <c r="N102" i="2"/>
  <c r="P104" i="2"/>
  <c r="V41" i="2"/>
  <c r="S94" i="2"/>
  <c r="AC8" i="2"/>
  <c r="R94" i="2"/>
  <c r="J94" i="2"/>
  <c r="AC5" i="2"/>
  <c r="R91" i="2"/>
  <c r="R103" i="2"/>
  <c r="X103" i="2"/>
  <c r="V103" i="2"/>
  <c r="W102" i="2"/>
  <c r="J103" i="2"/>
  <c r="T91" i="2"/>
  <c r="M102" i="2"/>
  <c r="O94" i="2"/>
  <c r="R104" i="2"/>
  <c r="V104" i="2"/>
  <c r="X104" i="2"/>
  <c r="AC37" i="2"/>
  <c r="AB43" i="2" s="1"/>
  <c r="Q102" i="2"/>
  <c r="AX36" i="2"/>
  <c r="Q103" i="2"/>
  <c r="S91" i="2"/>
  <c r="O102" i="2"/>
  <c r="P102" i="2"/>
  <c r="Q104" i="2"/>
  <c r="T104" i="2"/>
  <c r="AX35" i="2"/>
  <c r="AR37" i="2"/>
  <c r="AI38" i="2"/>
  <c r="AH44" i="2" s="1"/>
  <c r="BA37" i="2"/>
  <c r="AZ43" i="2" s="1"/>
  <c r="AL32" i="2"/>
  <c r="AK43" i="2"/>
  <c r="AO38" i="2"/>
  <c r="BG36" i="2"/>
  <c r="BA34" i="2"/>
  <c r="AZ40" i="2" s="1"/>
  <c r="AF35" i="2"/>
  <c r="AE41" i="2" s="1"/>
  <c r="BG35" i="2"/>
  <c r="AX34" i="2"/>
  <c r="BG38" i="2"/>
  <c r="AF38" i="2"/>
  <c r="AE44" i="2" s="1"/>
  <c r="AO35" i="2"/>
  <c r="AO34" i="2"/>
  <c r="BJ38" i="2"/>
  <c r="BI44" i="2" s="1"/>
  <c r="AX38" i="2"/>
  <c r="BG34" i="2"/>
  <c r="AF34" i="2"/>
  <c r="AE40" i="2" s="1"/>
  <c r="BJ37" i="2"/>
  <c r="BI43" i="2" s="1"/>
  <c r="AQ43" i="2"/>
  <c r="BD28" i="2"/>
  <c r="BD34" i="2" s="1"/>
  <c r="BC40" i="2" s="1"/>
  <c r="AO36" i="2"/>
  <c r="AF36" i="2"/>
  <c r="AE42" i="2" s="1"/>
  <c r="BJ36" i="2"/>
  <c r="BI42" i="2" s="1"/>
  <c r="BM36" i="2"/>
  <c r="BL42" i="2" s="1"/>
  <c r="AI36" i="2"/>
  <c r="AH42" i="2" s="1"/>
  <c r="BJ34" i="2"/>
  <c r="BI40" i="2" s="1"/>
  <c r="BA36" i="2"/>
  <c r="AZ42" i="2" s="1"/>
  <c r="AR36" i="2"/>
  <c r="AQ42" i="2" s="1"/>
  <c r="AL36" i="2"/>
  <c r="AK42" i="2" s="1"/>
  <c r="BM34" i="2"/>
  <c r="BL40" i="2" s="1"/>
  <c r="BD36" i="2"/>
  <c r="BC42" i="2" s="1"/>
  <c r="AU36" i="2"/>
  <c r="AT42" i="2" s="1"/>
  <c r="BL43" i="2"/>
  <c r="BC43" i="2"/>
  <c r="BM35" i="2"/>
  <c r="BL41" i="2" s="1"/>
  <c r="AT43" i="2"/>
  <c r="AL38" i="2"/>
  <c r="AC16" i="2"/>
  <c r="AC34" i="2" s="1"/>
  <c r="AB40" i="2" s="1"/>
  <c r="Z34" i="2"/>
  <c r="Y40" i="2" s="1"/>
  <c r="AT38" i="2"/>
  <c r="BL38" i="2"/>
  <c r="BL44" i="2" s="1"/>
  <c r="AK38" i="2"/>
  <c r="Z38" i="2"/>
  <c r="Y44" i="2" s="1"/>
  <c r="AC38" i="2"/>
  <c r="BA35" i="2"/>
  <c r="AZ41" i="2" s="1"/>
  <c r="AB38" i="2"/>
  <c r="AR35" i="2"/>
  <c r="AQ41" i="2" s="1"/>
  <c r="AI35" i="2"/>
  <c r="AH41" i="2" s="1"/>
  <c r="AL35" i="2"/>
  <c r="AK41" i="2" s="1"/>
  <c r="AR38" i="2"/>
  <c r="AQ44" i="2" s="1"/>
  <c r="BD35" i="2"/>
  <c r="BC41" i="2" s="1"/>
  <c r="BC38" i="2"/>
  <c r="AC18" i="2"/>
  <c r="AC36" i="2" s="1"/>
  <c r="AB42" i="2" s="1"/>
  <c r="Z36" i="2"/>
  <c r="Y42" i="2" s="1"/>
  <c r="AU38" i="2"/>
  <c r="AR34" i="2"/>
  <c r="AQ40" i="2" s="1"/>
  <c r="AI34" i="2"/>
  <c r="AH40" i="2" s="1"/>
  <c r="BA38" i="2"/>
  <c r="AZ44" i="2" s="1"/>
  <c r="AU35" i="2"/>
  <c r="AT41" i="2" s="1"/>
  <c r="AC17" i="2"/>
  <c r="AC35" i="2" s="1"/>
  <c r="AB41" i="2" s="1"/>
  <c r="Z35" i="2"/>
  <c r="Y41" i="2" s="1"/>
  <c r="BJ35" i="2"/>
  <c r="BI41" i="2" s="1"/>
  <c r="AU34" i="2"/>
  <c r="AT40" i="2" s="1"/>
  <c r="AL34" i="2"/>
  <c r="AK40" i="2" s="1"/>
  <c r="BD38" i="2"/>
  <c r="AB44" i="2" l="1"/>
  <c r="AK44" i="2"/>
  <c r="AT44" i="2"/>
  <c r="BC44" i="2"/>
  <c r="L2" i="14" l="1"/>
</calcChain>
</file>

<file path=xl/sharedStrings.xml><?xml version="1.0" encoding="utf-8"?>
<sst xmlns="http://schemas.openxmlformats.org/spreadsheetml/2006/main" count="8075" uniqueCount="430">
  <si>
    <t>Year 0</t>
  </si>
  <si>
    <t>Year 1</t>
  </si>
  <si>
    <t>Year 2</t>
  </si>
  <si>
    <t>Year 3</t>
  </si>
  <si>
    <t>Year 4</t>
  </si>
  <si>
    <t>Jurisdiction</t>
  </si>
  <si>
    <t>Personnel type</t>
  </si>
  <si>
    <t>Label</t>
  </si>
  <si>
    <t xml:space="preserve">Award </t>
  </si>
  <si>
    <t>Grade(s)</t>
  </si>
  <si>
    <t>Base Salary</t>
  </si>
  <si>
    <t>Base Salary + Costs</t>
  </si>
  <si>
    <t>Base Salary + Costs (hourly)</t>
  </si>
  <si>
    <t>Distribution desc</t>
  </si>
  <si>
    <t>References</t>
  </si>
  <si>
    <t>Rate of Pay (weekly, 38h) desc</t>
  </si>
  <si>
    <t>Year</t>
  </si>
  <si>
    <t>Superannuation Rate (%)</t>
  </si>
  <si>
    <t>Hours per week</t>
  </si>
  <si>
    <t>Average productive time (%)</t>
  </si>
  <si>
    <t>Average Penalties %</t>
  </si>
  <si>
    <t>Public Holiday Penalty %</t>
  </si>
  <si>
    <t>Private Practice Loading %</t>
  </si>
  <si>
    <t>Attraction and Retention Allowance %</t>
  </si>
  <si>
    <t>Sick Leave %</t>
  </si>
  <si>
    <t>Professional Development Allowance ($)</t>
  </si>
  <si>
    <t>Annual Leave Entitlement (Weeks)</t>
  </si>
  <si>
    <t>Annual Leave Loading (%)</t>
  </si>
  <si>
    <t>Indexation per annum (%)</t>
  </si>
  <si>
    <t>LL</t>
  </si>
  <si>
    <t>Mid-point</t>
  </si>
  <si>
    <t>UL</t>
  </si>
  <si>
    <t>VIC</t>
  </si>
  <si>
    <t>Lab technician</t>
  </si>
  <si>
    <t>LT</t>
  </si>
  <si>
    <t>HPA</t>
  </si>
  <si>
    <t>5-7</t>
  </si>
  <si>
    <t>normal distro</t>
  </si>
  <si>
    <t>pp247 HS5-HS7 (July 22)</t>
  </si>
  <si>
    <t>1785.7-2257.10</t>
  </si>
  <si>
    <t>Medical scientist</t>
  </si>
  <si>
    <t>MS</t>
  </si>
  <si>
    <t>MSEBA</t>
  </si>
  <si>
    <t>MS1-4(RX4)-MS4-5(RZ7)</t>
  </si>
  <si>
    <t>skewed normal</t>
  </si>
  <si>
    <t>pp111 VPHS 2017-21 RX1-RZ7</t>
  </si>
  <si>
    <t>1131.30-2622.00</t>
  </si>
  <si>
    <t>Admin staff</t>
  </si>
  <si>
    <t>AS</t>
  </si>
  <si>
    <t>3-5</t>
  </si>
  <si>
    <t>Bioinformatics staff</t>
  </si>
  <si>
    <t>BI</t>
  </si>
  <si>
    <t>MCRI Professional and Administrative Salaries</t>
  </si>
  <si>
    <t>5-8</t>
  </si>
  <si>
    <t>1785.7-2525.90</t>
  </si>
  <si>
    <t>Pathologists</t>
  </si>
  <si>
    <t>MP</t>
  </si>
  <si>
    <t>MEDICAL SPECIALISTS (VICTORIAN PUBLIC HEALTH SECTOR) (AMA VICTORIA/ASMOF) (SINGLE INTEREST EMPLOYERS) ENTERPRISE AGREEMENT 2022 – 2026</t>
  </si>
  <si>
    <t>Assume year 9, full time</t>
  </si>
  <si>
    <t>rightward skewed</t>
  </si>
  <si>
    <t>-</t>
  </si>
  <si>
    <t>6420.1-7383.20</t>
  </si>
  <si>
    <t>SA</t>
  </si>
  <si>
    <t>S.A. PUBLIC SECTOR SALARIED EMPLOYEES INTERIM AWARD</t>
  </si>
  <si>
    <t>TG0-1 - TGO-3</t>
  </si>
  <si>
    <t>SA Health Costing Table</t>
  </si>
  <si>
    <t>MEDICAL SCIENTISTS (SOUTH AUSTRALIAN PUBLIC SECTOR) AWARD</t>
  </si>
  <si>
    <t>MS1 - MS4</t>
  </si>
  <si>
    <t>pp38 (Schedule 4, pg 1)</t>
  </si>
  <si>
    <t>1145.45-2310.89</t>
  </si>
  <si>
    <t>ASO2-1 - ASO3-3</t>
  </si>
  <si>
    <t>PO-1 - PO-4</t>
  </si>
  <si>
    <t>SA Health Salaried Medical Officers Enterprise Agreement 2022</t>
  </si>
  <si>
    <t>MD0201 - MD029G</t>
  </si>
  <si>
    <t>NSW</t>
  </si>
  <si>
    <t>Health Employees (State) Award</t>
  </si>
  <si>
    <t>Tech Assistant G1-3</t>
  </si>
  <si>
    <t>Hospital Scientists (State) Award</t>
  </si>
  <si>
    <t>1-3</t>
  </si>
  <si>
    <t>STAFF SPECIALISTS (STATE) AWARD 2022</t>
  </si>
  <si>
    <t>SS1-SS5</t>
  </si>
  <si>
    <t>179078-241940</t>
  </si>
  <si>
    <t>QLD</t>
  </si>
  <si>
    <t>Hospital and Health Service General Employees (Queensland Health) Award - State 2015</t>
  </si>
  <si>
    <t>HP2-3</t>
  </si>
  <si>
    <t>MEDICAL OFFICERS (QUEENSLAND HEALTH) AWARD – STATE 2015</t>
  </si>
  <si>
    <t>L18-L27</t>
  </si>
  <si>
    <t>189406-262090</t>
  </si>
  <si>
    <t>WA</t>
  </si>
  <si>
    <t xml:space="preserve">Health Salaried Officers Agreement </t>
  </si>
  <si>
    <t>G1-3</t>
  </si>
  <si>
    <t>P1-5</t>
  </si>
  <si>
    <t>G1-2</t>
  </si>
  <si>
    <t>G4-5</t>
  </si>
  <si>
    <t>WA HEALTH SYSTEM – MEDICAL PRACTITIONERS – AMA INDUSTRIAL AGREEMENT 2022</t>
  </si>
  <si>
    <t>Consultant Year 1-9</t>
  </si>
  <si>
    <t>ALL</t>
  </si>
  <si>
    <t>AUD 78,369 (48,552 - 110,314)</t>
  </si>
  <si>
    <t>AUD 104,472 (61,204 - 142,553)</t>
  </si>
  <si>
    <t>AUD 65,203 (47,704 - 91,460)</t>
  </si>
  <si>
    <t>AUD 94,994 (66,106 - 139,576)</t>
  </si>
  <si>
    <t>AUD 266,292 (179,078 - 386,515)</t>
  </si>
  <si>
    <t>$</t>
  </si>
  <si>
    <t>%</t>
  </si>
  <si>
    <t>$10,399 (9,972 - 12,109)</t>
  </si>
  <si>
    <t>$9,497 (9,497 - 9,497)</t>
  </si>
  <si>
    <t>$3,324 (3,324 - 3,324)</t>
  </si>
  <si>
    <t>$0 (0 - 0)</t>
  </si>
  <si>
    <t>$4,369 (4,369 - 4,369)</t>
  </si>
  <si>
    <t>$365 (00 - 1,826)</t>
  </si>
  <si>
    <t>$7,305 (7,305 - 7,305)</t>
  </si>
  <si>
    <t>$7,123 (00 - 18,994)</t>
  </si>
  <si>
    <t>$60,027 (48,552 - 79,624)</t>
  </si>
  <si>
    <t>$78,369 (70,196 - 94,969)</t>
  </si>
  <si>
    <t>$96,710 (85,157 - 110,314)</t>
  </si>
  <si>
    <t>$11,156 (10,697 - 12,989)</t>
  </si>
  <si>
    <t>$10,188 (10,188 - 10,188)</t>
  </si>
  <si>
    <t>$3,566 (3,566 - 3,566)</t>
  </si>
  <si>
    <t>$4,686 (4,686 - 4,686)</t>
  </si>
  <si>
    <t>$8,620 (7,837 - 9,796)</t>
  </si>
  <si>
    <t>$11,207 (00 - 20,376)</t>
  </si>
  <si>
    <t>$68,336 (61,204 - 77,833)</t>
  </si>
  <si>
    <t>$104,472 (101,878 - 109,041)</t>
  </si>
  <si>
    <t>$140,609 (138,575 - 142,553)</t>
  </si>
  <si>
    <t>$8,495 (8,146 - 9,892)</t>
  </si>
  <si>
    <t>$7,758 (7,758 - 7,758)</t>
  </si>
  <si>
    <t>$2,715 (2,715 - 2,715)</t>
  </si>
  <si>
    <t>$3,569 (3,569 - 3,569)</t>
  </si>
  <si>
    <t>$5,968 (5,968 - 5,968)</t>
  </si>
  <si>
    <t>$5,819 (00 - 15,516)</t>
  </si>
  <si>
    <t>$54,816 (47,704 - 63,701)</t>
  </si>
  <si>
    <t>$65,203 (57,943 - 77,581)</t>
  </si>
  <si>
    <t>$75,589 (67,705 - 91,460)</t>
  </si>
  <si>
    <t>$11,154 (10,695 - 12,987)</t>
  </si>
  <si>
    <t>$10,186 (10,186 - 10,186)</t>
  </si>
  <si>
    <t>$3,565 (3,565 - 3,565)</t>
  </si>
  <si>
    <t>$7,835 (7,835 - 7,835)</t>
  </si>
  <si>
    <t>$11,205 (00 - 20,372)</t>
  </si>
  <si>
    <t>$72,209 (66,106 - 79,898)</t>
  </si>
  <si>
    <t>$94,994 (86,781 - 104,304)</t>
  </si>
  <si>
    <t>$117,778 (93,664 - 139,576)</t>
  </si>
  <si>
    <t>$32,439 (31,106 - 37,772)</t>
  </si>
  <si>
    <t>$00 (00 - 00)</t>
  </si>
  <si>
    <t>$10,369 (10,369 - 10,369)</t>
  </si>
  <si>
    <t>$11,850 (00 - 59,250)</t>
  </si>
  <si>
    <t>$75,484 (00 - 177,749)</t>
  </si>
  <si>
    <t>$13,627 (13,627 - 13,627)</t>
  </si>
  <si>
    <t>$28,682 (21,500 - 38,000)</t>
  </si>
  <si>
    <t>$25,067 (22,788 - 28,485)</t>
  </si>
  <si>
    <t>$31,106 (00 - 51,843)</t>
  </si>
  <si>
    <t>$227,467 (179,078 - 297,757)</t>
  </si>
  <si>
    <t>$266,292 (210,509 - 342,136)</t>
  </si>
  <si>
    <t>$305,118 (241,940 - 386,515)</t>
  </si>
  <si>
    <t>4.3% (4.1% - 5.0%)</t>
  </si>
  <si>
    <t>3.9% (3.9% - 3.9%)</t>
  </si>
  <si>
    <t>1.4% (1.4% - 1.4%)</t>
  </si>
  <si>
    <t>0.0% (0.0% - 0.0%)</t>
  </si>
  <si>
    <t>1.8% (1.8% - 1.8%)</t>
  </si>
  <si>
    <t>0.2% (0.0% - 0.8%)</t>
  </si>
  <si>
    <t>3.0% (3.0% - 3.0%)</t>
  </si>
  <si>
    <t>2.9% (0.0% - 7.8%)</t>
  </si>
  <si>
    <t>24.8% (20.0% - 32.9%)</t>
  </si>
  <si>
    <t>32.3% (29.0% - 39.2%)</t>
  </si>
  <si>
    <t>39.9% (35.1% - 45.5%)</t>
  </si>
  <si>
    <t>0.1% (0.0% - 0.7%)</t>
  </si>
  <si>
    <t>3.3% (3.0% - 3.7%)</t>
  </si>
  <si>
    <t>4.3% (0.0% - 7.8%)</t>
  </si>
  <si>
    <t>26.1% (23.3% - 29.7%)</t>
  </si>
  <si>
    <t>39.8% (38.9% - 41.6%)</t>
  </si>
  <si>
    <t>53.6% (52.8% - 54.4%)</t>
  </si>
  <si>
    <t>0.2% (0.0% - 0.9%)</t>
  </si>
  <si>
    <t>27.7% (24.1% - 32.2%)</t>
  </si>
  <si>
    <t>32.9% (29.3% - 39.2%)</t>
  </si>
  <si>
    <t>38.2% (34.2% - 46.2%)</t>
  </si>
  <si>
    <t>27.8% (25.4% - 30.7%)</t>
  </si>
  <si>
    <t>36.6% (33.4% - 40.1%)</t>
  </si>
  <si>
    <t>45.3% (36.0% - 53.7%)</t>
  </si>
  <si>
    <t>1.6% (0.0% - 7.8%)</t>
  </si>
  <si>
    <t>10.0% (0.0% - 23.5%)</t>
  </si>
  <si>
    <t>3.8% (2.8% - 5.0%)</t>
  </si>
  <si>
    <t>3.3% (3.0% - 3.8%)</t>
  </si>
  <si>
    <t>4.1% (0.0% - 6.9%)</t>
  </si>
  <si>
    <t>30.1% (23.7% - 39.4%)</t>
  </si>
  <si>
    <t>35.3% (27.9% - 45.3%)</t>
  </si>
  <si>
    <t>40.4% (32.0% - 51.2%)</t>
  </si>
  <si>
    <t>Base Case</t>
  </si>
  <si>
    <t>Superannuation Rate</t>
  </si>
  <si>
    <t>Hours worked per week</t>
  </si>
  <si>
    <t>Average Penalties</t>
  </si>
  <si>
    <t>Public Holiday Penalty</t>
  </si>
  <si>
    <t>Private Practice Loading</t>
  </si>
  <si>
    <t>Attraction and Retention Allowance</t>
  </si>
  <si>
    <t>Sick Leave</t>
  </si>
  <si>
    <t>Professional Development Allowance</t>
  </si>
  <si>
    <t>Annual Leave</t>
  </si>
  <si>
    <t xml:space="preserve">Leave Loading (%)		</t>
  </si>
  <si>
    <t>Annual Leave (Weeks)</t>
  </si>
  <si>
    <t>Variable</t>
  </si>
  <si>
    <t>Hours worked</t>
  </si>
  <si>
    <t>Superannuation</t>
  </si>
  <si>
    <t>Mean (95% CI)</t>
  </si>
  <si>
    <t>PT</t>
  </si>
  <si>
    <t>81 (59 - 114)</t>
  </si>
  <si>
    <t>Labour Type</t>
  </si>
  <si>
    <t>69 (58 - 81)</t>
  </si>
  <si>
    <t>77 (58 - 97)</t>
  </si>
  <si>
    <t>76 (68 - 84)</t>
  </si>
  <si>
    <t>100 (82 - 118)</t>
  </si>
  <si>
    <t>83 (75 - 90)</t>
  </si>
  <si>
    <t>69 (55 - 88)</t>
  </si>
  <si>
    <t>77 (56 - 105)</t>
  </si>
  <si>
    <t>76 (65 - 91)</t>
  </si>
  <si>
    <t>100 (79 - 128)</t>
  </si>
  <si>
    <t>83 (72 - 97)</t>
  </si>
  <si>
    <t>81 (57 - 123)</t>
  </si>
  <si>
    <t>81 (58 - 118)</t>
  </si>
  <si>
    <t>69 (55 - 85)</t>
  </si>
  <si>
    <t>77 (55 - 101)</t>
  </si>
  <si>
    <t>76 (65 - 88)</t>
  </si>
  <si>
    <t>100 (78 - 124)</t>
  </si>
  <si>
    <t>83 (72 - 94)</t>
  </si>
  <si>
    <t>81 (56 - 119)</t>
  </si>
  <si>
    <t>100 (82 - 119)</t>
  </si>
  <si>
    <t>69 (58 - 82)</t>
  </si>
  <si>
    <t>83 (75 - 91)</t>
  </si>
  <si>
    <t>117 (86 - 148)</t>
  </si>
  <si>
    <t>126 (84 - 168)</t>
  </si>
  <si>
    <t>110 (80 - 140)</t>
  </si>
  <si>
    <t>132 (103 - 161)</t>
  </si>
  <si>
    <t>113 (104 - 122)</t>
  </si>
  <si>
    <t>120 (83 - 176)</t>
  </si>
  <si>
    <t>BS</t>
  </si>
  <si>
    <t>117 (82 - 160)</t>
  </si>
  <si>
    <t>126 (80 - 182)</t>
  </si>
  <si>
    <t>110 (76 - 152)</t>
  </si>
  <si>
    <t>132 (99 - 173)</t>
  </si>
  <si>
    <t>113 (100 - 132)</t>
  </si>
  <si>
    <t>120 (80 - 190)</t>
  </si>
  <si>
    <t>120 (80 - 168)</t>
  </si>
  <si>
    <t>117 (81 - 155)</t>
  </si>
  <si>
    <t>126 (79 - 176)</t>
  </si>
  <si>
    <t>110 (76 - 147)</t>
  </si>
  <si>
    <t>132 (98 - 168)</t>
  </si>
  <si>
    <t>113 (99 - 128)</t>
  </si>
  <si>
    <t>120 (79 - 184)</t>
  </si>
  <si>
    <t>117 (85 - 149)</t>
  </si>
  <si>
    <t>126 (83 - 169)</t>
  </si>
  <si>
    <t>110 (79 - 140)</t>
  </si>
  <si>
    <t>113 (104 - 123)</t>
  </si>
  <si>
    <t>110 (79 - 141)</t>
  </si>
  <si>
    <t>132 (103 - 162)</t>
  </si>
  <si>
    <t>120 (83 - 177)</t>
  </si>
  <si>
    <t>93 (72 - 114)</t>
  </si>
  <si>
    <t>85 (59 - 111)</t>
  </si>
  <si>
    <t>93 (65 - 121)</t>
  </si>
  <si>
    <t>123 (103 - 143)</t>
  </si>
  <si>
    <t>93 (75 - 111)</t>
  </si>
  <si>
    <t>97 (60 - 137)</t>
  </si>
  <si>
    <t>93 (69 - 124)</t>
  </si>
  <si>
    <t>85 (57 - 120)</t>
  </si>
  <si>
    <t>93 (62 - 131)</t>
  </si>
  <si>
    <t>123 (99 - 154)</t>
  </si>
  <si>
    <t>93 (72 - 120)</t>
  </si>
  <si>
    <t>97 (58 - 148)</t>
  </si>
  <si>
    <t>97 (59 - 143)</t>
  </si>
  <si>
    <t>93 (68 - 119)</t>
  </si>
  <si>
    <t>85 (56 - 116)</t>
  </si>
  <si>
    <t>93 (62 - 127)</t>
  </si>
  <si>
    <t>123 (98 - 149)</t>
  </si>
  <si>
    <t>93 (72 - 117)</t>
  </si>
  <si>
    <t>97 (57 - 143)</t>
  </si>
  <si>
    <t>93 (75 - 112)</t>
  </si>
  <si>
    <t>93 (72 - 115)</t>
  </si>
  <si>
    <t>85 (59 - 112)</t>
  </si>
  <si>
    <t>93 (65 - 122)</t>
  </si>
  <si>
    <t>123 (103 - 144)</t>
  </si>
  <si>
    <t>97 (60 - 138)</t>
  </si>
  <si>
    <t>133 (87 - 179)</t>
  </si>
  <si>
    <t>126 (80 - 172)</t>
  </si>
  <si>
    <t>133 (80 - 186)</t>
  </si>
  <si>
    <t>143 (102 - 183)</t>
  </si>
  <si>
    <t>132 (77 - 180)</t>
  </si>
  <si>
    <t>133 (84 - 193)</t>
  </si>
  <si>
    <t>126 (77 - 186)</t>
  </si>
  <si>
    <t>133 (77 - 200)</t>
  </si>
  <si>
    <t>143 (98 - 198)</t>
  </si>
  <si>
    <t>132 (74 - 195)</t>
  </si>
  <si>
    <t>132 (80 - 186)</t>
  </si>
  <si>
    <t>133 (83 - 188)</t>
  </si>
  <si>
    <t>126 (76 - 180)</t>
  </si>
  <si>
    <t>133 (76 - 195)</t>
  </si>
  <si>
    <t>143 (97 - 192)</t>
  </si>
  <si>
    <t>132 (74 - 189)</t>
  </si>
  <si>
    <t>313 (269 - 356)</t>
  </si>
  <si>
    <t>339 (286 - 391)</t>
  </si>
  <si>
    <t>426 (370 - 483)</t>
  </si>
  <si>
    <t>398 (337 - 458)</t>
  </si>
  <si>
    <t>425 (371 - 478)</t>
  </si>
  <si>
    <t>380 (269 - 483)</t>
  </si>
  <si>
    <t>133 (87 - 180)</t>
  </si>
  <si>
    <t>143 (102 - 184)</t>
  </si>
  <si>
    <t>132 (77 - 181)</t>
  </si>
  <si>
    <t>133 (87 - 181)</t>
  </si>
  <si>
    <t>126 (80 - 173)</t>
  </si>
  <si>
    <t>133 (80 - 187)</t>
  </si>
  <si>
    <t>143 (102 - 185)</t>
  </si>
  <si>
    <t>384 (263 - 551)</t>
  </si>
  <si>
    <t>313 (269 - 393)</t>
  </si>
  <si>
    <t>339 (286 - 431)</t>
  </si>
  <si>
    <t>426 (370 - 527)</t>
  </si>
  <si>
    <t>398 (337 - 511)</t>
  </si>
  <si>
    <t>425 (371 - 536)</t>
  </si>
  <si>
    <t>384 (263 - 610)</t>
  </si>
  <si>
    <t>313 (255 - 373)</t>
  </si>
  <si>
    <t>339 (271 - 410)</t>
  </si>
  <si>
    <t>426 (351 - 506)</t>
  </si>
  <si>
    <t>398 (321 - 480)</t>
  </si>
  <si>
    <t>425 (353 - 500)</t>
  </si>
  <si>
    <t>384 (250 - 577)</t>
  </si>
  <si>
    <t>313 (268 - 357)</t>
  </si>
  <si>
    <t>339 (285 - 392)</t>
  </si>
  <si>
    <t>426 (369 - 484)</t>
  </si>
  <si>
    <t>398 (337 - 459)</t>
  </si>
  <si>
    <t>425 (371 - 479)</t>
  </si>
  <si>
    <t>384 (263 - 552)</t>
  </si>
  <si>
    <t>313 (268 - 358)</t>
  </si>
  <si>
    <t>339 (285 - 394)</t>
  </si>
  <si>
    <t>426 (369 - 486)</t>
  </si>
  <si>
    <t>398 (337 - 461)</t>
  </si>
  <si>
    <t>425 (371 - 481)</t>
  </si>
  <si>
    <t>384 (263 - 555)</t>
  </si>
  <si>
    <t>Labour Cost, Total</t>
  </si>
  <si>
    <t>Labour Cost, Labour</t>
  </si>
  <si>
    <t>AUD 192,514 (117,643 - 281,453)</t>
  </si>
  <si>
    <t>AUD 98 (62 - 142)</t>
  </si>
  <si>
    <t>AUD 260,971 (157,538 - 366,928)</t>
  </si>
  <si>
    <t>AUD 134 (80 - 186)</t>
  </si>
  <si>
    <t>AUD 160,373 (113,848 - 233,350)</t>
  </si>
  <si>
    <t>AUD 81 (55 - 118)</t>
  </si>
  <si>
    <t>AUD 236,283 (156,865 - 334,774)</t>
  </si>
  <si>
    <t>AUD 120 (80 - 178)</t>
  </si>
  <si>
    <t>AUD 732,329 (548,011 - 923,661)</t>
  </si>
  <si>
    <t>AUD 363 (263 - 467)</t>
  </si>
  <si>
    <t>Average Penalties (%)</t>
  </si>
  <si>
    <t>Public Holiday Penalty (%)</t>
  </si>
  <si>
    <t>Private Practice Loading (%)</t>
  </si>
  <si>
    <t>Attraction and Retention Allowance (%)</t>
  </si>
  <si>
    <t>Sick Leave (%)</t>
  </si>
  <si>
    <t>Base Salary ($)</t>
  </si>
  <si>
    <t>78,369 (48,552 - 110,314)</t>
  </si>
  <si>
    <t>104,472 (61,204 - 142,553)</t>
  </si>
  <si>
    <t>65,203 (47,704 - 91,460)</t>
  </si>
  <si>
    <t>94,994 (66,106 - 139,576)</t>
  </si>
  <si>
    <t>266,292 (179,078 - 386,515)</t>
  </si>
  <si>
    <t>Base LL</t>
  </si>
  <si>
    <t>Base MP</t>
  </si>
  <si>
    <t>Base UL</t>
  </si>
  <si>
    <t>State</t>
  </si>
  <si>
    <t>Position</t>
  </si>
  <si>
    <t>Public Holiday Penalty Percentage</t>
  </si>
  <si>
    <t>Sick Leave Percentage</t>
  </si>
  <si>
    <t>Base Salary - LL</t>
  </si>
  <si>
    <t>Base Salary - Mid-point</t>
  </si>
  <si>
    <t>Base Salary - UL</t>
  </si>
  <si>
    <t>Base Salary + Costs - LL</t>
  </si>
  <si>
    <t>Base Salary + Costs - Mid-point</t>
  </si>
  <si>
    <t>Base Salary + Costs - UL</t>
  </si>
  <si>
    <t>Base Salary + Costs (hourly) - LL</t>
  </si>
  <si>
    <t>Base Salary + Costs (hourly) - Mid-point</t>
  </si>
  <si>
    <t>Base Salary + Costs (hourly) - UL</t>
  </si>
  <si>
    <t>Assumption</t>
  </si>
  <si>
    <t>Rationale</t>
  </si>
  <si>
    <t>Public holiday penalty percentage</t>
  </si>
  <si>
    <t>An average estimate was made across the state and across years, to approxomate the cost. The actual cost is a function of whether the individual works a public holiday and any award-related penalties accrued relating to this.</t>
  </si>
  <si>
    <t>Sick leave penalty percentage</t>
  </si>
  <si>
    <t>The national minimum in Australia is 10 days of sick leave. Healthcare workers often work weekends, evenings and have a greater exposure to sickness. The rate of 4.6% is not empiric but is based on the level in the author's current institution.</t>
  </si>
  <si>
    <t>Indexation rates</t>
  </si>
  <si>
    <t>Some of the awards listed an annual indexation rate, or an equivalent base salary rise, resulting in generalisation of the 1.5% salary indexation. A deterministic sensitivity analysis will be undertaken around this assumption.</t>
  </si>
  <si>
    <t>Annual leave</t>
  </si>
  <si>
    <t>100% of annual leave entitlements were taken in the year they were provided.</t>
  </si>
  <si>
    <t>Professional development allowane</t>
  </si>
  <si>
    <t>100% is taken in the year allowed</t>
  </si>
  <si>
    <r>
      <t>You are here: </t>
    </r>
    <r>
      <rPr>
        <u/>
        <sz val="10.199999999999999"/>
        <color rgb="FF337AAA"/>
        <rFont val="Arial"/>
        <family val="2"/>
      </rPr>
      <t>Statistics</t>
    </r>
    <r>
      <rPr>
        <sz val="10.199999999999999"/>
        <color rgb="FF46484B"/>
        <rFont val="Arial"/>
        <family val="2"/>
      </rPr>
      <t> &gt; </t>
    </r>
    <r>
      <rPr>
        <u/>
        <sz val="10.199999999999999"/>
        <color rgb="FF337AAA"/>
        <rFont val="Arial"/>
        <family val="2"/>
      </rPr>
      <t>Monthly and Quarterly Standard Reports</t>
    </r>
    <r>
      <rPr>
        <sz val="10.199999999999999"/>
        <color rgb="FF46484B"/>
        <rFont val="Arial"/>
        <family val="2"/>
      </rPr>
      <t> &gt; Report processed</t>
    </r>
  </si>
  <si>
    <t>Table 2.2: Medicare - Enrolment Data - as at December 31, 2023</t>
  </si>
  <si>
    <t>Number of cards with</t>
  </si>
  <si>
    <t>TAS</t>
  </si>
  <si>
    <t>ACT</t>
  </si>
  <si>
    <t>NT</t>
  </si>
  <si>
    <t>Australia</t>
  </si>
  <si>
    <t>1 person</t>
  </si>
  <si>
    <t>2 persons</t>
  </si>
  <si>
    <t>3 persons</t>
  </si>
  <si>
    <t>4 persons</t>
  </si>
  <si>
    <t>5 persons</t>
  </si>
  <si>
    <t>6 persons</t>
  </si>
  <si>
    <t>7 persons</t>
  </si>
  <si>
    <t>8 persons</t>
  </si>
  <si>
    <t>9 persons</t>
  </si>
  <si>
    <t>10 persons</t>
  </si>
  <si>
    <t>11 persons</t>
  </si>
  <si>
    <t>12 persons</t>
  </si>
  <si>
    <t>Total number of cards</t>
  </si>
  <si>
    <t>Total eligible persons</t>
  </si>
  <si>
    <t>Total persons on cards</t>
  </si>
  <si>
    <t>Persons on two or more cards</t>
  </si>
  <si>
    <t>Average persons per card</t>
  </si>
  <si>
    <t>Important Information</t>
  </si>
  <si>
    <t>Medicare enrolments data from February 2005 onwards are derived from a new computer system. The business rules for this new system differ slightly from those applying to the previous system, resulting in a shift in the level of enrolments between January and February 2005. The main change has been the exclusion of people whose Medicare card has expired.</t>
  </si>
  <si>
    <t>This has resulted in a fall of 4.6% in the recorded total number of cards and 3.1% in the recorded number of eligible persons.</t>
  </si>
  <si>
    <t>Users of the per capita Medicare claims data before February 2005 should keep in mind that the per capita usage of Medicare items is based on the old business rules.</t>
  </si>
  <si>
    <t>Much of the overall fall of 3.1% in the recorded number of eligible persons is in the older age groups eg down 34% for those aged 85+ years.</t>
  </si>
  <si>
    <t>The method of calculation of total eligible persons has changed for all months from February 2005. Previously total eligible persons was calculated by subtracting the number of persons on two or more cards from the total number of persons on cards. This gave a very close estimate of total eligible persons at the national level but distorted the distribution between states due to the way that persons on two cards in different states are counted. Total eligible persons is now estimated directly, producing shifts between States and Territories as follows (for September 2005):</t>
  </si>
  <si>
    <t>State/Territory</t>
  </si>
  <si>
    <t>Change</t>
  </si>
  <si>
    <t>New South Wales</t>
  </si>
  <si>
    <t>Victoria</t>
  </si>
  <si>
    <t>Queensland</t>
  </si>
  <si>
    <t>South Australia</t>
  </si>
  <si>
    <t>Western Australia</t>
  </si>
  <si>
    <t>Tasmania</t>
  </si>
  <si>
    <t>Australian Capital Territory</t>
  </si>
  <si>
    <t>Northern Territory</t>
  </si>
  <si>
    <t>This page is best printed in landscape mode.</t>
  </si>
  <si>
    <t>Instructions on how to download the statistics into a spreadsheet are contained in Downloading Statistical Information.</t>
  </si>
  <si>
    <t>Disclaimer</t>
  </si>
  <si>
    <t>The information and data contained in the reports and tables have been provided by Services Australia for general information purposes only. While Services Australia takes care in the compilation and provision of the information and data, it does not assume or accept any liability for the accuracy, quality, suitability and currency of the information or data, or for any reliance on the information or data. Services Australia recommends that users exercise their own care, skill and diligence with respect to the use and interpretation of the information and data.</t>
  </si>
  <si>
    <t>http://medicarestatistics.humanservices.gov.au/statistics/do.jsp?_PROGRAM=/statistics/std_standard_report&amp;start_dt=0&amp;ptype=quarter&amp;end_dt=202312&amp;VAR=Services&amp;RPT_FMT=table2.2</t>
  </si>
  <si>
    <t>Genomics States</t>
  </si>
  <si>
    <t>Fraction</t>
  </si>
  <si>
    <t>ALL(WM)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</si>
</sst>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quot;$&quot;#,##0.00"/>
    <numFmt numFmtId="167" formatCode="&quot;$&quot;#,##0"/>
    <numFmt numFmtId="168" formatCode="#,##0.0"/>
    <numFmt numFmtId="172" formatCode="0.000"/>
  </numFmts>
  <fonts count="14" x14ac:knownFonts="1">
    <font>
      <sz val="12"/>
      <color theme="1"/>
      <name val="Aptos Narrow"/>
      <family val="2"/>
      <scheme val="minor"/>
    </font>
    <font>
      <sz val="12"/>
      <color theme="1"/>
      <name val="Aptos Narrow"/>
      <family val="2"/>
      <scheme val="minor"/>
    </font>
    <font>
      <b/>
      <sz val="12"/>
      <name val="Aptos Narrow"/>
      <family val="2"/>
      <scheme val="minor"/>
    </font>
    <font>
      <sz val="12"/>
      <name val="Aptos Narrow"/>
      <family val="2"/>
      <scheme val="minor"/>
    </font>
    <font>
      <sz val="10.199999999999999"/>
      <color rgb="FF46484B"/>
      <name val="Arial"/>
      <family val="2"/>
    </font>
    <font>
      <u/>
      <sz val="10.199999999999999"/>
      <color rgb="FF337AAA"/>
      <name val="Arial"/>
      <family val="2"/>
    </font>
    <font>
      <sz val="13"/>
      <color rgb="FF333333"/>
      <name val="Arial"/>
      <family val="2"/>
    </font>
    <font>
      <b/>
      <sz val="19.2"/>
      <color rgb="FF000000"/>
      <name val="Arial"/>
      <family val="2"/>
    </font>
    <font>
      <b/>
      <sz val="9"/>
      <color theme="1"/>
      <name val="Arial"/>
      <family val="2"/>
    </font>
    <font>
      <sz val="9"/>
      <color theme="1"/>
      <name val="Arial"/>
      <family val="2"/>
    </font>
    <font>
      <b/>
      <sz val="15.6"/>
      <color rgb="FF003D79"/>
      <name val="Arial"/>
      <family val="2"/>
    </font>
    <font>
      <sz val="13"/>
      <color rgb="FF46484B"/>
      <name val="Arial"/>
      <family val="2"/>
    </font>
    <font>
      <b/>
      <sz val="13"/>
      <color rgb="FF333333"/>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13" fillId="0" borderId="0" applyNumberFormat="0" applyFill="0" applyBorder="0" applyAlignment="0" applyProtection="0"/>
  </cellStyleXfs>
  <cellXfs count="103">
    <xf numFmtId="0" fontId="0" fillId="0" borderId="0" xfId="0"/>
    <xf numFmtId="0" fontId="2" fillId="0" borderId="0" xfId="1" applyFont="1" applyAlignment="1">
      <alignment vertical="top" wrapText="1"/>
    </xf>
    <xf numFmtId="0" fontId="2" fillId="0" borderId="0" xfId="1" applyFont="1" applyAlignment="1">
      <alignment horizontal="center" vertical="top" wrapText="1"/>
    </xf>
    <xf numFmtId="49" fontId="2" fillId="0" borderId="0" xfId="1" applyNumberFormat="1" applyFont="1" applyAlignment="1">
      <alignment horizontal="center" vertical="top" wrapText="1"/>
    </xf>
    <xf numFmtId="0" fontId="3" fillId="0" borderId="0" xfId="1" applyFont="1"/>
    <xf numFmtId="0" fontId="3" fillId="0" borderId="0" xfId="1" applyFont="1" applyAlignment="1">
      <alignment horizontal="right"/>
    </xf>
    <xf numFmtId="10" fontId="3" fillId="0" borderId="0" xfId="1" applyNumberFormat="1" applyFont="1" applyAlignment="1">
      <alignment horizontal="right"/>
    </xf>
    <xf numFmtId="164" fontId="3" fillId="0" borderId="0" xfId="1" applyNumberFormat="1" applyFont="1" applyAlignment="1">
      <alignment horizontal="right"/>
    </xf>
    <xf numFmtId="165" fontId="3" fillId="0" borderId="0" xfId="1" applyNumberFormat="1" applyFont="1" applyAlignment="1">
      <alignment horizontal="center"/>
    </xf>
    <xf numFmtId="0" fontId="3" fillId="0" borderId="0" xfId="1" applyFont="1" applyAlignment="1">
      <alignment horizontal="center"/>
    </xf>
    <xf numFmtId="166" fontId="3" fillId="0" borderId="0" xfId="1" applyNumberFormat="1" applyFont="1" applyAlignment="1">
      <alignment horizontal="center"/>
    </xf>
    <xf numFmtId="10" fontId="3" fillId="0" borderId="0" xfId="1" applyNumberFormat="1" applyFont="1" applyAlignment="1">
      <alignment horizontal="center"/>
    </xf>
    <xf numFmtId="0" fontId="2" fillId="0" borderId="0" xfId="1" applyFont="1" applyAlignment="1">
      <alignment horizontal="right" vertical="top" wrapText="1"/>
    </xf>
    <xf numFmtId="10" fontId="2" fillId="0" borderId="0" xfId="1" applyNumberFormat="1" applyFont="1" applyAlignment="1">
      <alignment horizontal="right" vertical="top" wrapText="1"/>
    </xf>
    <xf numFmtId="164" fontId="2" fillId="0" borderId="0" xfId="1" applyNumberFormat="1" applyFont="1" applyAlignment="1">
      <alignment horizontal="right" vertical="top" wrapText="1"/>
    </xf>
    <xf numFmtId="165" fontId="2" fillId="0" borderId="0" xfId="1" applyNumberFormat="1" applyFont="1" applyAlignment="1">
      <alignment horizontal="center" vertical="top" wrapText="1"/>
    </xf>
    <xf numFmtId="166" fontId="2" fillId="0" borderId="0" xfId="1" applyNumberFormat="1" applyFont="1" applyAlignment="1">
      <alignment horizontal="center" vertical="top" wrapText="1"/>
    </xf>
    <xf numFmtId="10" fontId="2" fillId="0" borderId="0" xfId="1" applyNumberFormat="1" applyFont="1" applyAlignment="1">
      <alignment horizontal="center" vertical="top" wrapText="1"/>
    </xf>
    <xf numFmtId="167" fontId="2" fillId="0" borderId="0" xfId="1" applyNumberFormat="1" applyFont="1" applyAlignment="1">
      <alignment horizontal="center" vertical="top" wrapText="1"/>
    </xf>
    <xf numFmtId="0" fontId="2" fillId="0" borderId="0" xfId="1" applyFont="1"/>
    <xf numFmtId="0" fontId="2" fillId="0" borderId="0" xfId="1" applyFont="1" applyAlignment="1">
      <alignment horizontal="center"/>
    </xf>
    <xf numFmtId="49" fontId="3" fillId="0" borderId="0" xfId="1" applyNumberFormat="1" applyFont="1" applyAlignment="1">
      <alignment horizontal="center"/>
    </xf>
    <xf numFmtId="16" fontId="3" fillId="0" borderId="0" xfId="1" applyNumberFormat="1" applyFont="1"/>
    <xf numFmtId="167" fontId="3" fillId="0" borderId="0" xfId="1" applyNumberFormat="1" applyFont="1" applyAlignment="1">
      <alignment horizontal="center"/>
    </xf>
    <xf numFmtId="0" fontId="3" fillId="0" borderId="0" xfId="1" applyFont="1" applyAlignment="1">
      <alignment horizontal="left"/>
    </xf>
    <xf numFmtId="167" fontId="3" fillId="0" borderId="0" xfId="1" applyNumberFormat="1" applyFont="1" applyAlignment="1">
      <alignment horizontal="center" wrapText="1"/>
    </xf>
    <xf numFmtId="3" fontId="3" fillId="0" borderId="0" xfId="1" applyNumberFormat="1" applyFont="1" applyAlignment="1">
      <alignment horizontal="right"/>
    </xf>
    <xf numFmtId="9" fontId="3" fillId="0" borderId="0" xfId="1" applyNumberFormat="1" applyFont="1" applyAlignment="1">
      <alignment horizontal="center"/>
    </xf>
    <xf numFmtId="167" fontId="3" fillId="0" borderId="0" xfId="1" applyNumberFormat="1" applyFont="1" applyAlignment="1">
      <alignment horizontal="left"/>
    </xf>
    <xf numFmtId="3" fontId="3" fillId="0" borderId="0" xfId="1" applyNumberFormat="1" applyFont="1" applyAlignment="1">
      <alignment horizontal="center"/>
    </xf>
    <xf numFmtId="3" fontId="2" fillId="0" borderId="0" xfId="1" applyNumberFormat="1" applyFont="1" applyAlignment="1">
      <alignment horizontal="center" vertical="top" wrapText="1"/>
    </xf>
    <xf numFmtId="9" fontId="2" fillId="0" borderId="0" xfId="1" applyNumberFormat="1" applyFont="1" applyAlignment="1">
      <alignment horizontal="center" vertical="top" wrapText="1"/>
    </xf>
    <xf numFmtId="164" fontId="3" fillId="0" borderId="0" xfId="1" applyNumberFormat="1" applyFont="1" applyAlignment="1">
      <alignment horizontal="center"/>
    </xf>
    <xf numFmtId="164" fontId="2" fillId="0" borderId="0" xfId="1" applyNumberFormat="1" applyFont="1" applyAlignment="1">
      <alignment horizontal="center" vertical="top" wrapText="1"/>
    </xf>
    <xf numFmtId="167" fontId="3" fillId="0" borderId="0" xfId="0" applyNumberFormat="1" applyFont="1" applyAlignment="1">
      <alignment horizontal="left"/>
    </xf>
    <xf numFmtId="10" fontId="3" fillId="0" borderId="0" xfId="1" applyNumberFormat="1" applyFont="1" applyAlignment="1">
      <alignment horizontal="left"/>
    </xf>
    <xf numFmtId="167" fontId="3" fillId="0" borderId="0" xfId="1" applyNumberFormat="1" applyFont="1" applyAlignment="1">
      <alignment horizontal="right"/>
    </xf>
    <xf numFmtId="165" fontId="3" fillId="0" borderId="0" xfId="1" applyNumberFormat="1" applyFont="1" applyAlignment="1">
      <alignment horizontal="right"/>
    </xf>
    <xf numFmtId="9" fontId="3" fillId="0" borderId="0" xfId="1" applyNumberFormat="1" applyFont="1" applyAlignment="1">
      <alignment horizontal="right"/>
    </xf>
    <xf numFmtId="167" fontId="3" fillId="0" borderId="0" xfId="1" applyNumberFormat="1" applyFont="1" applyAlignment="1">
      <alignment horizontal="right" wrapText="1"/>
    </xf>
    <xf numFmtId="10" fontId="0" fillId="0" borderId="0" xfId="0" applyNumberFormat="1"/>
    <xf numFmtId="165" fontId="0" fillId="0" borderId="0" xfId="0" applyNumberFormat="1"/>
    <xf numFmtId="9" fontId="0" fillId="0" borderId="0" xfId="0" applyNumberFormat="1"/>
    <xf numFmtId="3" fontId="0" fillId="0" borderId="0" xfId="0" applyNumberFormat="1"/>
    <xf numFmtId="167" fontId="0" fillId="0" borderId="0" xfId="0" applyNumberFormat="1"/>
    <xf numFmtId="0" fontId="3" fillId="0" borderId="0" xfId="1" applyFont="1" applyAlignment="1">
      <alignment vertical="top"/>
    </xf>
    <xf numFmtId="0" fontId="2" fillId="0" borderId="0" xfId="1" applyFont="1" applyAlignment="1">
      <alignment vertical="top"/>
    </xf>
    <xf numFmtId="167" fontId="3" fillId="0" borderId="0" xfId="1" applyNumberFormat="1" applyFont="1" applyAlignment="1">
      <alignment horizontal="left" vertical="top"/>
    </xf>
    <xf numFmtId="0" fontId="2" fillId="0" borderId="0" xfId="1" applyFont="1" applyAlignment="1">
      <alignment horizontal="left" vertical="top" wrapText="1"/>
    </xf>
    <xf numFmtId="167" fontId="2" fillId="0" borderId="0" xfId="1" applyNumberFormat="1" applyFont="1" applyAlignment="1">
      <alignment horizontal="left" vertical="top"/>
    </xf>
    <xf numFmtId="0" fontId="3" fillId="0" borderId="0" xfId="1" applyFont="1" applyAlignment="1">
      <alignment horizontal="left" vertical="top"/>
    </xf>
    <xf numFmtId="0" fontId="2" fillId="0" borderId="0" xfId="1" applyFont="1" applyAlignment="1">
      <alignment horizontal="left" vertical="top"/>
    </xf>
    <xf numFmtId="0" fontId="0" fillId="0" borderId="0" xfId="0" applyAlignment="1">
      <alignment horizontal="left" vertical="top"/>
    </xf>
    <xf numFmtId="164" fontId="0" fillId="0" borderId="0" xfId="0" applyNumberFormat="1"/>
    <xf numFmtId="0" fontId="2" fillId="0" borderId="0" xfId="1" applyFont="1" applyAlignment="1">
      <alignment horizontal="center" vertical="top"/>
    </xf>
    <xf numFmtId="49" fontId="3" fillId="0" borderId="0" xfId="1" applyNumberFormat="1" applyFont="1" applyAlignment="1">
      <alignment horizontal="center" vertical="top"/>
    </xf>
    <xf numFmtId="0" fontId="3" fillId="0" borderId="0" xfId="1" applyFont="1" applyAlignment="1">
      <alignment horizontal="right" vertical="top"/>
    </xf>
    <xf numFmtId="10" fontId="3" fillId="0" borderId="0" xfId="1" applyNumberFormat="1" applyFont="1" applyAlignment="1">
      <alignment horizontal="center" vertical="top"/>
    </xf>
    <xf numFmtId="164" fontId="3" fillId="0" borderId="0" xfId="1" applyNumberFormat="1" applyFont="1" applyAlignment="1">
      <alignment horizontal="center" vertical="top"/>
    </xf>
    <xf numFmtId="165" fontId="3" fillId="0" borderId="0" xfId="1" applyNumberFormat="1" applyFont="1" applyAlignment="1">
      <alignment horizontal="center" vertical="top"/>
    </xf>
    <xf numFmtId="9" fontId="3" fillId="0" borderId="0" xfId="1" applyNumberFormat="1" applyFont="1" applyAlignment="1">
      <alignment horizontal="center" vertical="top"/>
    </xf>
    <xf numFmtId="3" fontId="3" fillId="0" borderId="0" xfId="1" applyNumberFormat="1" applyFont="1" applyAlignment="1">
      <alignment horizontal="center" vertical="top"/>
    </xf>
    <xf numFmtId="0" fontId="3" fillId="0" borderId="0" xfId="1" applyFont="1" applyAlignment="1">
      <alignment horizontal="center" vertical="top"/>
    </xf>
    <xf numFmtId="16" fontId="3" fillId="0" borderId="0" xfId="1" applyNumberFormat="1" applyFont="1" applyAlignment="1">
      <alignment vertical="top"/>
    </xf>
    <xf numFmtId="167" fontId="3" fillId="0" borderId="0" xfId="1" applyNumberFormat="1" applyFont="1" applyAlignment="1">
      <alignment horizontal="center" vertical="top"/>
    </xf>
    <xf numFmtId="167" fontId="3" fillId="0" borderId="0" xfId="1" applyNumberFormat="1" applyFont="1" applyAlignment="1">
      <alignment horizontal="right" vertical="top"/>
    </xf>
    <xf numFmtId="167" fontId="3" fillId="0" borderId="0" xfId="1" applyNumberFormat="1" applyFont="1" applyAlignment="1">
      <alignment horizontal="right" vertical="top" wrapText="1"/>
    </xf>
    <xf numFmtId="3" fontId="3" fillId="0" borderId="0" xfId="1" applyNumberFormat="1" applyFont="1" applyAlignment="1">
      <alignment horizontal="right" vertical="top"/>
    </xf>
    <xf numFmtId="164" fontId="3" fillId="0" borderId="0" xfId="1" applyNumberFormat="1" applyFont="1" applyAlignment="1">
      <alignment horizontal="right" vertical="top"/>
    </xf>
    <xf numFmtId="165" fontId="3" fillId="0" borderId="0" xfId="1" applyNumberFormat="1" applyFont="1" applyAlignment="1">
      <alignment horizontal="right" vertical="top"/>
    </xf>
    <xf numFmtId="10" fontId="3" fillId="0" borderId="0" xfId="1" applyNumberFormat="1" applyFont="1" applyAlignment="1">
      <alignment horizontal="right" vertical="top"/>
    </xf>
    <xf numFmtId="9" fontId="3" fillId="0" borderId="0" xfId="1" applyNumberFormat="1" applyFont="1" applyAlignment="1">
      <alignment horizontal="right" vertical="top"/>
    </xf>
    <xf numFmtId="10" fontId="3" fillId="0" borderId="0" xfId="1" applyNumberFormat="1" applyFont="1" applyAlignment="1">
      <alignment horizontal="left" vertical="top"/>
    </xf>
    <xf numFmtId="2" fontId="3" fillId="0" borderId="0" xfId="1" applyNumberFormat="1" applyFont="1" applyAlignment="1">
      <alignment horizontal="center" vertical="top"/>
    </xf>
    <xf numFmtId="1" fontId="3" fillId="0" borderId="0" xfId="1" applyNumberFormat="1" applyFont="1" applyAlignment="1">
      <alignment horizontal="center" vertical="top"/>
    </xf>
    <xf numFmtId="1" fontId="2" fillId="0" borderId="0" xfId="1" applyNumberFormat="1" applyFont="1" applyAlignment="1">
      <alignment horizontal="center" vertical="top" wrapText="1"/>
    </xf>
    <xf numFmtId="1" fontId="3" fillId="0" borderId="0" xfId="1" applyNumberFormat="1" applyFont="1" applyAlignment="1">
      <alignment horizontal="left" vertical="top"/>
    </xf>
    <xf numFmtId="1" fontId="3" fillId="0" borderId="0" xfId="1" applyNumberFormat="1" applyFont="1" applyAlignment="1">
      <alignment horizontal="right" vertical="top"/>
    </xf>
    <xf numFmtId="167" fontId="3" fillId="0" borderId="0" xfId="1" applyNumberFormat="1" applyFont="1" applyAlignment="1">
      <alignment vertical="top"/>
    </xf>
    <xf numFmtId="2" fontId="0" fillId="0" borderId="0" xfId="0" applyNumberFormat="1"/>
    <xf numFmtId="0" fontId="0" fillId="0" borderId="0" xfId="0" applyAlignment="1">
      <alignment vertical="top"/>
    </xf>
    <xf numFmtId="168" fontId="0" fillId="0" borderId="0" xfId="0" applyNumberFormat="1"/>
    <xf numFmtId="167" fontId="2" fillId="0" borderId="0" xfId="1" applyNumberFormat="1" applyFont="1" applyAlignment="1">
      <alignment horizontal="center"/>
    </xf>
    <xf numFmtId="9" fontId="2" fillId="0" borderId="0" xfId="1" applyNumberFormat="1" applyFont="1" applyAlignment="1">
      <alignment horizontal="center" vertical="top" wrapText="1"/>
    </xf>
    <xf numFmtId="0" fontId="2" fillId="0" borderId="0" xfId="1" applyFont="1" applyAlignment="1">
      <alignment horizontal="center" vertical="top" wrapText="1"/>
    </xf>
    <xf numFmtId="167" fontId="2" fillId="0" borderId="0" xfId="1" applyNumberFormat="1" applyFont="1" applyAlignment="1">
      <alignment horizontal="center" vertical="top"/>
    </xf>
    <xf numFmtId="10" fontId="2" fillId="0" borderId="0" xfId="1" applyNumberFormat="1" applyFont="1" applyAlignment="1">
      <alignment horizontal="center" vertical="top" wrapText="1"/>
    </xf>
    <xf numFmtId="165" fontId="2" fillId="0" borderId="0" xfId="1" applyNumberFormat="1" applyFont="1" applyAlignment="1">
      <alignment horizontal="center" vertical="top" wrapText="1"/>
    </xf>
    <xf numFmtId="3" fontId="2" fillId="0" borderId="0" xfId="1" applyNumberFormat="1" applyFont="1" applyAlignment="1">
      <alignment horizontal="center" vertical="top" wrapText="1"/>
    </xf>
    <xf numFmtId="164" fontId="2" fillId="0" borderId="0" xfId="1" applyNumberFormat="1" applyFont="1" applyAlignment="1">
      <alignment horizontal="center" vertical="top" wrapText="1"/>
    </xf>
    <xf numFmtId="0" fontId="0" fillId="0" borderId="0" xfId="0" applyAlignment="1">
      <alignment horizontal="center"/>
    </xf>
    <xf numFmtId="0" fontId="0" fillId="0" borderId="0" xfId="0" applyAlignment="1">
      <alignment horizontal="left" vertical="top"/>
    </xf>
    <xf numFmtId="0" fontId="4" fillId="0" borderId="0" xfId="0" applyFont="1"/>
    <xf numFmtId="0" fontId="7" fillId="0" borderId="0" xfId="0" applyFont="1"/>
    <xf numFmtId="0" fontId="6" fillId="0" borderId="0" xfId="0" applyFont="1"/>
    <xf numFmtId="0" fontId="8" fillId="0" borderId="0" xfId="0" applyFont="1"/>
    <xf numFmtId="3" fontId="9" fillId="0" borderId="0" xfId="0" applyNumberFormat="1"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2"/>
    <xf numFmtId="172" fontId="0" fillId="0" borderId="0" xfId="0" applyNumberFormat="1"/>
  </cellXfs>
  <cellStyles count="3">
    <cellStyle name="Hyperlink" xfId="2" builtinId="8"/>
    <cellStyle name="Normal" xfId="0" builtinId="0"/>
    <cellStyle name="Normal 2 2" xfId="1" xr:uid="{F854BB10-F15F-5D4F-A338-800EB9B992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medicarestatistics.humanservices.gov.au/statistics/download.jsp"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024C-D7AB-814F-968B-016143F4DFCA}">
  <dimension ref="A1:BN124"/>
  <sheetViews>
    <sheetView topLeftCell="A12" workbookViewId="0">
      <selection activeCell="J34" sqref="J34"/>
    </sheetView>
  </sheetViews>
  <sheetFormatPr baseColWidth="10" defaultColWidth="10.6640625" defaultRowHeight="16" x14ac:dyDescent="0.2"/>
  <cols>
    <col min="1" max="1" width="10.6640625" style="4"/>
    <col min="2" max="2" width="19.1640625" style="19" customWidth="1"/>
    <col min="3" max="3" width="9.5" style="20" hidden="1" customWidth="1"/>
    <col min="4" max="4" width="15.1640625" style="4" hidden="1" customWidth="1"/>
    <col min="5" max="5" width="19" style="21" hidden="1" customWidth="1"/>
    <col min="6" max="6" width="15.83203125" style="4" hidden="1" customWidth="1"/>
    <col min="7" max="7" width="14.1640625" style="4" hidden="1" customWidth="1"/>
    <col min="8" max="8" width="20" style="5" hidden="1" customWidth="1"/>
    <col min="9" max="9" width="6.83203125" style="5" customWidth="1"/>
    <col min="10" max="10" width="11.33203125" style="11" customWidth="1"/>
    <col min="11" max="11" width="11.33203125" style="32" customWidth="1"/>
    <col min="12" max="14" width="14.1640625" style="8" customWidth="1"/>
    <col min="15" max="15" width="14.1640625" style="27" customWidth="1"/>
    <col min="16" max="17" width="14.1640625" style="8" customWidth="1"/>
    <col min="18" max="18" width="14.1640625" style="29" customWidth="1"/>
    <col min="19" max="19" width="14.1640625" style="9" customWidth="1"/>
    <col min="20" max="20" width="14.1640625" style="8" customWidth="1"/>
    <col min="21" max="21" width="14.1640625" style="9" customWidth="1"/>
    <col min="22" max="27" width="14.83203125" style="23" customWidth="1"/>
    <col min="28" max="30" width="12.83203125" style="23" customWidth="1"/>
    <col min="31" max="16384" width="10.6640625" style="4"/>
  </cols>
  <sheetData>
    <row r="1" spans="1:66" x14ac:dyDescent="0.2">
      <c r="V1" s="82" t="s">
        <v>0</v>
      </c>
      <c r="W1" s="82"/>
      <c r="X1" s="82"/>
      <c r="Y1" s="82"/>
      <c r="Z1" s="82"/>
      <c r="AA1" s="82"/>
      <c r="AB1" s="82"/>
      <c r="AC1" s="82"/>
      <c r="AD1" s="82"/>
      <c r="AE1" s="82" t="s">
        <v>1</v>
      </c>
      <c r="AF1" s="82"/>
      <c r="AG1" s="82"/>
      <c r="AH1" s="82"/>
      <c r="AI1" s="82"/>
      <c r="AJ1" s="82"/>
      <c r="AK1" s="82"/>
      <c r="AL1" s="82"/>
      <c r="AM1" s="82"/>
      <c r="AN1" s="82" t="s">
        <v>2</v>
      </c>
      <c r="AO1" s="82"/>
      <c r="AP1" s="82"/>
      <c r="AQ1" s="82"/>
      <c r="AR1" s="82"/>
      <c r="AS1" s="82"/>
      <c r="AT1" s="82"/>
      <c r="AU1" s="82"/>
      <c r="AV1" s="82"/>
      <c r="AW1" s="82" t="s">
        <v>3</v>
      </c>
      <c r="AX1" s="82"/>
      <c r="AY1" s="82"/>
      <c r="AZ1" s="82"/>
      <c r="BA1" s="82"/>
      <c r="BB1" s="82"/>
      <c r="BC1" s="82"/>
      <c r="BD1" s="82"/>
      <c r="BE1" s="82"/>
      <c r="BF1" s="82" t="s">
        <v>4</v>
      </c>
      <c r="BG1" s="82"/>
      <c r="BH1" s="82"/>
      <c r="BI1" s="82"/>
      <c r="BJ1" s="82"/>
      <c r="BK1" s="82"/>
      <c r="BL1" s="82"/>
      <c r="BM1" s="82"/>
      <c r="BN1" s="82"/>
    </row>
    <row r="2" spans="1:66" ht="17" x14ac:dyDescent="0.2">
      <c r="A2" s="1" t="s">
        <v>5</v>
      </c>
      <c r="B2" s="1" t="s">
        <v>6</v>
      </c>
      <c r="C2" s="2" t="s">
        <v>7</v>
      </c>
      <c r="D2" s="1" t="s">
        <v>8</v>
      </c>
      <c r="E2" s="3" t="s">
        <v>9</v>
      </c>
      <c r="V2" s="82" t="s">
        <v>10</v>
      </c>
      <c r="W2" s="82"/>
      <c r="X2" s="82"/>
      <c r="Y2" s="82" t="s">
        <v>11</v>
      </c>
      <c r="Z2" s="82"/>
      <c r="AA2" s="82"/>
      <c r="AB2" s="82" t="s">
        <v>12</v>
      </c>
      <c r="AC2" s="82"/>
      <c r="AD2" s="82"/>
      <c r="AE2" s="82" t="s">
        <v>10</v>
      </c>
      <c r="AF2" s="82"/>
      <c r="AG2" s="82"/>
      <c r="AH2" s="82" t="s">
        <v>11</v>
      </c>
      <c r="AI2" s="82"/>
      <c r="AJ2" s="82"/>
      <c r="AK2" s="82" t="s">
        <v>12</v>
      </c>
      <c r="AL2" s="82"/>
      <c r="AM2" s="82"/>
      <c r="AN2" s="82" t="s">
        <v>10</v>
      </c>
      <c r="AO2" s="82"/>
      <c r="AP2" s="82"/>
      <c r="AQ2" s="82" t="s">
        <v>11</v>
      </c>
      <c r="AR2" s="82"/>
      <c r="AS2" s="82"/>
      <c r="AT2" s="82" t="s">
        <v>12</v>
      </c>
      <c r="AU2" s="82"/>
      <c r="AV2" s="82"/>
      <c r="AW2" s="82" t="s">
        <v>10</v>
      </c>
      <c r="AX2" s="82"/>
      <c r="AY2" s="82"/>
      <c r="AZ2" s="82" t="s">
        <v>11</v>
      </c>
      <c r="BA2" s="82"/>
      <c r="BB2" s="82"/>
      <c r="BC2" s="82" t="s">
        <v>12</v>
      </c>
      <c r="BD2" s="82"/>
      <c r="BE2" s="82"/>
      <c r="BF2" s="82" t="s">
        <v>10</v>
      </c>
      <c r="BG2" s="82"/>
      <c r="BH2" s="82"/>
      <c r="BI2" s="82" t="s">
        <v>11</v>
      </c>
      <c r="BJ2" s="82"/>
      <c r="BK2" s="82"/>
      <c r="BL2" s="82" t="s">
        <v>12</v>
      </c>
      <c r="BM2" s="82"/>
      <c r="BN2" s="82"/>
    </row>
    <row r="3" spans="1:66" s="1" customFormat="1" ht="51" x14ac:dyDescent="0.2">
      <c r="F3" s="1" t="s">
        <v>13</v>
      </c>
      <c r="G3" s="1" t="s">
        <v>14</v>
      </c>
      <c r="H3" s="12" t="s">
        <v>15</v>
      </c>
      <c r="I3" s="12" t="s">
        <v>16</v>
      </c>
      <c r="J3" s="17" t="s">
        <v>17</v>
      </c>
      <c r="K3" s="33" t="s">
        <v>18</v>
      </c>
      <c r="L3" s="15" t="s">
        <v>19</v>
      </c>
      <c r="M3" s="15" t="s">
        <v>20</v>
      </c>
      <c r="N3" s="15" t="s">
        <v>21</v>
      </c>
      <c r="O3" s="31" t="s">
        <v>22</v>
      </c>
      <c r="P3" s="15" t="s">
        <v>23</v>
      </c>
      <c r="Q3" s="15" t="s">
        <v>24</v>
      </c>
      <c r="R3" s="30" t="s">
        <v>25</v>
      </c>
      <c r="S3" s="2" t="s">
        <v>26</v>
      </c>
      <c r="T3" s="15" t="s">
        <v>27</v>
      </c>
      <c r="U3" s="2" t="s">
        <v>28</v>
      </c>
      <c r="V3" s="18" t="s">
        <v>29</v>
      </c>
      <c r="W3" s="18" t="s">
        <v>30</v>
      </c>
      <c r="X3" s="18" t="s">
        <v>31</v>
      </c>
      <c r="Y3" s="18" t="s">
        <v>29</v>
      </c>
      <c r="Z3" s="18" t="s">
        <v>30</v>
      </c>
      <c r="AA3" s="18" t="s">
        <v>31</v>
      </c>
      <c r="AB3" s="18" t="s">
        <v>29</v>
      </c>
      <c r="AC3" s="18" t="s">
        <v>30</v>
      </c>
      <c r="AD3" s="18" t="s">
        <v>31</v>
      </c>
      <c r="AE3" s="18" t="s">
        <v>29</v>
      </c>
      <c r="AF3" s="18" t="s">
        <v>30</v>
      </c>
      <c r="AG3" s="18" t="s">
        <v>31</v>
      </c>
      <c r="AH3" s="18" t="s">
        <v>29</v>
      </c>
      <c r="AI3" s="18" t="s">
        <v>30</v>
      </c>
      <c r="AJ3" s="18" t="s">
        <v>31</v>
      </c>
      <c r="AK3" s="18" t="s">
        <v>29</v>
      </c>
      <c r="AL3" s="18" t="s">
        <v>30</v>
      </c>
      <c r="AM3" s="18" t="s">
        <v>31</v>
      </c>
      <c r="AN3" s="18" t="s">
        <v>29</v>
      </c>
      <c r="AO3" s="18" t="s">
        <v>30</v>
      </c>
      <c r="AP3" s="18" t="s">
        <v>31</v>
      </c>
      <c r="AQ3" s="18" t="s">
        <v>29</v>
      </c>
      <c r="AR3" s="18" t="s">
        <v>30</v>
      </c>
      <c r="AS3" s="18" t="s">
        <v>31</v>
      </c>
      <c r="AT3" s="18" t="s">
        <v>29</v>
      </c>
      <c r="AU3" s="18" t="s">
        <v>30</v>
      </c>
      <c r="AV3" s="18" t="s">
        <v>31</v>
      </c>
      <c r="AW3" s="18" t="s">
        <v>29</v>
      </c>
      <c r="AX3" s="18" t="s">
        <v>30</v>
      </c>
      <c r="AY3" s="18" t="s">
        <v>31</v>
      </c>
      <c r="AZ3" s="18" t="s">
        <v>29</v>
      </c>
      <c r="BA3" s="18" t="s">
        <v>30</v>
      </c>
      <c r="BB3" s="18" t="s">
        <v>31</v>
      </c>
      <c r="BC3" s="18" t="s">
        <v>29</v>
      </c>
      <c r="BD3" s="18" t="s">
        <v>30</v>
      </c>
      <c r="BE3" s="18" t="s">
        <v>31</v>
      </c>
      <c r="BF3" s="18" t="s">
        <v>29</v>
      </c>
      <c r="BG3" s="18" t="s">
        <v>30</v>
      </c>
      <c r="BH3" s="18" t="s">
        <v>31</v>
      </c>
      <c r="BI3" s="18" t="s">
        <v>29</v>
      </c>
      <c r="BJ3" s="18" t="s">
        <v>30</v>
      </c>
      <c r="BK3" s="18" t="s">
        <v>31</v>
      </c>
      <c r="BL3" s="18" t="s">
        <v>29</v>
      </c>
      <c r="BM3" s="18" t="s">
        <v>30</v>
      </c>
      <c r="BN3" s="18" t="s">
        <v>31</v>
      </c>
    </row>
    <row r="4" spans="1:66" x14ac:dyDescent="0.2">
      <c r="A4" s="4" t="s">
        <v>32</v>
      </c>
      <c r="B4" s="19" t="s">
        <v>33</v>
      </c>
      <c r="C4" s="20" t="s">
        <v>34</v>
      </c>
      <c r="D4" s="4" t="s">
        <v>35</v>
      </c>
      <c r="E4" s="21" t="s">
        <v>36</v>
      </c>
      <c r="F4" s="22" t="s">
        <v>37</v>
      </c>
      <c r="G4" s="4" t="s">
        <v>38</v>
      </c>
      <c r="H4" s="5" t="s">
        <v>39</v>
      </c>
      <c r="I4" s="5">
        <v>2022</v>
      </c>
      <c r="J4" s="11">
        <v>0.105</v>
      </c>
      <c r="K4" s="32">
        <v>38</v>
      </c>
      <c r="L4" s="8">
        <v>1</v>
      </c>
      <c r="M4" s="8">
        <v>0.1</v>
      </c>
      <c r="N4" s="8">
        <v>3.5000000000000003E-2</v>
      </c>
      <c r="O4" s="27">
        <v>0</v>
      </c>
      <c r="P4" s="8">
        <v>0</v>
      </c>
      <c r="Q4" s="8">
        <v>4.5999999999999999E-2</v>
      </c>
      <c r="R4" s="23">
        <v>0</v>
      </c>
      <c r="S4" s="9">
        <v>4</v>
      </c>
      <c r="T4" s="8">
        <v>0.17499999999999999</v>
      </c>
      <c r="U4" s="8">
        <v>1.4999999999999999E-2</v>
      </c>
      <c r="V4" s="36">
        <v>79624</v>
      </c>
      <c r="W4" s="36">
        <f t="shared" ref="W4:W8" si="0">V4+((X4-V4)/2)</f>
        <v>94969</v>
      </c>
      <c r="X4" s="36">
        <v>110314</v>
      </c>
      <c r="Y4" s="36">
        <f>(V4+(V4*$J4)+(V4*$M4)+(V4*$N4)+(V4*$O4)+(V4*$P4)+(V4*$Q4)+($R4)+(V4*((52+$S4)/52))*(1+$T4))*1/$L4</f>
        <v>203151.44861538461</v>
      </c>
      <c r="Z4" s="36">
        <f>(W4+(W4*$J4)+(W4*$M4)+(W4*$N4)+(W4*$O4)+(W4*$P4)+(W4*$Q4)+($R4)+(W4*((52+$S4)/52))*(1+$T4))*1/$L4</f>
        <v>242302.4455384615</v>
      </c>
      <c r="AA4" s="36">
        <f>(X4+(X4*$J4)+(X4*$M4)+(X4*$N4)+(X4*$O4)+(X4*$P4)+(X4*$Q4)+($R4)+(X4*((52+$S4)/52))*(1+$T4))*1/$L4</f>
        <v>281453.44246153842</v>
      </c>
      <c r="AB4" s="36">
        <f t="shared" ref="AB4:AD8" si="1">Y4/52/$K4</f>
        <v>102.80943755839301</v>
      </c>
      <c r="AC4" s="36">
        <f t="shared" si="1"/>
        <v>122.62269511055743</v>
      </c>
      <c r="AD4" s="36">
        <f t="shared" si="1"/>
        <v>142.43595266272186</v>
      </c>
      <c r="AE4" s="36">
        <f>($V4*(1+(($U4/100)*1)))</f>
        <v>79635.943600000013</v>
      </c>
      <c r="AF4" s="36">
        <f>($W4*(1+(($U4/100)*1)))</f>
        <v>94983.245350000012</v>
      </c>
      <c r="AG4" s="36">
        <f>($X4*(1+(($U4/100)*1)))</f>
        <v>110330.54710000001</v>
      </c>
      <c r="AH4" s="36">
        <f>(AE4+(AE4*$J4)+(AE4*$M4)+(AE4*$N4)+(AE4*$O4)+(AE4*$P4)+(AE4*$Q4)+($R4)+(AE4*((52+$S4)/52))*(1+$T4))*1/$L4</f>
        <v>203181.92133267695</v>
      </c>
      <c r="AI4" s="36">
        <f>(AF4+(AF4*$J4)+(AF4*$M4)+(AF4*$N4)+(AF4*$O4)+(AF4*$P4)+(AF4*$Q4)+($R4)+(AF4*((52+$S4)/52))*(1+$T4))*1/$L4</f>
        <v>242338.79090529235</v>
      </c>
      <c r="AJ4" s="36">
        <f>(AG4+(AG4*$J4)+(AG4*$M4)+(AG4*$N4)+(AG4*$O4)+(AG4*$P4)+(AG4*$Q4)+($R4)+(AG4*((52+$S4)/52))*(1+$T4))*1/$L4</f>
        <v>281495.66047790775</v>
      </c>
      <c r="AK4" s="36">
        <f t="shared" ref="AK4" si="2">AH4/52/$K4</f>
        <v>102.8248589740268</v>
      </c>
      <c r="AL4" s="36">
        <f t="shared" ref="AL4" si="3">AI4/52/$K4</f>
        <v>122.64108851482406</v>
      </c>
      <c r="AM4" s="36">
        <f t="shared" ref="AM4" si="4">AJ4/52/$K4</f>
        <v>142.45731805562133</v>
      </c>
      <c r="AN4" s="36">
        <f>($V4*(1+(($U4/100)*2)))</f>
        <v>79647.887199999997</v>
      </c>
      <c r="AO4" s="36">
        <f>($W4*(1+(($U4/100)*2)))</f>
        <v>94997.490699999995</v>
      </c>
      <c r="AP4" s="36">
        <f>($X4*(1+(($U4/100)*2)))</f>
        <v>110347.09419999999</v>
      </c>
      <c r="AQ4" s="36">
        <f>(AN4+(AN4*$J4)+(AN4*$M4)+(AN4*$N4)+(AN4*$O4)+(AN4*$P4)+(AN4*$Q4)+($R4)+(AN4*((52+$S4)/52))*(1+$T4))*1/$L4</f>
        <v>203212.39404996921</v>
      </c>
      <c r="AR4" s="36">
        <f>(AO4+(AO4*$J4)+(AO4*$M4)+(AO4*$N4)+(AO4*$O4)+(AO4*$P4)+(AO4*$Q4)+($R4)+(AO4*((52+$S4)/52))*(1+$T4))*1/$L4</f>
        <v>242375.13627212308</v>
      </c>
      <c r="AS4" s="36">
        <f>(AP4+(AP4*$J4)+(AP4*$M4)+(AP4*$N4)+(AP4*$O4)+(AP4*$P4)+(AP4*$Q4)+($R4)+(AP4*((52+$S4)/52))*(1+$T4))*1/$L4</f>
        <v>281537.8784942769</v>
      </c>
      <c r="AT4" s="36">
        <f t="shared" ref="AT4" si="5">AQ4/52/$K4</f>
        <v>102.84028038966053</v>
      </c>
      <c r="AU4" s="36">
        <f t="shared" ref="AU4" si="6">AR4/52/$K4</f>
        <v>122.65948191909064</v>
      </c>
      <c r="AV4" s="36">
        <f t="shared" ref="AV4" si="7">AS4/52/$K4</f>
        <v>142.47868344852068</v>
      </c>
      <c r="AW4" s="36">
        <f>($V4*(1+(($U4/100)*3)))</f>
        <v>79659.830800000011</v>
      </c>
      <c r="AX4" s="36">
        <f>($W4*(1+(($U4/100)*3)))</f>
        <v>95011.736050000007</v>
      </c>
      <c r="AY4" s="36">
        <f>($X4*(1+(($U4/100)*3)))</f>
        <v>110363.6413</v>
      </c>
      <c r="AZ4" s="36">
        <f>(AW4+(AW4*$J4)+(AW4*$M4)+(AW4*$N4)+(AW4*$O4)+(AW4*$P4)+(AW4*$Q4)+($R4)+(AW4*((52+$S4)/52))*(1+$T4))*1/$L4</f>
        <v>203242.86676726156</v>
      </c>
      <c r="BA4" s="36">
        <f>(AX4+(AX4*$J4)+(AX4*$M4)+(AX4*$N4)+(AX4*$O4)+(AX4*$P4)+(AX4*$Q4)+($R4)+(AX4*((52+$S4)/52))*(1+$T4))*1/$L4</f>
        <v>242411.48163895388</v>
      </c>
      <c r="BB4" s="36">
        <f>(AY4+(AY4*$J4)+(AY4*$M4)+(AY4*$N4)+(AY4*$O4)+(AY4*$P4)+(AY4*$Q4)+($R4)+(AY4*((52+$S4)/52))*(1+$T4))*1/$L4</f>
        <v>281580.09651064617</v>
      </c>
      <c r="BC4" s="36">
        <f t="shared" ref="BC4" si="8">AZ4/52/$K4</f>
        <v>102.85570180529432</v>
      </c>
      <c r="BD4" s="36">
        <f t="shared" ref="BD4" si="9">BA4/52/$K4</f>
        <v>122.67787532335723</v>
      </c>
      <c r="BE4" s="36">
        <f t="shared" ref="BE4" si="10">BB4/52/$K4</f>
        <v>142.50004884142012</v>
      </c>
      <c r="BF4" s="36">
        <f>($V4*(1+(($U4/100)*4)))</f>
        <v>79671.774399999995</v>
      </c>
      <c r="BG4" s="36">
        <f>($W4*(1+(($U4/100)*4)))</f>
        <v>95025.98139999999</v>
      </c>
      <c r="BH4" s="36">
        <f>($X4*(1+(($U4/100)*4)))</f>
        <v>110380.1884</v>
      </c>
      <c r="BI4" s="36">
        <f>(BF4+(BF4*$J4)+(BF4*$M4)+(BF4*$N4)+(BF4*$O4)+(BF4*$P4)+(BF4*$Q4)+($R4)+(BF4*((52+$S4)/52))*(1+$T4))*1/$L4</f>
        <v>203273.33948455381</v>
      </c>
      <c r="BJ4" s="36">
        <f>(BG4+(BG4*$J4)+(BG4*$M4)+(BG4*$N4)+(BG4*$O4)+(BG4*$P4)+(BG4*$Q4)+($R4)+(BG4*((52+$S4)/52))*(1+$T4))*1/$L4</f>
        <v>242447.82700578458</v>
      </c>
      <c r="BK4" s="36">
        <f>(BH4+(BH4*$J4)+(BH4*$M4)+(BH4*$N4)+(BH4*$O4)+(BH4*$P4)+(BH4*$Q4)+($R4)+(BH4*((52+$S4)/52))*(1+$T4))*1/$L4</f>
        <v>281622.31452701538</v>
      </c>
      <c r="BL4" s="36">
        <f t="shared" ref="BL4" si="11">BI4/52/$K4</f>
        <v>102.87112322092804</v>
      </c>
      <c r="BM4" s="36">
        <f t="shared" ref="BM4" si="12">BJ4/52/$K4</f>
        <v>122.69626872762376</v>
      </c>
      <c r="BN4" s="36">
        <f t="shared" ref="BN4" si="13">BK4/52/$K4</f>
        <v>142.52141423431954</v>
      </c>
    </row>
    <row r="5" spans="1:66" x14ac:dyDescent="0.2">
      <c r="A5" s="4" t="s">
        <v>32</v>
      </c>
      <c r="B5" s="19" t="s">
        <v>40</v>
      </c>
      <c r="C5" s="20" t="s">
        <v>41</v>
      </c>
      <c r="D5" s="4" t="s">
        <v>42</v>
      </c>
      <c r="E5" s="21" t="s">
        <v>43</v>
      </c>
      <c r="F5" s="4" t="s">
        <v>44</v>
      </c>
      <c r="G5" s="22" t="s">
        <v>45</v>
      </c>
      <c r="H5" s="5" t="s">
        <v>46</v>
      </c>
      <c r="I5" s="5">
        <v>2023</v>
      </c>
      <c r="J5" s="11">
        <v>0.105</v>
      </c>
      <c r="K5" s="32">
        <v>38</v>
      </c>
      <c r="L5" s="8">
        <v>1</v>
      </c>
      <c r="M5" s="8">
        <v>0.1</v>
      </c>
      <c r="N5" s="8">
        <v>3.5000000000000003E-2</v>
      </c>
      <c r="O5" s="27">
        <v>0</v>
      </c>
      <c r="P5" s="8">
        <v>0</v>
      </c>
      <c r="Q5" s="8">
        <v>4.5999999999999999E-2</v>
      </c>
      <c r="R5" s="23">
        <v>0</v>
      </c>
      <c r="S5" s="9">
        <v>5</v>
      </c>
      <c r="T5" s="8">
        <v>0.17499999999999999</v>
      </c>
      <c r="U5" s="8">
        <v>1.4999999999999999E-2</v>
      </c>
      <c r="V5" s="36">
        <f>1177*52</f>
        <v>61204</v>
      </c>
      <c r="W5" s="36">
        <f t="shared" si="0"/>
        <v>101878.40000000001</v>
      </c>
      <c r="X5" s="36">
        <f>2741.4*52</f>
        <v>142552.80000000002</v>
      </c>
      <c r="Y5" s="36">
        <f t="shared" ref="Y5:Y8" si="14">(V5+(V5*$J5)+(V5*$M5)+(V5*$N5)+(V5*$O5)+(V5*$P5)+(V5*$Q5)+($R5)+(V5*((52+$S5)/52))*(1+$T5))*1/$L5</f>
        <v>157537.91899999999</v>
      </c>
      <c r="Z5" s="36">
        <f t="shared" ref="Z5:AA8" si="15">(W5+(W5*$J5)+(W5*$M5)+(W5*$N5)+(W5*$O5)+(W5*$P5)+(W5*$Q5)+($R5)+(W5*((52+$S5)/52))*(1+$T5))*1/$L5</f>
        <v>262233.04240000003</v>
      </c>
      <c r="AA5" s="36">
        <f t="shared" si="15"/>
        <v>366928.16580000008</v>
      </c>
      <c r="AB5" s="36">
        <f t="shared" si="1"/>
        <v>79.725667510121454</v>
      </c>
      <c r="AC5" s="36">
        <f t="shared" si="1"/>
        <v>132.7090295546559</v>
      </c>
      <c r="AD5" s="36">
        <f t="shared" si="1"/>
        <v>185.69239159919033</v>
      </c>
      <c r="AE5" s="36">
        <f t="shared" ref="AE5:AE8" si="16">($V5*(1+(($U5/100)*1)))</f>
        <v>61213.180600000007</v>
      </c>
      <c r="AF5" s="36">
        <f t="shared" ref="AF5:AF8" si="17">($W5*(1+(($U5/100)*1)))</f>
        <v>101893.68176000002</v>
      </c>
      <c r="AG5" s="36">
        <f t="shared" ref="AG5:AG8" si="18">($X5*(1+(($U5/100)*1)))</f>
        <v>142574.18292000002</v>
      </c>
      <c r="AH5" s="36">
        <f t="shared" ref="AH5:AH8" si="19">(AE5+(AE5*$J5)+(AE5*$M5)+(AE5*$N5)+(AE5*$O5)+(AE5*$P5)+(AE5*$Q5)+($R5)+(AE5*((52+$S5)/52))*(1+$T5))*1/$L5</f>
        <v>157561.54968785003</v>
      </c>
      <c r="AI5" s="36">
        <f t="shared" ref="AI5:AI8" si="20">(AF5+(AF5*$J5)+(AF5*$M5)+(AF5*$N5)+(AF5*$O5)+(AF5*$P5)+(AF5*$Q5)+($R5)+(AF5*((52+$S5)/52))*(1+$T5))*1/$L5</f>
        <v>262272.37735636008</v>
      </c>
      <c r="AJ5" s="36">
        <f t="shared" ref="AJ5:AJ8" si="21">(AG5+(AG5*$J5)+(AG5*$M5)+(AG5*$N5)+(AG5*$O5)+(AG5*$P5)+(AG5*$Q5)+($R5)+(AG5*((52+$S5)/52))*(1+$T5))*1/$L5</f>
        <v>366983.20502487</v>
      </c>
      <c r="AK5" s="36">
        <f t="shared" ref="AK5:AK8" si="22">AH5/52/$K5</f>
        <v>79.737626360247987</v>
      </c>
      <c r="AL5" s="36">
        <f t="shared" ref="AL5:AL8" si="23">AI5/52/$K5</f>
        <v>132.7289359090891</v>
      </c>
      <c r="AM5" s="36">
        <f t="shared" ref="AM5:AM8" si="24">AJ5/52/$K5</f>
        <v>185.72024545793016</v>
      </c>
      <c r="AN5" s="36">
        <f t="shared" ref="AN5:AN8" si="25">($V5*(1+(($U5/100)*2)))</f>
        <v>61222.361199999999</v>
      </c>
      <c r="AO5" s="36">
        <f t="shared" ref="AO5:AO8" si="26">($W5*(1+(($U5/100)*2)))</f>
        <v>101908.96352</v>
      </c>
      <c r="AP5" s="36">
        <f t="shared" ref="AP5:AP8" si="27">($X5*(1+(($U5/100)*2)))</f>
        <v>142595.56584000002</v>
      </c>
      <c r="AQ5" s="36">
        <f t="shared" ref="AQ5:AQ8" si="28">(AN5+(AN5*$J5)+(AN5*$M5)+(AN5*$N5)+(AN5*$O5)+(AN5*$P5)+(AN5*$Q5)+($R5)+(AN5*((52+$S5)/52))*(1+$T5))*1/$L5</f>
        <v>157585.1803757</v>
      </c>
      <c r="AR5" s="36">
        <f t="shared" ref="AR5:AR8" si="29">(AO5+(AO5*$J5)+(AO5*$M5)+(AO5*$N5)+(AO5*$O5)+(AO5*$P5)+(AO5*$Q5)+($R5)+(AO5*((52+$S5)/52))*(1+$T5))*1/$L5</f>
        <v>262311.71231272002</v>
      </c>
      <c r="AS5" s="36">
        <f t="shared" ref="AS5:AS8" si="30">(AP5+(AP5*$J5)+(AP5*$M5)+(AP5*$N5)+(AP5*$O5)+(AP5*$P5)+(AP5*$Q5)+($R5)+(AP5*((52+$S5)/52))*(1+$T5))*1/$L5</f>
        <v>367038.24424974015</v>
      </c>
      <c r="AT5" s="36">
        <f t="shared" ref="AT5:AT8" si="31">AQ5/52/$K5</f>
        <v>79.749585210374491</v>
      </c>
      <c r="AU5" s="36">
        <f t="shared" ref="AU5:AU8" si="32">AR5/52/$K5</f>
        <v>132.74884226352228</v>
      </c>
      <c r="AV5" s="36">
        <f t="shared" ref="AV5:AV8" si="33">AS5/52/$K5</f>
        <v>185.74809931667014</v>
      </c>
      <c r="AW5" s="36">
        <f t="shared" ref="AW5:AW8" si="34">($V5*(1+(($U5/100)*3)))</f>
        <v>61231.541800000006</v>
      </c>
      <c r="AX5" s="36">
        <f t="shared" ref="AX5:AX8" si="35">($W5*(1+(($U5/100)*3)))</f>
        <v>101924.24528000002</v>
      </c>
      <c r="AY5" s="36">
        <f t="shared" ref="AY5:AY8" si="36">($X5*(1+(($U5/100)*3)))</f>
        <v>142616.94876000003</v>
      </c>
      <c r="AZ5" s="36">
        <f t="shared" ref="AZ5:AZ8" si="37">(AW5+(AW5*$J5)+(AW5*$M5)+(AW5*$N5)+(AW5*$O5)+(AW5*$P5)+(AW5*$Q5)+($R5)+(AW5*((52+$S5)/52))*(1+$T5))*1/$L5</f>
        <v>157608.81106355006</v>
      </c>
      <c r="BA5" s="36">
        <f t="shared" ref="BA5:BA8" si="38">(AX5+(AX5*$J5)+(AX5*$M5)+(AX5*$N5)+(AX5*$O5)+(AX5*$P5)+(AX5*$Q5)+($R5)+(AX5*((52+$S5)/52))*(1+$T5))*1/$L5</f>
        <v>262351.04726908007</v>
      </c>
      <c r="BB5" s="36">
        <f t="shared" ref="BB5:BB8" si="39">(AY5+(AY5*$J5)+(AY5*$M5)+(AY5*$N5)+(AY5*$O5)+(AY5*$P5)+(AY5*$Q5)+($R5)+(AY5*((52+$S5)/52))*(1+$T5))*1/$L5</f>
        <v>367093.28347461007</v>
      </c>
      <c r="BC5" s="36">
        <f t="shared" ref="BC5:BC8" si="40">AZ5/52/$K5</f>
        <v>79.761544060501038</v>
      </c>
      <c r="BD5" s="36">
        <f t="shared" ref="BD5:BD8" si="41">BA5/52/$K5</f>
        <v>132.76874861795548</v>
      </c>
      <c r="BE5" s="36">
        <f t="shared" ref="BE5:BE8" si="42">BB5/52/$K5</f>
        <v>185.77595317540994</v>
      </c>
      <c r="BF5" s="36">
        <f t="shared" ref="BF5:BF8" si="43">($V5*(1+(($U5/100)*4)))</f>
        <v>61240.722399999999</v>
      </c>
      <c r="BG5" s="36">
        <f t="shared" ref="BG5:BG8" si="44">($W5*(1+(($U5/100)*4)))</f>
        <v>101939.52704</v>
      </c>
      <c r="BH5" s="36">
        <f t="shared" ref="BH5:BH8" si="45">($X5*(1+(($U5/100)*4)))</f>
        <v>142638.33168</v>
      </c>
      <c r="BI5" s="36">
        <f t="shared" ref="BI5:BI8" si="46">(BF5+(BF5*$J5)+(BF5*$M5)+(BF5*$N5)+(BF5*$O5)+(BF5*$P5)+(BF5*$Q5)+($R5)+(BF5*((52+$S5)/52))*(1+$T5))*1/$L5</f>
        <v>157632.44175140001</v>
      </c>
      <c r="BJ5" s="36">
        <f t="shared" ref="BJ5:BJ8" si="47">(BG5+(BG5*$J5)+(BG5*$M5)+(BG5*$N5)+(BG5*$O5)+(BG5*$P5)+(BG5*$Q5)+($R5)+(BG5*((52+$S5)/52))*(1+$T5))*1/$L5</f>
        <v>262390.38222544</v>
      </c>
      <c r="BK5" s="36">
        <f t="shared" ref="BK5:BK8" si="48">(BH5+(BH5*$J5)+(BH5*$M5)+(BH5*$N5)+(BH5*$O5)+(BH5*$P5)+(BH5*$Q5)+($R5)+(BH5*((52+$S5)/52))*(1+$T5))*1/$L5</f>
        <v>367148.32269948005</v>
      </c>
      <c r="BL5" s="36">
        <f t="shared" ref="BL5:BL8" si="49">BI5/52/$K5</f>
        <v>79.773502910627528</v>
      </c>
      <c r="BM5" s="36">
        <f t="shared" ref="BM5:BM8" si="50">BJ5/52/$K5</f>
        <v>132.78865497238866</v>
      </c>
      <c r="BN5" s="36">
        <f t="shared" ref="BN5:BN8" si="51">BK5/52/$K5</f>
        <v>185.80380703414983</v>
      </c>
    </row>
    <row r="6" spans="1:66" x14ac:dyDescent="0.2">
      <c r="A6" s="4" t="s">
        <v>32</v>
      </c>
      <c r="B6" s="19" t="s">
        <v>47</v>
      </c>
      <c r="C6" s="20" t="s">
        <v>48</v>
      </c>
      <c r="D6" s="4" t="s">
        <v>35</v>
      </c>
      <c r="E6" s="21" t="s">
        <v>49</v>
      </c>
      <c r="G6" s="4" t="s">
        <v>38</v>
      </c>
      <c r="H6" s="5" t="s">
        <v>39</v>
      </c>
      <c r="I6" s="5">
        <v>2022</v>
      </c>
      <c r="J6" s="11">
        <v>0.105</v>
      </c>
      <c r="K6" s="32">
        <v>38</v>
      </c>
      <c r="L6" s="8">
        <v>1</v>
      </c>
      <c r="M6" s="8">
        <v>0.1</v>
      </c>
      <c r="N6" s="8">
        <v>3.5000000000000003E-2</v>
      </c>
      <c r="O6" s="27">
        <v>0</v>
      </c>
      <c r="P6" s="8">
        <v>0</v>
      </c>
      <c r="Q6" s="8">
        <v>4.5999999999999999E-2</v>
      </c>
      <c r="R6" s="23">
        <v>0</v>
      </c>
      <c r="S6" s="9">
        <v>4</v>
      </c>
      <c r="T6" s="8">
        <v>0.17499999999999999</v>
      </c>
      <c r="U6" s="8">
        <v>1.4999999999999999E-2</v>
      </c>
      <c r="V6" s="36">
        <v>63701</v>
      </c>
      <c r="W6" s="36">
        <f t="shared" si="0"/>
        <v>77580.5</v>
      </c>
      <c r="X6" s="36">
        <v>91460</v>
      </c>
      <c r="Y6" s="36">
        <f t="shared" si="14"/>
        <v>162525.75138461537</v>
      </c>
      <c r="Z6" s="36">
        <f t="shared" si="15"/>
        <v>197937.69415384615</v>
      </c>
      <c r="AA6" s="36">
        <f t="shared" si="15"/>
        <v>233349.63692307693</v>
      </c>
      <c r="AB6" s="36">
        <f t="shared" si="1"/>
        <v>82.249874182497663</v>
      </c>
      <c r="AC6" s="36">
        <f t="shared" si="1"/>
        <v>100.17089785113671</v>
      </c>
      <c r="AD6" s="36">
        <f t="shared" si="1"/>
        <v>118.09192151977578</v>
      </c>
      <c r="AE6" s="36">
        <f t="shared" si="16"/>
        <v>63710.555150000007</v>
      </c>
      <c r="AF6" s="36">
        <f t="shared" si="17"/>
        <v>77592.137075000006</v>
      </c>
      <c r="AG6" s="36">
        <f t="shared" si="18"/>
        <v>91473.719000000012</v>
      </c>
      <c r="AH6" s="36">
        <f t="shared" si="19"/>
        <v>162550.13024732308</v>
      </c>
      <c r="AI6" s="36">
        <f t="shared" si="20"/>
        <v>197967.38480796924</v>
      </c>
      <c r="AJ6" s="36">
        <f t="shared" si="21"/>
        <v>233384.6393686154</v>
      </c>
      <c r="AK6" s="36">
        <f t="shared" si="22"/>
        <v>82.262211663625038</v>
      </c>
      <c r="AL6" s="36">
        <f t="shared" si="23"/>
        <v>100.18592348581439</v>
      </c>
      <c r="AM6" s="36">
        <f t="shared" si="24"/>
        <v>118.10963530800375</v>
      </c>
      <c r="AN6" s="36">
        <f t="shared" si="25"/>
        <v>63720.1103</v>
      </c>
      <c r="AO6" s="36">
        <f t="shared" si="26"/>
        <v>77603.774149999997</v>
      </c>
      <c r="AP6" s="36">
        <f t="shared" si="27"/>
        <v>91487.437999999995</v>
      </c>
      <c r="AQ6" s="36">
        <f t="shared" si="28"/>
        <v>162574.50911003075</v>
      </c>
      <c r="AR6" s="36">
        <f t="shared" si="29"/>
        <v>197997.0754620923</v>
      </c>
      <c r="AS6" s="36">
        <f t="shared" si="30"/>
        <v>233419.64181415382</v>
      </c>
      <c r="AT6" s="36">
        <f t="shared" si="31"/>
        <v>82.274549144752399</v>
      </c>
      <c r="AU6" s="36">
        <f t="shared" si="32"/>
        <v>100.20094912049206</v>
      </c>
      <c r="AV6" s="36">
        <f t="shared" si="33"/>
        <v>118.12734909623168</v>
      </c>
      <c r="AW6" s="36">
        <f t="shared" si="34"/>
        <v>63729.66545</v>
      </c>
      <c r="AX6" s="36">
        <f t="shared" si="35"/>
        <v>77615.411225000003</v>
      </c>
      <c r="AY6" s="36">
        <f t="shared" si="36"/>
        <v>91501.157000000007</v>
      </c>
      <c r="AZ6" s="36">
        <f t="shared" si="37"/>
        <v>162598.88797273848</v>
      </c>
      <c r="BA6" s="36">
        <f t="shared" si="38"/>
        <v>198026.76611621538</v>
      </c>
      <c r="BB6" s="36">
        <f t="shared" si="39"/>
        <v>233454.64425969232</v>
      </c>
      <c r="BC6" s="36">
        <f t="shared" si="40"/>
        <v>82.286886625879802</v>
      </c>
      <c r="BD6" s="36">
        <f t="shared" si="41"/>
        <v>100.21597475516973</v>
      </c>
      <c r="BE6" s="36">
        <f t="shared" si="42"/>
        <v>118.14506288445966</v>
      </c>
      <c r="BF6" s="36">
        <f t="shared" si="43"/>
        <v>63739.220599999993</v>
      </c>
      <c r="BG6" s="36">
        <f t="shared" si="44"/>
        <v>77627.048299999995</v>
      </c>
      <c r="BH6" s="36">
        <f t="shared" si="45"/>
        <v>91514.875999999989</v>
      </c>
      <c r="BI6" s="36">
        <f t="shared" si="46"/>
        <v>162623.26683544612</v>
      </c>
      <c r="BJ6" s="36">
        <f t="shared" si="47"/>
        <v>198056.45677033847</v>
      </c>
      <c r="BK6" s="36">
        <f t="shared" si="48"/>
        <v>233489.64670523073</v>
      </c>
      <c r="BL6" s="36">
        <f t="shared" si="49"/>
        <v>82.299224107007149</v>
      </c>
      <c r="BM6" s="36">
        <f t="shared" si="50"/>
        <v>100.23100038984741</v>
      </c>
      <c r="BN6" s="36">
        <f t="shared" si="51"/>
        <v>118.1627766726876</v>
      </c>
    </row>
    <row r="7" spans="1:66" x14ac:dyDescent="0.2">
      <c r="A7" s="4" t="s">
        <v>32</v>
      </c>
      <c r="B7" s="19" t="s">
        <v>50</v>
      </c>
      <c r="C7" s="20" t="s">
        <v>51</v>
      </c>
      <c r="D7" s="4" t="s">
        <v>52</v>
      </c>
      <c r="E7" s="21" t="s">
        <v>53</v>
      </c>
      <c r="F7" s="22"/>
      <c r="G7" s="4" t="s">
        <v>38</v>
      </c>
      <c r="H7" s="5" t="s">
        <v>54</v>
      </c>
      <c r="I7" s="5">
        <v>2022</v>
      </c>
      <c r="J7" s="11">
        <v>0.105</v>
      </c>
      <c r="K7" s="32">
        <v>38</v>
      </c>
      <c r="L7" s="8">
        <v>1</v>
      </c>
      <c r="M7" s="8">
        <v>0.1</v>
      </c>
      <c r="N7" s="8">
        <v>3.5000000000000003E-2</v>
      </c>
      <c r="O7" s="27">
        <v>0</v>
      </c>
      <c r="P7" s="8">
        <v>0</v>
      </c>
      <c r="Q7" s="8">
        <v>4.5999999999999999E-2</v>
      </c>
      <c r="R7" s="23">
        <v>0</v>
      </c>
      <c r="S7" s="9">
        <v>4</v>
      </c>
      <c r="T7" s="8">
        <v>0.17499999999999999</v>
      </c>
      <c r="U7" s="8">
        <v>1.4999999999999999E-2</v>
      </c>
      <c r="V7" s="36">
        <v>79624</v>
      </c>
      <c r="W7" s="36">
        <f t="shared" si="0"/>
        <v>101861</v>
      </c>
      <c r="X7" s="36">
        <v>124098</v>
      </c>
      <c r="Y7" s="36">
        <f t="shared" si="14"/>
        <v>203151.44861538461</v>
      </c>
      <c r="Z7" s="36">
        <f t="shared" si="15"/>
        <v>259886.58830769232</v>
      </c>
      <c r="AA7" s="36">
        <f t="shared" si="15"/>
        <v>316621.728</v>
      </c>
      <c r="AB7" s="36">
        <f t="shared" si="1"/>
        <v>102.80943755839301</v>
      </c>
      <c r="AC7" s="36">
        <f t="shared" si="1"/>
        <v>131.5215527872937</v>
      </c>
      <c r="AD7" s="36">
        <f t="shared" si="1"/>
        <v>160.23366801619434</v>
      </c>
      <c r="AE7" s="36">
        <f t="shared" si="16"/>
        <v>79635.943600000013</v>
      </c>
      <c r="AF7" s="36">
        <f t="shared" si="17"/>
        <v>101876.27915000002</v>
      </c>
      <c r="AG7" s="36">
        <f t="shared" si="18"/>
        <v>124116.61470000001</v>
      </c>
      <c r="AH7" s="36">
        <f t="shared" si="19"/>
        <v>203181.92133267695</v>
      </c>
      <c r="AI7" s="36">
        <f t="shared" si="20"/>
        <v>259925.57129593851</v>
      </c>
      <c r="AJ7" s="36">
        <f t="shared" si="21"/>
        <v>316669.22125920001</v>
      </c>
      <c r="AK7" s="36">
        <f t="shared" si="22"/>
        <v>102.8248589740268</v>
      </c>
      <c r="AL7" s="36">
        <f t="shared" si="23"/>
        <v>131.54128102021178</v>
      </c>
      <c r="AM7" s="36">
        <f t="shared" si="24"/>
        <v>160.25770306639677</v>
      </c>
      <c r="AN7" s="36">
        <f t="shared" si="25"/>
        <v>79647.887199999997</v>
      </c>
      <c r="AO7" s="36">
        <f t="shared" si="26"/>
        <v>101891.55829999999</v>
      </c>
      <c r="AP7" s="36">
        <f t="shared" si="27"/>
        <v>124135.2294</v>
      </c>
      <c r="AQ7" s="36">
        <f t="shared" si="28"/>
        <v>203212.39404996921</v>
      </c>
      <c r="AR7" s="36">
        <f t="shared" si="29"/>
        <v>259964.55428418459</v>
      </c>
      <c r="AS7" s="36">
        <f t="shared" si="30"/>
        <v>316716.71451840003</v>
      </c>
      <c r="AT7" s="36">
        <f t="shared" si="31"/>
        <v>102.84028038966053</v>
      </c>
      <c r="AU7" s="36">
        <f t="shared" si="32"/>
        <v>131.56100925312987</v>
      </c>
      <c r="AV7" s="36">
        <f t="shared" si="33"/>
        <v>160.2817381165992</v>
      </c>
      <c r="AW7" s="36">
        <f t="shared" si="34"/>
        <v>79659.830800000011</v>
      </c>
      <c r="AX7" s="36">
        <f t="shared" si="35"/>
        <v>101906.83745000001</v>
      </c>
      <c r="AY7" s="36">
        <f t="shared" si="36"/>
        <v>124153.8441</v>
      </c>
      <c r="AZ7" s="36">
        <f t="shared" si="37"/>
        <v>203242.86676726156</v>
      </c>
      <c r="BA7" s="36">
        <f t="shared" si="38"/>
        <v>260003.53727243078</v>
      </c>
      <c r="BB7" s="36">
        <f t="shared" si="39"/>
        <v>316764.20777760004</v>
      </c>
      <c r="BC7" s="36">
        <f t="shared" si="40"/>
        <v>102.85570180529432</v>
      </c>
      <c r="BD7" s="36">
        <f t="shared" si="41"/>
        <v>131.58073748604795</v>
      </c>
      <c r="BE7" s="36">
        <f t="shared" si="42"/>
        <v>160.30577316680163</v>
      </c>
      <c r="BF7" s="36">
        <f t="shared" si="43"/>
        <v>79671.774399999995</v>
      </c>
      <c r="BG7" s="36">
        <f t="shared" si="44"/>
        <v>101922.11659999999</v>
      </c>
      <c r="BH7" s="36">
        <f t="shared" si="45"/>
        <v>124172.45879999999</v>
      </c>
      <c r="BI7" s="36">
        <f t="shared" si="46"/>
        <v>203273.33948455381</v>
      </c>
      <c r="BJ7" s="36">
        <f t="shared" si="47"/>
        <v>260042.52026067692</v>
      </c>
      <c r="BK7" s="36">
        <f t="shared" si="48"/>
        <v>316811.70103679993</v>
      </c>
      <c r="BL7" s="36">
        <f t="shared" si="49"/>
        <v>102.87112322092804</v>
      </c>
      <c r="BM7" s="36">
        <f t="shared" si="50"/>
        <v>131.60046571896606</v>
      </c>
      <c r="BN7" s="36">
        <f t="shared" si="51"/>
        <v>160.329808217004</v>
      </c>
    </row>
    <row r="8" spans="1:66" x14ac:dyDescent="0.2">
      <c r="A8" s="4" t="s">
        <v>32</v>
      </c>
      <c r="B8" s="19" t="s">
        <v>55</v>
      </c>
      <c r="C8" s="20" t="s">
        <v>56</v>
      </c>
      <c r="D8" s="4" t="s">
        <v>57</v>
      </c>
      <c r="E8" s="21" t="s">
        <v>58</v>
      </c>
      <c r="F8" s="4" t="s">
        <v>59</v>
      </c>
      <c r="G8" s="4" t="s">
        <v>60</v>
      </c>
      <c r="H8" s="5" t="s">
        <v>61</v>
      </c>
      <c r="I8" s="5">
        <v>2022</v>
      </c>
      <c r="J8" s="11">
        <v>0.105</v>
      </c>
      <c r="K8" s="32">
        <v>38</v>
      </c>
      <c r="L8" s="8">
        <v>1</v>
      </c>
      <c r="M8" s="8">
        <v>0</v>
      </c>
      <c r="N8" s="8">
        <v>3.5000000000000003E-2</v>
      </c>
      <c r="O8" s="27">
        <v>0</v>
      </c>
      <c r="P8" s="8">
        <v>0</v>
      </c>
      <c r="Q8" s="8">
        <v>4.5999999999999999E-2</v>
      </c>
      <c r="R8" s="23">
        <v>29000.16</v>
      </c>
      <c r="S8" s="9">
        <v>4</v>
      </c>
      <c r="T8" s="8">
        <v>0.17499999999999999</v>
      </c>
      <c r="U8" s="8">
        <v>1.4999999999999999E-2</v>
      </c>
      <c r="V8" s="36">
        <f>4797.5*52</f>
        <v>249470</v>
      </c>
      <c r="W8" s="36">
        <f t="shared" si="0"/>
        <v>296247.90000000002</v>
      </c>
      <c r="X8" s="36">
        <f>6596.65*52</f>
        <v>343025.8</v>
      </c>
      <c r="Y8" s="36">
        <f t="shared" si="14"/>
        <v>640547.07999999996</v>
      </c>
      <c r="Z8" s="36">
        <f t="shared" si="15"/>
        <v>755217.70440000005</v>
      </c>
      <c r="AA8" s="36">
        <f t="shared" si="15"/>
        <v>869888.3287999999</v>
      </c>
      <c r="AB8" s="36">
        <f t="shared" si="1"/>
        <v>324.16350202429146</v>
      </c>
      <c r="AC8" s="36">
        <f t="shared" si="1"/>
        <v>382.19519453441296</v>
      </c>
      <c r="AD8" s="36">
        <f t="shared" si="1"/>
        <v>440.22688704453435</v>
      </c>
      <c r="AE8" s="36">
        <f t="shared" si="16"/>
        <v>249507.42050000004</v>
      </c>
      <c r="AF8" s="36">
        <f t="shared" si="17"/>
        <v>296292.33718500007</v>
      </c>
      <c r="AG8" s="36">
        <f t="shared" si="18"/>
        <v>343077.25387000002</v>
      </c>
      <c r="AH8" s="36">
        <f t="shared" si="19"/>
        <v>640638.81203799997</v>
      </c>
      <c r="AI8" s="36">
        <f t="shared" si="20"/>
        <v>755326.63703166018</v>
      </c>
      <c r="AJ8" s="36">
        <f t="shared" si="21"/>
        <v>870014.46202532016</v>
      </c>
      <c r="AK8" s="36">
        <f t="shared" si="22"/>
        <v>324.20992512044529</v>
      </c>
      <c r="AL8" s="36">
        <f t="shared" si="23"/>
        <v>382.25032238444345</v>
      </c>
      <c r="AM8" s="36">
        <f t="shared" si="24"/>
        <v>440.29071964844132</v>
      </c>
      <c r="AN8" s="36">
        <f t="shared" si="25"/>
        <v>249544.84099999999</v>
      </c>
      <c r="AO8" s="36">
        <f t="shared" si="26"/>
        <v>296336.77437</v>
      </c>
      <c r="AP8" s="36">
        <f t="shared" si="27"/>
        <v>343128.70773999998</v>
      </c>
      <c r="AQ8" s="36">
        <f t="shared" si="28"/>
        <v>640730.54407599999</v>
      </c>
      <c r="AR8" s="36">
        <f t="shared" si="29"/>
        <v>755435.56966331997</v>
      </c>
      <c r="AS8" s="36">
        <f t="shared" si="30"/>
        <v>870140.59525063995</v>
      </c>
      <c r="AT8" s="36">
        <f t="shared" si="31"/>
        <v>324.25634821659918</v>
      </c>
      <c r="AU8" s="36">
        <f t="shared" si="32"/>
        <v>382.30545023447365</v>
      </c>
      <c r="AV8" s="36">
        <f t="shared" si="33"/>
        <v>440.35455225234813</v>
      </c>
      <c r="AW8" s="36">
        <f t="shared" si="34"/>
        <v>249582.26150000002</v>
      </c>
      <c r="AX8" s="36">
        <f t="shared" si="35"/>
        <v>296381.21155500005</v>
      </c>
      <c r="AY8" s="36">
        <f t="shared" si="36"/>
        <v>343180.16161000001</v>
      </c>
      <c r="AZ8" s="36">
        <f t="shared" si="37"/>
        <v>640822.27611400001</v>
      </c>
      <c r="BA8" s="36">
        <f t="shared" si="38"/>
        <v>755544.50229498022</v>
      </c>
      <c r="BB8" s="36">
        <f t="shared" si="39"/>
        <v>870266.72847595997</v>
      </c>
      <c r="BC8" s="36">
        <f t="shared" si="40"/>
        <v>324.30277131275301</v>
      </c>
      <c r="BD8" s="36">
        <f t="shared" si="41"/>
        <v>382.36057808450414</v>
      </c>
      <c r="BE8" s="36">
        <f t="shared" si="42"/>
        <v>440.41838485625505</v>
      </c>
      <c r="BF8" s="36">
        <f t="shared" si="43"/>
        <v>249619.68199999997</v>
      </c>
      <c r="BG8" s="36">
        <f t="shared" si="44"/>
        <v>296425.64873999998</v>
      </c>
      <c r="BH8" s="36">
        <f t="shared" si="45"/>
        <v>343231.61547999998</v>
      </c>
      <c r="BI8" s="36">
        <f t="shared" si="46"/>
        <v>640914.00815199991</v>
      </c>
      <c r="BJ8" s="36">
        <f t="shared" si="47"/>
        <v>755653.43492664001</v>
      </c>
      <c r="BK8" s="36">
        <f t="shared" si="48"/>
        <v>870392.86170127988</v>
      </c>
      <c r="BL8" s="36">
        <f t="shared" si="49"/>
        <v>324.34919440890684</v>
      </c>
      <c r="BM8" s="36">
        <f t="shared" si="50"/>
        <v>382.41570593453446</v>
      </c>
      <c r="BN8" s="36">
        <f t="shared" si="51"/>
        <v>440.48221746016191</v>
      </c>
    </row>
    <row r="9" spans="1:66" x14ac:dyDescent="0.2">
      <c r="R9" s="23"/>
      <c r="U9" s="8"/>
      <c r="V9" s="36"/>
      <c r="W9" s="36"/>
      <c r="X9" s="36"/>
      <c r="Y9" s="36"/>
      <c r="Z9" s="36"/>
      <c r="AA9" s="36"/>
      <c r="AB9" s="36"/>
      <c r="AC9" s="36"/>
      <c r="AD9" s="36"/>
      <c r="AE9" s="5"/>
      <c r="AF9" s="36"/>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row>
    <row r="10" spans="1:66" x14ac:dyDescent="0.2">
      <c r="A10" s="4" t="s">
        <v>62</v>
      </c>
      <c r="B10" s="19" t="s">
        <v>33</v>
      </c>
      <c r="C10" s="20" t="s">
        <v>34</v>
      </c>
      <c r="D10" s="4" t="s">
        <v>63</v>
      </c>
      <c r="E10" s="21" t="s">
        <v>64</v>
      </c>
      <c r="G10" s="24" t="s">
        <v>65</v>
      </c>
      <c r="I10" s="5">
        <v>2022</v>
      </c>
      <c r="J10" s="11">
        <v>0.105</v>
      </c>
      <c r="K10" s="32">
        <v>37.5</v>
      </c>
      <c r="L10" s="8">
        <v>1</v>
      </c>
      <c r="M10" s="8">
        <v>0.1</v>
      </c>
      <c r="N10" s="8">
        <v>3.5000000000000003E-2</v>
      </c>
      <c r="O10" s="27">
        <v>0</v>
      </c>
      <c r="P10" s="8">
        <v>0</v>
      </c>
      <c r="Q10" s="8">
        <v>4.5999999999999999E-2</v>
      </c>
      <c r="R10" s="23">
        <v>0</v>
      </c>
      <c r="S10" s="9">
        <v>4</v>
      </c>
      <c r="T10" s="8">
        <v>0</v>
      </c>
      <c r="U10" s="8">
        <v>1.4999999999999999E-2</v>
      </c>
      <c r="V10" s="36">
        <v>54364</v>
      </c>
      <c r="W10" s="36">
        <f>V10+((X10-V10)/2)</f>
        <v>77673</v>
      </c>
      <c r="X10" s="36">
        <v>100982</v>
      </c>
      <c r="Y10" s="36">
        <f t="shared" ref="Y10:AA14" si="52">(V10+(V10*$J10)+(V10*$M10)+(V10*$N10)+(V10*$O10)+(V10*$P10)+(V10*$Q10)+($R10)+(V10*((52+$S10)/52))*(1+$T10))*1/$L10</f>
        <v>128457.95015384615</v>
      </c>
      <c r="Z10" s="36">
        <f t="shared" si="52"/>
        <v>183535.32415384613</v>
      </c>
      <c r="AA10" s="36">
        <f t="shared" si="52"/>
        <v>238612.69815384614</v>
      </c>
      <c r="AB10" s="36">
        <f>Y10/52/$K10</f>
        <v>65.875871873767252</v>
      </c>
      <c r="AC10" s="36">
        <f t="shared" ref="AC10:AD14" si="53">Z10/52/$K10</f>
        <v>94.12067905325442</v>
      </c>
      <c r="AD10" s="36">
        <f t="shared" si="53"/>
        <v>122.3654862327416</v>
      </c>
      <c r="AE10" s="36">
        <f>($V10*(1+(($U10/100)*1)))</f>
        <v>54372.154600000002</v>
      </c>
      <c r="AF10" s="36">
        <f>($W10*(1+(($U10/100)*1)))</f>
        <v>77684.65095000001</v>
      </c>
      <c r="AG10" s="36">
        <f>($X10*(1+(($U10/100)*1)))</f>
        <v>100997.14730000001</v>
      </c>
      <c r="AH10" s="36">
        <f>(AE10+(AE10*$J10)+(AE10*$M10)+(AE10*$N10)+(AE10*$O10)+(AE10*$P10)+(AE10*$Q10)+($R10)+(AE10*((52+$S10)/52))*(1+$T10))*1/$L10</f>
        <v>128477.21884636921</v>
      </c>
      <c r="AI10" s="36">
        <f>(AF10+(AF10*$J10)+(AF10*$M10)+(AF10*$N10)+(AF10*$O10)+(AF10*$P10)+(AF10*$Q10)+($R10)+(AF10*((52+$S10)/52))*(1+$T10))*1/$L10</f>
        <v>183562.85445246927</v>
      </c>
      <c r="AJ10" s="36">
        <f>(AG10+(AG10*$J10)+(AG10*$M10)+(AG10*$N10)+(AG10*$O10)+(AG10*$P10)+(AG10*$Q10)+($R10)+(AG10*((52+$S10)/52))*(1+$T10))*1/$L10</f>
        <v>238648.49005856924</v>
      </c>
      <c r="AK10" s="36">
        <f t="shared" ref="AK10:AK14" si="54">AH10/52/$K10</f>
        <v>65.88575325454832</v>
      </c>
      <c r="AL10" s="36">
        <f t="shared" ref="AL10:AL14" si="55">AI10/52/$K10</f>
        <v>94.134797155112437</v>
      </c>
      <c r="AM10" s="36">
        <f t="shared" ref="AM10:AM14" si="56">AJ10/52/$K10</f>
        <v>122.38384105567653</v>
      </c>
      <c r="AN10" s="36">
        <f>($V10*(1+(($U10/100)*2)))</f>
        <v>54380.309199999996</v>
      </c>
      <c r="AO10" s="36">
        <f>($W10*(1+(($U10/100)*2)))</f>
        <v>77696.301899999991</v>
      </c>
      <c r="AP10" s="36">
        <f>($X10*(1+(($U10/100)*2)))</f>
        <v>101012.29459999999</v>
      </c>
      <c r="AQ10" s="36">
        <f>(AN10+(AN10*$J10)+(AN10*$M10)+(AN10*$N10)+(AN10*$O10)+(AN10*$P10)+(AN10*$Q10)+($R10)+(AN10*((52+$S10)/52))*(1+$T10))*1/$L10</f>
        <v>128496.4875388923</v>
      </c>
      <c r="AR10" s="36">
        <f>(AO10+(AO10*$J10)+(AO10*$M10)+(AO10*$N10)+(AO10*$O10)+(AO10*$P10)+(AO10*$Q10)+($R10)+(AO10*((52+$S10)/52))*(1+$T10))*1/$L10</f>
        <v>183590.38475109229</v>
      </c>
      <c r="AS10" s="36">
        <f>(AP10+(AP10*$J10)+(AP10*$M10)+(AP10*$N10)+(AP10*$O10)+(AP10*$P10)+(AP10*$Q10)+($R10)+(AP10*((52+$S10)/52))*(1+$T10))*1/$L10</f>
        <v>238684.28196329228</v>
      </c>
      <c r="AT10" s="36">
        <f t="shared" ref="AT10:AT14" si="57">AQ10/52/$K10</f>
        <v>65.895634635329387</v>
      </c>
      <c r="AU10" s="36">
        <f t="shared" ref="AU10:AU14" si="58">AR10/52/$K10</f>
        <v>94.148915256970412</v>
      </c>
      <c r="AV10" s="36">
        <f t="shared" ref="AV10:AV14" si="59">AS10/52/$K10</f>
        <v>122.40219587861144</v>
      </c>
      <c r="AW10" s="36">
        <f>($V10*(1+(($U10/100)*3)))</f>
        <v>54388.463800000005</v>
      </c>
      <c r="AX10" s="36">
        <f>($W10*(1+(($U10/100)*3)))</f>
        <v>77707.952850000001</v>
      </c>
      <c r="AY10" s="36">
        <f>($X10*(1+(($U10/100)*3)))</f>
        <v>101027.44190000001</v>
      </c>
      <c r="AZ10" s="36">
        <f>(AW10+(AW10*$J10)+(AW10*$M10)+(AW10*$N10)+(AW10*$O10)+(AW10*$P10)+(AW10*$Q10)+($R10)+(AW10*((52+$S10)/52))*(1+$T10))*1/$L10</f>
        <v>128515.75623141541</v>
      </c>
      <c r="BA10" s="36">
        <f>(AX10+(AX10*$J10)+(AX10*$M10)+(AX10*$N10)+(AX10*$O10)+(AX10*$P10)+(AX10*$Q10)+($R10)+(AX10*((52+$S10)/52))*(1+$T10))*1/$L10</f>
        <v>183617.91504971538</v>
      </c>
      <c r="BB10" s="36">
        <f>(AY10+(AY10*$J10)+(AY10*$M10)+(AY10*$N10)+(AY10*$O10)+(AY10*$P10)+(AY10*$Q10)+($R10)+(AY10*((52+$S10)/52))*(1+$T10))*1/$L10</f>
        <v>238720.0738680154</v>
      </c>
      <c r="BC10" s="36">
        <f t="shared" ref="BC10:BC14" si="60">AZ10/52/$K10</f>
        <v>65.905516016110468</v>
      </c>
      <c r="BD10" s="36">
        <f t="shared" ref="BD10:BD14" si="61">BA10/52/$K10</f>
        <v>94.1630333588284</v>
      </c>
      <c r="BE10" s="36">
        <f t="shared" ref="BE10:BE14" si="62">BB10/52/$K10</f>
        <v>122.42055070154636</v>
      </c>
      <c r="BF10" s="36">
        <f>($V10*(1+(($U10/100)*4)))</f>
        <v>54396.618399999999</v>
      </c>
      <c r="BG10" s="36">
        <f>($W10*(1+(($U10/100)*4)))</f>
        <v>77719.603799999997</v>
      </c>
      <c r="BH10" s="36">
        <f>($X10*(1+(($U10/100)*4)))</f>
        <v>101042.58919999999</v>
      </c>
      <c r="BI10" s="36">
        <f>(BF10+(BF10*$J10)+(BF10*$M10)+(BF10*$N10)+(BF10*$O10)+(BF10*$P10)+(BF10*$Q10)+($R10)+(BF10*((52+$S10)/52))*(1+$T10))*1/$L10</f>
        <v>128535.02492393846</v>
      </c>
      <c r="BJ10" s="36">
        <f>(BG10+(BG10*$J10)+(BG10*$M10)+(BG10*$N10)+(BG10*$O10)+(BG10*$P10)+(BG10*$Q10)+($R10)+(BG10*((52+$S10)/52))*(1+$T10))*1/$L10</f>
        <v>183645.44534833846</v>
      </c>
      <c r="BK10" s="36">
        <f>(BH10+(BH10*$J10)+(BH10*$M10)+(BH10*$N10)+(BH10*$O10)+(BH10*$P10)+(BH10*$Q10)+($R10)+(BH10*((52+$S10)/52))*(1+$T10))*1/$L10</f>
        <v>238755.86577273841</v>
      </c>
      <c r="BL10" s="36">
        <f t="shared" ref="BL10:BL14" si="63">BI10/52/$K10</f>
        <v>65.915397396891521</v>
      </c>
      <c r="BM10" s="36">
        <f t="shared" ref="BM10:BM14" si="64">BJ10/52/$K10</f>
        <v>94.177151460686389</v>
      </c>
      <c r="BN10" s="36">
        <f t="shared" ref="BN10:BN14" si="65">BK10/52/$K10</f>
        <v>122.43890552448123</v>
      </c>
    </row>
    <row r="11" spans="1:66" x14ac:dyDescent="0.2">
      <c r="A11" s="4" t="s">
        <v>62</v>
      </c>
      <c r="B11" s="19" t="s">
        <v>40</v>
      </c>
      <c r="C11" s="20" t="s">
        <v>41</v>
      </c>
      <c r="D11" s="4" t="s">
        <v>66</v>
      </c>
      <c r="E11" s="21" t="s">
        <v>67</v>
      </c>
      <c r="F11" s="4" t="s">
        <v>60</v>
      </c>
      <c r="G11" s="4" t="s">
        <v>68</v>
      </c>
      <c r="H11" s="5" t="s">
        <v>69</v>
      </c>
      <c r="I11" s="5">
        <v>2022</v>
      </c>
      <c r="J11" s="11">
        <v>0.105</v>
      </c>
      <c r="K11" s="32">
        <v>37.5</v>
      </c>
      <c r="L11" s="8">
        <v>1</v>
      </c>
      <c r="M11" s="8">
        <v>0.1</v>
      </c>
      <c r="N11" s="8">
        <v>3.5000000000000003E-2</v>
      </c>
      <c r="O11" s="27">
        <v>0</v>
      </c>
      <c r="P11" s="8">
        <v>0</v>
      </c>
      <c r="Q11" s="8">
        <v>4.5999999999999999E-2</v>
      </c>
      <c r="R11" s="23">
        <v>0</v>
      </c>
      <c r="S11" s="9">
        <v>5</v>
      </c>
      <c r="T11" s="8">
        <v>0</v>
      </c>
      <c r="U11" s="8">
        <v>1.4999999999999999E-2</v>
      </c>
      <c r="V11" s="36">
        <v>66386</v>
      </c>
      <c r="W11" s="36">
        <f>V11+((X11-V11)/2)</f>
        <v>104238</v>
      </c>
      <c r="X11" s="36">
        <v>142090</v>
      </c>
      <c r="Y11" s="36">
        <f t="shared" si="52"/>
        <v>158141.66523076923</v>
      </c>
      <c r="Z11" s="36">
        <f t="shared" si="52"/>
        <v>248310.95261538462</v>
      </c>
      <c r="AA11" s="36">
        <f t="shared" si="52"/>
        <v>338480.24000000005</v>
      </c>
      <c r="AB11" s="36">
        <f t="shared" ref="AB11:AD26" si="66">Y11/52/$K11</f>
        <v>81.09828986193294</v>
      </c>
      <c r="AC11" s="36">
        <f t="shared" si="53"/>
        <v>127.33895005917159</v>
      </c>
      <c r="AD11" s="36">
        <f t="shared" si="53"/>
        <v>173.57961025641029</v>
      </c>
      <c r="AE11" s="36">
        <f t="shared" ref="AE11:AE14" si="67">($V11*(1+(($U11/100)*1)))</f>
        <v>66395.957900000009</v>
      </c>
      <c r="AF11" s="36">
        <f t="shared" ref="AF11:AF14" si="68">($W11*(1+(($U11/100)*1)))</f>
        <v>104253.63570000001</v>
      </c>
      <c r="AG11" s="36">
        <f t="shared" ref="AG11:AG14" si="69">($X11*(1+(($U11/100)*1)))</f>
        <v>142111.31350000002</v>
      </c>
      <c r="AH11" s="36">
        <f t="shared" ref="AH11:AH14" si="70">(AE11+(AE11*$J11)+(AE11*$M11)+(AE11*$N11)+(AE11*$O11)+(AE11*$P11)+(AE11*$Q11)+($R11)+(AE11*((52+$S11)/52))*(1+$T11))*1/$L11</f>
        <v>158165.38648055389</v>
      </c>
      <c r="AI11" s="36">
        <f t="shared" ref="AI11:AI14" si="71">(AF11+(AF11*$J11)+(AF11*$M11)+(AF11*$N11)+(AF11*$O11)+(AF11*$P11)+(AF11*$Q11)+($R11)+(AF11*((52+$S11)/52))*(1+$T11))*1/$L11</f>
        <v>248348.19925827696</v>
      </c>
      <c r="AJ11" s="36">
        <f t="shared" ref="AJ11:AJ14" si="72">(AG11+(AG11*$J11)+(AG11*$M11)+(AG11*$N11)+(AG11*$O11)+(AG11*$P11)+(AG11*$Q11)+($R11)+(AG11*((52+$S11)/52))*(1+$T11))*1/$L11</f>
        <v>338531.01203600003</v>
      </c>
      <c r="AK11" s="36">
        <f t="shared" si="54"/>
        <v>81.110454605412258</v>
      </c>
      <c r="AL11" s="36">
        <f t="shared" si="55"/>
        <v>127.3580509016805</v>
      </c>
      <c r="AM11" s="36">
        <f t="shared" si="56"/>
        <v>173.60564719794874</v>
      </c>
      <c r="AN11" s="36">
        <f t="shared" ref="AN11:AN14" si="73">($V11*(1+(($U11/100)*2)))</f>
        <v>66405.915800000002</v>
      </c>
      <c r="AO11" s="36">
        <f t="shared" ref="AO11:AO14" si="74">($W11*(1+(($U11/100)*2)))</f>
        <v>104269.2714</v>
      </c>
      <c r="AP11" s="36">
        <f t="shared" ref="AP11:AP14" si="75">($X11*(1+(($U11/100)*2)))</f>
        <v>142132.62700000001</v>
      </c>
      <c r="AQ11" s="36">
        <f t="shared" ref="AQ11:AQ14" si="76">(AN11+(AN11*$J11)+(AN11*$M11)+(AN11*$N11)+(AN11*$O11)+(AN11*$P11)+(AN11*$Q11)+($R11)+(AN11*((52+$S11)/52))*(1+$T11))*1/$L11</f>
        <v>158189.10773033847</v>
      </c>
      <c r="AR11" s="36">
        <f t="shared" ref="AR11:AR14" si="77">(AO11+(AO11*$J11)+(AO11*$M11)+(AO11*$N11)+(AO11*$O11)+(AO11*$P11)+(AO11*$Q11)+($R11)+(AO11*((52+$S11)/52))*(1+$T11))*1/$L11</f>
        <v>248385.44590116924</v>
      </c>
      <c r="AS11" s="36">
        <f t="shared" ref="AS11:AS14" si="78">(AP11+(AP11*$J11)+(AP11*$M11)+(AP11*$N11)+(AP11*$O11)+(AP11*$P11)+(AP11*$Q11)+($R11)+(AP11*((52+$S11)/52))*(1+$T11))*1/$L11</f>
        <v>338581.78407200007</v>
      </c>
      <c r="AT11" s="36">
        <f t="shared" si="57"/>
        <v>81.122619348891519</v>
      </c>
      <c r="AU11" s="36">
        <f t="shared" si="58"/>
        <v>127.37715174418935</v>
      </c>
      <c r="AV11" s="36">
        <f t="shared" si="59"/>
        <v>173.63168413948722</v>
      </c>
      <c r="AW11" s="36">
        <f t="shared" ref="AW11:AW14" si="79">($V11*(1+(($U11/100)*3)))</f>
        <v>66415.873700000011</v>
      </c>
      <c r="AX11" s="36">
        <f t="shared" ref="AX11:AX14" si="80">($W11*(1+(($U11/100)*3)))</f>
        <v>104284.90710000001</v>
      </c>
      <c r="AY11" s="36">
        <f t="shared" ref="AY11:AY14" si="81">($X11*(1+(($U11/100)*3)))</f>
        <v>142153.9405</v>
      </c>
      <c r="AZ11" s="36">
        <f t="shared" ref="AZ11:AZ14" si="82">(AW11+(AW11*$J11)+(AW11*$M11)+(AW11*$N11)+(AW11*$O11)+(AW11*$P11)+(AW11*$Q11)+($R11)+(AW11*((52+$S11)/52))*(1+$T11))*1/$L11</f>
        <v>158212.8289801231</v>
      </c>
      <c r="BA11" s="36">
        <f t="shared" ref="BA11:BA14" si="83">(AX11+(AX11*$J11)+(AX11*$M11)+(AX11*$N11)+(AX11*$O11)+(AX11*$P11)+(AX11*$Q11)+($R11)+(AX11*((52+$S11)/52))*(1+$T11))*1/$L11</f>
        <v>248422.69254406157</v>
      </c>
      <c r="BB11" s="36">
        <f t="shared" ref="BB11:BB14" si="84">(AY11+(AY11*$J11)+(AY11*$M11)+(AY11*$N11)+(AY11*$O11)+(AY11*$P11)+(AY11*$Q11)+($R11)+(AY11*((52+$S11)/52))*(1+$T11))*1/$L11</f>
        <v>338632.55610799999</v>
      </c>
      <c r="BC11" s="36">
        <f t="shared" si="60"/>
        <v>81.134784092370822</v>
      </c>
      <c r="BD11" s="36">
        <f t="shared" si="61"/>
        <v>127.39625258669825</v>
      </c>
      <c r="BE11" s="36">
        <f t="shared" si="62"/>
        <v>173.65772108102564</v>
      </c>
      <c r="BF11" s="36">
        <f t="shared" ref="BF11:BF14" si="85">($V11*(1+(($U11/100)*4)))</f>
        <v>66425.83159999999</v>
      </c>
      <c r="BG11" s="36">
        <f t="shared" ref="BG11:BG14" si="86">($W11*(1+(($U11/100)*4)))</f>
        <v>104300.5428</v>
      </c>
      <c r="BH11" s="36">
        <f t="shared" ref="BH11:BH14" si="87">($X11*(1+(($U11/100)*4)))</f>
        <v>142175.25399999999</v>
      </c>
      <c r="BI11" s="36">
        <f t="shared" ref="BI11:BI14" si="88">(BF11+(BF11*$J11)+(BF11*$M11)+(BF11*$N11)+(BF11*$O11)+(BF11*$P11)+(BF11*$Q11)+($R11)+(BF11*((52+$S11)/52))*(1+$T11))*1/$L11</f>
        <v>158236.55022990768</v>
      </c>
      <c r="BJ11" s="36">
        <f t="shared" ref="BJ11:BJ14" si="89">(BG11+(BG11*$J11)+(BG11*$M11)+(BG11*$N11)+(BG11*$O11)+(BG11*$P11)+(BG11*$Q11)+($R11)+(BG11*((52+$S11)/52))*(1+$T11))*1/$L11</f>
        <v>248459.93918695382</v>
      </c>
      <c r="BK11" s="36">
        <f t="shared" ref="BK11:BK14" si="90">(BH11+(BH11*$J11)+(BH11*$M11)+(BH11*$N11)+(BH11*$O11)+(BH11*$P11)+(BH11*$Q11)+($R11)+(BH11*((52+$S11)/52))*(1+$T11))*1/$L11</f>
        <v>338683.32814399997</v>
      </c>
      <c r="BL11" s="36">
        <f t="shared" si="63"/>
        <v>81.146948835850083</v>
      </c>
      <c r="BM11" s="36">
        <f t="shared" si="64"/>
        <v>127.4153534292071</v>
      </c>
      <c r="BN11" s="36">
        <f t="shared" si="65"/>
        <v>173.68375802256409</v>
      </c>
    </row>
    <row r="12" spans="1:66" x14ac:dyDescent="0.2">
      <c r="A12" s="4" t="s">
        <v>62</v>
      </c>
      <c r="B12" s="19" t="s">
        <v>47</v>
      </c>
      <c r="C12" s="20" t="s">
        <v>48</v>
      </c>
      <c r="D12" s="4" t="s">
        <v>63</v>
      </c>
      <c r="E12" s="21" t="s">
        <v>70</v>
      </c>
      <c r="I12" s="5">
        <v>2022</v>
      </c>
      <c r="J12" s="11">
        <v>0.105</v>
      </c>
      <c r="K12" s="32">
        <v>37.5</v>
      </c>
      <c r="L12" s="8">
        <v>1</v>
      </c>
      <c r="M12" s="8">
        <v>0.1</v>
      </c>
      <c r="N12" s="8">
        <v>3.5000000000000003E-2</v>
      </c>
      <c r="O12" s="27">
        <v>0</v>
      </c>
      <c r="P12" s="8">
        <v>0</v>
      </c>
      <c r="Q12" s="8">
        <v>4.5999999999999999E-2</v>
      </c>
      <c r="R12" s="23">
        <v>0</v>
      </c>
      <c r="S12" s="9">
        <v>4</v>
      </c>
      <c r="T12" s="8">
        <v>0</v>
      </c>
      <c r="U12" s="8">
        <v>1.4999999999999999E-2</v>
      </c>
      <c r="V12" s="36">
        <v>56916</v>
      </c>
      <c r="W12" s="36">
        <f>V12+((X12-V12)/2)</f>
        <v>63374</v>
      </c>
      <c r="X12" s="36">
        <v>69832</v>
      </c>
      <c r="Y12" s="36">
        <f t="shared" si="52"/>
        <v>134488.12984615384</v>
      </c>
      <c r="Z12" s="36">
        <f t="shared" si="52"/>
        <v>149747.88707692307</v>
      </c>
      <c r="AA12" s="36">
        <f t="shared" si="52"/>
        <v>165007.6443076923</v>
      </c>
      <c r="AB12" s="36">
        <f t="shared" si="66"/>
        <v>68.968271715976329</v>
      </c>
      <c r="AC12" s="36">
        <f t="shared" si="53"/>
        <v>76.793788244575936</v>
      </c>
      <c r="AD12" s="36">
        <f t="shared" si="53"/>
        <v>84.619304773175543</v>
      </c>
      <c r="AE12" s="36">
        <f t="shared" si="67"/>
        <v>56924.537400000008</v>
      </c>
      <c r="AF12" s="36">
        <f t="shared" si="68"/>
        <v>63383.506100000006</v>
      </c>
      <c r="AG12" s="36">
        <f t="shared" si="69"/>
        <v>69842.474800000011</v>
      </c>
      <c r="AH12" s="36">
        <f t="shared" si="70"/>
        <v>134508.30306563078</v>
      </c>
      <c r="AI12" s="36">
        <f t="shared" si="71"/>
        <v>149770.34925998462</v>
      </c>
      <c r="AJ12" s="36">
        <f t="shared" si="72"/>
        <v>165032.39545433846</v>
      </c>
      <c r="AK12" s="36">
        <f t="shared" si="54"/>
        <v>68.978616956733731</v>
      </c>
      <c r="AL12" s="36">
        <f t="shared" si="55"/>
        <v>76.80530731281263</v>
      </c>
      <c r="AM12" s="36">
        <f t="shared" si="56"/>
        <v>84.631997668891515</v>
      </c>
      <c r="AN12" s="36">
        <f t="shared" si="73"/>
        <v>56933.074799999995</v>
      </c>
      <c r="AO12" s="36">
        <f t="shared" si="74"/>
        <v>63393.012199999997</v>
      </c>
      <c r="AP12" s="36">
        <f t="shared" si="75"/>
        <v>69852.949599999993</v>
      </c>
      <c r="AQ12" s="36">
        <f t="shared" si="76"/>
        <v>134528.47628510767</v>
      </c>
      <c r="AR12" s="36">
        <f t="shared" si="77"/>
        <v>149792.81144304614</v>
      </c>
      <c r="AS12" s="36">
        <f t="shared" si="78"/>
        <v>165057.14660098459</v>
      </c>
      <c r="AT12" s="36">
        <f t="shared" si="57"/>
        <v>68.988962197491119</v>
      </c>
      <c r="AU12" s="36">
        <f t="shared" si="58"/>
        <v>76.816826381049296</v>
      </c>
      <c r="AV12" s="36">
        <f t="shared" si="59"/>
        <v>84.644690564607487</v>
      </c>
      <c r="AW12" s="36">
        <f t="shared" si="79"/>
        <v>56941.612200000003</v>
      </c>
      <c r="AX12" s="36">
        <f t="shared" si="80"/>
        <v>63402.518300000003</v>
      </c>
      <c r="AY12" s="36">
        <f t="shared" si="81"/>
        <v>69863.424400000004</v>
      </c>
      <c r="AZ12" s="36">
        <f t="shared" si="82"/>
        <v>134548.64950458461</v>
      </c>
      <c r="BA12" s="36">
        <f t="shared" si="83"/>
        <v>149815.27362610769</v>
      </c>
      <c r="BB12" s="36">
        <f t="shared" si="84"/>
        <v>165081.89774763078</v>
      </c>
      <c r="BC12" s="36">
        <f t="shared" si="60"/>
        <v>68.999307438248522</v>
      </c>
      <c r="BD12" s="36">
        <f t="shared" si="61"/>
        <v>76.828345449286005</v>
      </c>
      <c r="BE12" s="36">
        <f t="shared" si="62"/>
        <v>84.657383460323473</v>
      </c>
      <c r="BF12" s="36">
        <f t="shared" si="85"/>
        <v>56950.149599999997</v>
      </c>
      <c r="BG12" s="36">
        <f t="shared" si="86"/>
        <v>63412.024399999995</v>
      </c>
      <c r="BH12" s="36">
        <f t="shared" si="87"/>
        <v>69873.8992</v>
      </c>
      <c r="BI12" s="36">
        <f t="shared" si="88"/>
        <v>134568.82272406152</v>
      </c>
      <c r="BJ12" s="36">
        <f t="shared" si="89"/>
        <v>149837.73580916919</v>
      </c>
      <c r="BK12" s="36">
        <f t="shared" si="90"/>
        <v>165106.64889427691</v>
      </c>
      <c r="BL12" s="36">
        <f t="shared" si="63"/>
        <v>69.00965267900591</v>
      </c>
      <c r="BM12" s="36">
        <f t="shared" si="64"/>
        <v>76.839864517522656</v>
      </c>
      <c r="BN12" s="36">
        <f t="shared" si="65"/>
        <v>84.670076356039445</v>
      </c>
    </row>
    <row r="13" spans="1:66" x14ac:dyDescent="0.2">
      <c r="A13" s="4" t="s">
        <v>62</v>
      </c>
      <c r="B13" s="19" t="s">
        <v>50</v>
      </c>
      <c r="C13" s="20" t="s">
        <v>51</v>
      </c>
      <c r="D13" s="4" t="s">
        <v>63</v>
      </c>
      <c r="E13" s="21" t="s">
        <v>71</v>
      </c>
      <c r="I13" s="5">
        <v>2022</v>
      </c>
      <c r="J13" s="11">
        <v>0.105</v>
      </c>
      <c r="K13" s="32">
        <v>37.5</v>
      </c>
      <c r="L13" s="8">
        <v>1</v>
      </c>
      <c r="M13" s="8">
        <v>0.1</v>
      </c>
      <c r="N13" s="8">
        <v>3.5000000000000003E-2</v>
      </c>
      <c r="O13" s="27">
        <v>0</v>
      </c>
      <c r="P13" s="8">
        <v>0</v>
      </c>
      <c r="Q13" s="8">
        <v>4.5999999999999999E-2</v>
      </c>
      <c r="R13" s="23">
        <v>0</v>
      </c>
      <c r="S13" s="9">
        <v>4</v>
      </c>
      <c r="T13" s="8">
        <v>0</v>
      </c>
      <c r="U13" s="8">
        <v>1.4999999999999999E-2</v>
      </c>
      <c r="V13" s="36">
        <v>66386</v>
      </c>
      <c r="W13" s="36">
        <f t="shared" ref="W13:W14" si="91">V13+((X13-V13)/2)</f>
        <v>91587.5</v>
      </c>
      <c r="X13" s="36">
        <v>116789</v>
      </c>
      <c r="Y13" s="36">
        <f t="shared" si="52"/>
        <v>156865.01138461538</v>
      </c>
      <c r="Z13" s="36">
        <f t="shared" si="52"/>
        <v>216414.21730769228</v>
      </c>
      <c r="AA13" s="36">
        <f t="shared" si="52"/>
        <v>275963.42323076923</v>
      </c>
      <c r="AB13" s="36">
        <f t="shared" si="66"/>
        <v>80.443595581854055</v>
      </c>
      <c r="AC13" s="36">
        <f t="shared" si="53"/>
        <v>110.98164990138066</v>
      </c>
      <c r="AD13" s="36">
        <f t="shared" si="53"/>
        <v>141.5197042209073</v>
      </c>
      <c r="AE13" s="36">
        <f t="shared" si="67"/>
        <v>66395.957900000009</v>
      </c>
      <c r="AF13" s="36">
        <f t="shared" si="68"/>
        <v>91601.238125000003</v>
      </c>
      <c r="AG13" s="36">
        <f t="shared" si="69"/>
        <v>116806.51835000001</v>
      </c>
      <c r="AH13" s="36">
        <f t="shared" si="70"/>
        <v>156888.5411363231</v>
      </c>
      <c r="AI13" s="36">
        <f t="shared" si="71"/>
        <v>216446.67944028846</v>
      </c>
      <c r="AJ13" s="36">
        <f t="shared" si="72"/>
        <v>276004.8177442539</v>
      </c>
      <c r="AK13" s="36">
        <f t="shared" si="54"/>
        <v>80.455662121191338</v>
      </c>
      <c r="AL13" s="36">
        <f t="shared" si="55"/>
        <v>110.99829714886587</v>
      </c>
      <c r="AM13" s="36">
        <f t="shared" si="56"/>
        <v>141.54093217654048</v>
      </c>
      <c r="AN13" s="36">
        <f t="shared" si="73"/>
        <v>66405.915800000002</v>
      </c>
      <c r="AO13" s="36">
        <f t="shared" si="74"/>
        <v>91614.976249999992</v>
      </c>
      <c r="AP13" s="36">
        <f t="shared" si="75"/>
        <v>116824.0367</v>
      </c>
      <c r="AQ13" s="36">
        <f t="shared" si="76"/>
        <v>156912.07088803075</v>
      </c>
      <c r="AR13" s="36">
        <f t="shared" si="77"/>
        <v>216479.14157288457</v>
      </c>
      <c r="AS13" s="36">
        <f t="shared" si="78"/>
        <v>276046.21225773846</v>
      </c>
      <c r="AT13" s="36">
        <f t="shared" si="57"/>
        <v>80.467728660528593</v>
      </c>
      <c r="AU13" s="36">
        <f t="shared" si="58"/>
        <v>111.01494439635105</v>
      </c>
      <c r="AV13" s="36">
        <f t="shared" si="59"/>
        <v>141.56216013217357</v>
      </c>
      <c r="AW13" s="36">
        <f t="shared" si="79"/>
        <v>66415.873700000011</v>
      </c>
      <c r="AX13" s="36">
        <f t="shared" si="80"/>
        <v>91628.71437500001</v>
      </c>
      <c r="AY13" s="36">
        <f t="shared" si="81"/>
        <v>116841.55505000001</v>
      </c>
      <c r="AZ13" s="36">
        <f t="shared" si="82"/>
        <v>156935.60063973849</v>
      </c>
      <c r="BA13" s="36">
        <f t="shared" si="83"/>
        <v>216511.60370548078</v>
      </c>
      <c r="BB13" s="36">
        <f t="shared" si="84"/>
        <v>276087.60677122307</v>
      </c>
      <c r="BC13" s="36">
        <f t="shared" si="60"/>
        <v>80.47979519986589</v>
      </c>
      <c r="BD13" s="36">
        <f t="shared" si="61"/>
        <v>111.03159164383629</v>
      </c>
      <c r="BE13" s="36">
        <f t="shared" si="62"/>
        <v>141.5833880878067</v>
      </c>
      <c r="BF13" s="36">
        <f t="shared" si="85"/>
        <v>66425.83159999999</v>
      </c>
      <c r="BG13" s="36">
        <f t="shared" si="86"/>
        <v>91642.452499999999</v>
      </c>
      <c r="BH13" s="36">
        <f t="shared" si="87"/>
        <v>116859.07339999999</v>
      </c>
      <c r="BI13" s="36">
        <f t="shared" si="88"/>
        <v>156959.13039144612</v>
      </c>
      <c r="BJ13" s="36">
        <f t="shared" si="89"/>
        <v>216544.06583807693</v>
      </c>
      <c r="BK13" s="36">
        <f t="shared" si="90"/>
        <v>276129.00128470769</v>
      </c>
      <c r="BL13" s="36">
        <f t="shared" si="63"/>
        <v>80.491861739203131</v>
      </c>
      <c r="BM13" s="36">
        <f t="shared" si="64"/>
        <v>111.0482388913215</v>
      </c>
      <c r="BN13" s="36">
        <f t="shared" si="65"/>
        <v>141.60461604343985</v>
      </c>
    </row>
    <row r="14" spans="1:66" x14ac:dyDescent="0.2">
      <c r="A14" s="4" t="s">
        <v>62</v>
      </c>
      <c r="B14" s="19" t="s">
        <v>55</v>
      </c>
      <c r="C14" s="20" t="s">
        <v>56</v>
      </c>
      <c r="D14" s="4" t="s">
        <v>72</v>
      </c>
      <c r="E14" s="21" t="s">
        <v>73</v>
      </c>
      <c r="I14" s="5">
        <v>2022</v>
      </c>
      <c r="J14" s="11">
        <v>0.105</v>
      </c>
      <c r="K14" s="32">
        <v>38</v>
      </c>
      <c r="L14" s="8">
        <v>1</v>
      </c>
      <c r="M14" s="8">
        <v>0</v>
      </c>
      <c r="N14" s="8">
        <v>3.5000000000000003E-2</v>
      </c>
      <c r="O14" s="27">
        <v>0</v>
      </c>
      <c r="P14" s="8">
        <v>0.6</v>
      </c>
      <c r="Q14" s="8">
        <v>4.5999999999999999E-2</v>
      </c>
      <c r="R14" s="23">
        <v>26000</v>
      </c>
      <c r="S14" s="9">
        <v>5</v>
      </c>
      <c r="T14" s="8">
        <v>0.17499999999999999</v>
      </c>
      <c r="U14" s="8">
        <v>1.4999999999999999E-2</v>
      </c>
      <c r="V14" s="36">
        <v>221622</v>
      </c>
      <c r="W14" s="36">
        <f t="shared" si="91"/>
        <v>256820.5</v>
      </c>
      <c r="X14" s="36">
        <v>292019</v>
      </c>
      <c r="Y14" s="36">
        <f t="shared" si="52"/>
        <v>707261.76603846159</v>
      </c>
      <c r="Z14" s="36">
        <f t="shared" si="52"/>
        <v>815461.27814423083</v>
      </c>
      <c r="AA14" s="36">
        <f t="shared" si="52"/>
        <v>923660.79024999996</v>
      </c>
      <c r="AB14" s="36">
        <f t="shared" si="66"/>
        <v>357.92599495873566</v>
      </c>
      <c r="AC14" s="36">
        <f t="shared" si="53"/>
        <v>412.68283306894273</v>
      </c>
      <c r="AD14" s="36">
        <f t="shared" si="53"/>
        <v>467.4396711791498</v>
      </c>
      <c r="AE14" s="36">
        <f t="shared" si="67"/>
        <v>221655.24330000003</v>
      </c>
      <c r="AF14" s="36">
        <f t="shared" si="68"/>
        <v>256859.02307500003</v>
      </c>
      <c r="AG14" s="36">
        <f t="shared" si="69"/>
        <v>292062.80285000004</v>
      </c>
      <c r="AH14" s="36">
        <f t="shared" si="70"/>
        <v>707363.95530336746</v>
      </c>
      <c r="AI14" s="36">
        <f t="shared" si="71"/>
        <v>815579.69733595266</v>
      </c>
      <c r="AJ14" s="36">
        <f t="shared" si="72"/>
        <v>923795.43936853763</v>
      </c>
      <c r="AK14" s="36">
        <f t="shared" si="54"/>
        <v>357.97771017376891</v>
      </c>
      <c r="AL14" s="36">
        <f t="shared" si="55"/>
        <v>412.74276180969264</v>
      </c>
      <c r="AM14" s="36">
        <f t="shared" si="56"/>
        <v>467.50781344561619</v>
      </c>
      <c r="AN14" s="36">
        <f t="shared" si="73"/>
        <v>221688.4866</v>
      </c>
      <c r="AO14" s="36">
        <f t="shared" si="74"/>
        <v>256897.54614999998</v>
      </c>
      <c r="AP14" s="36">
        <f t="shared" si="75"/>
        <v>292106.60570000001</v>
      </c>
      <c r="AQ14" s="36">
        <f t="shared" si="76"/>
        <v>707466.1445682731</v>
      </c>
      <c r="AR14" s="36">
        <f t="shared" si="77"/>
        <v>815698.11652767402</v>
      </c>
      <c r="AS14" s="36">
        <f t="shared" si="78"/>
        <v>923930.08848707518</v>
      </c>
      <c r="AT14" s="36">
        <f t="shared" si="57"/>
        <v>358.02942538880217</v>
      </c>
      <c r="AU14" s="36">
        <f t="shared" si="58"/>
        <v>412.80269055044232</v>
      </c>
      <c r="AV14" s="36">
        <f t="shared" si="59"/>
        <v>467.57595571208259</v>
      </c>
      <c r="AW14" s="36">
        <f t="shared" si="79"/>
        <v>221721.72990000001</v>
      </c>
      <c r="AX14" s="36">
        <f t="shared" si="80"/>
        <v>256936.06922500001</v>
      </c>
      <c r="AY14" s="36">
        <f t="shared" si="81"/>
        <v>292150.40854999999</v>
      </c>
      <c r="AZ14" s="36">
        <f t="shared" si="82"/>
        <v>707568.33383317897</v>
      </c>
      <c r="BA14" s="36">
        <f t="shared" si="83"/>
        <v>815816.53571939573</v>
      </c>
      <c r="BB14" s="36">
        <f t="shared" si="84"/>
        <v>924064.73760561249</v>
      </c>
      <c r="BC14" s="36">
        <f t="shared" si="60"/>
        <v>358.08114060383548</v>
      </c>
      <c r="BD14" s="36">
        <f t="shared" si="61"/>
        <v>412.86261929119217</v>
      </c>
      <c r="BE14" s="36">
        <f t="shared" si="62"/>
        <v>467.64409797854887</v>
      </c>
      <c r="BF14" s="36">
        <f t="shared" si="85"/>
        <v>221754.97319999998</v>
      </c>
      <c r="BG14" s="36">
        <f t="shared" si="86"/>
        <v>256974.59229999999</v>
      </c>
      <c r="BH14" s="36">
        <f t="shared" si="87"/>
        <v>292194.21139999997</v>
      </c>
      <c r="BI14" s="36">
        <f t="shared" si="88"/>
        <v>707670.52309808461</v>
      </c>
      <c r="BJ14" s="36">
        <f t="shared" si="89"/>
        <v>815934.95491111744</v>
      </c>
      <c r="BK14" s="36">
        <f t="shared" si="90"/>
        <v>924199.38672414992</v>
      </c>
      <c r="BL14" s="36">
        <f t="shared" si="63"/>
        <v>358.13285581886873</v>
      </c>
      <c r="BM14" s="36">
        <f t="shared" si="64"/>
        <v>412.92254803194203</v>
      </c>
      <c r="BN14" s="36">
        <f t="shared" si="65"/>
        <v>467.71224024501515</v>
      </c>
    </row>
    <row r="15" spans="1:66" x14ac:dyDescent="0.2">
      <c r="R15" s="23"/>
      <c r="U15" s="8"/>
      <c r="V15" s="36"/>
      <c r="W15" s="36"/>
      <c r="X15" s="36"/>
      <c r="Y15" s="36"/>
      <c r="Z15" s="36"/>
      <c r="AA15" s="36"/>
      <c r="AB15" s="36"/>
      <c r="AC15" s="36"/>
      <c r="AD15" s="36"/>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row>
    <row r="16" spans="1:66" ht="15" customHeight="1" x14ac:dyDescent="0.2">
      <c r="A16" s="4" t="s">
        <v>74</v>
      </c>
      <c r="B16" s="19" t="s">
        <v>33</v>
      </c>
      <c r="C16" s="20" t="s">
        <v>34</v>
      </c>
      <c r="D16" s="4" t="s">
        <v>75</v>
      </c>
      <c r="E16" s="21" t="s">
        <v>76</v>
      </c>
      <c r="I16" s="5">
        <v>2022</v>
      </c>
      <c r="J16" s="11">
        <v>0.105</v>
      </c>
      <c r="K16" s="32">
        <v>40</v>
      </c>
      <c r="L16" s="8">
        <v>1</v>
      </c>
      <c r="M16" s="8">
        <v>0.1</v>
      </c>
      <c r="N16" s="8">
        <v>3.5000000000000003E-2</v>
      </c>
      <c r="O16" s="27">
        <v>0</v>
      </c>
      <c r="P16" s="8">
        <v>0</v>
      </c>
      <c r="Q16" s="8">
        <v>4.5999999999999999E-2</v>
      </c>
      <c r="R16" s="23">
        <v>0</v>
      </c>
      <c r="S16" s="9">
        <v>4</v>
      </c>
      <c r="T16" s="8">
        <v>0</v>
      </c>
      <c r="U16" s="8">
        <v>1.4999999999999999E-2</v>
      </c>
      <c r="V16" s="39">
        <f>1154.19*52</f>
        <v>60017.880000000005</v>
      </c>
      <c r="W16" s="36">
        <f>V16+((X16-V16)/2)</f>
        <v>77637.56</v>
      </c>
      <c r="X16" s="36">
        <f>1831.87*52</f>
        <v>95257.239999999991</v>
      </c>
      <c r="Y16" s="36">
        <f t="shared" ref="Y16:AA20" si="92">(V16+(V16*$J16)+(V16*$M16)+(V16*$N16)+(V16*$O16)+(V16*$P16)+(V16*$Q16)+($R16)+(V16*((52+$S16)/52))*(1+$T16))*1/$L16</f>
        <v>141817.63368</v>
      </c>
      <c r="Z16" s="36">
        <f t="shared" si="92"/>
        <v>183451.58215999999</v>
      </c>
      <c r="AA16" s="36">
        <f t="shared" si="92"/>
        <v>225085.53063999998</v>
      </c>
      <c r="AB16" s="36">
        <f t="shared" si="66"/>
        <v>68.181554653846149</v>
      </c>
      <c r="AC16" s="36">
        <f t="shared" si="66"/>
        <v>88.197876038461544</v>
      </c>
      <c r="AD16" s="36">
        <f t="shared" si="66"/>
        <v>108.21419742307691</v>
      </c>
      <c r="AE16" s="36">
        <f>($V16*(1+(($U16/100)*1)))</f>
        <v>60026.88268200001</v>
      </c>
      <c r="AF16" s="36">
        <f>($W16*(1+(($U16/100)*1)))</f>
        <v>77649.205633999998</v>
      </c>
      <c r="AG16" s="36">
        <f>($X16*(1+(($U16/100)*1)))</f>
        <v>95271.528586</v>
      </c>
      <c r="AH16" s="36">
        <f>(AE16+(AE16*$J16)+(AE16*$M16)+(AE16*$N16)+(AE16*$O16)+(AE16*$P16)+(AE16*$Q16)+($R16)+(AE16*((52+$S16)/52))*(1+$T16))*1/$L16</f>
        <v>141838.90632505203</v>
      </c>
      <c r="AI16" s="36">
        <f>(AF16+(AF16*$J16)+(AF16*$M16)+(AF16*$N16)+(AF16*$O16)+(AF16*$P16)+(AF16*$Q16)+($R16)+(AF16*((52+$S16)/52))*(1+$T16))*1/$L16</f>
        <v>183479.09989732399</v>
      </c>
      <c r="AJ16" s="36">
        <f>(AG16+(AG16*$J16)+(AG16*$M16)+(AG16*$N16)+(AG16*$O16)+(AG16*$P16)+(AG16*$Q16)+($R16)+(AG16*((52+$S16)/52))*(1+$T16))*1/$L16</f>
        <v>225119.29346959601</v>
      </c>
      <c r="AK16" s="36">
        <f t="shared" ref="AK16:AK20" si="93">AH16/52/$K16</f>
        <v>68.191781887044243</v>
      </c>
      <c r="AL16" s="36">
        <f t="shared" ref="AL16:AL20" si="94">AI16/52/$K16</f>
        <v>88.211105719867305</v>
      </c>
      <c r="AM16" s="36">
        <f t="shared" ref="AM16:AM20" si="95">AJ16/52/$K16</f>
        <v>108.23042955269038</v>
      </c>
      <c r="AN16" s="36">
        <f>($V16*(1+(($U16/100)*2)))</f>
        <v>60035.885364000002</v>
      </c>
      <c r="AO16" s="36">
        <f>($W16*(1+(($U16/100)*2)))</f>
        <v>77660.851267999999</v>
      </c>
      <c r="AP16" s="36">
        <f>($X16*(1+(($U16/100)*2)))</f>
        <v>95285.817171999981</v>
      </c>
      <c r="AQ16" s="36">
        <f>(AN16+(AN16*$J16)+(AN16*$M16)+(AN16*$N16)+(AN16*$O16)+(AN16*$P16)+(AN16*$Q16)+($R16)+(AN16*((52+$S16)/52))*(1+$T16))*1/$L16</f>
        <v>141860.17897010403</v>
      </c>
      <c r="AR16" s="36">
        <f>(AO16+(AO16*$J16)+(AO16*$M16)+(AO16*$N16)+(AO16*$O16)+(AO16*$P16)+(AO16*$Q16)+($R16)+(AO16*((52+$S16)/52))*(1+$T16))*1/$L16</f>
        <v>183506.61763464799</v>
      </c>
      <c r="AS16" s="36">
        <f>(AP16+(AP16*$J16)+(AP16*$M16)+(AP16*$N16)+(AP16*$O16)+(AP16*$P16)+(AP16*$Q16)+($R16)+(AP16*((52+$S16)/52))*(1+$T16))*1/$L16</f>
        <v>225153.05629919196</v>
      </c>
      <c r="AT16" s="36">
        <f t="shared" ref="AT16:AT20" si="96">AQ16/52/$K16</f>
        <v>68.202009120242309</v>
      </c>
      <c r="AU16" s="36">
        <f t="shared" ref="AU16:AU20" si="97">AR16/52/$K16</f>
        <v>88.224335401273066</v>
      </c>
      <c r="AV16" s="36">
        <f t="shared" ref="AV16:AV20" si="98">AS16/52/$K16</f>
        <v>108.24666168230382</v>
      </c>
      <c r="AW16" s="36">
        <f>($V16*(1+(($U16/100)*3)))</f>
        <v>60044.888046000007</v>
      </c>
      <c r="AX16" s="36">
        <f>($W16*(1+(($U16/100)*3)))</f>
        <v>77672.496901999999</v>
      </c>
      <c r="AY16" s="36">
        <f>($X16*(1+(($U16/100)*3)))</f>
        <v>95300.105757999991</v>
      </c>
      <c r="AZ16" s="36">
        <f>(AW16+(AW16*$J16)+(AW16*$M16)+(AW16*$N16)+(AW16*$O16)+(AW16*$P16)+(AW16*$Q16)+($R16)+(AW16*((52+$S16)/52))*(1+$T16))*1/$L16</f>
        <v>141881.45161515602</v>
      </c>
      <c r="BA16" s="36">
        <f>(AX16+(AX16*$J16)+(AX16*$M16)+(AX16*$N16)+(AX16*$O16)+(AX16*$P16)+(AX16*$Q16)+($R16)+(AX16*((52+$S16)/52))*(1+$T16))*1/$L16</f>
        <v>183534.13537197199</v>
      </c>
      <c r="BB16" s="36">
        <f>(AY16+(AY16*$J16)+(AY16*$M16)+(AY16*$N16)+(AY16*$O16)+(AY16*$P16)+(AY16*$Q16)+($R16)+(AY16*((52+$S16)/52))*(1+$T16))*1/$L16</f>
        <v>225186.81912878796</v>
      </c>
      <c r="BC16" s="36">
        <f t="shared" ref="BC16:BC20" si="99">AZ16/52/$K16</f>
        <v>68.212236353440389</v>
      </c>
      <c r="BD16" s="36">
        <f t="shared" ref="BD16:BD20" si="100">BA16/52/$K16</f>
        <v>88.237565082678842</v>
      </c>
      <c r="BE16" s="36">
        <f t="shared" ref="BE16:BE20" si="101">BB16/52/$K16</f>
        <v>108.26289381191729</v>
      </c>
      <c r="BF16" s="36">
        <f>($V16*(1+(($U16/100)*4)))</f>
        <v>60053.890727999998</v>
      </c>
      <c r="BG16" s="36">
        <f>($W16*(1+(($U16/100)*4)))</f>
        <v>77684.142535999999</v>
      </c>
      <c r="BH16" s="36">
        <f>($X16*(1+(($U16/100)*4)))</f>
        <v>95314.394343999986</v>
      </c>
      <c r="BI16" s="36">
        <f>(BF16+(BF16*$J16)+(BF16*$M16)+(BF16*$N16)+(BF16*$O16)+(BF16*$P16)+(BF16*$Q16)+($R16)+(BF16*((52+$S16)/52))*(1+$T16))*1/$L16</f>
        <v>141902.72426020799</v>
      </c>
      <c r="BJ16" s="36">
        <f>(BG16+(BG16*$J16)+(BG16*$M16)+(BG16*$N16)+(BG16*$O16)+(BG16*$P16)+(BG16*$Q16)+($R16)+(BG16*((52+$S16)/52))*(1+$T16))*1/$L16</f>
        <v>183561.65310929599</v>
      </c>
      <c r="BK16" s="36">
        <f>(BH16+(BH16*$J16)+(BH16*$M16)+(BH16*$N16)+(BH16*$O16)+(BH16*$P16)+(BH16*$Q16)+($R16)+(BH16*((52+$S16)/52))*(1+$T16))*1/$L16</f>
        <v>225220.58195838396</v>
      </c>
      <c r="BL16" s="36">
        <f t="shared" ref="BL16:BL20" si="102">BI16/52/$K16</f>
        <v>68.222463586638455</v>
      </c>
      <c r="BM16" s="36">
        <f t="shared" ref="BM16:BM20" si="103">BJ16/52/$K16</f>
        <v>88.250794764084617</v>
      </c>
      <c r="BN16" s="36">
        <f t="shared" ref="BN16:BN20" si="104">BK16/52/$K16</f>
        <v>108.27912594153074</v>
      </c>
    </row>
    <row r="17" spans="1:66" x14ac:dyDescent="0.2">
      <c r="A17" s="4" t="s">
        <v>74</v>
      </c>
      <c r="B17" s="19" t="s">
        <v>40</v>
      </c>
      <c r="C17" s="20" t="s">
        <v>41</v>
      </c>
      <c r="D17" s="4" t="s">
        <v>77</v>
      </c>
      <c r="E17" s="21" t="s">
        <v>78</v>
      </c>
      <c r="I17" s="5">
        <v>2022</v>
      </c>
      <c r="J17" s="11">
        <v>0.105</v>
      </c>
      <c r="K17" s="32">
        <v>38</v>
      </c>
      <c r="L17" s="8">
        <v>1</v>
      </c>
      <c r="M17" s="8">
        <v>0.1</v>
      </c>
      <c r="N17" s="8">
        <v>3.5000000000000003E-2</v>
      </c>
      <c r="O17" s="27">
        <v>0</v>
      </c>
      <c r="P17" s="8">
        <v>0</v>
      </c>
      <c r="Q17" s="8">
        <v>4.5999999999999999E-2</v>
      </c>
      <c r="R17" s="23">
        <v>0</v>
      </c>
      <c r="S17" s="9">
        <v>4</v>
      </c>
      <c r="T17" s="8">
        <v>0.17499999999999999</v>
      </c>
      <c r="U17" s="8">
        <v>1.4999999999999999E-2</v>
      </c>
      <c r="V17" s="36">
        <f>1292.77*52</f>
        <v>67224.039999999994</v>
      </c>
      <c r="W17" s="36">
        <f>V17+((X17-V17)/2)</f>
        <v>102899.68</v>
      </c>
      <c r="X17" s="36">
        <f>2664.91*52</f>
        <v>138575.32</v>
      </c>
      <c r="Y17" s="36">
        <f t="shared" si="92"/>
        <v>171514.38144</v>
      </c>
      <c r="Z17" s="36">
        <f t="shared" si="92"/>
        <v>262536.66047999996</v>
      </c>
      <c r="AA17" s="36">
        <f t="shared" si="92"/>
        <v>353558.93952000001</v>
      </c>
      <c r="AB17" s="36">
        <f t="shared" si="66"/>
        <v>86.798776032388673</v>
      </c>
      <c r="AC17" s="36">
        <f t="shared" si="66"/>
        <v>132.8626824291498</v>
      </c>
      <c r="AD17" s="36">
        <f t="shared" si="66"/>
        <v>178.92658882591095</v>
      </c>
      <c r="AE17" s="36">
        <f t="shared" ref="AE17:AE20" si="105">($V17*(1+(($U17/100)*1)))</f>
        <v>67234.123605999994</v>
      </c>
      <c r="AF17" s="36">
        <f t="shared" ref="AF17:AF20" si="106">($W17*(1+(($U17/100)*1)))</f>
        <v>102915.114952</v>
      </c>
      <c r="AG17" s="36">
        <f t="shared" ref="AG17:AG20" si="107">($X17*(1+(($U17/100)*1)))</f>
        <v>138596.10629800003</v>
      </c>
      <c r="AH17" s="36">
        <f t="shared" ref="AH17:AH20" si="108">(AE17+(AE17*$J17)+(AE17*$M17)+(AE17*$N17)+(AE17*$O17)+(AE17*$P17)+(AE17*$Q17)+($R17)+(AE17*((52+$S17)/52))*(1+$T17))*1/$L17</f>
        <v>171540.10859721599</v>
      </c>
      <c r="AI17" s="36">
        <f t="shared" ref="AI17:AI20" si="109">(AF17+(AF17*$J17)+(AF17*$M17)+(AF17*$N17)+(AF17*$O17)+(AF17*$P17)+(AF17*$Q17)+($R17)+(AF17*((52+$S17)/52))*(1+$T17))*1/$L17</f>
        <v>262576.04097907204</v>
      </c>
      <c r="AJ17" s="36">
        <f t="shared" ref="AJ17:AJ20" si="110">(AG17+(AG17*$J17)+(AG17*$M17)+(AG17*$N17)+(AG17*$O17)+(AG17*$P17)+(AG17*$Q17)+($R17)+(AG17*((52+$S17)/52))*(1+$T17))*1/$L17</f>
        <v>353611.97336092812</v>
      </c>
      <c r="AK17" s="36">
        <f t="shared" si="93"/>
        <v>86.811795848793523</v>
      </c>
      <c r="AL17" s="36">
        <f t="shared" si="94"/>
        <v>132.8826118315142</v>
      </c>
      <c r="AM17" s="36">
        <f t="shared" si="95"/>
        <v>178.95342781423489</v>
      </c>
      <c r="AN17" s="36">
        <f t="shared" ref="AN17:AN20" si="111">($V17*(1+(($U17/100)*2)))</f>
        <v>67244.207211999994</v>
      </c>
      <c r="AO17" s="36">
        <f t="shared" ref="AO17:AO20" si="112">($W17*(1+(($U17/100)*2)))</f>
        <v>102930.54990399998</v>
      </c>
      <c r="AP17" s="36">
        <f t="shared" ref="AP17:AP20" si="113">($X17*(1+(($U17/100)*2)))</f>
        <v>138616.89259599999</v>
      </c>
      <c r="AQ17" s="36">
        <f t="shared" ref="AQ17:AQ20" si="114">(AN17+(AN17*$J17)+(AN17*$M17)+(AN17*$N17)+(AN17*$O17)+(AN17*$P17)+(AN17*$Q17)+($R17)+(AN17*((52+$S17)/52))*(1+$T17))*1/$L17</f>
        <v>171565.83575443202</v>
      </c>
      <c r="AR17" s="36">
        <f t="shared" ref="AR17:AR20" si="115">(AO17+(AO17*$J17)+(AO17*$M17)+(AO17*$N17)+(AO17*$O17)+(AO17*$P17)+(AO17*$Q17)+($R17)+(AO17*((52+$S17)/52))*(1+$T17))*1/$L17</f>
        <v>262615.42147814395</v>
      </c>
      <c r="AS17" s="36">
        <f t="shared" ref="AS17:AS20" si="116">(AP17+(AP17*$J17)+(AP17*$M17)+(AP17*$N17)+(AP17*$O17)+(AP17*$P17)+(AP17*$Q17)+($R17)+(AP17*((52+$S17)/52))*(1+$T17))*1/$L17</f>
        <v>353665.007201856</v>
      </c>
      <c r="AT17" s="36">
        <f t="shared" si="96"/>
        <v>86.824815665198386</v>
      </c>
      <c r="AU17" s="36">
        <f t="shared" si="97"/>
        <v>132.90254123387854</v>
      </c>
      <c r="AV17" s="36">
        <f t="shared" si="98"/>
        <v>178.9802668025587</v>
      </c>
      <c r="AW17" s="36">
        <f t="shared" ref="AW17:AW20" si="117">($V17*(1+(($U17/100)*3)))</f>
        <v>67254.290817999994</v>
      </c>
      <c r="AX17" s="36">
        <f t="shared" ref="AX17:AX20" si="118">($W17*(1+(($U17/100)*3)))</f>
        <v>102945.984856</v>
      </c>
      <c r="AY17" s="36">
        <f t="shared" ref="AY17:AY20" si="119">($X17*(1+(($U17/100)*3)))</f>
        <v>138637.67889400001</v>
      </c>
      <c r="AZ17" s="36">
        <f t="shared" ref="AZ17:AZ20" si="120">(AW17+(AW17*$J17)+(AW17*$M17)+(AW17*$N17)+(AW17*$O17)+(AW17*$P17)+(AW17*$Q17)+($R17)+(AW17*((52+$S17)/52))*(1+$T17))*1/$L17</f>
        <v>171591.56291164801</v>
      </c>
      <c r="BA17" s="36">
        <f t="shared" ref="BA17:BA20" si="121">(AX17+(AX17*$J17)+(AX17*$M17)+(AX17*$N17)+(AX17*$O17)+(AX17*$P17)+(AX17*$Q17)+($R17)+(AX17*((52+$S17)/52))*(1+$T17))*1/$L17</f>
        <v>262654.80197721603</v>
      </c>
      <c r="BB17" s="36">
        <f t="shared" ref="BB17:BB20" si="122">(AY17+(AY17*$J17)+(AY17*$M17)+(AY17*$N17)+(AY17*$O17)+(AY17*$P17)+(AY17*$Q17)+($R17)+(AY17*((52+$S17)/52))*(1+$T17))*1/$L17</f>
        <v>353718.041042784</v>
      </c>
      <c r="BC17" s="36">
        <f t="shared" si="99"/>
        <v>86.83783548160325</v>
      </c>
      <c r="BD17" s="36">
        <f t="shared" si="100"/>
        <v>132.92247063624293</v>
      </c>
      <c r="BE17" s="36">
        <f t="shared" si="101"/>
        <v>179.00710579088258</v>
      </c>
      <c r="BF17" s="36">
        <f t="shared" ref="BF17:BF20" si="123">($V17*(1+(($U17/100)*4)))</f>
        <v>67264.374423999994</v>
      </c>
      <c r="BG17" s="36">
        <f t="shared" ref="BG17:BG20" si="124">($W17*(1+(($U17/100)*4)))</f>
        <v>102961.41980799999</v>
      </c>
      <c r="BH17" s="36">
        <f t="shared" ref="BH17:BH20" si="125">($X17*(1+(($U17/100)*4)))</f>
        <v>138658.465192</v>
      </c>
      <c r="BI17" s="36">
        <f t="shared" ref="BI17:BI20" si="126">(BF17+(BF17*$J17)+(BF17*$M17)+(BF17*$N17)+(BF17*$O17)+(BF17*$P17)+(BF17*$Q17)+($R17)+(BF17*((52+$S17)/52))*(1+$T17))*1/$L17</f>
        <v>171617.29006886398</v>
      </c>
      <c r="BJ17" s="36">
        <f t="shared" ref="BJ17:BJ20" si="127">(BG17+(BG17*$J17)+(BG17*$M17)+(BG17*$N17)+(BG17*$O17)+(BG17*$P17)+(BG17*$Q17)+($R17)+(BG17*((52+$S17)/52))*(1+$T17))*1/$L17</f>
        <v>262694.18247628794</v>
      </c>
      <c r="BK17" s="36">
        <f t="shared" ref="BK17:BK20" si="128">(BH17+(BH17*$J17)+(BH17*$M17)+(BH17*$N17)+(BH17*$O17)+(BH17*$P17)+(BH17*$Q17)+($R17)+(BH17*((52+$S17)/52))*(1+$T17))*1/$L17</f>
        <v>353771.07488371199</v>
      </c>
      <c r="BL17" s="36">
        <f t="shared" si="102"/>
        <v>86.850855298008085</v>
      </c>
      <c r="BM17" s="36">
        <f t="shared" si="103"/>
        <v>132.94240003860727</v>
      </c>
      <c r="BN17" s="36">
        <f t="shared" si="104"/>
        <v>179.03394477920648</v>
      </c>
    </row>
    <row r="18" spans="1:66" x14ac:dyDescent="0.2">
      <c r="A18" s="4" t="s">
        <v>74</v>
      </c>
      <c r="B18" s="19" t="s">
        <v>47</v>
      </c>
      <c r="C18" s="20" t="s">
        <v>48</v>
      </c>
      <c r="I18" s="5">
        <v>2022</v>
      </c>
      <c r="J18" s="11">
        <v>0.105</v>
      </c>
      <c r="K18" s="32">
        <v>40</v>
      </c>
      <c r="L18" s="8">
        <v>1</v>
      </c>
      <c r="M18" s="8">
        <v>0.1</v>
      </c>
      <c r="N18" s="8">
        <v>3.5000000000000003E-2</v>
      </c>
      <c r="O18" s="27">
        <v>0</v>
      </c>
      <c r="P18" s="8">
        <v>0</v>
      </c>
      <c r="Q18" s="8">
        <v>4.5999999999999999E-2</v>
      </c>
      <c r="R18" s="23">
        <v>0</v>
      </c>
      <c r="S18" s="9">
        <v>4</v>
      </c>
      <c r="T18" s="8">
        <v>0</v>
      </c>
      <c r="U18" s="8">
        <v>1.4999999999999999E-2</v>
      </c>
      <c r="V18" s="36">
        <f>926.56*52</f>
        <v>48181.119999999995</v>
      </c>
      <c r="W18" s="36">
        <f>V18+((X18-V18)/2)</f>
        <v>57943.079999999994</v>
      </c>
      <c r="X18" s="36">
        <f>1302.02*52</f>
        <v>67705.039999999994</v>
      </c>
      <c r="Y18" s="36">
        <f t="shared" si="92"/>
        <v>113848.28031999999</v>
      </c>
      <c r="Z18" s="36">
        <f t="shared" si="92"/>
        <v>136915.04087999999</v>
      </c>
      <c r="AA18" s="36">
        <f t="shared" si="92"/>
        <v>159981.80144000001</v>
      </c>
      <c r="AB18" s="36">
        <f t="shared" si="66"/>
        <v>54.73475015384615</v>
      </c>
      <c r="AC18" s="36">
        <f t="shared" si="66"/>
        <v>65.824538884615379</v>
      </c>
      <c r="AD18" s="36">
        <f t="shared" si="66"/>
        <v>76.914327615384622</v>
      </c>
      <c r="AE18" s="36">
        <f t="shared" si="105"/>
        <v>48188.347168</v>
      </c>
      <c r="AF18" s="36">
        <f t="shared" si="106"/>
        <v>57951.771461999997</v>
      </c>
      <c r="AG18" s="36">
        <f t="shared" si="107"/>
        <v>67715.195756000001</v>
      </c>
      <c r="AH18" s="36">
        <f t="shared" si="108"/>
        <v>113865.35756204798</v>
      </c>
      <c r="AI18" s="36">
        <f t="shared" si="109"/>
        <v>136935.57813613198</v>
      </c>
      <c r="AJ18" s="36">
        <f t="shared" si="110"/>
        <v>160005.79871021601</v>
      </c>
      <c r="AK18" s="36">
        <f t="shared" si="93"/>
        <v>54.742960366369218</v>
      </c>
      <c r="AL18" s="36">
        <f t="shared" si="94"/>
        <v>65.834412565448062</v>
      </c>
      <c r="AM18" s="36">
        <f t="shared" si="95"/>
        <v>76.925864764526935</v>
      </c>
      <c r="AN18" s="36">
        <f t="shared" si="111"/>
        <v>48195.574335999991</v>
      </c>
      <c r="AO18" s="36">
        <f t="shared" si="112"/>
        <v>57960.462923999992</v>
      </c>
      <c r="AP18" s="36">
        <f t="shared" si="113"/>
        <v>67725.351511999994</v>
      </c>
      <c r="AQ18" s="36">
        <f t="shared" si="114"/>
        <v>113882.43480409597</v>
      </c>
      <c r="AR18" s="36">
        <f t="shared" si="115"/>
        <v>136956.11539226398</v>
      </c>
      <c r="AS18" s="36">
        <f t="shared" si="116"/>
        <v>160029.79598043198</v>
      </c>
      <c r="AT18" s="36">
        <f t="shared" si="96"/>
        <v>54.7511705788923</v>
      </c>
      <c r="AU18" s="36">
        <f t="shared" si="97"/>
        <v>65.84428624628076</v>
      </c>
      <c r="AV18" s="36">
        <f t="shared" si="98"/>
        <v>76.93740191366922</v>
      </c>
      <c r="AW18" s="36">
        <f t="shared" si="117"/>
        <v>48202.801503999995</v>
      </c>
      <c r="AX18" s="36">
        <f t="shared" si="118"/>
        <v>57969.154385999995</v>
      </c>
      <c r="AY18" s="36">
        <f t="shared" si="119"/>
        <v>67735.507268000001</v>
      </c>
      <c r="AZ18" s="36">
        <f t="shared" si="120"/>
        <v>113899.51204614399</v>
      </c>
      <c r="BA18" s="36">
        <f t="shared" si="121"/>
        <v>136976.65264839598</v>
      </c>
      <c r="BB18" s="36">
        <f t="shared" si="122"/>
        <v>160053.79325064798</v>
      </c>
      <c r="BC18" s="36">
        <f t="shared" si="99"/>
        <v>54.759380791415381</v>
      </c>
      <c r="BD18" s="36">
        <f t="shared" si="100"/>
        <v>65.854159927113443</v>
      </c>
      <c r="BE18" s="36">
        <f t="shared" si="101"/>
        <v>76.948939062811533</v>
      </c>
      <c r="BF18" s="36">
        <f t="shared" si="123"/>
        <v>48210.028671999993</v>
      </c>
      <c r="BG18" s="36">
        <f t="shared" si="124"/>
        <v>57977.84584799999</v>
      </c>
      <c r="BH18" s="36">
        <f t="shared" si="125"/>
        <v>67745.663023999994</v>
      </c>
      <c r="BI18" s="36">
        <f t="shared" si="126"/>
        <v>113916.58928819199</v>
      </c>
      <c r="BJ18" s="36">
        <f t="shared" si="127"/>
        <v>136997.18990452797</v>
      </c>
      <c r="BK18" s="36">
        <f t="shared" si="128"/>
        <v>160077.79052086396</v>
      </c>
      <c r="BL18" s="36">
        <f t="shared" si="102"/>
        <v>54.767591003938456</v>
      </c>
      <c r="BM18" s="36">
        <f t="shared" si="103"/>
        <v>65.864033607946141</v>
      </c>
      <c r="BN18" s="36">
        <f t="shared" si="104"/>
        <v>76.960476211953818</v>
      </c>
    </row>
    <row r="19" spans="1:66" x14ac:dyDescent="0.2">
      <c r="A19" s="4" t="s">
        <v>74</v>
      </c>
      <c r="B19" s="19" t="s">
        <v>50</v>
      </c>
      <c r="C19" s="20" t="s">
        <v>51</v>
      </c>
      <c r="D19" s="4" t="s">
        <v>77</v>
      </c>
      <c r="E19" s="21" t="s">
        <v>78</v>
      </c>
      <c r="I19" s="5">
        <v>2022</v>
      </c>
      <c r="J19" s="11">
        <v>0.105</v>
      </c>
      <c r="K19" s="32">
        <v>40</v>
      </c>
      <c r="L19" s="8">
        <v>1</v>
      </c>
      <c r="M19" s="8">
        <v>0.1</v>
      </c>
      <c r="N19" s="8">
        <v>3.5000000000000003E-2</v>
      </c>
      <c r="O19" s="27">
        <v>0</v>
      </c>
      <c r="P19" s="8">
        <v>0</v>
      </c>
      <c r="Q19" s="8">
        <v>4.5999999999999999E-2</v>
      </c>
      <c r="R19" s="23">
        <v>0</v>
      </c>
      <c r="S19" s="9">
        <v>4</v>
      </c>
      <c r="T19" s="8">
        <v>0.17499999999999999</v>
      </c>
      <c r="U19" s="8">
        <v>1.4999999999999999E-2</v>
      </c>
      <c r="V19" s="36">
        <v>66106</v>
      </c>
      <c r="W19" s="36">
        <f>V19+((X19-V19)/2)</f>
        <v>90434.5</v>
      </c>
      <c r="X19" s="36">
        <v>114763</v>
      </c>
      <c r="Y19" s="36">
        <f t="shared" si="92"/>
        <v>168661.83138461539</v>
      </c>
      <c r="Z19" s="36">
        <f t="shared" si="92"/>
        <v>230733.19199999998</v>
      </c>
      <c r="AA19" s="36">
        <f t="shared" si="92"/>
        <v>292804.55261538463</v>
      </c>
      <c r="AB19" s="36">
        <f t="shared" si="66"/>
        <v>81.087418934911256</v>
      </c>
      <c r="AC19" s="36">
        <f t="shared" si="66"/>
        <v>110.92941923076921</v>
      </c>
      <c r="AD19" s="36">
        <f t="shared" si="66"/>
        <v>140.77141952662723</v>
      </c>
      <c r="AE19" s="36">
        <f t="shared" si="105"/>
        <v>66115.915900000007</v>
      </c>
      <c r="AF19" s="36">
        <f t="shared" si="106"/>
        <v>90448.065175000011</v>
      </c>
      <c r="AG19" s="36">
        <f t="shared" si="107"/>
        <v>114780.21445000001</v>
      </c>
      <c r="AH19" s="36">
        <f t="shared" si="108"/>
        <v>168687.13065932307</v>
      </c>
      <c r="AI19" s="36">
        <f t="shared" si="109"/>
        <v>230767.80197880004</v>
      </c>
      <c r="AJ19" s="36">
        <f t="shared" si="110"/>
        <v>292848.47329827701</v>
      </c>
      <c r="AK19" s="36">
        <f t="shared" si="93"/>
        <v>81.099582047751468</v>
      </c>
      <c r="AL19" s="36">
        <f t="shared" si="94"/>
        <v>110.94605864365387</v>
      </c>
      <c r="AM19" s="36">
        <f t="shared" si="95"/>
        <v>140.79253523955626</v>
      </c>
      <c r="AN19" s="36">
        <f t="shared" si="111"/>
        <v>66125.8318</v>
      </c>
      <c r="AO19" s="36">
        <f t="shared" si="112"/>
        <v>90461.630349999992</v>
      </c>
      <c r="AP19" s="36">
        <f t="shared" si="113"/>
        <v>114797.4289</v>
      </c>
      <c r="AQ19" s="36">
        <f t="shared" si="114"/>
        <v>168712.42993403078</v>
      </c>
      <c r="AR19" s="36">
        <f t="shared" si="115"/>
        <v>230802.41195759998</v>
      </c>
      <c r="AS19" s="36">
        <f t="shared" si="116"/>
        <v>292892.39398116921</v>
      </c>
      <c r="AT19" s="36">
        <f t="shared" si="96"/>
        <v>81.11174516059171</v>
      </c>
      <c r="AU19" s="36">
        <f t="shared" si="97"/>
        <v>110.96269805653844</v>
      </c>
      <c r="AV19" s="36">
        <f t="shared" si="98"/>
        <v>140.8136509524852</v>
      </c>
      <c r="AW19" s="36">
        <f t="shared" si="117"/>
        <v>66135.747700000007</v>
      </c>
      <c r="AX19" s="36">
        <f t="shared" si="118"/>
        <v>90475.195525000003</v>
      </c>
      <c r="AY19" s="36">
        <f t="shared" si="119"/>
        <v>114814.64335000001</v>
      </c>
      <c r="AZ19" s="36">
        <f t="shared" si="120"/>
        <v>168737.72920873848</v>
      </c>
      <c r="BA19" s="36">
        <f t="shared" si="121"/>
        <v>230837.02193639998</v>
      </c>
      <c r="BB19" s="36">
        <f t="shared" si="122"/>
        <v>292936.31466406159</v>
      </c>
      <c r="BC19" s="36">
        <f t="shared" si="99"/>
        <v>81.123908273431965</v>
      </c>
      <c r="BD19" s="36">
        <f t="shared" si="100"/>
        <v>110.97933746942306</v>
      </c>
      <c r="BE19" s="36">
        <f t="shared" si="101"/>
        <v>140.83476666541424</v>
      </c>
      <c r="BF19" s="36">
        <f t="shared" si="123"/>
        <v>66145.6636</v>
      </c>
      <c r="BG19" s="36">
        <f t="shared" si="124"/>
        <v>90488.760699999999</v>
      </c>
      <c r="BH19" s="36">
        <f t="shared" si="125"/>
        <v>114831.8578</v>
      </c>
      <c r="BI19" s="36">
        <f t="shared" si="126"/>
        <v>168763.02848344616</v>
      </c>
      <c r="BJ19" s="36">
        <f t="shared" si="127"/>
        <v>230871.63191520001</v>
      </c>
      <c r="BK19" s="36">
        <f t="shared" si="128"/>
        <v>292980.23534695385</v>
      </c>
      <c r="BL19" s="36">
        <f t="shared" si="102"/>
        <v>81.136071386272192</v>
      </c>
      <c r="BM19" s="36">
        <f t="shared" si="103"/>
        <v>110.9959768823077</v>
      </c>
      <c r="BN19" s="36">
        <f t="shared" si="104"/>
        <v>140.85588237834321</v>
      </c>
    </row>
    <row r="20" spans="1:66" x14ac:dyDescent="0.2">
      <c r="A20" s="4" t="s">
        <v>74</v>
      </c>
      <c r="B20" s="19" t="s">
        <v>55</v>
      </c>
      <c r="C20" s="20" t="s">
        <v>56</v>
      </c>
      <c r="D20" s="4" t="s">
        <v>79</v>
      </c>
      <c r="E20" s="21" t="s">
        <v>80</v>
      </c>
      <c r="F20" s="4" t="s">
        <v>60</v>
      </c>
      <c r="G20" s="4" t="s">
        <v>60</v>
      </c>
      <c r="H20" s="26" t="s">
        <v>81</v>
      </c>
      <c r="I20" s="5">
        <v>2022</v>
      </c>
      <c r="J20" s="11">
        <v>0.105</v>
      </c>
      <c r="K20" s="32">
        <v>40</v>
      </c>
      <c r="L20" s="8">
        <v>1</v>
      </c>
      <c r="M20" s="8">
        <v>0</v>
      </c>
      <c r="N20" s="8">
        <v>3.5000000000000003E-2</v>
      </c>
      <c r="O20" s="27">
        <v>0.2</v>
      </c>
      <c r="P20" s="8">
        <v>0.17399999999999999</v>
      </c>
      <c r="Q20" s="8">
        <v>4.5999999999999999E-2</v>
      </c>
      <c r="R20" s="23">
        <v>38000</v>
      </c>
      <c r="S20" s="9">
        <v>5</v>
      </c>
      <c r="T20" s="8">
        <v>0.17499999999999999</v>
      </c>
      <c r="U20" s="8">
        <v>1.4999999999999999E-2</v>
      </c>
      <c r="V20" s="36">
        <v>179078</v>
      </c>
      <c r="W20" s="36">
        <f>V20+((X20-V20)/2)</f>
        <v>210509</v>
      </c>
      <c r="X20" s="36">
        <v>241940</v>
      </c>
      <c r="Y20" s="36">
        <f>(V20+(V20*$J20)+(V20*$M20)+(V20*$N20)+(V20*$O20)+(V20*$P20)+(V20*$Q20)+($R20)+(V20*((52+$S20)/52))*(1+$T20))*1/$L20</f>
        <v>548010.7001923077</v>
      </c>
      <c r="Z20" s="36">
        <f t="shared" si="92"/>
        <v>637525.58374999999</v>
      </c>
      <c r="AA20" s="36">
        <f t="shared" si="92"/>
        <v>727040.46730769239</v>
      </c>
      <c r="AB20" s="36">
        <f t="shared" si="66"/>
        <v>263.46668278476329</v>
      </c>
      <c r="AC20" s="36">
        <f t="shared" si="66"/>
        <v>306.50268449519228</v>
      </c>
      <c r="AD20" s="36">
        <f t="shared" si="66"/>
        <v>349.53868620562133</v>
      </c>
      <c r="AE20" s="36">
        <f t="shared" si="105"/>
        <v>179104.86170000001</v>
      </c>
      <c r="AF20" s="36">
        <f t="shared" si="106"/>
        <v>210540.57635000002</v>
      </c>
      <c r="AG20" s="36">
        <f t="shared" si="107"/>
        <v>241976.29100000003</v>
      </c>
      <c r="AH20" s="36">
        <f t="shared" si="108"/>
        <v>548087.20179733657</v>
      </c>
      <c r="AI20" s="36">
        <f t="shared" si="109"/>
        <v>637615.51258756267</v>
      </c>
      <c r="AJ20" s="36">
        <f t="shared" si="110"/>
        <v>727143.82337778853</v>
      </c>
      <c r="AK20" s="36">
        <f t="shared" si="93"/>
        <v>263.50346240256567</v>
      </c>
      <c r="AL20" s="36">
        <f t="shared" si="94"/>
        <v>306.54591951325131</v>
      </c>
      <c r="AM20" s="36">
        <f t="shared" si="95"/>
        <v>349.58837662393682</v>
      </c>
      <c r="AN20" s="36">
        <f t="shared" si="111"/>
        <v>179131.72339999999</v>
      </c>
      <c r="AO20" s="36">
        <f t="shared" si="112"/>
        <v>210572.15270000001</v>
      </c>
      <c r="AP20" s="36">
        <f t="shared" si="113"/>
        <v>242012.58199999999</v>
      </c>
      <c r="AQ20" s="36">
        <f t="shared" si="114"/>
        <v>548163.70340236533</v>
      </c>
      <c r="AR20" s="36">
        <f t="shared" si="115"/>
        <v>637705.44142512511</v>
      </c>
      <c r="AS20" s="36">
        <f t="shared" si="116"/>
        <v>727247.17944788467</v>
      </c>
      <c r="AT20" s="36">
        <f t="shared" si="96"/>
        <v>263.54024202036794</v>
      </c>
      <c r="AU20" s="36">
        <f t="shared" si="97"/>
        <v>306.58915453131016</v>
      </c>
      <c r="AV20" s="36">
        <f t="shared" si="98"/>
        <v>349.63806704225226</v>
      </c>
      <c r="AW20" s="36">
        <f t="shared" si="117"/>
        <v>179158.5851</v>
      </c>
      <c r="AX20" s="36">
        <f t="shared" si="118"/>
        <v>210603.72905000002</v>
      </c>
      <c r="AY20" s="36">
        <f t="shared" si="119"/>
        <v>242048.87300000002</v>
      </c>
      <c r="AZ20" s="36">
        <f t="shared" si="120"/>
        <v>548240.20500739431</v>
      </c>
      <c r="BA20" s="36">
        <f t="shared" si="121"/>
        <v>637795.37026268756</v>
      </c>
      <c r="BB20" s="36">
        <f t="shared" si="122"/>
        <v>727350.53551798081</v>
      </c>
      <c r="BC20" s="36">
        <f t="shared" si="99"/>
        <v>263.57702163817032</v>
      </c>
      <c r="BD20" s="36">
        <f t="shared" si="100"/>
        <v>306.63238954936901</v>
      </c>
      <c r="BE20" s="36">
        <f t="shared" si="101"/>
        <v>349.6877574605677</v>
      </c>
      <c r="BF20" s="36">
        <f t="shared" si="123"/>
        <v>179185.44679999998</v>
      </c>
      <c r="BG20" s="36">
        <f t="shared" si="124"/>
        <v>210635.30539999998</v>
      </c>
      <c r="BH20" s="36">
        <f t="shared" si="125"/>
        <v>242085.16399999999</v>
      </c>
      <c r="BI20" s="36">
        <f t="shared" si="126"/>
        <v>548316.70661242306</v>
      </c>
      <c r="BJ20" s="36">
        <f t="shared" si="127"/>
        <v>637885.29910025001</v>
      </c>
      <c r="BK20" s="36">
        <f t="shared" si="128"/>
        <v>727453.89158807695</v>
      </c>
      <c r="BL20" s="36">
        <f t="shared" si="102"/>
        <v>263.61380125597259</v>
      </c>
      <c r="BM20" s="36">
        <f t="shared" si="103"/>
        <v>306.67562456742792</v>
      </c>
      <c r="BN20" s="36">
        <f t="shared" si="104"/>
        <v>349.73744787888313</v>
      </c>
    </row>
    <row r="21" spans="1:66" x14ac:dyDescent="0.2">
      <c r="R21" s="23"/>
      <c r="U21" s="8"/>
      <c r="V21" s="36"/>
      <c r="W21" s="36"/>
      <c r="X21" s="36"/>
      <c r="Y21" s="36"/>
      <c r="Z21" s="36"/>
      <c r="AA21" s="36"/>
      <c r="AB21" s="36"/>
      <c r="AC21" s="36"/>
      <c r="AD21" s="36"/>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row>
    <row r="22" spans="1:66" x14ac:dyDescent="0.2">
      <c r="A22" s="4" t="s">
        <v>82</v>
      </c>
      <c r="B22" s="19" t="s">
        <v>33</v>
      </c>
      <c r="C22" s="20" t="s">
        <v>34</v>
      </c>
      <c r="D22" s="4" t="s">
        <v>83</v>
      </c>
      <c r="I22" s="5">
        <v>2022</v>
      </c>
      <c r="J22" s="11">
        <v>0.1275</v>
      </c>
      <c r="K22" s="32">
        <v>36.25</v>
      </c>
      <c r="L22" s="8">
        <v>1</v>
      </c>
      <c r="M22" s="8">
        <v>0.1</v>
      </c>
      <c r="N22" s="8">
        <v>3.5000000000000003E-2</v>
      </c>
      <c r="O22" s="27">
        <v>0</v>
      </c>
      <c r="P22" s="8">
        <v>0</v>
      </c>
      <c r="Q22" s="8">
        <v>4.5999999999999999E-2</v>
      </c>
      <c r="R22" s="23">
        <v>1826</v>
      </c>
      <c r="S22" s="9">
        <v>4</v>
      </c>
      <c r="T22" s="8">
        <v>0</v>
      </c>
      <c r="U22" s="8">
        <v>1.4999999999999999E-2</v>
      </c>
      <c r="V22" s="36">
        <v>48552</v>
      </c>
      <c r="W22" s="36">
        <f>V22+((X22-V22)/2)</f>
        <v>70196</v>
      </c>
      <c r="X22" s="36">
        <v>91840</v>
      </c>
      <c r="Y22" s="36">
        <f t="shared" ref="Y22:AA26" si="129">(V22+(V22*$J22)+(V22*$M22)+(V22*$N22)+(V22*$O22)+(V22*$P22)+(V22*$Q22)+($R22)+(V22*((52+$S22)/52))*(1+$T22))*1/$L22</f>
        <v>117643.06123076922</v>
      </c>
      <c r="Z22" s="36">
        <f t="shared" si="129"/>
        <v>169273.15830769233</v>
      </c>
      <c r="AA22" s="36">
        <f t="shared" si="129"/>
        <v>220903.25538461539</v>
      </c>
      <c r="AB22" s="36">
        <f t="shared" si="66"/>
        <v>62.410112058763517</v>
      </c>
      <c r="AC22" s="36">
        <f t="shared" si="66"/>
        <v>89.800083982860656</v>
      </c>
      <c r="AD22" s="36">
        <f t="shared" si="66"/>
        <v>117.19005590695778</v>
      </c>
      <c r="AE22" s="36">
        <f>($V22*(1+(($U22/100)*1)))</f>
        <v>48559.282800000008</v>
      </c>
      <c r="AF22" s="36">
        <f>($W22*(1+(($U22/100)*1)))</f>
        <v>70206.529399999999</v>
      </c>
      <c r="AG22" s="36">
        <f>($X22*(1+(($U22/100)*1)))</f>
        <v>91853.776000000013</v>
      </c>
      <c r="AH22" s="36">
        <f>(AE22+(AE22*$J22)+(AE22*$M22)+(AE22*$N22)+(AE22*$O22)+(AE22*$P22)+(AE22*$Q22)+($R22)+(AE22*((52+$S22)/52))*(1+$T22))*1/$L22</f>
        <v>117660.43378995387</v>
      </c>
      <c r="AI22" s="36">
        <f>(AF22+(AF22*$J22)+(AF22*$M22)+(AF22*$N22)+(AF22*$O22)+(AF22*$P22)+(AF22*$Q22)+($R22)+(AF22*((52+$S22)/52))*(1+$T22))*1/$L22</f>
        <v>169298.27538143846</v>
      </c>
      <c r="AJ22" s="36">
        <f>(AG22+(AG22*$J22)+(AG22*$M22)+(AG22*$N22)+(AG22*$O22)+(AG22*$P22)+(AG22*$Q22)+($R22)+(AG22*((52+$S22)/52))*(1+$T22))*1/$L22</f>
        <v>220936.1169729231</v>
      </c>
      <c r="AK22" s="36">
        <f t="shared" ref="AK22:AK26" si="130">AH22/52/$K22</f>
        <v>62.419328270532546</v>
      </c>
      <c r="AL22" s="36">
        <f t="shared" ref="AL22:AL26" si="131">AI22/52/$K22</f>
        <v>89.813408690418285</v>
      </c>
      <c r="AM22" s="36">
        <f t="shared" ref="AM22:AM26" si="132">AJ22/52/$K22</f>
        <v>117.20748911030404</v>
      </c>
      <c r="AN22" s="36">
        <f>($V22*(1+(($U22/100)*2)))</f>
        <v>48566.565600000002</v>
      </c>
      <c r="AO22" s="36">
        <f>($W22*(1+(($U22/100)*2)))</f>
        <v>70217.058799999999</v>
      </c>
      <c r="AP22" s="36">
        <f>($X22*(1+(($U22/100)*2)))</f>
        <v>91867.551999999996</v>
      </c>
      <c r="AQ22" s="36">
        <f>(AN22+(AN22*$J22)+(AN22*$M22)+(AN22*$N22)+(AN22*$O22)+(AN22*$P22)+(AN22*$Q22)+($R22)+(AN22*((52+$S22)/52))*(1+$T22))*1/$L22</f>
        <v>117677.80634913847</v>
      </c>
      <c r="AR22" s="36">
        <f>(AO22+(AO22*$J22)+(AO22*$M22)+(AO22*$N22)+(AO22*$O22)+(AO22*$P22)+(AO22*$Q22)+($R22)+(AO22*((52+$S22)/52))*(1+$T22))*1/$L22</f>
        <v>169323.3924551846</v>
      </c>
      <c r="AS22" s="36">
        <f>(AP22+(AP22*$J22)+(AP22*$M22)+(AP22*$N22)+(AP22*$O22)+(AP22*$P22)+(AP22*$Q22)+($R22)+(AP22*((52+$S22)/52))*(1+$T22))*1/$L22</f>
        <v>220968.97856123076</v>
      </c>
      <c r="AT22" s="36">
        <f t="shared" ref="AT22:AT26" si="133">AQ22/52/$K22</f>
        <v>62.428544482301568</v>
      </c>
      <c r="AU22" s="36">
        <f t="shared" ref="AU22:AU26" si="134">AR22/52/$K22</f>
        <v>89.826733397975914</v>
      </c>
      <c r="AV22" s="36">
        <f t="shared" ref="AV22:AV26" si="135">AS22/52/$K22</f>
        <v>117.22492231365027</v>
      </c>
      <c r="AW22" s="36">
        <f>($V22*(1+(($U22/100)*3)))</f>
        <v>48573.848400000003</v>
      </c>
      <c r="AX22" s="36">
        <f>($W22*(1+(($U22/100)*3)))</f>
        <v>70227.588199999998</v>
      </c>
      <c r="AY22" s="36">
        <f>($X22*(1+(($U22/100)*3)))</f>
        <v>91881.328000000009</v>
      </c>
      <c r="AZ22" s="36">
        <f>(AW22+(AW22*$J22)+(AW22*$M22)+(AW22*$N22)+(AW22*$O22)+(AW22*$P22)+(AW22*$Q22)+($R22)+(AW22*((52+$S22)/52))*(1+$T22))*1/$L22</f>
        <v>117695.17890832308</v>
      </c>
      <c r="BA22" s="36">
        <f>(AX22+(AX22*$J22)+(AX22*$M22)+(AX22*$N22)+(AX22*$O22)+(AX22*$P22)+(AX22*$Q22)+($R22)+(AX22*((52+$S22)/52))*(1+$T22))*1/$L22</f>
        <v>169348.50952893076</v>
      </c>
      <c r="BB22" s="36">
        <f>(AY22+(AY22*$J22)+(AY22*$M22)+(AY22*$N22)+(AY22*$O22)+(AY22*$P22)+(AY22*$Q22)+($R22)+(AY22*((52+$S22)/52))*(1+$T22))*1/$L22</f>
        <v>221001.84014953848</v>
      </c>
      <c r="BC22" s="36">
        <f t="shared" ref="BC22:BC26" si="136">AZ22/52/$K22</f>
        <v>62.437760694070597</v>
      </c>
      <c r="BD22" s="36">
        <f t="shared" ref="BD22:BD26" si="137">BA22/52/$K22</f>
        <v>89.840058105533558</v>
      </c>
      <c r="BE22" s="36">
        <f t="shared" ref="BE22:BE26" si="138">BB22/52/$K22</f>
        <v>117.24235551699654</v>
      </c>
      <c r="BF22" s="36">
        <f>($V22*(1+(($U22/100)*4)))</f>
        <v>48581.131199999996</v>
      </c>
      <c r="BG22" s="36">
        <f>($W22*(1+(($U22/100)*4)))</f>
        <v>70238.117599999998</v>
      </c>
      <c r="BH22" s="36">
        <f>($X22*(1+(($U22/100)*4)))</f>
        <v>91895.103999999992</v>
      </c>
      <c r="BI22" s="36">
        <f>(BF22+(BF22*$J22)+(BF22*$M22)+(BF22*$N22)+(BF22*$O22)+(BF22*$P22)+(BF22*$Q22)+($R22)+(BF22*((52+$S22)/52))*(1+$T22))*1/$L22</f>
        <v>117712.55146750768</v>
      </c>
      <c r="BJ22" s="36">
        <f>(BG22+(BG22*$J22)+(BG22*$M22)+(BG22*$N22)+(BG22*$O22)+(BG22*$P22)+(BG22*$Q22)+($R22)+(BG22*((52+$S22)/52))*(1+$T22))*1/$L22</f>
        <v>169373.6266026769</v>
      </c>
      <c r="BK22" s="36">
        <f>(BH22+(BH22*$J22)+(BH22*$M22)+(BH22*$N22)+(BH22*$O22)+(BH22*$P22)+(BH22*$Q22)+($R22)+(BH22*((52+$S22)/52))*(1+$T22))*1/$L22</f>
        <v>221034.70173784613</v>
      </c>
      <c r="BL22" s="36">
        <f t="shared" ref="BL22:BL26" si="139">BI22/52/$K22</f>
        <v>62.44697690583962</v>
      </c>
      <c r="BM22" s="36">
        <f t="shared" ref="BM22:BM26" si="140">BJ22/52/$K22</f>
        <v>89.853382813091187</v>
      </c>
      <c r="BN22" s="36">
        <f t="shared" ref="BN22:BN26" si="141">BK22/52/$K22</f>
        <v>117.25978872034278</v>
      </c>
    </row>
    <row r="23" spans="1:66" x14ac:dyDescent="0.2">
      <c r="A23" s="4" t="s">
        <v>82</v>
      </c>
      <c r="B23" s="19" t="s">
        <v>40</v>
      </c>
      <c r="C23" s="20" t="s">
        <v>41</v>
      </c>
      <c r="D23" s="4" t="s">
        <v>83</v>
      </c>
      <c r="E23" s="21" t="s">
        <v>84</v>
      </c>
      <c r="I23" s="5">
        <v>2022</v>
      </c>
      <c r="J23" s="11">
        <v>0.1275</v>
      </c>
      <c r="K23" s="32">
        <v>36.25</v>
      </c>
      <c r="L23" s="8">
        <v>1</v>
      </c>
      <c r="M23" s="8">
        <v>0.1</v>
      </c>
      <c r="N23" s="8">
        <v>3.5000000000000003E-2</v>
      </c>
      <c r="O23" s="27">
        <v>0</v>
      </c>
      <c r="P23" s="8">
        <v>0</v>
      </c>
      <c r="Q23" s="8">
        <v>4.5999999999999999E-2</v>
      </c>
      <c r="R23" s="23">
        <v>1826</v>
      </c>
      <c r="S23" s="9">
        <v>4</v>
      </c>
      <c r="T23" s="8">
        <v>0</v>
      </c>
      <c r="U23" s="8">
        <v>1.4999999999999999E-2</v>
      </c>
      <c r="V23" s="36">
        <v>69031</v>
      </c>
      <c r="W23" s="36">
        <f>V23+((X23-V23)/2)</f>
        <v>104303.5</v>
      </c>
      <c r="X23" s="36">
        <v>139576</v>
      </c>
      <c r="Y23" s="36">
        <f t="shared" si="129"/>
        <v>166494.14042307693</v>
      </c>
      <c r="Z23" s="36">
        <f t="shared" si="129"/>
        <v>250633.97590384615</v>
      </c>
      <c r="AA23" s="36">
        <f t="shared" si="129"/>
        <v>334773.81138461537</v>
      </c>
      <c r="AB23" s="36">
        <f t="shared" si="66"/>
        <v>88.325803937971841</v>
      </c>
      <c r="AC23" s="36">
        <f t="shared" si="66"/>
        <v>132.96232143440113</v>
      </c>
      <c r="AD23" s="36">
        <f t="shared" si="66"/>
        <v>177.59883893083045</v>
      </c>
      <c r="AE23" s="36">
        <f t="shared" ref="AE23:AE26" si="142">($V23*(1+(($U23/100)*1)))</f>
        <v>69041.354650000008</v>
      </c>
      <c r="AF23" s="36">
        <f t="shared" ref="AF23:AF26" si="143">($W23*(1+(($U23/100)*1)))</f>
        <v>104319.14552500001</v>
      </c>
      <c r="AG23" s="36">
        <f t="shared" ref="AG23:AG26" si="144">($X23*(1+(($U23/100)*1)))</f>
        <v>139596.93640000001</v>
      </c>
      <c r="AH23" s="36">
        <f t="shared" ref="AH23:AH26" si="145">(AE23+(AE23*$J23)+(AE23*$M23)+(AE23*$N23)+(AE23*$O23)+(AE23*$P23)+(AE23*$Q23)+($R23)+(AE23*((52+$S23)/52))*(1+$T23))*1/$L23</f>
        <v>166518.84064414041</v>
      </c>
      <c r="AI23" s="36">
        <f t="shared" ref="AI23:AI26" si="146">(AF23+(AF23*$J23)+(AF23*$M23)+(AF23*$N23)+(AF23*$O23)+(AF23*$P23)+(AF23*$Q23)+($R23)+(AF23*((52+$S23)/52))*(1+$T23))*1/$L23</f>
        <v>250671.29710023175</v>
      </c>
      <c r="AJ23" s="36">
        <f t="shared" ref="AJ23:AJ26" si="147">(AG23+(AG23*$J23)+(AG23*$M23)+(AG23*$N23)+(AG23*$O23)+(AG23*$P23)+(AG23*$Q23)+($R23)+(AG23*((52+$S23)/52))*(1+$T23))*1/$L23</f>
        <v>334823.75355632312</v>
      </c>
      <c r="AK23" s="36">
        <f t="shared" si="130"/>
        <v>88.338907503522762</v>
      </c>
      <c r="AL23" s="36">
        <f t="shared" si="131"/>
        <v>132.98212047757653</v>
      </c>
      <c r="AM23" s="36">
        <f t="shared" si="132"/>
        <v>177.6253334516303</v>
      </c>
      <c r="AN23" s="36">
        <f t="shared" ref="AN23:AN26" si="148">($V23*(1+(($U23/100)*2)))</f>
        <v>69051.709300000002</v>
      </c>
      <c r="AO23" s="36">
        <f t="shared" ref="AO23:AO26" si="149">($W23*(1+(($U23/100)*2)))</f>
        <v>104334.79105</v>
      </c>
      <c r="AP23" s="36">
        <f t="shared" ref="AP23:AP26" si="150">($X23*(1+(($U23/100)*2)))</f>
        <v>139617.87279999998</v>
      </c>
      <c r="AQ23" s="36">
        <f t="shared" ref="AQ23:AQ26" si="151">(AN23+(AN23*$J23)+(AN23*$M23)+(AN23*$N23)+(AN23*$O23)+(AN23*$P23)+(AN23*$Q23)+($R23)+(AN23*((52+$S23)/52))*(1+$T23))*1/$L23</f>
        <v>166543.54086520386</v>
      </c>
      <c r="AR23" s="36">
        <f t="shared" ref="AR23:AR26" si="152">(AO23+(AO23*$J23)+(AO23*$M23)+(AO23*$N23)+(AO23*$O23)+(AO23*$P23)+(AO23*$Q23)+($R23)+(AO23*((52+$S23)/52))*(1+$T23))*1/$L23</f>
        <v>250708.61829661735</v>
      </c>
      <c r="AS23" s="36">
        <f t="shared" ref="AS23:AS26" si="153">(AP23+(AP23*$J23)+(AP23*$M23)+(AP23*$N23)+(AP23*$O23)+(AP23*$P23)+(AP23*$Q23)+($R23)+(AP23*((52+$S23)/52))*(1+$T23))*1/$L23</f>
        <v>334873.69572803075</v>
      </c>
      <c r="AT23" s="36">
        <f t="shared" si="133"/>
        <v>88.352011069073669</v>
      </c>
      <c r="AU23" s="36">
        <f t="shared" si="134"/>
        <v>133.0019195207519</v>
      </c>
      <c r="AV23" s="36">
        <f t="shared" si="135"/>
        <v>177.65182797243011</v>
      </c>
      <c r="AW23" s="36">
        <f t="shared" ref="AW23:AW26" si="154">($V23*(1+(($U23/100)*3)))</f>
        <v>69062.063950000011</v>
      </c>
      <c r="AX23" s="36">
        <f t="shared" ref="AX23:AX26" si="155">($W23*(1+(($U23/100)*3)))</f>
        <v>104350.436575</v>
      </c>
      <c r="AY23" s="36">
        <f t="shared" ref="AY23:AY26" si="156">($X23*(1+(($U23/100)*3)))</f>
        <v>139638.80920000002</v>
      </c>
      <c r="AZ23" s="36">
        <f t="shared" ref="AZ23:AZ26" si="157">(AW23+(AW23*$J23)+(AW23*$M23)+(AW23*$N23)+(AW23*$O23)+(AW23*$P23)+(AW23*$Q23)+($R23)+(AW23*((52+$S23)/52))*(1+$T23))*1/$L23</f>
        <v>166568.24108626734</v>
      </c>
      <c r="BA23" s="36">
        <f t="shared" ref="BA23:BA26" si="158">(AX23+(AX23*$J23)+(AX23*$M23)+(AX23*$N23)+(AX23*$O23)+(AX23*$P23)+(AX23*$Q23)+($R23)+(AX23*((52+$S23)/52))*(1+$T23))*1/$L23</f>
        <v>250745.93949300289</v>
      </c>
      <c r="BB23" s="36">
        <f t="shared" ref="BB23:BB26" si="159">(AY23+(AY23*$J23)+(AY23*$M23)+(AY23*$N23)+(AY23*$O23)+(AY23*$P23)+(AY23*$Q23)+($R23)+(AY23*((52+$S23)/52))*(1+$T23))*1/$L23</f>
        <v>334923.6378997385</v>
      </c>
      <c r="BC23" s="36">
        <f t="shared" si="136"/>
        <v>88.365114634624575</v>
      </c>
      <c r="BD23" s="36">
        <f t="shared" si="137"/>
        <v>133.02171856392727</v>
      </c>
      <c r="BE23" s="36">
        <f t="shared" si="138"/>
        <v>177.67832249322996</v>
      </c>
      <c r="BF23" s="36">
        <f t="shared" ref="BF23:BF26" si="160">($V23*(1+(($U23/100)*4)))</f>
        <v>69072.41859999999</v>
      </c>
      <c r="BG23" s="36">
        <f t="shared" ref="BG23:BG26" si="161">($W23*(1+(($U23/100)*4)))</f>
        <v>104366.0821</v>
      </c>
      <c r="BH23" s="36">
        <f t="shared" ref="BH23:BH26" si="162">($X23*(1+(($U23/100)*4)))</f>
        <v>139659.74559999999</v>
      </c>
      <c r="BI23" s="36">
        <f t="shared" ref="BI23:BI26" si="163">(BF23+(BF23*$J23)+(BF23*$M23)+(BF23*$N23)+(BF23*$O23)+(BF23*$P23)+(BF23*$Q23)+($R23)+(BF23*((52+$S23)/52))*(1+$T23))*1/$L23</f>
        <v>166592.94130733074</v>
      </c>
      <c r="BJ23" s="36">
        <f t="shared" ref="BJ23:BJ26" si="164">(BG23+(BG23*$J23)+(BG23*$M23)+(BG23*$N23)+(BG23*$O23)+(BG23*$P23)+(BG23*$Q23)+($R23)+(BG23*((52+$S23)/52))*(1+$T23))*1/$L23</f>
        <v>250783.26068938847</v>
      </c>
      <c r="BK23" s="36">
        <f t="shared" ref="BK23:BK26" si="165">(BH23+(BH23*$J23)+(BH23*$M23)+(BH23*$N23)+(BH23*$O23)+(BH23*$P23)+(BH23*$Q23)+($R23)+(BH23*((52+$S23)/52))*(1+$T23))*1/$L23</f>
        <v>334973.58007144614</v>
      </c>
      <c r="BL23" s="36">
        <f t="shared" si="139"/>
        <v>88.378218200175453</v>
      </c>
      <c r="BM23" s="36">
        <f t="shared" si="140"/>
        <v>133.04151760710263</v>
      </c>
      <c r="BN23" s="36">
        <f t="shared" si="141"/>
        <v>177.7048170140298</v>
      </c>
    </row>
    <row r="24" spans="1:66" x14ac:dyDescent="0.2">
      <c r="A24" s="4" t="s">
        <v>82</v>
      </c>
      <c r="B24" s="19" t="s">
        <v>47</v>
      </c>
      <c r="C24" s="20" t="s">
        <v>48</v>
      </c>
      <c r="D24" s="4" t="s">
        <v>83</v>
      </c>
      <c r="I24" s="5">
        <v>2022</v>
      </c>
      <c r="J24" s="11">
        <v>0.1275</v>
      </c>
      <c r="K24" s="32">
        <v>36.25</v>
      </c>
      <c r="L24" s="8">
        <v>1</v>
      </c>
      <c r="M24" s="8">
        <v>0.1</v>
      </c>
      <c r="N24" s="8">
        <v>3.5000000000000003E-2</v>
      </c>
      <c r="O24" s="27">
        <v>0</v>
      </c>
      <c r="P24" s="8">
        <v>0</v>
      </c>
      <c r="Q24" s="8">
        <v>4.5999999999999999E-2</v>
      </c>
      <c r="R24" s="23">
        <v>1826</v>
      </c>
      <c r="S24" s="9">
        <v>4</v>
      </c>
      <c r="T24" s="8">
        <v>0</v>
      </c>
      <c r="U24" s="8">
        <v>1.4999999999999999E-2</v>
      </c>
      <c r="V24" s="36">
        <v>47704</v>
      </c>
      <c r="W24" s="36">
        <f>V24+((X24-V24)/2)</f>
        <v>63802.5</v>
      </c>
      <c r="X24" s="36">
        <v>79901</v>
      </c>
      <c r="Y24" s="36">
        <f t="shared" si="129"/>
        <v>115620.22246153846</v>
      </c>
      <c r="Z24" s="36">
        <f t="shared" si="129"/>
        <v>154021.9558653846</v>
      </c>
      <c r="AA24" s="36">
        <f t="shared" si="129"/>
        <v>192423.68926923076</v>
      </c>
      <c r="AB24" s="36">
        <f t="shared" si="66"/>
        <v>61.336988043256483</v>
      </c>
      <c r="AC24" s="36">
        <f t="shared" si="66"/>
        <v>81.709260406039576</v>
      </c>
      <c r="AD24" s="36">
        <f t="shared" si="66"/>
        <v>102.08153276882268</v>
      </c>
      <c r="AE24" s="36">
        <f t="shared" si="142"/>
        <v>47711.155600000006</v>
      </c>
      <c r="AF24" s="36">
        <f t="shared" si="143"/>
        <v>63812.070375000003</v>
      </c>
      <c r="AG24" s="36">
        <f t="shared" si="144"/>
        <v>79912.985150000008</v>
      </c>
      <c r="AH24" s="36">
        <f t="shared" si="145"/>
        <v>115637.2915949077</v>
      </c>
      <c r="AI24" s="36">
        <f t="shared" si="146"/>
        <v>154044.7852587644</v>
      </c>
      <c r="AJ24" s="36">
        <f t="shared" si="147"/>
        <v>192452.27892262116</v>
      </c>
      <c r="AK24" s="36">
        <f t="shared" si="130"/>
        <v>61.346043286423182</v>
      </c>
      <c r="AL24" s="36">
        <f t="shared" si="131"/>
        <v>81.72137149006069</v>
      </c>
      <c r="AM24" s="36">
        <f t="shared" si="132"/>
        <v>102.09669969369824</v>
      </c>
      <c r="AN24" s="36">
        <f t="shared" si="148"/>
        <v>47718.311199999996</v>
      </c>
      <c r="AO24" s="36">
        <f t="shared" si="149"/>
        <v>63821.640749999999</v>
      </c>
      <c r="AP24" s="36">
        <f t="shared" si="150"/>
        <v>79924.970300000001</v>
      </c>
      <c r="AQ24" s="36">
        <f t="shared" si="151"/>
        <v>115654.36072827692</v>
      </c>
      <c r="AR24" s="36">
        <f t="shared" si="152"/>
        <v>154067.61465214423</v>
      </c>
      <c r="AS24" s="36">
        <f t="shared" si="153"/>
        <v>192480.86857601153</v>
      </c>
      <c r="AT24" s="36">
        <f t="shared" si="133"/>
        <v>61.355098529589881</v>
      </c>
      <c r="AU24" s="36">
        <f t="shared" si="134"/>
        <v>81.733482574081819</v>
      </c>
      <c r="AV24" s="36">
        <f t="shared" si="135"/>
        <v>102.11186661857376</v>
      </c>
      <c r="AW24" s="36">
        <f t="shared" si="154"/>
        <v>47725.466800000002</v>
      </c>
      <c r="AX24" s="36">
        <f t="shared" si="155"/>
        <v>63831.211125000002</v>
      </c>
      <c r="AY24" s="36">
        <f t="shared" si="156"/>
        <v>79936.955450000009</v>
      </c>
      <c r="AZ24" s="36">
        <f t="shared" si="157"/>
        <v>115671.42986164615</v>
      </c>
      <c r="BA24" s="36">
        <f t="shared" si="158"/>
        <v>154090.44404552405</v>
      </c>
      <c r="BB24" s="36">
        <f t="shared" si="159"/>
        <v>192509.45822940191</v>
      </c>
      <c r="BC24" s="36">
        <f t="shared" si="136"/>
        <v>61.36415377275658</v>
      </c>
      <c r="BD24" s="36">
        <f t="shared" si="137"/>
        <v>81.745593658102948</v>
      </c>
      <c r="BE24" s="36">
        <f t="shared" si="138"/>
        <v>102.12703354344929</v>
      </c>
      <c r="BF24" s="36">
        <f t="shared" si="160"/>
        <v>47732.6224</v>
      </c>
      <c r="BG24" s="36">
        <f t="shared" si="161"/>
        <v>63840.781499999997</v>
      </c>
      <c r="BH24" s="36">
        <f t="shared" si="162"/>
        <v>79948.940600000002</v>
      </c>
      <c r="BI24" s="36">
        <f t="shared" si="163"/>
        <v>115688.49899501537</v>
      </c>
      <c r="BJ24" s="36">
        <f t="shared" si="164"/>
        <v>154113.27343890385</v>
      </c>
      <c r="BK24" s="36">
        <f t="shared" si="165"/>
        <v>192538.04788279231</v>
      </c>
      <c r="BL24" s="36">
        <f t="shared" si="139"/>
        <v>61.37320901592328</v>
      </c>
      <c r="BM24" s="36">
        <f t="shared" si="140"/>
        <v>81.757704742124048</v>
      </c>
      <c r="BN24" s="36">
        <f t="shared" si="141"/>
        <v>102.14220046832483</v>
      </c>
    </row>
    <row r="25" spans="1:66" x14ac:dyDescent="0.2">
      <c r="A25" s="4" t="s">
        <v>82</v>
      </c>
      <c r="B25" s="19" t="s">
        <v>50</v>
      </c>
      <c r="C25" s="20" t="s">
        <v>51</v>
      </c>
      <c r="D25" s="4" t="s">
        <v>83</v>
      </c>
      <c r="I25" s="5">
        <v>2022</v>
      </c>
      <c r="J25" s="11">
        <v>0.1275</v>
      </c>
      <c r="K25" s="32">
        <v>36.25</v>
      </c>
      <c r="L25" s="8">
        <v>1</v>
      </c>
      <c r="M25" s="8">
        <v>0.1</v>
      </c>
      <c r="N25" s="8">
        <v>3.5000000000000003E-2</v>
      </c>
      <c r="O25" s="27">
        <v>0</v>
      </c>
      <c r="P25" s="8">
        <v>0</v>
      </c>
      <c r="Q25" s="8">
        <v>4.5999999999999999E-2</v>
      </c>
      <c r="R25" s="23">
        <v>1826</v>
      </c>
      <c r="S25" s="9">
        <v>4</v>
      </c>
      <c r="T25" s="8">
        <v>0</v>
      </c>
      <c r="U25" s="8">
        <v>1.4999999999999999E-2</v>
      </c>
      <c r="V25" s="36">
        <v>69031</v>
      </c>
      <c r="W25" s="36">
        <f>V25+((X25-V25)/2)</f>
        <v>104303.5</v>
      </c>
      <c r="X25" s="36">
        <v>139576</v>
      </c>
      <c r="Y25" s="36">
        <f t="shared" si="129"/>
        <v>166494.14042307693</v>
      </c>
      <c r="Z25" s="36">
        <f t="shared" si="129"/>
        <v>250633.97590384615</v>
      </c>
      <c r="AA25" s="36">
        <f t="shared" si="129"/>
        <v>334773.81138461537</v>
      </c>
      <c r="AB25" s="36">
        <f t="shared" si="66"/>
        <v>88.325803937971841</v>
      </c>
      <c r="AC25" s="36">
        <f t="shared" si="66"/>
        <v>132.96232143440113</v>
      </c>
      <c r="AD25" s="36">
        <f t="shared" si="66"/>
        <v>177.59883893083045</v>
      </c>
      <c r="AE25" s="36">
        <f t="shared" si="142"/>
        <v>69041.354650000008</v>
      </c>
      <c r="AF25" s="36">
        <f t="shared" si="143"/>
        <v>104319.14552500001</v>
      </c>
      <c r="AG25" s="36">
        <f t="shared" si="144"/>
        <v>139596.93640000001</v>
      </c>
      <c r="AH25" s="36">
        <f t="shared" si="145"/>
        <v>166518.84064414041</v>
      </c>
      <c r="AI25" s="36">
        <f t="shared" si="146"/>
        <v>250671.29710023175</v>
      </c>
      <c r="AJ25" s="36">
        <f t="shared" si="147"/>
        <v>334823.75355632312</v>
      </c>
      <c r="AK25" s="36">
        <f t="shared" si="130"/>
        <v>88.338907503522762</v>
      </c>
      <c r="AL25" s="36">
        <f t="shared" si="131"/>
        <v>132.98212047757653</v>
      </c>
      <c r="AM25" s="36">
        <f t="shared" si="132"/>
        <v>177.6253334516303</v>
      </c>
      <c r="AN25" s="36">
        <f t="shared" si="148"/>
        <v>69051.709300000002</v>
      </c>
      <c r="AO25" s="36">
        <f t="shared" si="149"/>
        <v>104334.79105</v>
      </c>
      <c r="AP25" s="36">
        <f t="shared" si="150"/>
        <v>139617.87279999998</v>
      </c>
      <c r="AQ25" s="36">
        <f t="shared" si="151"/>
        <v>166543.54086520386</v>
      </c>
      <c r="AR25" s="36">
        <f t="shared" si="152"/>
        <v>250708.61829661735</v>
      </c>
      <c r="AS25" s="36">
        <f t="shared" si="153"/>
        <v>334873.69572803075</v>
      </c>
      <c r="AT25" s="36">
        <f t="shared" si="133"/>
        <v>88.352011069073669</v>
      </c>
      <c r="AU25" s="36">
        <f t="shared" si="134"/>
        <v>133.0019195207519</v>
      </c>
      <c r="AV25" s="36">
        <f t="shared" si="135"/>
        <v>177.65182797243011</v>
      </c>
      <c r="AW25" s="36">
        <f t="shared" si="154"/>
        <v>69062.063950000011</v>
      </c>
      <c r="AX25" s="36">
        <f t="shared" si="155"/>
        <v>104350.436575</v>
      </c>
      <c r="AY25" s="36">
        <f t="shared" si="156"/>
        <v>139638.80920000002</v>
      </c>
      <c r="AZ25" s="36">
        <f t="shared" si="157"/>
        <v>166568.24108626734</v>
      </c>
      <c r="BA25" s="36">
        <f t="shared" si="158"/>
        <v>250745.93949300289</v>
      </c>
      <c r="BB25" s="36">
        <f t="shared" si="159"/>
        <v>334923.6378997385</v>
      </c>
      <c r="BC25" s="36">
        <f t="shared" si="136"/>
        <v>88.365114634624575</v>
      </c>
      <c r="BD25" s="36">
        <f t="shared" si="137"/>
        <v>133.02171856392727</v>
      </c>
      <c r="BE25" s="36">
        <f t="shared" si="138"/>
        <v>177.67832249322996</v>
      </c>
      <c r="BF25" s="36">
        <f t="shared" si="160"/>
        <v>69072.41859999999</v>
      </c>
      <c r="BG25" s="36">
        <f t="shared" si="161"/>
        <v>104366.0821</v>
      </c>
      <c r="BH25" s="36">
        <f t="shared" si="162"/>
        <v>139659.74559999999</v>
      </c>
      <c r="BI25" s="36">
        <f t="shared" si="163"/>
        <v>166592.94130733074</v>
      </c>
      <c r="BJ25" s="36">
        <f t="shared" si="164"/>
        <v>250783.26068938847</v>
      </c>
      <c r="BK25" s="36">
        <f t="shared" si="165"/>
        <v>334973.58007144614</v>
      </c>
      <c r="BL25" s="36">
        <f t="shared" si="139"/>
        <v>88.378218200175453</v>
      </c>
      <c r="BM25" s="36">
        <f t="shared" si="140"/>
        <v>133.04151760710263</v>
      </c>
      <c r="BN25" s="36">
        <f t="shared" si="141"/>
        <v>177.7048170140298</v>
      </c>
    </row>
    <row r="26" spans="1:66" x14ac:dyDescent="0.2">
      <c r="A26" s="4" t="s">
        <v>82</v>
      </c>
      <c r="B26" s="19" t="s">
        <v>55</v>
      </c>
      <c r="C26" s="20" t="s">
        <v>56</v>
      </c>
      <c r="D26" s="4" t="s">
        <v>85</v>
      </c>
      <c r="E26" s="21" t="s">
        <v>86</v>
      </c>
      <c r="H26" s="5" t="s">
        <v>87</v>
      </c>
      <c r="I26" s="5">
        <v>2022</v>
      </c>
      <c r="J26" s="11">
        <v>0.1275</v>
      </c>
      <c r="K26" s="32">
        <v>38</v>
      </c>
      <c r="L26" s="8">
        <v>1</v>
      </c>
      <c r="M26" s="8">
        <v>0</v>
      </c>
      <c r="N26" s="8">
        <v>3.5000000000000003E-2</v>
      </c>
      <c r="O26" s="27">
        <v>0</v>
      </c>
      <c r="P26" s="8">
        <v>0.5</v>
      </c>
      <c r="Q26" s="8">
        <v>4.5999999999999999E-2</v>
      </c>
      <c r="R26" s="23">
        <v>21500</v>
      </c>
      <c r="S26" s="9">
        <v>4</v>
      </c>
      <c r="T26" s="8">
        <v>0</v>
      </c>
      <c r="U26" s="8">
        <v>1.4999999999999999E-2</v>
      </c>
      <c r="V26" s="36">
        <v>189406</v>
      </c>
      <c r="W26" s="36">
        <f>V26+((X26-V26)/2)</f>
        <v>225748</v>
      </c>
      <c r="X26" s="36">
        <v>262090</v>
      </c>
      <c r="Y26" s="36">
        <f t="shared" si="129"/>
        <v>549075.84330769232</v>
      </c>
      <c r="Z26" s="36">
        <f t="shared" si="129"/>
        <v>650303.68876923074</v>
      </c>
      <c r="AA26" s="36">
        <f t="shared" si="129"/>
        <v>751531.53423076915</v>
      </c>
      <c r="AB26" s="36">
        <f t="shared" si="66"/>
        <v>277.87239033790098</v>
      </c>
      <c r="AC26" s="36">
        <f t="shared" si="66"/>
        <v>329.10105706944876</v>
      </c>
      <c r="AD26" s="36">
        <f t="shared" si="66"/>
        <v>380.32972380099653</v>
      </c>
      <c r="AE26" s="36">
        <f t="shared" si="142"/>
        <v>189434.41090000002</v>
      </c>
      <c r="AF26" s="36">
        <f t="shared" si="143"/>
        <v>225781.86220000003</v>
      </c>
      <c r="AG26" s="36">
        <f t="shared" si="144"/>
        <v>262129.31350000002</v>
      </c>
      <c r="AH26" s="36">
        <f t="shared" si="145"/>
        <v>549154.9796841885</v>
      </c>
      <c r="AI26" s="36">
        <f t="shared" si="146"/>
        <v>650398.00932254619</v>
      </c>
      <c r="AJ26" s="36">
        <f t="shared" si="147"/>
        <v>751641.03896090388</v>
      </c>
      <c r="AK26" s="36">
        <f t="shared" si="130"/>
        <v>277.91243911143147</v>
      </c>
      <c r="AL26" s="36">
        <f t="shared" si="131"/>
        <v>329.14879014298896</v>
      </c>
      <c r="AM26" s="36">
        <f t="shared" si="132"/>
        <v>380.3851411745465</v>
      </c>
      <c r="AN26" s="36">
        <f t="shared" si="148"/>
        <v>189462.82180000001</v>
      </c>
      <c r="AO26" s="36">
        <f t="shared" si="149"/>
        <v>225815.72440000001</v>
      </c>
      <c r="AP26" s="36">
        <f t="shared" si="150"/>
        <v>262168.62699999998</v>
      </c>
      <c r="AQ26" s="36">
        <f t="shared" si="151"/>
        <v>549234.11606068455</v>
      </c>
      <c r="AR26" s="36">
        <f t="shared" si="152"/>
        <v>650492.32987586153</v>
      </c>
      <c r="AS26" s="36">
        <f t="shared" si="153"/>
        <v>751750.54369103839</v>
      </c>
      <c r="AT26" s="36">
        <f t="shared" si="133"/>
        <v>277.95248788496178</v>
      </c>
      <c r="AU26" s="36">
        <f t="shared" si="134"/>
        <v>329.1965232165291</v>
      </c>
      <c r="AV26" s="36">
        <f t="shared" si="135"/>
        <v>380.44055854809636</v>
      </c>
      <c r="AW26" s="36">
        <f t="shared" si="154"/>
        <v>189491.23270000002</v>
      </c>
      <c r="AX26" s="36">
        <f t="shared" si="155"/>
        <v>225849.58660000001</v>
      </c>
      <c r="AY26" s="36">
        <f t="shared" si="156"/>
        <v>262207.94050000003</v>
      </c>
      <c r="AZ26" s="36">
        <f t="shared" si="157"/>
        <v>549313.25243718084</v>
      </c>
      <c r="BA26" s="36">
        <f t="shared" si="158"/>
        <v>650586.65042917687</v>
      </c>
      <c r="BB26" s="36">
        <f t="shared" si="159"/>
        <v>751860.04842117312</v>
      </c>
      <c r="BC26" s="36">
        <f t="shared" si="136"/>
        <v>277.99253665849233</v>
      </c>
      <c r="BD26" s="36">
        <f t="shared" si="137"/>
        <v>329.24425629006925</v>
      </c>
      <c r="BE26" s="36">
        <f t="shared" si="138"/>
        <v>380.49597592164633</v>
      </c>
      <c r="BF26" s="36">
        <f t="shared" si="160"/>
        <v>189519.64359999998</v>
      </c>
      <c r="BG26" s="36">
        <f t="shared" si="161"/>
        <v>225883.44879999998</v>
      </c>
      <c r="BH26" s="36">
        <f t="shared" si="162"/>
        <v>262247.25399999996</v>
      </c>
      <c r="BI26" s="36">
        <f t="shared" si="163"/>
        <v>549392.38881367689</v>
      </c>
      <c r="BJ26" s="36">
        <f t="shared" si="164"/>
        <v>650680.9709824922</v>
      </c>
      <c r="BK26" s="36">
        <f t="shared" si="165"/>
        <v>751969.55315130751</v>
      </c>
      <c r="BL26" s="36">
        <f t="shared" si="139"/>
        <v>278.03258543202276</v>
      </c>
      <c r="BM26" s="36">
        <f t="shared" si="140"/>
        <v>329.29198936360945</v>
      </c>
      <c r="BN26" s="36">
        <f t="shared" si="141"/>
        <v>380.55139329519608</v>
      </c>
    </row>
    <row r="27" spans="1:66" x14ac:dyDescent="0.2">
      <c r="R27" s="23"/>
      <c r="U27" s="8"/>
      <c r="V27" s="36"/>
      <c r="W27" s="36"/>
      <c r="X27" s="36"/>
      <c r="Y27" s="36"/>
      <c r="Z27" s="36"/>
      <c r="AA27" s="36"/>
      <c r="AB27" s="36"/>
      <c r="AC27" s="36"/>
      <c r="AD27" s="36"/>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row>
    <row r="28" spans="1:66" x14ac:dyDescent="0.2">
      <c r="A28" s="4" t="s">
        <v>88</v>
      </c>
      <c r="B28" s="19" t="s">
        <v>33</v>
      </c>
      <c r="C28" s="20" t="s">
        <v>34</v>
      </c>
      <c r="D28" s="4" t="s">
        <v>89</v>
      </c>
      <c r="E28" s="21" t="s">
        <v>90</v>
      </c>
      <c r="I28" s="5">
        <v>2022</v>
      </c>
      <c r="J28" s="11">
        <v>0.105</v>
      </c>
      <c r="K28" s="32">
        <v>38</v>
      </c>
      <c r="L28" s="8">
        <v>1</v>
      </c>
      <c r="M28" s="8">
        <v>0.1</v>
      </c>
      <c r="N28" s="8">
        <v>3.5000000000000003E-2</v>
      </c>
      <c r="O28" s="27">
        <v>0</v>
      </c>
      <c r="P28" s="8">
        <v>0</v>
      </c>
      <c r="Q28" s="8">
        <v>4.5999999999999999E-2</v>
      </c>
      <c r="R28" s="23">
        <v>0</v>
      </c>
      <c r="S28" s="9">
        <v>4</v>
      </c>
      <c r="T28" s="8">
        <v>0.2</v>
      </c>
      <c r="U28" s="8">
        <v>1.4999999999999999E-2</v>
      </c>
      <c r="V28" s="36">
        <v>57579</v>
      </c>
      <c r="W28" s="36">
        <f>V28+((X28-V28)/2)</f>
        <v>71368</v>
      </c>
      <c r="X28" s="36">
        <v>85157</v>
      </c>
      <c r="Y28" s="36">
        <f t="shared" ref="Y28:AA32" si="166">(V28+(V28*$J28)+(V28*$M28)+(V28*$N28)+(V28*$O28)+(V28*$P28)+(V28*$Q28)+($R28)+(V28*((52+$S28)/52))*(1+$T28))*1/$L28</f>
        <v>148456.3786153846</v>
      </c>
      <c r="Z28" s="36">
        <f t="shared" si="166"/>
        <v>184008.66338461539</v>
      </c>
      <c r="AA28" s="36">
        <f t="shared" si="166"/>
        <v>219560.94815384614</v>
      </c>
      <c r="AB28" s="36">
        <f t="shared" ref="AB28:AD32" si="167">Y28/52/$K28</f>
        <v>75.129746262846453</v>
      </c>
      <c r="AC28" s="36">
        <f t="shared" si="167"/>
        <v>93.121793210837751</v>
      </c>
      <c r="AD28" s="36">
        <f t="shared" si="167"/>
        <v>111.11384015882902</v>
      </c>
      <c r="AE28" s="36">
        <f>($V28*(1+(($U28/100)*1)))</f>
        <v>57587.636850000003</v>
      </c>
      <c r="AF28" s="36">
        <f>($W28*(1+(($U28/100)*1)))</f>
        <v>71378.705200000011</v>
      </c>
      <c r="AG28" s="36">
        <f>($X28*(1+(($U28/100)*1)))</f>
        <v>85169.773550000013</v>
      </c>
      <c r="AH28" s="36">
        <f>(AE28+(AE28*$J28)+(AE28*$M28)+(AE28*$N28)+(AE28*$O28)+(AE28*$P28)+(AE28*$Q28)+($R28)+(AE28*((52+$S28)/52))*(1+$T28))*1/$L28</f>
        <v>148478.64707217691</v>
      </c>
      <c r="AI28" s="36">
        <f>(AF28+(AF28*$J28)+(AF28*$M28)+(AF28*$N28)+(AF28*$O28)+(AF28*$P28)+(AF28*$Q28)+($R28)+(AF28*((52+$S28)/52))*(1+$T28))*1/$L28</f>
        <v>184036.2646841231</v>
      </c>
      <c r="AJ28" s="36">
        <f>(AG28+(AG28*$J28)+(AG28*$M28)+(AG28*$N28)+(AG28*$O28)+(AG28*$P28)+(AG28*$Q28)+($R28)+(AG28*((52+$S28)/52))*(1+$T28))*1/$L28</f>
        <v>219593.88229606926</v>
      </c>
      <c r="AK28" s="36">
        <f t="shared" ref="AK28:AK32" si="168">AH28/52/$K28</f>
        <v>75.141015724785888</v>
      </c>
      <c r="AL28" s="36">
        <f t="shared" ref="AL28:AL32" si="169">AI28/52/$K28</f>
        <v>93.135761479819379</v>
      </c>
      <c r="AM28" s="36">
        <f t="shared" ref="AM28:AM32" si="170">AJ28/52/$K28</f>
        <v>111.13050723485287</v>
      </c>
      <c r="AN28" s="36">
        <f>($V28*(1+(($U28/100)*2)))</f>
        <v>57596.273699999998</v>
      </c>
      <c r="AO28" s="36">
        <f>($W28*(1+(($U28/100)*2)))</f>
        <v>71389.410399999993</v>
      </c>
      <c r="AP28" s="36">
        <f>($X28*(1+(($U28/100)*2)))</f>
        <v>85182.547099999996</v>
      </c>
      <c r="AQ28" s="36">
        <f>(AN28+(AN28*$J28)+(AN28*$M28)+(AN28*$N28)+(AN28*$O28)+(AN28*$P28)+(AN28*$Q28)+($R28)+(AN28*((52+$S28)/52))*(1+$T28))*1/$L28</f>
        <v>148500.9155289692</v>
      </c>
      <c r="AR28" s="36">
        <f>(AO28+(AO28*$J28)+(AO28*$M28)+(AO28*$N28)+(AO28*$O28)+(AO28*$P28)+(AO28*$Q28)+($R28)+(AO28*((52+$S28)/52))*(1+$T28))*1/$L28</f>
        <v>184063.86598363076</v>
      </c>
      <c r="AS28" s="36">
        <f>(AP28+(AP28*$J28)+(AP28*$M28)+(AP28*$N28)+(AP28*$O28)+(AP28*$P28)+(AP28*$Q28)+($R28)+(AP28*((52+$S28)/52))*(1+$T28))*1/$L28</f>
        <v>219626.8164382923</v>
      </c>
      <c r="AT28" s="36">
        <f t="shared" ref="AT28:AT32" si="171">AQ28/52/$K28</f>
        <v>75.152285186725308</v>
      </c>
      <c r="AU28" s="36">
        <f t="shared" ref="AU28:AU32" si="172">AR28/52/$K28</f>
        <v>93.149729748800993</v>
      </c>
      <c r="AV28" s="36">
        <f t="shared" ref="AV28:AV32" si="173">AS28/52/$K28</f>
        <v>111.14717431087666</v>
      </c>
      <c r="AW28" s="36">
        <f>($V28*(1+(($U28/100)*3)))</f>
        <v>57604.910550000001</v>
      </c>
      <c r="AX28" s="36">
        <f>($W28*(1+(($U28/100)*3)))</f>
        <v>71400.115600000005</v>
      </c>
      <c r="AY28" s="36">
        <f>($X28*(1+(($U28/100)*3)))</f>
        <v>85195.320650000009</v>
      </c>
      <c r="AZ28" s="36">
        <f>(AW28+(AW28*$J28)+(AW28*$M28)+(AW28*$N28)+(AW28*$O28)+(AW28*$P28)+(AW28*$Q28)+($R28)+(AW28*((52+$S28)/52))*(1+$T28))*1/$L28</f>
        <v>148523.18398576154</v>
      </c>
      <c r="BA28" s="36">
        <f>(AX28+(AX28*$J28)+(AX28*$M28)+(AX28*$N28)+(AX28*$O28)+(AX28*$P28)+(AX28*$Q28)+($R28)+(AX28*((52+$S28)/52))*(1+$T28))*1/$L28</f>
        <v>184091.46728313848</v>
      </c>
      <c r="BB28" s="36">
        <f>(AY28+(AY28*$J28)+(AY28*$M28)+(AY28*$N28)+(AY28*$O28)+(AY28*$P28)+(AY28*$Q28)+($R28)+(AY28*((52+$S28)/52))*(1+$T28))*1/$L28</f>
        <v>219659.75058051539</v>
      </c>
      <c r="BC28" s="36">
        <f t="shared" ref="BC28:BC32" si="174">AZ28/52/$K28</f>
        <v>75.163554648664743</v>
      </c>
      <c r="BD28" s="36">
        <f t="shared" ref="BD28:BD32" si="175">BA28/52/$K28</f>
        <v>93.163698017782622</v>
      </c>
      <c r="BE28" s="36">
        <f t="shared" ref="BE28:BE32" si="176">BB28/52/$K28</f>
        <v>111.1638413869005</v>
      </c>
      <c r="BF28" s="36">
        <f>($V28*(1+(($U28/100)*4)))</f>
        <v>57613.547399999996</v>
      </c>
      <c r="BG28" s="36">
        <f>($W28*(1+(($U28/100)*4)))</f>
        <v>71410.820800000001</v>
      </c>
      <c r="BH28" s="36">
        <f>($X28*(1+(($U28/100)*4)))</f>
        <v>85208.094199999992</v>
      </c>
      <c r="BI28" s="36">
        <f>(BF28+(BF28*$J28)+(BF28*$M28)+(BF28*$N28)+(BF28*$O28)+(BF28*$P28)+(BF28*$Q28)+($R28)+(BF28*((52+$S28)/52))*(1+$T28))*1/$L28</f>
        <v>148545.45244255383</v>
      </c>
      <c r="BJ28" s="36">
        <f>(BG28+(BG28*$J28)+(BG28*$M28)+(BG28*$N28)+(BG28*$O28)+(BG28*$P28)+(BG28*$Q28)+($R28)+(BG28*((52+$S28)/52))*(1+$T28))*1/$L28</f>
        <v>184119.06858264614</v>
      </c>
      <c r="BK28" s="36">
        <f>(BH28+(BH28*$J28)+(BH28*$M28)+(BH28*$N28)+(BH28*$O28)+(BH28*$P28)+(BH28*$Q28)+($R28)+(BH28*((52+$S28)/52))*(1+$T28))*1/$L28</f>
        <v>219692.68472273846</v>
      </c>
      <c r="BL28" s="36">
        <f t="shared" ref="BL28:BL32" si="177">BI28/52/$K28</f>
        <v>75.174824110604163</v>
      </c>
      <c r="BM28" s="36">
        <f t="shared" ref="BM28:BM32" si="178">BJ28/52/$K28</f>
        <v>93.177666286764236</v>
      </c>
      <c r="BN28" s="36">
        <f t="shared" ref="BN28:BN32" si="179">BK28/52/$K28</f>
        <v>111.18050846292432</v>
      </c>
    </row>
    <row r="29" spans="1:66" x14ac:dyDescent="0.2">
      <c r="A29" s="4" t="s">
        <v>88</v>
      </c>
      <c r="B29" s="19" t="s">
        <v>40</v>
      </c>
      <c r="C29" s="20" t="s">
        <v>41</v>
      </c>
      <c r="D29" s="4" t="s">
        <v>89</v>
      </c>
      <c r="E29" s="21" t="s">
        <v>91</v>
      </c>
      <c r="I29" s="5">
        <v>2022</v>
      </c>
      <c r="J29" s="11">
        <v>0.105</v>
      </c>
      <c r="K29" s="32">
        <v>38</v>
      </c>
      <c r="L29" s="8">
        <v>1</v>
      </c>
      <c r="M29" s="8">
        <v>0.1</v>
      </c>
      <c r="N29" s="8">
        <v>3.5000000000000003E-2</v>
      </c>
      <c r="O29" s="27">
        <v>0</v>
      </c>
      <c r="P29" s="8">
        <v>0</v>
      </c>
      <c r="Q29" s="8">
        <v>4.5999999999999999E-2</v>
      </c>
      <c r="R29" s="23">
        <v>0</v>
      </c>
      <c r="S29" s="9">
        <v>4</v>
      </c>
      <c r="T29" s="8">
        <v>0.2</v>
      </c>
      <c r="U29" s="8">
        <v>1.4999999999999999E-2</v>
      </c>
      <c r="V29" s="36">
        <v>77833</v>
      </c>
      <c r="W29" s="36">
        <f>V29+((X29-V29)/2)</f>
        <v>109041</v>
      </c>
      <c r="X29" s="36">
        <v>140249</v>
      </c>
      <c r="Y29" s="36">
        <f t="shared" si="166"/>
        <v>200677.42261538462</v>
      </c>
      <c r="Z29" s="36">
        <f t="shared" si="166"/>
        <v>281141.24907692306</v>
      </c>
      <c r="AA29" s="36">
        <f t="shared" si="166"/>
        <v>361605.07553846145</v>
      </c>
      <c r="AB29" s="36">
        <f t="shared" si="167"/>
        <v>101.55740010900031</v>
      </c>
      <c r="AC29" s="36">
        <f t="shared" si="167"/>
        <v>142.27796005917159</v>
      </c>
      <c r="AD29" s="36">
        <f t="shared" si="167"/>
        <v>182.99852000934283</v>
      </c>
      <c r="AE29" s="36">
        <f t="shared" ref="AE29:AE32" si="180">($V29*(1+(($U29/100)*1)))</f>
        <v>77844.674950000001</v>
      </c>
      <c r="AF29" s="36">
        <f t="shared" ref="AF29:AF32" si="181">($W29*(1+(($U29/100)*1)))</f>
        <v>109057.35615000001</v>
      </c>
      <c r="AG29" s="36">
        <f t="shared" ref="AG29:AG32" si="182">($X29*(1+(($U29/100)*1)))</f>
        <v>140270.03735000003</v>
      </c>
      <c r="AH29" s="36">
        <f t="shared" ref="AH29:AH32" si="183">(AE29+(AE29*$J29)+(AE29*$M29)+(AE29*$N29)+(AE29*$O29)+(AE29*$P29)+(AE29*$Q29)+($R29)+(AE29*((52+$S29)/52))*(1+$T29))*1/$L29</f>
        <v>200707.52422877692</v>
      </c>
      <c r="AI29" s="36">
        <f t="shared" ref="AI29:AI32" si="184">(AF29+(AF29*$J29)+(AF29*$M29)+(AF29*$N29)+(AF29*$O29)+(AF29*$P29)+(AF29*$Q29)+($R29)+(AF29*((52+$S29)/52))*(1+$T29))*1/$L29</f>
        <v>281183.42026428465</v>
      </c>
      <c r="AJ29" s="36">
        <f t="shared" ref="AJ29:AJ32" si="185">(AG29+(AG29*$J29)+(AG29*$M29)+(AG29*$N29)+(AG29*$O29)+(AG29*$P29)+(AG29*$Q29)+($R29)+(AG29*((52+$S29)/52))*(1+$T29))*1/$L29</f>
        <v>361659.31629979238</v>
      </c>
      <c r="AK29" s="36">
        <f t="shared" si="168"/>
        <v>101.57263371901666</v>
      </c>
      <c r="AL29" s="36">
        <f t="shared" si="169"/>
        <v>142.29930175318049</v>
      </c>
      <c r="AM29" s="36">
        <f t="shared" si="170"/>
        <v>183.02596978734431</v>
      </c>
      <c r="AN29" s="36">
        <f t="shared" ref="AN29:AN32" si="186">($V29*(1+(($U29/100)*2)))</f>
        <v>77856.349900000001</v>
      </c>
      <c r="AO29" s="36">
        <f t="shared" ref="AO29:AO32" si="187">($W29*(1+(($U29/100)*2)))</f>
        <v>109073.7123</v>
      </c>
      <c r="AP29" s="36">
        <f t="shared" ref="AP29:AP32" si="188">($X29*(1+(($U29/100)*2)))</f>
        <v>140291.0747</v>
      </c>
      <c r="AQ29" s="36">
        <f t="shared" ref="AQ29:AQ32" si="189">(AN29+(AN29*$J29)+(AN29*$M29)+(AN29*$N29)+(AN29*$O29)+(AN29*$P29)+(AN29*$Q29)+($R29)+(AN29*((52+$S29)/52))*(1+$T29))*1/$L29</f>
        <v>200737.62584216922</v>
      </c>
      <c r="AR29" s="36">
        <f t="shared" ref="AR29:AR32" si="190">(AO29+(AO29*$J29)+(AO29*$M29)+(AO29*$N29)+(AO29*$O29)+(AO29*$P29)+(AO29*$Q29)+($R29)+(AO29*((52+$S29)/52))*(1+$T29))*1/$L29</f>
        <v>281225.59145164618</v>
      </c>
      <c r="AS29" s="36">
        <f t="shared" ref="AS29:AS32" si="191">(AP29+(AP29*$J29)+(AP29*$M29)+(AP29*$N29)+(AP29*$O29)+(AP29*$P29)+(AP29*$Q29)+($R29)+(AP29*((52+$S29)/52))*(1+$T29))*1/$L29</f>
        <v>361713.55706112308</v>
      </c>
      <c r="AT29" s="36">
        <f t="shared" si="171"/>
        <v>101.587867329033</v>
      </c>
      <c r="AU29" s="36">
        <f t="shared" si="172"/>
        <v>142.32064344718938</v>
      </c>
      <c r="AV29" s="36">
        <f t="shared" si="173"/>
        <v>183.05341956534568</v>
      </c>
      <c r="AW29" s="36">
        <f t="shared" ref="AW29:AW32" si="192">($V29*(1+(($U29/100)*3)))</f>
        <v>77868.024850000002</v>
      </c>
      <c r="AX29" s="36">
        <f t="shared" ref="AX29:AX32" si="193">($W29*(1+(($U29/100)*3)))</f>
        <v>109090.06845000001</v>
      </c>
      <c r="AY29" s="36">
        <f t="shared" ref="AY29:AY32" si="194">($X29*(1+(($U29/100)*3)))</f>
        <v>140312.11205</v>
      </c>
      <c r="AZ29" s="36">
        <f t="shared" ref="AZ29:AZ32" si="195">(AW29+(AW29*$J29)+(AW29*$M29)+(AW29*$N29)+(AW29*$O29)+(AW29*$P29)+(AW29*$Q29)+($R29)+(AW29*((52+$S29)/52))*(1+$T29))*1/$L29</f>
        <v>200767.72745556154</v>
      </c>
      <c r="BA29" s="36">
        <f t="shared" ref="BA29:BA32" si="196">(AX29+(AX29*$J29)+(AX29*$M29)+(AX29*$N29)+(AX29*$O29)+(AX29*$P29)+(AX29*$Q29)+($R29)+(AX29*((52+$S29)/52))*(1+$T29))*1/$L29</f>
        <v>281267.76263900771</v>
      </c>
      <c r="BB29" s="36">
        <f t="shared" ref="BB29:BB32" si="197">(AY29+(AY29*$J29)+(AY29*$M29)+(AY29*$N29)+(AY29*$O29)+(AY29*$P29)+(AY29*$Q29)+($R29)+(AY29*((52+$S29)/52))*(1+$T29))*1/$L29</f>
        <v>361767.7978224539</v>
      </c>
      <c r="BC29" s="36">
        <f t="shared" si="174"/>
        <v>101.60310093904936</v>
      </c>
      <c r="BD29" s="36">
        <f t="shared" si="175"/>
        <v>142.34198514119825</v>
      </c>
      <c r="BE29" s="36">
        <f t="shared" si="176"/>
        <v>183.0808693433471</v>
      </c>
      <c r="BF29" s="36">
        <f t="shared" ref="BF29:BF32" si="198">($V29*(1+(($U29/100)*4)))</f>
        <v>77879.699799999988</v>
      </c>
      <c r="BG29" s="36">
        <f t="shared" ref="BG29:BG32" si="199">($W29*(1+(($U29/100)*4)))</f>
        <v>109106.4246</v>
      </c>
      <c r="BH29" s="36">
        <f t="shared" ref="BH29:BH32" si="200">($X29*(1+(($U29/100)*4)))</f>
        <v>140333.14939999999</v>
      </c>
      <c r="BI29" s="36">
        <f t="shared" ref="BI29:BI32" si="201">(BF29+(BF29*$J29)+(BF29*$M29)+(BF29*$N29)+(BF29*$O29)+(BF29*$P29)+(BF29*$Q29)+($R29)+(BF29*((52+$S29)/52))*(1+$T29))*1/$L29</f>
        <v>200797.82906895381</v>
      </c>
      <c r="BJ29" s="36">
        <f t="shared" ref="BJ29:BJ32" si="202">(BG29+(BG29*$J29)+(BG29*$M29)+(BG29*$N29)+(BG29*$O29)+(BG29*$P29)+(BG29*$Q29)+($R29)+(BG29*((52+$S29)/52))*(1+$T29))*1/$L29</f>
        <v>281309.93382636923</v>
      </c>
      <c r="BK29" s="36">
        <f t="shared" ref="BK29:BK32" si="203">(BH29+(BH29*$J29)+(BH29*$M29)+(BH29*$N29)+(BH29*$O29)+(BH29*$P29)+(BH29*$Q29)+($R29)+(BH29*((52+$S29)/52))*(1+$T29))*1/$L29</f>
        <v>361822.0385837846</v>
      </c>
      <c r="BL29" s="36">
        <f t="shared" si="177"/>
        <v>101.61833454906569</v>
      </c>
      <c r="BM29" s="36">
        <f t="shared" si="178"/>
        <v>142.36332683520709</v>
      </c>
      <c r="BN29" s="36">
        <f t="shared" si="179"/>
        <v>183.10831912134847</v>
      </c>
    </row>
    <row r="30" spans="1:66" x14ac:dyDescent="0.2">
      <c r="A30" s="4" t="s">
        <v>88</v>
      </c>
      <c r="B30" s="19" t="s">
        <v>47</v>
      </c>
      <c r="C30" s="20" t="s">
        <v>48</v>
      </c>
      <c r="D30" s="4" t="s">
        <v>89</v>
      </c>
      <c r="E30" s="21" t="s">
        <v>92</v>
      </c>
      <c r="I30" s="5">
        <v>2022</v>
      </c>
      <c r="J30" s="11">
        <v>0.105</v>
      </c>
      <c r="K30" s="32">
        <v>38</v>
      </c>
      <c r="L30" s="8">
        <v>1</v>
      </c>
      <c r="M30" s="8">
        <v>0.1</v>
      </c>
      <c r="N30" s="8">
        <v>3.5000000000000003E-2</v>
      </c>
      <c r="O30" s="27">
        <v>0</v>
      </c>
      <c r="P30" s="8">
        <v>0</v>
      </c>
      <c r="Q30" s="8">
        <v>4.5999999999999999E-2</v>
      </c>
      <c r="R30" s="23">
        <v>0</v>
      </c>
      <c r="S30" s="9">
        <v>4</v>
      </c>
      <c r="T30" s="8">
        <v>0.2</v>
      </c>
      <c r="U30" s="8">
        <v>1.4999999999999999E-2</v>
      </c>
      <c r="V30" s="36">
        <v>57579</v>
      </c>
      <c r="W30" s="36">
        <f>V30+((X30-V30)/2)</f>
        <v>63314</v>
      </c>
      <c r="X30" s="36">
        <v>69049</v>
      </c>
      <c r="Y30" s="36">
        <f>(V30+(V30*$J30)+(V30*$M30)+(V30*$N30)+(V30*$O30)+(V30*$P30)+(V30*$Q30)+($R30)+(V30*((52+$S30)/52))*(1+$T30))*1/$L30</f>
        <v>148456.3786153846</v>
      </c>
      <c r="Z30" s="36">
        <f t="shared" si="166"/>
        <v>163242.97323076922</v>
      </c>
      <c r="AA30" s="36">
        <f>(X30+(X30*$J30)+(X30*$M30)+(X30*$N30)+(X30*$O30)+(X30*$P30)+(X30*$Q30)+($R30)+(X30*((52+$S30)/52))*(1+$T30))*1/$L30</f>
        <v>178029.56784615383</v>
      </c>
      <c r="AB30" s="36">
        <f t="shared" si="167"/>
        <v>75.129746262846453</v>
      </c>
      <c r="AC30" s="36">
        <f t="shared" si="167"/>
        <v>82.612840703830571</v>
      </c>
      <c r="AD30" s="36">
        <f t="shared" si="167"/>
        <v>90.095935144814689</v>
      </c>
      <c r="AE30" s="36">
        <f t="shared" si="180"/>
        <v>57587.636850000003</v>
      </c>
      <c r="AF30" s="36">
        <f t="shared" si="181"/>
        <v>63323.497100000008</v>
      </c>
      <c r="AG30" s="36">
        <f t="shared" si="182"/>
        <v>69059.357350000006</v>
      </c>
      <c r="AH30" s="36">
        <f t="shared" si="183"/>
        <v>148478.64707217691</v>
      </c>
      <c r="AI30" s="36">
        <f t="shared" si="184"/>
        <v>163267.45967675385</v>
      </c>
      <c r="AJ30" s="36">
        <f t="shared" si="185"/>
        <v>178056.27228133078</v>
      </c>
      <c r="AK30" s="36">
        <f t="shared" si="168"/>
        <v>75.141015724785888</v>
      </c>
      <c r="AL30" s="36">
        <f t="shared" si="169"/>
        <v>82.625232629936164</v>
      </c>
      <c r="AM30" s="36">
        <f t="shared" si="170"/>
        <v>90.109449535086426</v>
      </c>
      <c r="AN30" s="36">
        <f t="shared" si="186"/>
        <v>57596.273699999998</v>
      </c>
      <c r="AO30" s="36">
        <f t="shared" si="187"/>
        <v>63332.994200000001</v>
      </c>
      <c r="AP30" s="36">
        <f t="shared" si="188"/>
        <v>69069.714699999997</v>
      </c>
      <c r="AQ30" s="36">
        <f t="shared" si="189"/>
        <v>148500.9155289692</v>
      </c>
      <c r="AR30" s="36">
        <f t="shared" si="190"/>
        <v>163291.94612273847</v>
      </c>
      <c r="AS30" s="36">
        <f t="shared" si="191"/>
        <v>178082.97671650769</v>
      </c>
      <c r="AT30" s="36">
        <f t="shared" si="171"/>
        <v>75.152285186725308</v>
      </c>
      <c r="AU30" s="36">
        <f t="shared" si="172"/>
        <v>82.637624556041729</v>
      </c>
      <c r="AV30" s="36">
        <f t="shared" si="173"/>
        <v>90.12296392535815</v>
      </c>
      <c r="AW30" s="36">
        <f t="shared" si="192"/>
        <v>57604.910550000001</v>
      </c>
      <c r="AX30" s="36">
        <f t="shared" si="193"/>
        <v>63342.491300000002</v>
      </c>
      <c r="AY30" s="36">
        <f t="shared" si="194"/>
        <v>69080.072050000002</v>
      </c>
      <c r="AZ30" s="36">
        <f t="shared" si="195"/>
        <v>148523.18398576154</v>
      </c>
      <c r="BA30" s="36">
        <f t="shared" si="196"/>
        <v>163316.43256872307</v>
      </c>
      <c r="BB30" s="36">
        <f t="shared" si="197"/>
        <v>178109.68115168461</v>
      </c>
      <c r="BC30" s="36">
        <f t="shared" si="174"/>
        <v>75.163554648664743</v>
      </c>
      <c r="BD30" s="36">
        <f t="shared" si="175"/>
        <v>82.650016482147308</v>
      </c>
      <c r="BE30" s="36">
        <f t="shared" si="176"/>
        <v>90.136478315629859</v>
      </c>
      <c r="BF30" s="36">
        <f t="shared" si="198"/>
        <v>57613.547399999996</v>
      </c>
      <c r="BG30" s="36">
        <f t="shared" si="199"/>
        <v>63351.988399999995</v>
      </c>
      <c r="BH30" s="36">
        <f t="shared" si="200"/>
        <v>69090.429399999994</v>
      </c>
      <c r="BI30" s="36">
        <f t="shared" si="201"/>
        <v>148545.45244255383</v>
      </c>
      <c r="BJ30" s="36">
        <f t="shared" si="202"/>
        <v>163340.91901470767</v>
      </c>
      <c r="BK30" s="36">
        <f t="shared" si="203"/>
        <v>178136.38558686152</v>
      </c>
      <c r="BL30" s="36">
        <f t="shared" si="177"/>
        <v>75.174824110604163</v>
      </c>
      <c r="BM30" s="36">
        <f t="shared" si="178"/>
        <v>82.662408408252873</v>
      </c>
      <c r="BN30" s="36">
        <f t="shared" si="179"/>
        <v>90.149992705901582</v>
      </c>
    </row>
    <row r="31" spans="1:66" x14ac:dyDescent="0.2">
      <c r="A31" s="4" t="s">
        <v>88</v>
      </c>
      <c r="B31" s="19" t="s">
        <v>50</v>
      </c>
      <c r="C31" s="20" t="s">
        <v>51</v>
      </c>
      <c r="D31" s="4" t="s">
        <v>89</v>
      </c>
      <c r="E31" s="21" t="s">
        <v>93</v>
      </c>
      <c r="I31" s="5">
        <v>2022</v>
      </c>
      <c r="J31" s="11">
        <v>0.105</v>
      </c>
      <c r="K31" s="32">
        <v>38</v>
      </c>
      <c r="L31" s="8">
        <v>1</v>
      </c>
      <c r="M31" s="8">
        <v>0.1</v>
      </c>
      <c r="N31" s="8">
        <v>3.5000000000000003E-2</v>
      </c>
      <c r="O31" s="27">
        <v>0</v>
      </c>
      <c r="P31" s="8">
        <v>0</v>
      </c>
      <c r="Q31" s="8">
        <v>4.5999999999999999E-2</v>
      </c>
      <c r="R31" s="23">
        <v>0</v>
      </c>
      <c r="S31" s="9">
        <v>4</v>
      </c>
      <c r="T31" s="8">
        <v>0.2</v>
      </c>
      <c r="U31" s="8">
        <v>1.4999999999999999E-2</v>
      </c>
      <c r="V31" s="36">
        <v>79898</v>
      </c>
      <c r="W31" s="36">
        <f>V31+((X31-V31)/2)</f>
        <v>86781</v>
      </c>
      <c r="X31" s="36">
        <v>93664</v>
      </c>
      <c r="Y31" s="36">
        <f>(V31+(V31*$J31)+(V31*$M31)+(V31*$N31)+(V31*$O31)+(V31*$P31)+(V31*$Q31)+($R31)+(V31*((52+$S31)/52))*(1+$T31))*1/$L31</f>
        <v>206001.628</v>
      </c>
      <c r="Z31" s="36">
        <f t="shared" si="166"/>
        <v>223748.11984615386</v>
      </c>
      <c r="AA31" s="36">
        <f>(X31+(X31*$J31)+(X31*$M31)+(X31*$N31)+(X31*$O31)+(X31*$P31)+(X31*$Q31)+($R31)+(X31*((52+$S31)/52))*(1+$T31))*1/$L31</f>
        <v>241494.61169230769</v>
      </c>
      <c r="AB31" s="36">
        <f t="shared" si="167"/>
        <v>104.25183603238865</v>
      </c>
      <c r="AC31" s="36">
        <f t="shared" si="167"/>
        <v>113.23285417315478</v>
      </c>
      <c r="AD31" s="36">
        <f t="shared" si="167"/>
        <v>122.2138723139209</v>
      </c>
      <c r="AE31" s="36">
        <f t="shared" si="180"/>
        <v>79909.984700000001</v>
      </c>
      <c r="AF31" s="36">
        <f t="shared" si="181"/>
        <v>86794.017150000014</v>
      </c>
      <c r="AG31" s="36">
        <f t="shared" si="182"/>
        <v>93678.049600000013</v>
      </c>
      <c r="AH31" s="36">
        <f t="shared" si="183"/>
        <v>206032.52824419999</v>
      </c>
      <c r="AI31" s="36">
        <f t="shared" si="184"/>
        <v>223781.68206413079</v>
      </c>
      <c r="AJ31" s="36">
        <f t="shared" si="185"/>
        <v>241530.83588406158</v>
      </c>
      <c r="AK31" s="36">
        <f t="shared" si="168"/>
        <v>104.26747380779352</v>
      </c>
      <c r="AL31" s="36">
        <f t="shared" si="169"/>
        <v>113.24983910128077</v>
      </c>
      <c r="AM31" s="36">
        <f t="shared" si="170"/>
        <v>122.232204394768</v>
      </c>
      <c r="AN31" s="36">
        <f t="shared" si="186"/>
        <v>79921.969400000002</v>
      </c>
      <c r="AO31" s="36">
        <f t="shared" si="187"/>
        <v>86807.034299999999</v>
      </c>
      <c r="AP31" s="36">
        <f t="shared" si="188"/>
        <v>93692.099199999997</v>
      </c>
      <c r="AQ31" s="36">
        <f t="shared" si="189"/>
        <v>206063.42848840001</v>
      </c>
      <c r="AR31" s="36">
        <f t="shared" si="190"/>
        <v>223815.24428210765</v>
      </c>
      <c r="AS31" s="36">
        <f t="shared" si="191"/>
        <v>241567.06007581536</v>
      </c>
      <c r="AT31" s="36">
        <f t="shared" si="171"/>
        <v>104.28311158319839</v>
      </c>
      <c r="AU31" s="36">
        <f t="shared" si="172"/>
        <v>113.26682402940669</v>
      </c>
      <c r="AV31" s="36">
        <f t="shared" si="173"/>
        <v>122.25053647561508</v>
      </c>
      <c r="AW31" s="36">
        <f t="shared" si="192"/>
        <v>79933.954100000003</v>
      </c>
      <c r="AX31" s="36">
        <f t="shared" si="193"/>
        <v>86820.051449999999</v>
      </c>
      <c r="AY31" s="36">
        <f t="shared" si="194"/>
        <v>93706.14880000001</v>
      </c>
      <c r="AZ31" s="36">
        <f t="shared" si="195"/>
        <v>206094.32873259997</v>
      </c>
      <c r="BA31" s="36">
        <f t="shared" si="196"/>
        <v>223848.80650008464</v>
      </c>
      <c r="BB31" s="36">
        <f t="shared" si="197"/>
        <v>241603.28426756925</v>
      </c>
      <c r="BC31" s="36">
        <f t="shared" si="174"/>
        <v>104.29874935860323</v>
      </c>
      <c r="BD31" s="36">
        <f t="shared" si="175"/>
        <v>113.28380895753271</v>
      </c>
      <c r="BE31" s="36">
        <f t="shared" si="176"/>
        <v>122.26886855646217</v>
      </c>
      <c r="BF31" s="36">
        <f t="shared" si="198"/>
        <v>79945.938799999989</v>
      </c>
      <c r="BG31" s="36">
        <f t="shared" si="199"/>
        <v>86833.068599999999</v>
      </c>
      <c r="BH31" s="36">
        <f t="shared" si="200"/>
        <v>93720.198399999994</v>
      </c>
      <c r="BI31" s="36">
        <f t="shared" si="201"/>
        <v>206125.22897679996</v>
      </c>
      <c r="BJ31" s="36">
        <f t="shared" si="202"/>
        <v>223882.36871806154</v>
      </c>
      <c r="BK31" s="36">
        <f t="shared" si="203"/>
        <v>241639.50845932306</v>
      </c>
      <c r="BL31" s="36">
        <f t="shared" si="177"/>
        <v>104.31438713400807</v>
      </c>
      <c r="BM31" s="36">
        <f t="shared" si="178"/>
        <v>113.30079388565866</v>
      </c>
      <c r="BN31" s="36">
        <f t="shared" si="179"/>
        <v>122.28720063730924</v>
      </c>
    </row>
    <row r="32" spans="1:66" x14ac:dyDescent="0.2">
      <c r="A32" s="4" t="s">
        <v>88</v>
      </c>
      <c r="B32" s="19" t="s">
        <v>55</v>
      </c>
      <c r="C32" s="20" t="s">
        <v>56</v>
      </c>
      <c r="D32" s="4" t="s">
        <v>94</v>
      </c>
      <c r="E32" s="21" t="s">
        <v>95</v>
      </c>
      <c r="I32" s="5">
        <v>2022</v>
      </c>
      <c r="J32" s="11">
        <v>0.105</v>
      </c>
      <c r="K32" s="32">
        <v>40</v>
      </c>
      <c r="L32" s="8">
        <v>1</v>
      </c>
      <c r="M32" s="8">
        <v>0</v>
      </c>
      <c r="N32" s="8">
        <v>3.5000000000000003E-2</v>
      </c>
      <c r="O32" s="27">
        <v>0</v>
      </c>
      <c r="P32" s="8">
        <v>0</v>
      </c>
      <c r="Q32" s="8">
        <v>4.5999999999999999E-2</v>
      </c>
      <c r="R32" s="23">
        <v>28909</v>
      </c>
      <c r="S32" s="9">
        <f>160/40</f>
        <v>4</v>
      </c>
      <c r="T32" s="8">
        <v>0</v>
      </c>
      <c r="U32" s="8">
        <v>1.4999999999999999E-2</v>
      </c>
      <c r="V32" s="36">
        <v>297757</v>
      </c>
      <c r="W32" s="36">
        <f>V32+((X32-V32)/2)</f>
        <v>342136</v>
      </c>
      <c r="X32" s="36">
        <v>386515</v>
      </c>
      <c r="Y32" s="36">
        <f t="shared" si="166"/>
        <v>702710.18661538465</v>
      </c>
      <c r="Z32" s="36">
        <f t="shared" si="166"/>
        <v>803136.44984615385</v>
      </c>
      <c r="AA32" s="36">
        <f t="shared" si="166"/>
        <v>903562.71307692304</v>
      </c>
      <c r="AB32" s="36">
        <f t="shared" si="167"/>
        <v>337.84143587278106</v>
      </c>
      <c r="AC32" s="36">
        <f t="shared" si="167"/>
        <v>386.12329319526623</v>
      </c>
      <c r="AD32" s="36">
        <f t="shared" si="167"/>
        <v>434.40515051775145</v>
      </c>
      <c r="AE32" s="36">
        <f t="shared" si="180"/>
        <v>297801.66355000006</v>
      </c>
      <c r="AF32" s="36">
        <f t="shared" si="181"/>
        <v>342187.32040000003</v>
      </c>
      <c r="AG32" s="36">
        <f t="shared" si="182"/>
        <v>386572.97725000005</v>
      </c>
      <c r="AH32" s="36">
        <f t="shared" si="183"/>
        <v>702811.25679337699</v>
      </c>
      <c r="AI32" s="36">
        <f t="shared" si="184"/>
        <v>803252.58396363072</v>
      </c>
      <c r="AJ32" s="36">
        <f t="shared" si="185"/>
        <v>903693.91113388469</v>
      </c>
      <c r="AK32" s="36">
        <f t="shared" si="168"/>
        <v>337.89002730450818</v>
      </c>
      <c r="AL32" s="36">
        <f t="shared" si="169"/>
        <v>386.17912690559172</v>
      </c>
      <c r="AM32" s="36">
        <f t="shared" si="170"/>
        <v>434.46822650667536</v>
      </c>
      <c r="AN32" s="36">
        <f t="shared" si="186"/>
        <v>297846.32709999999</v>
      </c>
      <c r="AO32" s="36">
        <f t="shared" si="187"/>
        <v>342238.64079999999</v>
      </c>
      <c r="AP32" s="36">
        <f t="shared" si="188"/>
        <v>386630.95449999999</v>
      </c>
      <c r="AQ32" s="36">
        <f t="shared" si="189"/>
        <v>702912.32697136921</v>
      </c>
      <c r="AR32" s="36">
        <f t="shared" si="190"/>
        <v>803368.7180811076</v>
      </c>
      <c r="AS32" s="36">
        <f t="shared" si="191"/>
        <v>903825.10919084609</v>
      </c>
      <c r="AT32" s="36">
        <f t="shared" si="171"/>
        <v>337.93861873623518</v>
      </c>
      <c r="AU32" s="36">
        <f t="shared" si="172"/>
        <v>386.23496061591715</v>
      </c>
      <c r="AV32" s="36">
        <f t="shared" si="173"/>
        <v>434.53130249559911</v>
      </c>
      <c r="AW32" s="36">
        <f t="shared" si="192"/>
        <v>297890.99064999999</v>
      </c>
      <c r="AX32" s="36">
        <f t="shared" si="193"/>
        <v>342289.96120000002</v>
      </c>
      <c r="AY32" s="36">
        <f t="shared" si="194"/>
        <v>386688.93175000005</v>
      </c>
      <c r="AZ32" s="36">
        <f t="shared" si="195"/>
        <v>703013.39714936155</v>
      </c>
      <c r="BA32" s="36">
        <f t="shared" si="196"/>
        <v>803484.8521985847</v>
      </c>
      <c r="BB32" s="36">
        <f t="shared" si="197"/>
        <v>903956.30724780774</v>
      </c>
      <c r="BC32" s="36">
        <f t="shared" si="174"/>
        <v>337.9872101679623</v>
      </c>
      <c r="BD32" s="36">
        <f t="shared" si="175"/>
        <v>386.29079432624269</v>
      </c>
      <c r="BE32" s="36">
        <f t="shared" si="176"/>
        <v>434.59437848452296</v>
      </c>
      <c r="BF32" s="36">
        <f t="shared" si="198"/>
        <v>297935.65419999999</v>
      </c>
      <c r="BG32" s="36">
        <f t="shared" si="199"/>
        <v>342341.28159999999</v>
      </c>
      <c r="BH32" s="36">
        <f t="shared" si="200"/>
        <v>386746.90899999999</v>
      </c>
      <c r="BI32" s="36">
        <f t="shared" si="201"/>
        <v>703114.46732735378</v>
      </c>
      <c r="BJ32" s="36">
        <f t="shared" si="202"/>
        <v>803600.98631606158</v>
      </c>
      <c r="BK32" s="36">
        <f t="shared" si="203"/>
        <v>904087.50530476915</v>
      </c>
      <c r="BL32" s="36">
        <f t="shared" si="177"/>
        <v>338.03580159968931</v>
      </c>
      <c r="BM32" s="36">
        <f t="shared" si="178"/>
        <v>386.34662803656806</v>
      </c>
      <c r="BN32" s="36">
        <f t="shared" si="179"/>
        <v>434.65745447344671</v>
      </c>
    </row>
    <row r="33" spans="1:66" x14ac:dyDescent="0.2">
      <c r="R33" s="23"/>
      <c r="U33" s="8"/>
      <c r="V33" s="36"/>
      <c r="W33" s="36"/>
      <c r="X33" s="36"/>
      <c r="Y33" s="36"/>
      <c r="Z33" s="36"/>
      <c r="AA33" s="36"/>
      <c r="AB33" s="36"/>
      <c r="AC33" s="36"/>
      <c r="AD33" s="36"/>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row>
    <row r="34" spans="1:66" x14ac:dyDescent="0.2">
      <c r="A34" s="4" t="s">
        <v>96</v>
      </c>
      <c r="B34" s="19" t="s">
        <v>33</v>
      </c>
      <c r="J34" s="8">
        <f t="shared" ref="J34:U34" si="204">AVERAGE(J28,J22,J16,J10,J4)</f>
        <v>0.1095</v>
      </c>
      <c r="K34" s="32">
        <f t="shared" si="204"/>
        <v>37.950000000000003</v>
      </c>
      <c r="L34" s="8">
        <f t="shared" si="204"/>
        <v>1</v>
      </c>
      <c r="M34" s="8">
        <f t="shared" si="204"/>
        <v>0.1</v>
      </c>
      <c r="N34" s="8">
        <f t="shared" si="204"/>
        <v>3.5000000000000003E-2</v>
      </c>
      <c r="O34" s="27">
        <f t="shared" si="204"/>
        <v>0</v>
      </c>
      <c r="P34" s="8">
        <f t="shared" si="204"/>
        <v>0</v>
      </c>
      <c r="Q34" s="8">
        <f t="shared" si="204"/>
        <v>4.5999999999999999E-2</v>
      </c>
      <c r="R34" s="23">
        <f t="shared" si="204"/>
        <v>365.2</v>
      </c>
      <c r="S34" s="32">
        <f t="shared" si="204"/>
        <v>4</v>
      </c>
      <c r="T34" s="8">
        <f t="shared" si="204"/>
        <v>7.4999999999999997E-2</v>
      </c>
      <c r="U34" s="8">
        <f t="shared" si="204"/>
        <v>1.4999999999999999E-2</v>
      </c>
      <c r="V34" s="36">
        <f>MIN(V28,V22,V16,V10,V4)</f>
        <v>48552</v>
      </c>
      <c r="W34" s="36">
        <f>AVERAGE(W28,W22,W16,W10,W4)</f>
        <v>78368.712</v>
      </c>
      <c r="X34" s="36">
        <f>MAX(X28,X22,X16,X10,X4)</f>
        <v>110314</v>
      </c>
      <c r="Y34" s="36">
        <f>MIN(Y28,Y22,Y16,Y10,Y4)</f>
        <v>117643.06123076922</v>
      </c>
      <c r="Z34" s="36">
        <f>AVERAGE(Z28,Z22,Z16,Z10,Z4)</f>
        <v>192514.23470892306</v>
      </c>
      <c r="AA34" s="36">
        <f>MAX(AA28,AA22,AA16,AA10,AA4)</f>
        <v>281453.44246153842</v>
      </c>
      <c r="AB34" s="36">
        <f>MIN(AB28,AB22,AB16,AB10,AB4)</f>
        <v>62.410112058763517</v>
      </c>
      <c r="AC34" s="36">
        <f>AVERAGE(AC28,AC22,AC16,AC10,AC4)</f>
        <v>97.572625479194357</v>
      </c>
      <c r="AD34" s="36">
        <f>MAX(AD28,AD22,AD16,AD10,AD4)</f>
        <v>142.43595266272186</v>
      </c>
      <c r="AE34" s="36">
        <f>MIN(AE28,AE22,AE16,AE10,AE4)</f>
        <v>48559.282800000008</v>
      </c>
      <c r="AF34" s="36">
        <f>AVERAGE(AF28,AF22,AF16,AF10,AF4)</f>
        <v>78380.467306799997</v>
      </c>
      <c r="AG34" s="36">
        <f>MAX(AG28,AG22,AG16,AG10,AG4)</f>
        <v>110330.54710000001</v>
      </c>
      <c r="AH34" s="36">
        <f>MIN(AH28,AH22,AH16,AH10,AH4)</f>
        <v>117660.43378995387</v>
      </c>
      <c r="AI34" s="36">
        <f>AVERAGE(AI28,AI22,AI16,AI10,AI4)</f>
        <v>192543.05706412945</v>
      </c>
      <c r="AJ34" s="36">
        <f>MAX(AJ28,AJ22,AJ16,AJ10,AJ4)</f>
        <v>281495.66047790775</v>
      </c>
      <c r="AK34" s="36">
        <f>MIN(AK28,AK22,AK16,AK10,AK4)</f>
        <v>62.419328270532546</v>
      </c>
      <c r="AL34" s="36">
        <f>AVERAGE(AL28,AL22,AL16,AL10,AL4)</f>
        <v>97.587232312008297</v>
      </c>
      <c r="AM34" s="36">
        <f>MAX(AM28,AM22,AM16,AM10,AM4)</f>
        <v>142.45731805562133</v>
      </c>
      <c r="AN34" s="36">
        <f>MIN(AN28,AN22,AN16,AN10,AN4)</f>
        <v>48566.565600000002</v>
      </c>
      <c r="AO34" s="36">
        <f>AVERAGE(AO28,AO22,AO16,AO10,AO4)</f>
        <v>78392.222613599995</v>
      </c>
      <c r="AP34" s="36">
        <f>MAX(AP28,AP22,AP16,AP10,AP4)</f>
        <v>110347.09419999999</v>
      </c>
      <c r="AQ34" s="36">
        <f>MIN(AQ28,AQ22,AQ16,AQ10,AQ4)</f>
        <v>117677.80634913847</v>
      </c>
      <c r="AR34" s="36">
        <f>AVERAGE(AR28,AR22,AR16,AR10,AR4)</f>
        <v>192571.87941933575</v>
      </c>
      <c r="AS34" s="36">
        <f>MAX(AS28,AS22,AS16,AS10,AS4)</f>
        <v>281537.8784942769</v>
      </c>
      <c r="AT34" s="36">
        <f>MIN(AT28,AT22,AT16,AT10,AT4)</f>
        <v>62.428544482301568</v>
      </c>
      <c r="AU34" s="36">
        <f>AVERAGE(AU28,AU22,AU16,AU10,AU4)</f>
        <v>97.601839144822208</v>
      </c>
      <c r="AV34" s="36">
        <f>MAX(AV28,AV22,AV16,AV10,AV4)</f>
        <v>142.47868344852068</v>
      </c>
      <c r="AW34" s="36">
        <f>MIN(AW28,AW22,AW16,AW10,AW4)</f>
        <v>48573.848400000003</v>
      </c>
      <c r="AX34" s="36">
        <f>AVERAGE(AX28,AX22,AX16,AX10,AX4)</f>
        <v>78403.977920400008</v>
      </c>
      <c r="AY34" s="36">
        <f>MAX(AY28,AY22,AY16,AY10,AY4)</f>
        <v>110363.6413</v>
      </c>
      <c r="AZ34" s="36">
        <f>MIN(AZ28,AZ22,AZ16,AZ10,AZ4)</f>
        <v>117695.17890832308</v>
      </c>
      <c r="BA34" s="36">
        <f>AVERAGE(BA28,BA22,BA16,BA10,BA4)</f>
        <v>192600.7017745421</v>
      </c>
      <c r="BB34" s="36">
        <f>MAX(BB28,BB22,BB16,BB10,BB4)</f>
        <v>281580.09651064617</v>
      </c>
      <c r="BC34" s="36">
        <f>MIN(BC28,BC22,BC16,BC10,BC4)</f>
        <v>62.437760694070597</v>
      </c>
      <c r="BD34" s="36">
        <f>AVERAGE(BD28,BD22,BD16,BD10,BD4)</f>
        <v>97.616445977636118</v>
      </c>
      <c r="BE34" s="36">
        <f>MAX(BE28,BE22,BE16,BE10,BE4)</f>
        <v>142.50004884142012</v>
      </c>
      <c r="BF34" s="36">
        <f>MIN(BF28,BF22,BF16,BF10,BF4)</f>
        <v>48581.131199999996</v>
      </c>
      <c r="BG34" s="36">
        <f>AVERAGE(BG28,BG22,BG16,BG10,BG4)</f>
        <v>78415.733227199991</v>
      </c>
      <c r="BH34" s="36">
        <f>MAX(BH28,BH22,BH16,BH10,BH4)</f>
        <v>110380.1884</v>
      </c>
      <c r="BI34" s="36">
        <f>MIN(BI28,BI22,BI16,BI10,BI4)</f>
        <v>117712.55146750768</v>
      </c>
      <c r="BJ34" s="36">
        <f>AVERAGE(BJ28,BJ22,BJ16,BJ10,BJ4)</f>
        <v>192629.5241297484</v>
      </c>
      <c r="BK34" s="36">
        <f>MAX(BK28,BK22,BK16,BK10,BK4)</f>
        <v>281622.31452701538</v>
      </c>
      <c r="BL34" s="36">
        <f>MIN(BL28,BL22,BL16,BL10,BL4)</f>
        <v>62.44697690583962</v>
      </c>
      <c r="BM34" s="36">
        <f>AVERAGE(BM28,BM22,BM16,BM10,BM4)</f>
        <v>97.631052810450029</v>
      </c>
      <c r="BN34" s="36">
        <f>MAX(BN28,BN22,BN16,BN10,BN4)</f>
        <v>142.52141423431954</v>
      </c>
    </row>
    <row r="35" spans="1:66" x14ac:dyDescent="0.2">
      <c r="A35" s="4" t="s">
        <v>96</v>
      </c>
      <c r="B35" s="19" t="s">
        <v>40</v>
      </c>
      <c r="J35" s="8">
        <f t="shared" ref="J35:U35" si="205">AVERAGE(J29,J23,J17,J11,J5)</f>
        <v>0.1095</v>
      </c>
      <c r="K35" s="32">
        <f t="shared" si="205"/>
        <v>37.549999999999997</v>
      </c>
      <c r="L35" s="8">
        <f t="shared" si="205"/>
        <v>1</v>
      </c>
      <c r="M35" s="8">
        <f t="shared" si="205"/>
        <v>0.1</v>
      </c>
      <c r="N35" s="8">
        <f t="shared" si="205"/>
        <v>3.5000000000000003E-2</v>
      </c>
      <c r="O35" s="27">
        <f t="shared" si="205"/>
        <v>0</v>
      </c>
      <c r="P35" s="8">
        <f t="shared" si="205"/>
        <v>0</v>
      </c>
      <c r="Q35" s="8">
        <f t="shared" si="205"/>
        <v>4.5999999999999999E-2</v>
      </c>
      <c r="R35" s="23">
        <f t="shared" si="205"/>
        <v>365.2</v>
      </c>
      <c r="S35" s="32">
        <f t="shared" si="205"/>
        <v>4.4000000000000004</v>
      </c>
      <c r="T35" s="8">
        <f t="shared" si="205"/>
        <v>0.11000000000000001</v>
      </c>
      <c r="U35" s="8">
        <f t="shared" si="205"/>
        <v>1.4999999999999999E-2</v>
      </c>
      <c r="V35" s="36">
        <f>MIN(V29,V23,V17,V11,V5)</f>
        <v>61204</v>
      </c>
      <c r="W35" s="36">
        <f>AVERAGE(W29,W23,W17,W11,W5)</f>
        <v>104472.11600000001</v>
      </c>
      <c r="X35" s="36">
        <f t="shared" ref="X35:X38" si="206">MAX(X29,X23,X17,X11,X5)</f>
        <v>142552.80000000002</v>
      </c>
      <c r="Y35" s="36">
        <f>MIN(Y29,Y23,Y17,Y11,Y5)</f>
        <v>157537.91899999999</v>
      </c>
      <c r="Z35" s="36">
        <f>AVERAGE(Z29,Z23,Z17,Z11,Z5)</f>
        <v>260971.1760952308</v>
      </c>
      <c r="AA35" s="36">
        <f t="shared" ref="AA35:AA38" si="207">MAX(AA29,AA23,AA17,AA11,AA5)</f>
        <v>366928.16580000008</v>
      </c>
      <c r="AB35" s="36">
        <f t="shared" ref="AB35:AB38" si="208">MIN(AB29,AB23,AB17,AB11,AB5)</f>
        <v>79.725667510121454</v>
      </c>
      <c r="AC35" s="36">
        <f t="shared" ref="AC35:AC38" si="209">AVERAGE(AC29,AC23,AC17,AC11,AC5)</f>
        <v>133.63018870731</v>
      </c>
      <c r="AD35" s="36">
        <f t="shared" ref="AD35:AD38" si="210">MAX(AD29,AD23,AD17,AD11,AD5)</f>
        <v>185.69239159919033</v>
      </c>
      <c r="AE35" s="36">
        <f>MIN(AE29,AE23,AE17,AE11,AE5)</f>
        <v>61213.180600000007</v>
      </c>
      <c r="AF35" s="36">
        <f>AVERAGE(AF29,AF23,AF17,AF11,AF5)</f>
        <v>104487.7868174</v>
      </c>
      <c r="AG35" s="36">
        <f t="shared" ref="AG35:AG38" si="211">MAX(AG29,AG23,AG17,AG11,AG5)</f>
        <v>142574.18292000002</v>
      </c>
      <c r="AH35" s="36">
        <f t="shared" ref="AH35:AH38" si="212">MIN(AH29,AH23,AH17,AH11,AH5)</f>
        <v>157561.54968785003</v>
      </c>
      <c r="AI35" s="36">
        <f t="shared" ref="AI35:AI38" si="213">AVERAGE(AI29,AI23,AI17,AI11,AI5)</f>
        <v>261010.2669916451</v>
      </c>
      <c r="AJ35" s="36">
        <f t="shared" ref="AJ35:AJ38" si="214">MAX(AJ29,AJ23,AJ17,AJ11,AJ5)</f>
        <v>366983.20502487</v>
      </c>
      <c r="AK35" s="36">
        <f t="shared" ref="AK35:AK38" si="215">MIN(AK29,AK23,AK17,AK11,AK5)</f>
        <v>79.737626360247987</v>
      </c>
      <c r="AL35" s="36">
        <f t="shared" ref="AL35:AL38" si="216">AVERAGE(AL29,AL23,AL17,AL11,AL5)</f>
        <v>133.65020417460815</v>
      </c>
      <c r="AM35" s="36">
        <f t="shared" ref="AM35:AM38" si="217">MAX(AM29,AM23,AM17,AM11,AM5)</f>
        <v>185.72024545793016</v>
      </c>
      <c r="AN35" s="36">
        <f>MIN(AN29,AN23,AN17,AN11,AN5)</f>
        <v>61222.361199999999</v>
      </c>
      <c r="AO35" s="36">
        <f>AVERAGE(AO29,AO23,AO17,AO11,AO5)</f>
        <v>104503.4576348</v>
      </c>
      <c r="AP35" s="36">
        <f t="shared" ref="AP35:AP38" si="218">MAX(AP29,AP23,AP17,AP11,AP5)</f>
        <v>142595.56584000002</v>
      </c>
      <c r="AQ35" s="36">
        <f t="shared" ref="AQ35:AQ38" si="219">MIN(AQ29,AQ23,AQ17,AQ11,AQ5)</f>
        <v>157585.1803757</v>
      </c>
      <c r="AR35" s="36">
        <f t="shared" ref="AR35:AR38" si="220">AVERAGE(AR29,AR23,AR17,AR11,AR5)</f>
        <v>261049.35788805931</v>
      </c>
      <c r="AS35" s="36">
        <f t="shared" ref="AS35:AS38" si="221">MAX(AS29,AS23,AS17,AS11,AS5)</f>
        <v>367038.24424974015</v>
      </c>
      <c r="AT35" s="36">
        <f t="shared" ref="AT35:AT38" si="222">MIN(AT29,AT23,AT17,AT11,AT5)</f>
        <v>79.749585210374491</v>
      </c>
      <c r="AU35" s="36">
        <f t="shared" ref="AU35:AU38" si="223">AVERAGE(AU29,AU23,AU17,AU11,AU5)</f>
        <v>133.67021964190627</v>
      </c>
      <c r="AV35" s="36">
        <f t="shared" ref="AV35:AV38" si="224">MAX(AV29,AV23,AV17,AV11,AV5)</f>
        <v>185.74809931667014</v>
      </c>
      <c r="AW35" s="36">
        <f>MIN(AW29,AW23,AW17,AW11,AW5)</f>
        <v>61231.541800000006</v>
      </c>
      <c r="AX35" s="36">
        <f>AVERAGE(AX29,AX23,AX17,AX11,AX5)</f>
        <v>104519.12845220001</v>
      </c>
      <c r="AY35" s="36">
        <f t="shared" ref="AY35:AY38" si="225">MAX(AY29,AY23,AY17,AY11,AY5)</f>
        <v>142616.94876000003</v>
      </c>
      <c r="AZ35" s="36">
        <f t="shared" ref="AZ35:AZ38" si="226">MIN(AZ29,AZ23,AZ17,AZ11,AZ5)</f>
        <v>157608.81106355006</v>
      </c>
      <c r="BA35" s="36">
        <f t="shared" ref="BA35:BA38" si="227">AVERAGE(BA29,BA23,BA17,BA11,BA5)</f>
        <v>261088.44878447364</v>
      </c>
      <c r="BB35" s="36">
        <f t="shared" ref="BB35:BB38" si="228">MAX(BB29,BB23,BB17,BB11,BB5)</f>
        <v>367093.28347461007</v>
      </c>
      <c r="BC35" s="36">
        <f t="shared" ref="BC35:BC38" si="229">MIN(BC29,BC23,BC17,BC11,BC5)</f>
        <v>79.761544060501038</v>
      </c>
      <c r="BD35" s="36">
        <f t="shared" ref="BD35:BD38" si="230">AVERAGE(BD29,BD23,BD17,BD11,BD5)</f>
        <v>133.69023510920442</v>
      </c>
      <c r="BE35" s="36">
        <f t="shared" ref="BE35:BE38" si="231">MAX(BE29,BE23,BE17,BE11,BE5)</f>
        <v>185.77595317540994</v>
      </c>
      <c r="BF35" s="36">
        <f>MIN(BF29,BF23,BF17,BF11,BF5)</f>
        <v>61240.722399999999</v>
      </c>
      <c r="BG35" s="36">
        <f>AVERAGE(BG29,BG23,BG17,BG11,BG5)</f>
        <v>104534.7992696</v>
      </c>
      <c r="BH35" s="36">
        <f t="shared" ref="BH35:BH38" si="232">MAX(BH29,BH23,BH17,BH11,BH5)</f>
        <v>142638.33168</v>
      </c>
      <c r="BI35" s="36">
        <f t="shared" ref="BI35:BI38" si="233">MIN(BI29,BI23,BI17,BI11,BI5)</f>
        <v>157632.44175140001</v>
      </c>
      <c r="BJ35" s="36">
        <f t="shared" ref="BJ35:BJ38" si="234">AVERAGE(BJ29,BJ23,BJ17,BJ11,BJ5)</f>
        <v>261127.53968088789</v>
      </c>
      <c r="BK35" s="36">
        <f t="shared" ref="BK35:BK38" si="235">MAX(BK29,BK23,BK17,BK11,BK5)</f>
        <v>367148.32269948005</v>
      </c>
      <c r="BL35" s="36">
        <f t="shared" ref="BL35:BL38" si="236">MIN(BL29,BL23,BL17,BL11,BL5)</f>
        <v>79.773502910627528</v>
      </c>
      <c r="BM35" s="36">
        <f t="shared" ref="BM35:BM38" si="237">AVERAGE(BM29,BM23,BM17,BM11,BM5)</f>
        <v>133.71025057650255</v>
      </c>
      <c r="BN35" s="36">
        <f t="shared" ref="BN35:BN38" si="238">MAX(BN29,BN23,BN17,BN11,BN5)</f>
        <v>185.80380703414983</v>
      </c>
    </row>
    <row r="36" spans="1:66" x14ac:dyDescent="0.2">
      <c r="A36" s="4" t="s">
        <v>96</v>
      </c>
      <c r="B36" s="19" t="s">
        <v>47</v>
      </c>
      <c r="J36" s="8">
        <f t="shared" ref="J36:U36" si="239">AVERAGE(J30,J24,J18,J12,J6)</f>
        <v>0.1095</v>
      </c>
      <c r="K36" s="32">
        <f t="shared" si="239"/>
        <v>37.950000000000003</v>
      </c>
      <c r="L36" s="8">
        <f t="shared" si="239"/>
        <v>1</v>
      </c>
      <c r="M36" s="8">
        <f t="shared" si="239"/>
        <v>0.1</v>
      </c>
      <c r="N36" s="8">
        <f t="shared" si="239"/>
        <v>3.5000000000000003E-2</v>
      </c>
      <c r="O36" s="27">
        <f t="shared" si="239"/>
        <v>0</v>
      </c>
      <c r="P36" s="8">
        <f t="shared" si="239"/>
        <v>0</v>
      </c>
      <c r="Q36" s="8">
        <f t="shared" si="239"/>
        <v>4.5999999999999999E-2</v>
      </c>
      <c r="R36" s="23">
        <f t="shared" si="239"/>
        <v>365.2</v>
      </c>
      <c r="S36" s="32">
        <f t="shared" si="239"/>
        <v>4</v>
      </c>
      <c r="T36" s="8">
        <f t="shared" si="239"/>
        <v>7.4999999999999997E-2</v>
      </c>
      <c r="U36" s="8">
        <f t="shared" si="239"/>
        <v>1.4999999999999999E-2</v>
      </c>
      <c r="V36" s="36">
        <f>MIN(V30,V24,V18,V12,V6)</f>
        <v>47704</v>
      </c>
      <c r="W36" s="36">
        <f>AVERAGE(W30,W24,W18,W12,W6)</f>
        <v>65202.815999999992</v>
      </c>
      <c r="X36" s="36">
        <f t="shared" si="206"/>
        <v>91460</v>
      </c>
      <c r="Y36" s="36">
        <f>MIN(Y30,Y24,Y18,Y12,Y6)</f>
        <v>113848.28031999999</v>
      </c>
      <c r="Z36" s="36">
        <f>AVERAGE(Z30,Z24,Z18,Z12,Z6)</f>
        <v>160373.11024138459</v>
      </c>
      <c r="AA36" s="36">
        <f t="shared" si="207"/>
        <v>233349.63692307693</v>
      </c>
      <c r="AB36" s="36">
        <f t="shared" si="208"/>
        <v>54.73475015384615</v>
      </c>
      <c r="AC36" s="36">
        <f t="shared" si="209"/>
        <v>81.422265218039641</v>
      </c>
      <c r="AD36" s="36">
        <f t="shared" si="210"/>
        <v>118.09192151977578</v>
      </c>
      <c r="AE36" s="36">
        <f>MIN(AE30,AE24,AE18,AE12,AE6)</f>
        <v>47711.155600000006</v>
      </c>
      <c r="AF36" s="36">
        <f>AVERAGE(AF30,AF24,AF18,AF12,AF6)</f>
        <v>65212.596422399998</v>
      </c>
      <c r="AG36" s="36">
        <f t="shared" si="211"/>
        <v>91473.719000000012</v>
      </c>
      <c r="AH36" s="36">
        <f t="shared" si="212"/>
        <v>113865.35756204798</v>
      </c>
      <c r="AI36" s="36">
        <f t="shared" si="213"/>
        <v>160397.11142792081</v>
      </c>
      <c r="AJ36" s="36">
        <f t="shared" si="214"/>
        <v>233384.6393686154</v>
      </c>
      <c r="AK36" s="36">
        <f t="shared" si="215"/>
        <v>54.742960366369218</v>
      </c>
      <c r="AL36" s="36">
        <f t="shared" si="216"/>
        <v>81.434449496814395</v>
      </c>
      <c r="AM36" s="36">
        <f t="shared" si="217"/>
        <v>118.10963530800375</v>
      </c>
      <c r="AN36" s="36">
        <f>MIN(AN30,AN24,AN18,AN12,AN6)</f>
        <v>47718.311199999996</v>
      </c>
      <c r="AO36" s="36">
        <f>AVERAGE(AO30,AO24,AO18,AO12,AO6)</f>
        <v>65222.376844799997</v>
      </c>
      <c r="AP36" s="36">
        <f t="shared" si="218"/>
        <v>91487.437999999995</v>
      </c>
      <c r="AQ36" s="36">
        <f t="shared" si="219"/>
        <v>113882.43480409597</v>
      </c>
      <c r="AR36" s="36">
        <f t="shared" si="220"/>
        <v>160421.112614457</v>
      </c>
      <c r="AS36" s="36">
        <f t="shared" si="221"/>
        <v>233419.64181415382</v>
      </c>
      <c r="AT36" s="36">
        <f t="shared" si="222"/>
        <v>54.7511705788923</v>
      </c>
      <c r="AU36" s="36">
        <f t="shared" si="223"/>
        <v>81.446633775589135</v>
      </c>
      <c r="AV36" s="36">
        <f t="shared" si="224"/>
        <v>118.12734909623168</v>
      </c>
      <c r="AW36" s="36">
        <f>MIN(AW30,AW24,AW18,AW12,AW6)</f>
        <v>47725.466800000002</v>
      </c>
      <c r="AX36" s="36">
        <f>AVERAGE(AX30,AX24,AX18,AX12,AX6)</f>
        <v>65232.157267199989</v>
      </c>
      <c r="AY36" s="36">
        <f t="shared" si="225"/>
        <v>91501.157000000007</v>
      </c>
      <c r="AZ36" s="36">
        <f t="shared" si="226"/>
        <v>113899.51204614399</v>
      </c>
      <c r="BA36" s="36">
        <f t="shared" si="227"/>
        <v>160445.11380099325</v>
      </c>
      <c r="BB36" s="36">
        <f t="shared" si="228"/>
        <v>233454.64425969232</v>
      </c>
      <c r="BC36" s="36">
        <f t="shared" si="229"/>
        <v>54.759380791415381</v>
      </c>
      <c r="BD36" s="36">
        <f t="shared" si="230"/>
        <v>81.458818054363888</v>
      </c>
      <c r="BE36" s="36">
        <f t="shared" si="231"/>
        <v>118.14506288445966</v>
      </c>
      <c r="BF36" s="36">
        <f>MIN(BF30,BF24,BF18,BF12,BF6)</f>
        <v>47732.6224</v>
      </c>
      <c r="BG36" s="36">
        <f>AVERAGE(BG30,BG24,BG18,BG12,BG6)</f>
        <v>65241.937689600003</v>
      </c>
      <c r="BH36" s="36">
        <f t="shared" si="232"/>
        <v>91514.875999999989</v>
      </c>
      <c r="BI36" s="36">
        <f t="shared" si="233"/>
        <v>113916.58928819199</v>
      </c>
      <c r="BJ36" s="36">
        <f t="shared" si="234"/>
        <v>160469.11498752941</v>
      </c>
      <c r="BK36" s="36">
        <f t="shared" si="235"/>
        <v>233489.64670523073</v>
      </c>
      <c r="BL36" s="36">
        <f t="shared" si="236"/>
        <v>54.767591003938456</v>
      </c>
      <c r="BM36" s="36">
        <f t="shared" si="237"/>
        <v>81.471002333138614</v>
      </c>
      <c r="BN36" s="36">
        <f t="shared" si="238"/>
        <v>118.1627766726876</v>
      </c>
    </row>
    <row r="37" spans="1:66" x14ac:dyDescent="0.2">
      <c r="A37" s="4" t="s">
        <v>96</v>
      </c>
      <c r="B37" s="19" t="s">
        <v>50</v>
      </c>
      <c r="J37" s="8">
        <f t="shared" ref="J37:U37" si="240">AVERAGE(J31,J25,J19,J13,J7)</f>
        <v>0.1095</v>
      </c>
      <c r="K37" s="32">
        <f t="shared" si="240"/>
        <v>37.950000000000003</v>
      </c>
      <c r="L37" s="8">
        <f t="shared" si="240"/>
        <v>1</v>
      </c>
      <c r="M37" s="8">
        <f t="shared" si="240"/>
        <v>0.1</v>
      </c>
      <c r="N37" s="8">
        <f t="shared" si="240"/>
        <v>3.5000000000000003E-2</v>
      </c>
      <c r="O37" s="27">
        <f t="shared" si="240"/>
        <v>0</v>
      </c>
      <c r="P37" s="8">
        <f t="shared" si="240"/>
        <v>0</v>
      </c>
      <c r="Q37" s="8">
        <f t="shared" si="240"/>
        <v>4.5999999999999999E-2</v>
      </c>
      <c r="R37" s="23">
        <f t="shared" si="240"/>
        <v>365.2</v>
      </c>
      <c r="S37" s="32">
        <f t="shared" si="240"/>
        <v>4</v>
      </c>
      <c r="T37" s="8">
        <f t="shared" si="240"/>
        <v>0.11000000000000001</v>
      </c>
      <c r="U37" s="8">
        <f t="shared" si="240"/>
        <v>1.4999999999999999E-2</v>
      </c>
      <c r="V37" s="36">
        <f>MIN(V31,V25,V19,V13,V7)</f>
        <v>66106</v>
      </c>
      <c r="W37" s="36">
        <f>AVERAGE(W31,W25,W19,W13,W7)</f>
        <v>94993.5</v>
      </c>
      <c r="X37" s="36">
        <f t="shared" si="206"/>
        <v>139576</v>
      </c>
      <c r="Y37" s="36">
        <f>MIN(Y31,Y25,Y19,Y13,Y7)</f>
        <v>156865.01138461538</v>
      </c>
      <c r="Z37" s="36">
        <f>AVERAGE(Z31,Z25,Z19,Z13,Z7)</f>
        <v>236283.21867307689</v>
      </c>
      <c r="AA37" s="36">
        <f t="shared" si="207"/>
        <v>334773.81138461537</v>
      </c>
      <c r="AB37" s="36">
        <f t="shared" si="208"/>
        <v>80.443595581854055</v>
      </c>
      <c r="AC37" s="36">
        <f t="shared" si="209"/>
        <v>119.9255595053999</v>
      </c>
      <c r="AD37" s="36">
        <f t="shared" si="210"/>
        <v>177.59883893083045</v>
      </c>
      <c r="AE37" s="36">
        <f>MIN(AE31,AE25,AE19,AE13,AE7)</f>
        <v>66115.915900000007</v>
      </c>
      <c r="AF37" s="36">
        <f>AVERAGE(AF31,AF25,AF19,AF13,AF7)</f>
        <v>95007.749025000012</v>
      </c>
      <c r="AG37" s="36">
        <f t="shared" si="211"/>
        <v>139596.93640000001</v>
      </c>
      <c r="AH37" s="36">
        <f t="shared" si="212"/>
        <v>156888.5411363231</v>
      </c>
      <c r="AI37" s="36">
        <f t="shared" si="213"/>
        <v>236318.60637587792</v>
      </c>
      <c r="AJ37" s="36">
        <f t="shared" si="214"/>
        <v>334823.75355632312</v>
      </c>
      <c r="AK37" s="36">
        <f t="shared" si="215"/>
        <v>80.455662121191338</v>
      </c>
      <c r="AL37" s="36">
        <f t="shared" si="216"/>
        <v>119.94351927831777</v>
      </c>
      <c r="AM37" s="36">
        <f t="shared" si="217"/>
        <v>177.6253334516303</v>
      </c>
      <c r="AN37" s="36">
        <f>MIN(AN31,AN25,AN19,AN13,AN7)</f>
        <v>66125.8318</v>
      </c>
      <c r="AO37" s="36">
        <f>AVERAGE(AO31,AO25,AO19,AO13,AO7)</f>
        <v>95021.998049999995</v>
      </c>
      <c r="AP37" s="36">
        <f t="shared" si="218"/>
        <v>139617.87279999998</v>
      </c>
      <c r="AQ37" s="36">
        <f t="shared" si="219"/>
        <v>156912.07088803075</v>
      </c>
      <c r="AR37" s="36">
        <f t="shared" si="220"/>
        <v>236353.99407867884</v>
      </c>
      <c r="AS37" s="36">
        <f t="shared" si="221"/>
        <v>334873.69572803075</v>
      </c>
      <c r="AT37" s="36">
        <f t="shared" si="222"/>
        <v>80.467728660528593</v>
      </c>
      <c r="AU37" s="36">
        <f t="shared" si="223"/>
        <v>119.9614790512356</v>
      </c>
      <c r="AV37" s="36">
        <f t="shared" si="224"/>
        <v>177.65182797243011</v>
      </c>
      <c r="AW37" s="36">
        <f>MIN(AW31,AW25,AW19,AW13,AW7)</f>
        <v>66135.747700000007</v>
      </c>
      <c r="AX37" s="36">
        <f>AVERAGE(AX31,AX25,AX19,AX13,AX7)</f>
        <v>95036.247075000007</v>
      </c>
      <c r="AY37" s="36">
        <f t="shared" si="225"/>
        <v>139638.80920000002</v>
      </c>
      <c r="AZ37" s="36">
        <f t="shared" si="226"/>
        <v>156935.60063973849</v>
      </c>
      <c r="BA37" s="36">
        <f t="shared" si="227"/>
        <v>236389.38178147981</v>
      </c>
      <c r="BB37" s="36">
        <f t="shared" si="228"/>
        <v>334923.6378997385</v>
      </c>
      <c r="BC37" s="36">
        <f t="shared" si="229"/>
        <v>80.47979519986589</v>
      </c>
      <c r="BD37" s="36">
        <f t="shared" si="230"/>
        <v>119.97943882415345</v>
      </c>
      <c r="BE37" s="36">
        <f t="shared" si="231"/>
        <v>177.67832249322996</v>
      </c>
      <c r="BF37" s="36">
        <f>MIN(BF31,BF25,BF19,BF13,BF7)</f>
        <v>66145.6636</v>
      </c>
      <c r="BG37" s="36">
        <f>AVERAGE(BG31,BG25,BG19,BG13,BG7)</f>
        <v>95050.496100000004</v>
      </c>
      <c r="BH37" s="36">
        <f t="shared" si="232"/>
        <v>139659.74559999999</v>
      </c>
      <c r="BI37" s="36">
        <f t="shared" si="233"/>
        <v>156959.13039144612</v>
      </c>
      <c r="BJ37" s="36">
        <f t="shared" si="234"/>
        <v>236424.76948428078</v>
      </c>
      <c r="BK37" s="36">
        <f t="shared" si="235"/>
        <v>334973.58007144614</v>
      </c>
      <c r="BL37" s="36">
        <f t="shared" si="236"/>
        <v>80.491861739203131</v>
      </c>
      <c r="BM37" s="36">
        <f t="shared" si="237"/>
        <v>119.99739859707131</v>
      </c>
      <c r="BN37" s="36">
        <f t="shared" si="238"/>
        <v>177.7048170140298</v>
      </c>
    </row>
    <row r="38" spans="1:66" x14ac:dyDescent="0.2">
      <c r="A38" s="4" t="s">
        <v>96</v>
      </c>
      <c r="B38" s="19" t="s">
        <v>55</v>
      </c>
      <c r="J38" s="8">
        <f t="shared" ref="J38:U38" si="241">AVERAGE(J32,J26,J20,J14,J8)</f>
        <v>0.1095</v>
      </c>
      <c r="K38" s="32">
        <f t="shared" si="241"/>
        <v>38.799999999999997</v>
      </c>
      <c r="L38" s="8">
        <f t="shared" si="241"/>
        <v>1</v>
      </c>
      <c r="M38" s="8">
        <f t="shared" si="241"/>
        <v>0</v>
      </c>
      <c r="N38" s="8">
        <f t="shared" si="241"/>
        <v>3.5000000000000003E-2</v>
      </c>
      <c r="O38" s="27">
        <f t="shared" si="241"/>
        <v>0.04</v>
      </c>
      <c r="P38" s="8">
        <f t="shared" si="241"/>
        <v>0.25480000000000003</v>
      </c>
      <c r="Q38" s="8">
        <f t="shared" si="241"/>
        <v>4.5999999999999999E-2</v>
      </c>
      <c r="R38" s="23">
        <f t="shared" si="241"/>
        <v>28681.832000000002</v>
      </c>
      <c r="S38" s="32">
        <f t="shared" si="241"/>
        <v>4.4000000000000004</v>
      </c>
      <c r="T38" s="8">
        <f t="shared" si="241"/>
        <v>0.10499999999999998</v>
      </c>
      <c r="U38" s="8">
        <f t="shared" si="241"/>
        <v>1.4999999999999999E-2</v>
      </c>
      <c r="V38" s="36">
        <f>MIN(V32,V26,V20,V14,V8)</f>
        <v>179078</v>
      </c>
      <c r="W38" s="36">
        <f>AVERAGE(W32,W26,W20,W14,W8)</f>
        <v>266292.27999999997</v>
      </c>
      <c r="X38" s="36">
        <f t="shared" si="206"/>
        <v>386515</v>
      </c>
      <c r="Y38" s="36">
        <f>MIN(Y32,Y26,Y20,Y14,Y8)</f>
        <v>548010.7001923077</v>
      </c>
      <c r="Z38" s="36">
        <f>AVERAGE(Z32,Z26,Z20,Z14,Z8)</f>
        <v>732328.94098192314</v>
      </c>
      <c r="AA38" s="36">
        <f t="shared" si="207"/>
        <v>923660.79024999996</v>
      </c>
      <c r="AB38" s="36">
        <f t="shared" si="208"/>
        <v>263.46668278476329</v>
      </c>
      <c r="AC38" s="36">
        <f t="shared" si="209"/>
        <v>363.32101247265263</v>
      </c>
      <c r="AD38" s="36">
        <f t="shared" si="210"/>
        <v>467.4396711791498</v>
      </c>
      <c r="AE38" s="36">
        <f>MIN(AE32,AE26,AE20,AE14,AE8)</f>
        <v>179104.86170000001</v>
      </c>
      <c r="AF38" s="36">
        <f>AVERAGE(AF32,AF26,AF20,AF14,AF8)</f>
        <v>266332.22384200001</v>
      </c>
      <c r="AG38" s="36">
        <f t="shared" si="211"/>
        <v>386572.97725000005</v>
      </c>
      <c r="AH38" s="36">
        <f t="shared" si="212"/>
        <v>548087.20179733657</v>
      </c>
      <c r="AI38" s="36">
        <f t="shared" si="213"/>
        <v>732434.48804827058</v>
      </c>
      <c r="AJ38" s="36">
        <f t="shared" si="214"/>
        <v>923795.43936853763</v>
      </c>
      <c r="AK38" s="36">
        <f t="shared" si="215"/>
        <v>263.50346240256567</v>
      </c>
      <c r="AL38" s="36">
        <f t="shared" si="216"/>
        <v>363.37338415119359</v>
      </c>
      <c r="AM38" s="36">
        <f t="shared" si="217"/>
        <v>467.50781344561619</v>
      </c>
      <c r="AN38" s="36">
        <f>MIN(AN32,AN26,AN20,AN14,AN8)</f>
        <v>179131.72339999999</v>
      </c>
      <c r="AO38" s="36">
        <f>AVERAGE(AO32,AO26,AO20,AO14,AO8)</f>
        <v>266372.16768399999</v>
      </c>
      <c r="AP38" s="36">
        <f t="shared" si="218"/>
        <v>386630.95449999999</v>
      </c>
      <c r="AQ38" s="36">
        <f t="shared" si="219"/>
        <v>548163.70340236533</v>
      </c>
      <c r="AR38" s="36">
        <f t="shared" si="220"/>
        <v>732540.03511461767</v>
      </c>
      <c r="AS38" s="36">
        <f t="shared" si="221"/>
        <v>923930.08848707518</v>
      </c>
      <c r="AT38" s="36">
        <f t="shared" si="222"/>
        <v>263.54024202036794</v>
      </c>
      <c r="AU38" s="36">
        <f t="shared" si="223"/>
        <v>363.4257558297345</v>
      </c>
      <c r="AV38" s="36">
        <f t="shared" si="224"/>
        <v>467.57595571208259</v>
      </c>
      <c r="AW38" s="36">
        <f>MIN(AW32,AW26,AW20,AW14,AW8)</f>
        <v>179158.5851</v>
      </c>
      <c r="AX38" s="36">
        <f>AVERAGE(AX32,AX26,AX20,AX14,AX8)</f>
        <v>266412.11152600002</v>
      </c>
      <c r="AY38" s="36">
        <f t="shared" si="225"/>
        <v>386688.93175000005</v>
      </c>
      <c r="AZ38" s="36">
        <f t="shared" si="226"/>
        <v>548240.20500739431</v>
      </c>
      <c r="BA38" s="36">
        <f t="shared" si="227"/>
        <v>732645.58218096499</v>
      </c>
      <c r="BB38" s="36">
        <f t="shared" si="228"/>
        <v>924064.73760561249</v>
      </c>
      <c r="BC38" s="36">
        <f t="shared" si="229"/>
        <v>263.57702163817032</v>
      </c>
      <c r="BD38" s="36">
        <f t="shared" si="230"/>
        <v>363.47812750827546</v>
      </c>
      <c r="BE38" s="36">
        <f t="shared" si="231"/>
        <v>467.64409797854887</v>
      </c>
      <c r="BF38" s="36">
        <f>MIN(BF32,BF26,BF20,BF14,BF8)</f>
        <v>179185.44679999998</v>
      </c>
      <c r="BG38" s="36">
        <f>AVERAGE(BG32,BG26,BG20,BG14,BG8)</f>
        <v>266452.055368</v>
      </c>
      <c r="BH38" s="36">
        <f t="shared" si="232"/>
        <v>386746.90899999999</v>
      </c>
      <c r="BI38" s="36">
        <f t="shared" si="233"/>
        <v>548316.70661242306</v>
      </c>
      <c r="BJ38" s="36">
        <f t="shared" si="234"/>
        <v>732751.1292473122</v>
      </c>
      <c r="BK38" s="36">
        <f t="shared" si="235"/>
        <v>924199.38672414992</v>
      </c>
      <c r="BL38" s="36">
        <f t="shared" si="236"/>
        <v>263.61380125597259</v>
      </c>
      <c r="BM38" s="36">
        <f t="shared" si="237"/>
        <v>363.53049918681637</v>
      </c>
      <c r="BN38" s="36">
        <f t="shared" si="238"/>
        <v>467.71224024501515</v>
      </c>
    </row>
    <row r="40" spans="1:66" x14ac:dyDescent="0.2">
      <c r="A40" s="4" t="s">
        <v>96</v>
      </c>
      <c r="B40" s="19" t="s">
        <v>33</v>
      </c>
      <c r="J40" s="28" t="str">
        <f>TEXT(J34, "0.0%") &amp; " (" &amp; TEXT(MIN(J28,J22,J16,J10,J4), "0.0%") &amp; " - " &amp; TEXT(MAX(J28,J22,J16,J10,J4), "0.0%") &amp; ")"</f>
        <v>11.0% (10.5% - 12.8%)</v>
      </c>
      <c r="K40" s="28" t="str">
        <f>TEXT(K34, "0.0") &amp; " (" &amp; TEXT(MIN(K28,K22,K16,K10,K4), "0.0") &amp; " - " &amp; TEXT(MAX(K28,K22,K16,K10,K4), "0.0") &amp; ")"</f>
        <v>38.0 (36.3 - 40.0)</v>
      </c>
      <c r="L40" s="28" t="str">
        <f t="shared" ref="L40:Q40" si="242">TEXT(L34, "0.0%") &amp; " (" &amp; TEXT(MIN(L28,L22,L16,L10,L4), "0.0%") &amp; " - " &amp; TEXT(MAX(L28,L22,L16,L10,L4), "0.0%") &amp; ")"</f>
        <v>100.0% (100.0% - 100.0%)</v>
      </c>
      <c r="M40" s="28" t="str">
        <f t="shared" si="242"/>
        <v>10.0% (10.0% - 10.0%)</v>
      </c>
      <c r="N40" s="28" t="str">
        <f t="shared" si="242"/>
        <v>3.5% (3.5% - 3.5%)</v>
      </c>
      <c r="O40" s="28" t="str">
        <f t="shared" si="242"/>
        <v>0.0% (0.0% - 0.0%)</v>
      </c>
      <c r="P40" s="28" t="str">
        <f t="shared" si="242"/>
        <v>0.0% (0.0% - 0.0%)</v>
      </c>
      <c r="Q40" s="28" t="str">
        <f t="shared" si="242"/>
        <v>4.6% (4.6% - 4.6%)</v>
      </c>
      <c r="R40" s="28" t="str">
        <f>TEXT(R34, "$0.0") &amp; " (" &amp; TEXT(MIN(R28,R22,R16,R10,R4), "$0.0") &amp; " - " &amp; TEXT(MAX(R28,R22,R16,R10,R4), "$0.0") &amp; ")"</f>
        <v>$365.2 ($0.0 - $1826.0)</v>
      </c>
      <c r="S40" s="28" t="str">
        <f>TEXT(S34, "0.0") &amp; " (" &amp; TEXT(MIN(S28,S22,S16,S10,S4), "0.0") &amp; " - " &amp; TEXT(MAX(S28,S22,S16,S10,S4), "0.0") &amp; ")"</f>
        <v>4.0 (4.0 - 4.0)</v>
      </c>
      <c r="T40" s="28" t="str">
        <f>TEXT(T34, "0.0%") &amp; " (" &amp; TEXT(MIN(T28,T22,T16,T10,T4), "0.0%") &amp; " - " &amp; TEXT(MAX(T28,T22,T16,T10,T4), "0.0%") &amp; ")"</f>
        <v>7.5% (0.0% - 20.0%)</v>
      </c>
      <c r="U40" s="28" t="str">
        <f>TEXT(U34, "0.0%") &amp; " (" &amp; TEXT(MIN(U28,U22,U16,U10,U4), "0.0%") &amp; " - " &amp; TEXT(MAX(U28,U22,U16,U10,U4), "0.0%") &amp; ")"</f>
        <v>1.5% (1.5% - 1.5%)</v>
      </c>
      <c r="V40" s="28" t="str">
        <f>"AUD " &amp; TEXT(W34, "0,0") &amp; " (" &amp; TEXT(V34, "0,0") &amp; " - " &amp; TEXT(X34, "0,0") &amp; ")"</f>
        <v>AUD 78,369 (48,552 - 110,314)</v>
      </c>
      <c r="Y40" s="28" t="str">
        <f>"AUD " &amp; TEXT(Z34, "0,0") &amp; " (" &amp; TEXT(Y34, "0,0") &amp; " - " &amp; TEXT(AA34, "0,0") &amp; ")"</f>
        <v>AUD 192,514 (117,643 - 281,453)</v>
      </c>
      <c r="AB40" s="28" t="str">
        <f>"AUD " &amp; TEXT(AC34, "0,0") &amp; " (" &amp; TEXT(AB34, "0,0") &amp; " - " &amp; TEXT(AD34, "0,0") &amp; ")"</f>
        <v>AUD 98 (62 - 142)</v>
      </c>
      <c r="AE40" s="28" t="str">
        <f>"AUD " &amp; TEXT(AF34, "0,0") &amp; " (" &amp; TEXT(AE34, "0,0") &amp; " - " &amp; TEXT(AG34, "0,0") &amp; ")"</f>
        <v>AUD 78,380 (48,559 - 110,331)</v>
      </c>
      <c r="AH40" s="28" t="str">
        <f>"AUD " &amp; TEXT(AI34, "0,0") &amp; " (" &amp; TEXT(AH34, "0,0") &amp; " - " &amp; TEXT(AJ34, "0,0") &amp; ")"</f>
        <v>AUD 192,543 (117,660 - 281,496)</v>
      </c>
      <c r="AK40" s="28" t="str">
        <f>"AUD " &amp; TEXT(AL34, "0,0") &amp; " (" &amp; TEXT(AK34, "0,0") &amp; " - " &amp; TEXT(AM34, "0,0") &amp; ")"</f>
        <v>AUD 98 (62 - 142)</v>
      </c>
      <c r="AN40" s="34" t="s">
        <v>97</v>
      </c>
      <c r="AQ40" s="28" t="str">
        <f>"AUD " &amp; TEXT(AR34, "0,0") &amp; " (" &amp; TEXT(AQ34, "0,0") &amp; " - " &amp; TEXT(AS34, "0,0") &amp; ")"</f>
        <v>AUD 192,572 (117,678 - 281,538)</v>
      </c>
      <c r="AT40" s="28" t="str">
        <f>"AUD " &amp; TEXT(AU34, "0,0") &amp; " (" &amp; TEXT(AT34, "0,0") &amp; " - " &amp; TEXT(AV34, "0,0") &amp; ")"</f>
        <v>AUD 98 (62 - 142)</v>
      </c>
      <c r="AW40" s="34" t="s">
        <v>97</v>
      </c>
      <c r="AZ40" s="28" t="str">
        <f>"AUD " &amp; TEXT(BA34, "0,0") &amp; " (" &amp; TEXT(AZ34, "0,0") &amp; " - " &amp; TEXT(BB34, "0,0") &amp; ")"</f>
        <v>AUD 192,601 (117,695 - 281,580)</v>
      </c>
      <c r="BC40" s="28" t="str">
        <f>"AUD " &amp; TEXT(BD34, "0,0") &amp; " (" &amp; TEXT(BC34, "0,0") &amp; " - " &amp; TEXT(BE34, "0,0") &amp; ")"</f>
        <v>AUD 98 (62 - 143)</v>
      </c>
      <c r="BF40" s="34" t="s">
        <v>97</v>
      </c>
      <c r="BI40" s="28" t="str">
        <f>"AUD " &amp; TEXT(BJ34, "0,0") &amp; " (" &amp; TEXT(BI34, "0,0") &amp; " - " &amp; TEXT(BK34, "0,0") &amp; ")"</f>
        <v>AUD 192,630 (117,713 - 281,622)</v>
      </c>
      <c r="BL40" s="28" t="str">
        <f>"AUD " &amp; TEXT(BM34, "0,0") &amp; " (" &amp; TEXT(BL34, "0,0") &amp; " - " &amp; TEXT(BN34, "0,0") &amp; ")"</f>
        <v>AUD 98 (62 - 143)</v>
      </c>
    </row>
    <row r="41" spans="1:66" x14ac:dyDescent="0.2">
      <c r="A41" s="4" t="s">
        <v>96</v>
      </c>
      <c r="B41" s="19" t="s">
        <v>40</v>
      </c>
      <c r="J41" s="28" t="str">
        <f t="shared" ref="J41:J44" si="243">TEXT(J35, "0.0%") &amp; " (" &amp; TEXT(MIN(J29,J23,J17,J11,J5), "0.0%") &amp; " - " &amp; TEXT(MAX(J29,J23,J17,J11,J5), "0.0%") &amp; ")"</f>
        <v>11.0% (10.5% - 12.8%)</v>
      </c>
      <c r="K41" s="28" t="str">
        <f t="shared" ref="K41:K44" si="244">TEXT(K35, "0.0") &amp; " (" &amp; TEXT(MIN(K29,K23,K17,K11,K5), "0.0") &amp; " - " &amp; TEXT(MAX(K29,K23,K17,K11,K5), "0.0") &amp; ")"</f>
        <v>37.6 (36.3 - 38.0)</v>
      </c>
      <c r="L41" s="28" t="str">
        <f t="shared" ref="L41:Q41" si="245">TEXT(L35, "0.0%") &amp; " (" &amp; TEXT(MIN(L29,L23,L17,L11,L5), "0.0%") &amp; " - " &amp; TEXT(MAX(L29,L23,L17,L11,L5), "0.0%") &amp; ")"</f>
        <v>100.0% (100.0% - 100.0%)</v>
      </c>
      <c r="M41" s="28" t="str">
        <f t="shared" si="245"/>
        <v>10.0% (10.0% - 10.0%)</v>
      </c>
      <c r="N41" s="28" t="str">
        <f t="shared" si="245"/>
        <v>3.5% (3.5% - 3.5%)</v>
      </c>
      <c r="O41" s="28" t="str">
        <f t="shared" si="245"/>
        <v>0.0% (0.0% - 0.0%)</v>
      </c>
      <c r="P41" s="28" t="str">
        <f t="shared" si="245"/>
        <v>0.0% (0.0% - 0.0%)</v>
      </c>
      <c r="Q41" s="28" t="str">
        <f t="shared" si="245"/>
        <v>4.6% (4.6% - 4.6%)</v>
      </c>
      <c r="R41" s="28" t="str">
        <f t="shared" ref="R41:R44" si="246">TEXT(R35, "$0.0") &amp; " (" &amp; TEXT(MIN(R29,R23,R17,R11,R5), "$0.0") &amp; " - " &amp; TEXT(MAX(R29,R23,R17,R11,R5), "$0.0") &amp; ")"</f>
        <v>$365.2 ($0.0 - $1826.0)</v>
      </c>
      <c r="S41" s="28" t="str">
        <f t="shared" ref="S41:S44" si="247">TEXT(S35, "0.0") &amp; " (" &amp; TEXT(MIN(S29,S23,S17,S11,S5), "0.0") &amp; " - " &amp; TEXT(MAX(S29,S23,S17,S11,S5), "0.0") &amp; ")"</f>
        <v>4.4 (4.0 - 5.0)</v>
      </c>
      <c r="T41" s="28" t="str">
        <f t="shared" ref="T41:T43" si="248">TEXT(T35, "0.0%") &amp; " (" &amp; TEXT(MIN(T29,T23,T17,T11,T5), "0.0%") &amp; " - " &amp; TEXT(MAX(T29,T23,T17,T11,T5), "0.0%") &amp; ")"</f>
        <v>11.0% (0.0% - 20.0%)</v>
      </c>
      <c r="U41" s="28" t="str">
        <f t="shared" ref="U41:U44" si="249">TEXT(U35, "0.0%") &amp; " (" &amp; TEXT(MIN(U29,U23,U17,U11,U5), "0.0%") &amp; " - " &amp; TEXT(MAX(U29,U23,U17,U11,U5), "0.0%") &amp; ")"</f>
        <v>1.5% (1.5% - 1.5%)</v>
      </c>
      <c r="V41" s="28" t="str">
        <f t="shared" ref="V41:V44" si="250">"AUD " &amp; TEXT(W35, "0,0") &amp; " (" &amp; TEXT(V35, "0,0") &amp; " - " &amp; TEXT(X35, "0,0") &amp; ")"</f>
        <v>AUD 104,472 (61,204 - 142,553)</v>
      </c>
      <c r="Y41" s="28" t="str">
        <f t="shared" ref="Y41:Y44" si="251">"AUD " &amp; TEXT(Z35, "0,0") &amp; " (" &amp; TEXT(Y35, "0,0") &amp; " - " &amp; TEXT(AA35, "0,0") &amp; ")"</f>
        <v>AUD 260,971 (157,538 - 366,928)</v>
      </c>
      <c r="AB41" s="28" t="str">
        <f t="shared" ref="AB41:AB44" si="252">"AUD " &amp; TEXT(AC35, "0,0") &amp; " (" &amp; TEXT(AB35, "0,0") &amp; " - " &amp; TEXT(AD35, "0,0") &amp; ")"</f>
        <v>AUD 134 (80 - 186)</v>
      </c>
      <c r="AE41" s="28" t="str">
        <f t="shared" ref="AE41:AE44" si="253">"AUD " &amp; TEXT(AF35, "0,0") &amp; " (" &amp; TEXT(AE35, "0,0") &amp; " - " &amp; TEXT(AG35, "0,0") &amp; ")"</f>
        <v>AUD 104,488 (61,213 - 142,574)</v>
      </c>
      <c r="AH41" s="28" t="str">
        <f t="shared" ref="AH41:AH44" si="254">"AUD " &amp; TEXT(AI35, "0,0") &amp; " (" &amp; TEXT(AH35, "0,0") &amp; " - " &amp; TEXT(AJ35, "0,0") &amp; ")"</f>
        <v>AUD 261,010 (157,562 - 366,983)</v>
      </c>
      <c r="AK41" s="28" t="str">
        <f t="shared" ref="AK41:AK44" si="255">"AUD " &amp; TEXT(AL35, "0,0") &amp; " (" &amp; TEXT(AK35, "0,0") &amp; " - " &amp; TEXT(AM35, "0,0") &amp; ")"</f>
        <v>AUD 134 (80 - 186)</v>
      </c>
      <c r="AN41" s="34" t="s">
        <v>98</v>
      </c>
      <c r="AQ41" s="28" t="str">
        <f t="shared" ref="AQ41:AQ44" si="256">"AUD " &amp; TEXT(AR35, "0,0") &amp; " (" &amp; TEXT(AQ35, "0,0") &amp; " - " &amp; TEXT(AS35, "0,0") &amp; ")"</f>
        <v>AUD 261,049 (157,585 - 367,038)</v>
      </c>
      <c r="AT41" s="28" t="str">
        <f t="shared" ref="AT41:AT44" si="257">"AUD " &amp; TEXT(AU35, "0,0") &amp; " (" &amp; TEXT(AT35, "0,0") &amp; " - " &amp; TEXT(AV35, "0,0") &amp; ")"</f>
        <v>AUD 134 (80 - 186)</v>
      </c>
      <c r="AW41" s="34" t="s">
        <v>98</v>
      </c>
      <c r="AZ41" s="28" t="str">
        <f t="shared" ref="AZ41:AZ44" si="258">"AUD " &amp; TEXT(BA35, "0,0") &amp; " (" &amp; TEXT(AZ35, "0,0") &amp; " - " &amp; TEXT(BB35, "0,0") &amp; ")"</f>
        <v>AUD 261,088 (157,609 - 367,093)</v>
      </c>
      <c r="BC41" s="28" t="str">
        <f t="shared" ref="BC41:BC44" si="259">"AUD " &amp; TEXT(BD35, "0,0") &amp; " (" &amp; TEXT(BC35, "0,0") &amp; " - " &amp; TEXT(BE35, "0,0") &amp; ")"</f>
        <v>AUD 134 (80 - 186)</v>
      </c>
      <c r="BF41" s="34" t="s">
        <v>98</v>
      </c>
      <c r="BI41" s="28" t="str">
        <f t="shared" ref="BI41:BI44" si="260">"AUD " &amp; TEXT(BJ35, "0,0") &amp; " (" &amp; TEXT(BI35, "0,0") &amp; " - " &amp; TEXT(BK35, "0,0") &amp; ")"</f>
        <v>AUD 261,128 (157,632 - 367,148)</v>
      </c>
      <c r="BL41" s="28" t="str">
        <f t="shared" ref="BL41:BL44" si="261">"AUD " &amp; TEXT(BM35, "0,0") &amp; " (" &amp; TEXT(BL35, "0,0") &amp; " - " &amp; TEXT(BN35, "0,0") &amp; ")"</f>
        <v>AUD 134 (80 - 186)</v>
      </c>
    </row>
    <row r="42" spans="1:66" x14ac:dyDescent="0.2">
      <c r="A42" s="4" t="s">
        <v>96</v>
      </c>
      <c r="B42" s="19" t="s">
        <v>47</v>
      </c>
      <c r="J42" s="28" t="str">
        <f t="shared" si="243"/>
        <v>11.0% (10.5% - 12.8%)</v>
      </c>
      <c r="K42" s="28" t="str">
        <f t="shared" si="244"/>
        <v>38.0 (36.3 - 40.0)</v>
      </c>
      <c r="L42" s="28" t="str">
        <f t="shared" ref="L42:Q42" si="262">TEXT(L36, "0.0%") &amp; " (" &amp; TEXT(MIN(L30,L24,L18,L12,L6), "0.0%") &amp; " - " &amp; TEXT(MAX(L30,L24,L18,L12,L6), "0.0%") &amp; ")"</f>
        <v>100.0% (100.0% - 100.0%)</v>
      </c>
      <c r="M42" s="28" t="str">
        <f t="shared" si="262"/>
        <v>10.0% (10.0% - 10.0%)</v>
      </c>
      <c r="N42" s="28" t="str">
        <f t="shared" si="262"/>
        <v>3.5% (3.5% - 3.5%)</v>
      </c>
      <c r="O42" s="28" t="str">
        <f t="shared" si="262"/>
        <v>0.0% (0.0% - 0.0%)</v>
      </c>
      <c r="P42" s="28" t="str">
        <f t="shared" si="262"/>
        <v>0.0% (0.0% - 0.0%)</v>
      </c>
      <c r="Q42" s="28" t="str">
        <f t="shared" si="262"/>
        <v>4.6% (4.6% - 4.6%)</v>
      </c>
      <c r="R42" s="28" t="str">
        <f t="shared" si="246"/>
        <v>$365.2 ($0.0 - $1826.0)</v>
      </c>
      <c r="S42" s="28" t="str">
        <f t="shared" si="247"/>
        <v>4.0 (4.0 - 4.0)</v>
      </c>
      <c r="T42" s="28" t="str">
        <f t="shared" si="248"/>
        <v>7.5% (0.0% - 20.0%)</v>
      </c>
      <c r="U42" s="28" t="str">
        <f t="shared" si="249"/>
        <v>1.5% (1.5% - 1.5%)</v>
      </c>
      <c r="V42" s="28" t="str">
        <f t="shared" si="250"/>
        <v>AUD 65,203 (47,704 - 91,460)</v>
      </c>
      <c r="Y42" s="28" t="str">
        <f t="shared" si="251"/>
        <v>AUD 160,373 (113,848 - 233,350)</v>
      </c>
      <c r="AB42" s="28" t="str">
        <f t="shared" si="252"/>
        <v>AUD 81 (55 - 118)</v>
      </c>
      <c r="AE42" s="28" t="str">
        <f t="shared" si="253"/>
        <v>AUD 65,213 (47,711 - 91,474)</v>
      </c>
      <c r="AH42" s="28" t="str">
        <f t="shared" si="254"/>
        <v>AUD 160,397 (113,865 - 233,385)</v>
      </c>
      <c r="AK42" s="28" t="str">
        <f t="shared" si="255"/>
        <v>AUD 81 (55 - 118)</v>
      </c>
      <c r="AN42" s="34" t="s">
        <v>99</v>
      </c>
      <c r="AQ42" s="28" t="str">
        <f t="shared" si="256"/>
        <v>AUD 160,421 (113,882 - 233,420)</v>
      </c>
      <c r="AT42" s="28" t="str">
        <f t="shared" si="257"/>
        <v>AUD 81 (55 - 118)</v>
      </c>
      <c r="AW42" s="34" t="s">
        <v>99</v>
      </c>
      <c r="AZ42" s="28" t="str">
        <f t="shared" si="258"/>
        <v>AUD 160,445 (113,900 - 233,455)</v>
      </c>
      <c r="BC42" s="28" t="str">
        <f t="shared" si="259"/>
        <v>AUD 81 (55 - 118)</v>
      </c>
      <c r="BF42" s="34" t="s">
        <v>99</v>
      </c>
      <c r="BI42" s="28" t="str">
        <f t="shared" si="260"/>
        <v>AUD 160,469 (113,917 - 233,490)</v>
      </c>
      <c r="BL42" s="28" t="str">
        <f t="shared" si="261"/>
        <v>AUD 81 (55 - 118)</v>
      </c>
    </row>
    <row r="43" spans="1:66" x14ac:dyDescent="0.2">
      <c r="A43" s="4" t="s">
        <v>96</v>
      </c>
      <c r="B43" s="19" t="s">
        <v>50</v>
      </c>
      <c r="J43" s="28" t="str">
        <f t="shared" si="243"/>
        <v>11.0% (10.5% - 12.8%)</v>
      </c>
      <c r="K43" s="28" t="str">
        <f t="shared" si="244"/>
        <v>38.0 (36.3 - 40.0)</v>
      </c>
      <c r="L43" s="28" t="str">
        <f t="shared" ref="L43:Q44" si="263">TEXT(L37, "0.0%") &amp; " (" &amp; TEXT(MIN(L31,L25,L19,L13,L7), "0.0%") &amp; " - " &amp; TEXT(MAX(L31,L25,L19,L13,L7), "0.0%") &amp; ")"</f>
        <v>100.0% (100.0% - 100.0%)</v>
      </c>
      <c r="M43" s="28" t="str">
        <f t="shared" si="263"/>
        <v>10.0% (10.0% - 10.0%)</v>
      </c>
      <c r="N43" s="28" t="str">
        <f t="shared" si="263"/>
        <v>3.5% (3.5% - 3.5%)</v>
      </c>
      <c r="O43" s="28" t="str">
        <f t="shared" si="263"/>
        <v>0.0% (0.0% - 0.0%)</v>
      </c>
      <c r="P43" s="28" t="str">
        <f t="shared" si="263"/>
        <v>0.0% (0.0% - 0.0%)</v>
      </c>
      <c r="Q43" s="28" t="str">
        <f t="shared" si="263"/>
        <v>4.6% (4.6% - 4.6%)</v>
      </c>
      <c r="R43" s="28" t="str">
        <f t="shared" si="246"/>
        <v>$365.2 ($0.0 - $1826.0)</v>
      </c>
      <c r="S43" s="28" t="str">
        <f t="shared" si="247"/>
        <v>4.0 (4.0 - 4.0)</v>
      </c>
      <c r="T43" s="28" t="str">
        <f t="shared" si="248"/>
        <v>11.0% (0.0% - 20.0%)</v>
      </c>
      <c r="U43" s="28" t="str">
        <f t="shared" si="249"/>
        <v>1.5% (1.5% - 1.5%)</v>
      </c>
      <c r="V43" s="28" t="str">
        <f t="shared" si="250"/>
        <v>AUD 94,994 (66,106 - 139,576)</v>
      </c>
      <c r="Y43" s="28" t="str">
        <f t="shared" si="251"/>
        <v>AUD 236,283 (156,865 - 334,774)</v>
      </c>
      <c r="AB43" s="28" t="str">
        <f t="shared" si="252"/>
        <v>AUD 120 (80 - 178)</v>
      </c>
      <c r="AE43" s="28" t="str">
        <f t="shared" si="253"/>
        <v>AUD 95,008 (66,116 - 139,597)</v>
      </c>
      <c r="AH43" s="28" t="str">
        <f t="shared" si="254"/>
        <v>AUD 236,319 (156,889 - 334,824)</v>
      </c>
      <c r="AK43" s="28" t="str">
        <f t="shared" si="255"/>
        <v>AUD 120 (80 - 178)</v>
      </c>
      <c r="AN43" s="34" t="s">
        <v>100</v>
      </c>
      <c r="AQ43" s="28" t="str">
        <f t="shared" si="256"/>
        <v>AUD 236,354 (156,912 - 334,874)</v>
      </c>
      <c r="AT43" s="28" t="str">
        <f t="shared" si="257"/>
        <v>AUD 120 (80 - 178)</v>
      </c>
      <c r="AW43" s="34" t="s">
        <v>100</v>
      </c>
      <c r="AZ43" s="28" t="str">
        <f t="shared" si="258"/>
        <v>AUD 236,389 (156,936 - 334,924)</v>
      </c>
      <c r="BC43" s="28" t="str">
        <f t="shared" si="259"/>
        <v>AUD 120 (80 - 178)</v>
      </c>
      <c r="BF43" s="34" t="s">
        <v>100</v>
      </c>
      <c r="BI43" s="28" t="str">
        <f t="shared" si="260"/>
        <v>AUD 236,425 (156,959 - 334,974)</v>
      </c>
      <c r="BL43" s="28" t="str">
        <f t="shared" si="261"/>
        <v>AUD 120 (80 - 178)</v>
      </c>
    </row>
    <row r="44" spans="1:66" x14ac:dyDescent="0.2">
      <c r="A44" s="4" t="s">
        <v>96</v>
      </c>
      <c r="B44" s="19" t="s">
        <v>55</v>
      </c>
      <c r="J44" s="28" t="str">
        <f t="shared" si="243"/>
        <v>11.0% (10.5% - 12.8%)</v>
      </c>
      <c r="K44" s="28" t="str">
        <f t="shared" si="244"/>
        <v>38.8 (38.0 - 40.0)</v>
      </c>
      <c r="L44" s="28" t="str">
        <f t="shared" si="263"/>
        <v>100.0% (100.0% - 100.0%)</v>
      </c>
      <c r="M44" s="28" t="str">
        <f t="shared" si="263"/>
        <v>0.0% (0.0% - 0.0%)</v>
      </c>
      <c r="N44" s="28" t="str">
        <f t="shared" si="263"/>
        <v>3.5% (3.5% - 3.5%)</v>
      </c>
      <c r="O44" s="28" t="str">
        <f t="shared" si="263"/>
        <v>4.0% (0.0% - 20.0%)</v>
      </c>
      <c r="P44" s="28" t="str">
        <f t="shared" si="263"/>
        <v>25.5% (0.0% - 60.0%)</v>
      </c>
      <c r="Q44" s="28" t="str">
        <f t="shared" si="263"/>
        <v>4.6% (4.6% - 4.6%)</v>
      </c>
      <c r="R44" s="28" t="str">
        <f t="shared" si="246"/>
        <v>$28681.8 ($21500.0 - $38000.0)</v>
      </c>
      <c r="S44" s="28" t="str">
        <f t="shared" si="247"/>
        <v>4.4 (4.0 - 5.0)</v>
      </c>
      <c r="T44" s="28" t="str">
        <f>TEXT(T38, "0.0%") &amp; " (" &amp; TEXT(MIN(T32,T26,T20,T14,T8), "0.0%") &amp; " - " &amp; TEXT(MAX(T32,T26,T20,T14,T8), "0.0%") &amp; ")"</f>
        <v>10.5% (0.0% - 17.5%)</v>
      </c>
      <c r="U44" s="28" t="str">
        <f t="shared" si="249"/>
        <v>1.5% (1.5% - 1.5%)</v>
      </c>
      <c r="V44" s="28" t="str">
        <f t="shared" si="250"/>
        <v>AUD 266,292 (179,078 - 386,515)</v>
      </c>
      <c r="Y44" s="28" t="str">
        <f t="shared" si="251"/>
        <v>AUD 732,329 (548,011 - 923,661)</v>
      </c>
      <c r="AB44" s="28" t="str">
        <f t="shared" si="252"/>
        <v>AUD 363 (263 - 467)</v>
      </c>
      <c r="AE44" s="28" t="str">
        <f t="shared" si="253"/>
        <v>AUD 266,332 (179,105 - 386,573)</v>
      </c>
      <c r="AH44" s="28" t="str">
        <f t="shared" si="254"/>
        <v>AUD 732,434 (548,087 - 923,795)</v>
      </c>
      <c r="AK44" s="28" t="str">
        <f t="shared" si="255"/>
        <v>AUD 363 (264 - 468)</v>
      </c>
      <c r="AN44" s="34" t="s">
        <v>101</v>
      </c>
      <c r="AQ44" s="28" t="str">
        <f t="shared" si="256"/>
        <v>AUD 732,540 (548,164 - 923,930)</v>
      </c>
      <c r="AT44" s="28" t="str">
        <f t="shared" si="257"/>
        <v>AUD 363 (264 - 468)</v>
      </c>
      <c r="AW44" s="34" t="s">
        <v>101</v>
      </c>
      <c r="AZ44" s="28" t="str">
        <f t="shared" si="258"/>
        <v>AUD 732,646 (548,240 - 924,065)</v>
      </c>
      <c r="BC44" s="28" t="str">
        <f t="shared" si="259"/>
        <v>AUD 363 (264 - 468)</v>
      </c>
      <c r="BF44" s="34" t="s">
        <v>101</v>
      </c>
      <c r="BI44" s="28" t="str">
        <f t="shared" si="260"/>
        <v>AUD 732,751 (548,317 - 924,199)</v>
      </c>
      <c r="BL44" s="28" t="str">
        <f t="shared" si="261"/>
        <v>AUD 364 (264 - 468)</v>
      </c>
    </row>
    <row r="45" spans="1:66" x14ac:dyDescent="0.2">
      <c r="J45" s="28"/>
      <c r="K45" s="28"/>
      <c r="L45" s="28"/>
      <c r="M45" s="28"/>
      <c r="N45" s="28"/>
      <c r="O45" s="28"/>
      <c r="P45" s="28"/>
      <c r="Q45" s="28"/>
      <c r="R45" s="28"/>
      <c r="S45" s="28"/>
      <c r="T45" s="28"/>
      <c r="U45" s="28"/>
      <c r="V45" s="28"/>
      <c r="Y45" s="28"/>
      <c r="AB45" s="28"/>
      <c r="AE45" s="28"/>
      <c r="AH45" s="28"/>
      <c r="AK45" s="28"/>
      <c r="AN45" s="34"/>
      <c r="AQ45" s="28"/>
      <c r="AT45" s="28"/>
      <c r="AW45" s="34"/>
      <c r="AZ45" s="28"/>
      <c r="BC45" s="28"/>
      <c r="BF45" s="34"/>
      <c r="BI45" s="28"/>
      <c r="BL45" s="28"/>
    </row>
    <row r="46" spans="1:66" x14ac:dyDescent="0.2">
      <c r="A46" s="4" t="s">
        <v>102</v>
      </c>
    </row>
    <row r="47" spans="1:66" x14ac:dyDescent="0.2">
      <c r="A47" s="4" t="s">
        <v>32</v>
      </c>
      <c r="B47" s="19" t="s">
        <v>33</v>
      </c>
      <c r="J47" s="36">
        <f>(J4*$W4)</f>
        <v>9971.744999999999</v>
      </c>
      <c r="K47" s="7"/>
      <c r="L47" s="37"/>
      <c r="M47" s="36">
        <f>(M4*$W4)</f>
        <v>9496.9</v>
      </c>
      <c r="N47" s="36">
        <f>(N4*$W4)</f>
        <v>3323.9150000000004</v>
      </c>
      <c r="O47" s="36">
        <f>(O4*$W4)</f>
        <v>0</v>
      </c>
      <c r="P47" s="36">
        <f>(P4*$W4)</f>
        <v>0</v>
      </c>
      <c r="Q47" s="36">
        <f>(Q4*$W4)</f>
        <v>4368.5739999999996</v>
      </c>
      <c r="R47" s="36">
        <f>R4</f>
        <v>0</v>
      </c>
      <c r="S47" s="36">
        <f>(S4/52*$W4)</f>
        <v>7305.3076923076924</v>
      </c>
      <c r="T47" s="36">
        <f>(T4*$W4)</f>
        <v>16619.575000000001</v>
      </c>
      <c r="U47" s="5"/>
      <c r="V47" s="36">
        <f>V4</f>
        <v>79624</v>
      </c>
      <c r="W47" s="36">
        <f t="shared" ref="W47:X47" si="264">W4</f>
        <v>94969</v>
      </c>
      <c r="X47" s="36">
        <f t="shared" si="264"/>
        <v>110314</v>
      </c>
    </row>
    <row r="48" spans="1:66" x14ac:dyDescent="0.2">
      <c r="A48" s="4" t="s">
        <v>32</v>
      </c>
      <c r="B48" s="19" t="s">
        <v>40</v>
      </c>
      <c r="J48" s="36">
        <f>(J5*$W5)</f>
        <v>10697.232</v>
      </c>
      <c r="K48" s="7"/>
      <c r="L48" s="37"/>
      <c r="M48" s="36">
        <f t="shared" ref="M48:Q48" si="265">(M5*$W5)</f>
        <v>10187.840000000002</v>
      </c>
      <c r="N48" s="36">
        <f t="shared" si="265"/>
        <v>3565.7440000000006</v>
      </c>
      <c r="O48" s="36">
        <f t="shared" si="265"/>
        <v>0</v>
      </c>
      <c r="P48" s="36">
        <f t="shared" si="265"/>
        <v>0</v>
      </c>
      <c r="Q48" s="36">
        <f t="shared" si="265"/>
        <v>4686.4064000000008</v>
      </c>
      <c r="R48" s="36">
        <f t="shared" ref="R48:R51" si="266">R5</f>
        <v>0</v>
      </c>
      <c r="S48" s="36">
        <f t="shared" ref="S48:S51" si="267">(S5/52*$W5)</f>
        <v>9796.0000000000018</v>
      </c>
      <c r="T48" s="36">
        <f t="shared" ref="T48:T51" si="268">(T5*$W5)</f>
        <v>17828.72</v>
      </c>
      <c r="U48" s="5"/>
      <c r="V48" s="36">
        <f t="shared" ref="V48:X48" si="269">V5</f>
        <v>61204</v>
      </c>
      <c r="W48" s="36">
        <f t="shared" si="269"/>
        <v>101878.40000000001</v>
      </c>
      <c r="X48" s="36">
        <f t="shared" si="269"/>
        <v>142552.80000000002</v>
      </c>
    </row>
    <row r="49" spans="1:24" x14ac:dyDescent="0.2">
      <c r="A49" s="4" t="s">
        <v>32</v>
      </c>
      <c r="B49" s="19" t="s">
        <v>47</v>
      </c>
      <c r="J49" s="36">
        <f t="shared" ref="J49:J51" si="270">(J6*$W6)</f>
        <v>8145.9524999999994</v>
      </c>
      <c r="K49" s="7"/>
      <c r="L49" s="37"/>
      <c r="M49" s="36">
        <f t="shared" ref="M49:Q49" si="271">(M6*$W6)</f>
        <v>7758.05</v>
      </c>
      <c r="N49" s="36">
        <f t="shared" si="271"/>
        <v>2715.3175000000001</v>
      </c>
      <c r="O49" s="36">
        <f t="shared" si="271"/>
        <v>0</v>
      </c>
      <c r="P49" s="36">
        <f t="shared" si="271"/>
        <v>0</v>
      </c>
      <c r="Q49" s="36">
        <f t="shared" si="271"/>
        <v>3568.703</v>
      </c>
      <c r="R49" s="36">
        <f t="shared" si="266"/>
        <v>0</v>
      </c>
      <c r="S49" s="36">
        <f t="shared" si="267"/>
        <v>5967.7307692307695</v>
      </c>
      <c r="T49" s="36">
        <f t="shared" si="268"/>
        <v>13576.5875</v>
      </c>
      <c r="U49" s="5"/>
      <c r="V49" s="36">
        <f t="shared" ref="V49:X49" si="272">V6</f>
        <v>63701</v>
      </c>
      <c r="W49" s="36">
        <f t="shared" si="272"/>
        <v>77580.5</v>
      </c>
      <c r="X49" s="36">
        <f t="shared" si="272"/>
        <v>91460</v>
      </c>
    </row>
    <row r="50" spans="1:24" x14ac:dyDescent="0.2">
      <c r="A50" s="4" t="s">
        <v>32</v>
      </c>
      <c r="B50" s="19" t="s">
        <v>50</v>
      </c>
      <c r="J50" s="36">
        <f t="shared" si="270"/>
        <v>10695.404999999999</v>
      </c>
      <c r="K50" s="7"/>
      <c r="L50" s="37"/>
      <c r="M50" s="36">
        <f t="shared" ref="M50:Q50" si="273">(M7*$W7)</f>
        <v>10186.1</v>
      </c>
      <c r="N50" s="36">
        <f t="shared" si="273"/>
        <v>3565.1350000000002</v>
      </c>
      <c r="O50" s="36">
        <f t="shared" si="273"/>
        <v>0</v>
      </c>
      <c r="P50" s="36">
        <f t="shared" si="273"/>
        <v>0</v>
      </c>
      <c r="Q50" s="36">
        <f t="shared" si="273"/>
        <v>4685.6059999999998</v>
      </c>
      <c r="R50" s="36">
        <f t="shared" si="266"/>
        <v>0</v>
      </c>
      <c r="S50" s="36">
        <f t="shared" si="267"/>
        <v>7835.461538461539</v>
      </c>
      <c r="T50" s="36">
        <f t="shared" si="268"/>
        <v>17825.674999999999</v>
      </c>
      <c r="U50" s="5"/>
      <c r="V50" s="36">
        <f t="shared" ref="V50:X50" si="274">V7</f>
        <v>79624</v>
      </c>
      <c r="W50" s="36">
        <f t="shared" si="274"/>
        <v>101861</v>
      </c>
      <c r="X50" s="36">
        <f t="shared" si="274"/>
        <v>124098</v>
      </c>
    </row>
    <row r="51" spans="1:24" x14ac:dyDescent="0.2">
      <c r="A51" s="4" t="s">
        <v>32</v>
      </c>
      <c r="B51" s="19" t="s">
        <v>55</v>
      </c>
      <c r="J51" s="36">
        <f t="shared" si="270"/>
        <v>31106.029500000001</v>
      </c>
      <c r="K51" s="7"/>
      <c r="L51" s="37"/>
      <c r="M51" s="36">
        <f t="shared" ref="M51:Q51" si="275">(M8*$W8)</f>
        <v>0</v>
      </c>
      <c r="N51" s="36">
        <f t="shared" si="275"/>
        <v>10368.676500000001</v>
      </c>
      <c r="O51" s="36">
        <f t="shared" si="275"/>
        <v>0</v>
      </c>
      <c r="P51" s="36">
        <f t="shared" si="275"/>
        <v>0</v>
      </c>
      <c r="Q51" s="36">
        <f t="shared" si="275"/>
        <v>13627.403400000001</v>
      </c>
      <c r="R51" s="36">
        <f t="shared" si="266"/>
        <v>29000.16</v>
      </c>
      <c r="S51" s="36">
        <f t="shared" si="267"/>
        <v>22788.300000000003</v>
      </c>
      <c r="T51" s="36">
        <f t="shared" si="268"/>
        <v>51843.3825</v>
      </c>
      <c r="U51" s="5"/>
      <c r="V51" s="36">
        <f t="shared" ref="V51:X51" si="276">V8</f>
        <v>249470</v>
      </c>
      <c r="W51" s="36">
        <f t="shared" si="276"/>
        <v>296247.90000000002</v>
      </c>
      <c r="X51" s="36">
        <f t="shared" si="276"/>
        <v>343025.8</v>
      </c>
    </row>
    <row r="52" spans="1:24" x14ac:dyDescent="0.2">
      <c r="J52" s="6"/>
      <c r="K52" s="7"/>
      <c r="L52" s="37"/>
      <c r="M52" s="37"/>
      <c r="N52" s="37"/>
      <c r="O52" s="38"/>
      <c r="P52" s="37"/>
      <c r="Q52" s="37"/>
      <c r="R52" s="26"/>
      <c r="S52" s="5"/>
      <c r="T52" s="37"/>
      <c r="U52" s="5"/>
      <c r="V52" s="36"/>
      <c r="W52" s="36"/>
      <c r="X52" s="36"/>
    </row>
    <row r="53" spans="1:24" x14ac:dyDescent="0.2">
      <c r="A53" s="4" t="s">
        <v>62</v>
      </c>
      <c r="B53" s="19" t="s">
        <v>33</v>
      </c>
      <c r="J53" s="36">
        <f>(J10*$W10)</f>
        <v>8155.665</v>
      </c>
      <c r="K53" s="7"/>
      <c r="L53" s="37"/>
      <c r="M53" s="36">
        <f>(M10*$W10)</f>
        <v>7767.3</v>
      </c>
      <c r="N53" s="36">
        <f>(N10*$W10)</f>
        <v>2718.5550000000003</v>
      </c>
      <c r="O53" s="36">
        <f>(O10*$W10)</f>
        <v>0</v>
      </c>
      <c r="P53" s="36">
        <f>(P10*$W10)</f>
        <v>0</v>
      </c>
      <c r="Q53" s="36">
        <f>(Q10*$W10)</f>
        <v>3572.9580000000001</v>
      </c>
      <c r="R53" s="36">
        <f>R10</f>
        <v>0</v>
      </c>
      <c r="S53" s="36">
        <f>(S10/52*$W10)</f>
        <v>5974.8461538461543</v>
      </c>
      <c r="T53" s="36">
        <f>(T10*$W10)</f>
        <v>0</v>
      </c>
      <c r="U53" s="5"/>
      <c r="V53" s="36">
        <f>V10</f>
        <v>54364</v>
      </c>
      <c r="W53" s="36">
        <f t="shared" ref="W53:X53" si="277">W10</f>
        <v>77673</v>
      </c>
      <c r="X53" s="36">
        <f t="shared" si="277"/>
        <v>100982</v>
      </c>
    </row>
    <row r="54" spans="1:24" x14ac:dyDescent="0.2">
      <c r="A54" s="4" t="s">
        <v>62</v>
      </c>
      <c r="B54" s="19" t="s">
        <v>40</v>
      </c>
      <c r="J54" s="36">
        <f t="shared" ref="J54:J57" si="278">(J11*$W11)</f>
        <v>10944.99</v>
      </c>
      <c r="K54" s="7"/>
      <c r="L54" s="37"/>
      <c r="M54" s="36">
        <f t="shared" ref="M54:Q54" si="279">(M11*$W11)</f>
        <v>10423.800000000001</v>
      </c>
      <c r="N54" s="36">
        <f t="shared" si="279"/>
        <v>3648.3300000000004</v>
      </c>
      <c r="O54" s="36">
        <f t="shared" si="279"/>
        <v>0</v>
      </c>
      <c r="P54" s="36">
        <f t="shared" si="279"/>
        <v>0</v>
      </c>
      <c r="Q54" s="36">
        <f t="shared" si="279"/>
        <v>4794.9480000000003</v>
      </c>
      <c r="R54" s="36">
        <f t="shared" ref="R54:R57" si="280">R11</f>
        <v>0</v>
      </c>
      <c r="S54" s="36">
        <f t="shared" ref="S54:S57" si="281">(S11/52*$W11)</f>
        <v>10022.884615384615</v>
      </c>
      <c r="T54" s="36">
        <f t="shared" ref="T54:T57" si="282">(T11*$W11)</f>
        <v>0</v>
      </c>
      <c r="U54" s="5"/>
      <c r="V54" s="36">
        <f t="shared" ref="V54:X54" si="283">V11</f>
        <v>66386</v>
      </c>
      <c r="W54" s="36">
        <f t="shared" si="283"/>
        <v>104238</v>
      </c>
      <c r="X54" s="36">
        <f t="shared" si="283"/>
        <v>142090</v>
      </c>
    </row>
    <row r="55" spans="1:24" x14ac:dyDescent="0.2">
      <c r="A55" s="4" t="s">
        <v>62</v>
      </c>
      <c r="B55" s="19" t="s">
        <v>47</v>
      </c>
      <c r="J55" s="36">
        <f t="shared" si="278"/>
        <v>6654.2699999999995</v>
      </c>
      <c r="K55" s="7"/>
      <c r="L55" s="37"/>
      <c r="M55" s="36">
        <f t="shared" ref="M55:Q55" si="284">(M12*$W12)</f>
        <v>6337.4000000000005</v>
      </c>
      <c r="N55" s="36">
        <f t="shared" si="284"/>
        <v>2218.09</v>
      </c>
      <c r="O55" s="36">
        <f t="shared" si="284"/>
        <v>0</v>
      </c>
      <c r="P55" s="36">
        <f t="shared" si="284"/>
        <v>0</v>
      </c>
      <c r="Q55" s="36">
        <f t="shared" si="284"/>
        <v>2915.2039999999997</v>
      </c>
      <c r="R55" s="36">
        <f t="shared" si="280"/>
        <v>0</v>
      </c>
      <c r="S55" s="36">
        <f t="shared" si="281"/>
        <v>4874.9230769230771</v>
      </c>
      <c r="T55" s="36">
        <f t="shared" si="282"/>
        <v>0</v>
      </c>
      <c r="U55" s="5"/>
      <c r="V55" s="36">
        <f t="shared" ref="V55:X55" si="285">V12</f>
        <v>56916</v>
      </c>
      <c r="W55" s="36">
        <f t="shared" si="285"/>
        <v>63374</v>
      </c>
      <c r="X55" s="36">
        <f t="shared" si="285"/>
        <v>69832</v>
      </c>
    </row>
    <row r="56" spans="1:24" x14ac:dyDescent="0.2">
      <c r="A56" s="4" t="s">
        <v>62</v>
      </c>
      <c r="B56" s="19" t="s">
        <v>50</v>
      </c>
      <c r="J56" s="36">
        <f t="shared" si="278"/>
        <v>9616.6875</v>
      </c>
      <c r="K56" s="7"/>
      <c r="L56" s="37"/>
      <c r="M56" s="36">
        <f t="shared" ref="M56:Q56" si="286">(M13*$W13)</f>
        <v>9158.75</v>
      </c>
      <c r="N56" s="36">
        <f t="shared" si="286"/>
        <v>3205.5625000000005</v>
      </c>
      <c r="O56" s="36">
        <f t="shared" si="286"/>
        <v>0</v>
      </c>
      <c r="P56" s="36">
        <f t="shared" si="286"/>
        <v>0</v>
      </c>
      <c r="Q56" s="36">
        <f t="shared" si="286"/>
        <v>4213.0249999999996</v>
      </c>
      <c r="R56" s="36">
        <f t="shared" si="280"/>
        <v>0</v>
      </c>
      <c r="S56" s="36">
        <f t="shared" si="281"/>
        <v>7045.1923076923085</v>
      </c>
      <c r="T56" s="36">
        <f t="shared" si="282"/>
        <v>0</v>
      </c>
      <c r="U56" s="5"/>
      <c r="V56" s="36">
        <f t="shared" ref="V56:X56" si="287">V13</f>
        <v>66386</v>
      </c>
      <c r="W56" s="36">
        <f t="shared" si="287"/>
        <v>91587.5</v>
      </c>
      <c r="X56" s="36">
        <f t="shared" si="287"/>
        <v>116789</v>
      </c>
    </row>
    <row r="57" spans="1:24" x14ac:dyDescent="0.2">
      <c r="A57" s="4" t="s">
        <v>62</v>
      </c>
      <c r="B57" s="19" t="s">
        <v>55</v>
      </c>
      <c r="J57" s="36">
        <f t="shared" si="278"/>
        <v>26966.1525</v>
      </c>
      <c r="K57" s="7"/>
      <c r="L57" s="37"/>
      <c r="M57" s="36">
        <f t="shared" ref="M57:Q57" si="288">(M14*$W14)</f>
        <v>0</v>
      </c>
      <c r="N57" s="36">
        <f t="shared" si="288"/>
        <v>8988.7175000000007</v>
      </c>
      <c r="O57" s="36">
        <f t="shared" si="288"/>
        <v>0</v>
      </c>
      <c r="P57" s="36">
        <f t="shared" si="288"/>
        <v>154092.29999999999</v>
      </c>
      <c r="Q57" s="36">
        <f t="shared" si="288"/>
        <v>11813.743</v>
      </c>
      <c r="R57" s="36">
        <f t="shared" si="280"/>
        <v>26000</v>
      </c>
      <c r="S57" s="36">
        <f t="shared" si="281"/>
        <v>24694.278846153848</v>
      </c>
      <c r="T57" s="36">
        <f t="shared" si="282"/>
        <v>44943.587499999994</v>
      </c>
      <c r="U57" s="5"/>
      <c r="V57" s="36">
        <f t="shared" ref="V57:X57" si="289">V14</f>
        <v>221622</v>
      </c>
      <c r="W57" s="36">
        <f t="shared" si="289"/>
        <v>256820.5</v>
      </c>
      <c r="X57" s="36">
        <f t="shared" si="289"/>
        <v>292019</v>
      </c>
    </row>
    <row r="58" spans="1:24" x14ac:dyDescent="0.2">
      <c r="J58" s="6"/>
      <c r="K58" s="7"/>
      <c r="L58" s="37"/>
      <c r="M58" s="37"/>
      <c r="N58" s="37"/>
      <c r="O58" s="38"/>
      <c r="P58" s="37"/>
      <c r="Q58" s="37"/>
      <c r="R58" s="26"/>
      <c r="S58" s="5"/>
      <c r="T58" s="37"/>
      <c r="U58" s="5"/>
      <c r="V58" s="36"/>
      <c r="W58" s="36"/>
      <c r="X58" s="36"/>
    </row>
    <row r="59" spans="1:24" x14ac:dyDescent="0.2">
      <c r="A59" s="4" t="s">
        <v>74</v>
      </c>
      <c r="B59" s="19" t="s">
        <v>33</v>
      </c>
      <c r="J59" s="36">
        <f>(J16*$W16)</f>
        <v>8151.9437999999991</v>
      </c>
      <c r="K59" s="7"/>
      <c r="L59" s="37"/>
      <c r="M59" s="36">
        <f>(M16*$W16)</f>
        <v>7763.7560000000003</v>
      </c>
      <c r="N59" s="36">
        <f>(N16*$W16)</f>
        <v>2717.3146000000002</v>
      </c>
      <c r="O59" s="36">
        <f>(O16*$W16)</f>
        <v>0</v>
      </c>
      <c r="P59" s="36">
        <f>(P16*$W16)</f>
        <v>0</v>
      </c>
      <c r="Q59" s="36">
        <f>(Q16*$W16)</f>
        <v>3571.3277599999997</v>
      </c>
      <c r="R59" s="36">
        <f>R16</f>
        <v>0</v>
      </c>
      <c r="S59" s="36">
        <f>(S16/52*$W16)</f>
        <v>5972.12</v>
      </c>
      <c r="T59" s="36">
        <f>(T16*$W16)</f>
        <v>0</v>
      </c>
      <c r="U59" s="5"/>
      <c r="V59" s="36">
        <f>V16</f>
        <v>60017.880000000005</v>
      </c>
      <c r="W59" s="36">
        <f t="shared" ref="W59:X59" si="290">W16</f>
        <v>77637.56</v>
      </c>
      <c r="X59" s="36">
        <f t="shared" si="290"/>
        <v>95257.239999999991</v>
      </c>
    </row>
    <row r="60" spans="1:24" x14ac:dyDescent="0.2">
      <c r="A60" s="4" t="s">
        <v>74</v>
      </c>
      <c r="B60" s="19" t="s">
        <v>40</v>
      </c>
      <c r="J60" s="36">
        <f t="shared" ref="J60:J63" si="291">(J17*$W17)</f>
        <v>10804.466399999999</v>
      </c>
      <c r="K60" s="7"/>
      <c r="L60" s="37"/>
      <c r="M60" s="36">
        <f t="shared" ref="M60:Q60" si="292">(M17*$W17)</f>
        <v>10289.968000000001</v>
      </c>
      <c r="N60" s="36">
        <f t="shared" si="292"/>
        <v>3601.4888000000001</v>
      </c>
      <c r="O60" s="36">
        <f t="shared" si="292"/>
        <v>0</v>
      </c>
      <c r="P60" s="36">
        <f t="shared" si="292"/>
        <v>0</v>
      </c>
      <c r="Q60" s="36">
        <f t="shared" si="292"/>
        <v>4733.3852799999995</v>
      </c>
      <c r="R60" s="36">
        <f t="shared" ref="R60:R63" si="293">R17</f>
        <v>0</v>
      </c>
      <c r="S60" s="36">
        <f t="shared" ref="S60:S63" si="294">(S17/52*$W17)</f>
        <v>7915.36</v>
      </c>
      <c r="T60" s="36">
        <f t="shared" ref="T60:T63" si="295">(T17*$W17)</f>
        <v>18007.443999999996</v>
      </c>
      <c r="U60" s="5"/>
      <c r="V60" s="36">
        <f t="shared" ref="V60:X60" si="296">V17</f>
        <v>67224.039999999994</v>
      </c>
      <c r="W60" s="36">
        <f t="shared" si="296"/>
        <v>102899.68</v>
      </c>
      <c r="X60" s="36">
        <f t="shared" si="296"/>
        <v>138575.32</v>
      </c>
    </row>
    <row r="61" spans="1:24" x14ac:dyDescent="0.2">
      <c r="A61" s="4" t="s">
        <v>74</v>
      </c>
      <c r="B61" s="19" t="s">
        <v>47</v>
      </c>
      <c r="J61" s="36">
        <f t="shared" si="291"/>
        <v>6084.0233999999991</v>
      </c>
      <c r="K61" s="7"/>
      <c r="L61" s="37"/>
      <c r="M61" s="36">
        <f t="shared" ref="M61:Q61" si="297">(M18*$W18)</f>
        <v>5794.308</v>
      </c>
      <c r="N61" s="36">
        <f t="shared" si="297"/>
        <v>2028.0078000000001</v>
      </c>
      <c r="O61" s="36">
        <f t="shared" si="297"/>
        <v>0</v>
      </c>
      <c r="P61" s="36">
        <f t="shared" si="297"/>
        <v>0</v>
      </c>
      <c r="Q61" s="36">
        <f t="shared" si="297"/>
        <v>2665.3816799999995</v>
      </c>
      <c r="R61" s="36">
        <f t="shared" si="293"/>
        <v>0</v>
      </c>
      <c r="S61" s="36">
        <f t="shared" si="294"/>
        <v>4457.16</v>
      </c>
      <c r="T61" s="36">
        <f t="shared" si="295"/>
        <v>0</v>
      </c>
      <c r="U61" s="5"/>
      <c r="V61" s="36">
        <f t="shared" ref="V61:X61" si="298">V18</f>
        <v>48181.119999999995</v>
      </c>
      <c r="W61" s="36">
        <f t="shared" si="298"/>
        <v>57943.079999999994</v>
      </c>
      <c r="X61" s="36">
        <f t="shared" si="298"/>
        <v>67705.039999999994</v>
      </c>
    </row>
    <row r="62" spans="1:24" x14ac:dyDescent="0.2">
      <c r="A62" s="4" t="s">
        <v>74</v>
      </c>
      <c r="B62" s="19" t="s">
        <v>50</v>
      </c>
      <c r="J62" s="36">
        <f t="shared" si="291"/>
        <v>9495.6224999999995</v>
      </c>
      <c r="K62" s="7"/>
      <c r="L62" s="37"/>
      <c r="M62" s="36">
        <f t="shared" ref="M62:Q62" si="299">(M19*$W19)</f>
        <v>9043.4500000000007</v>
      </c>
      <c r="N62" s="36">
        <f t="shared" si="299"/>
        <v>3165.2075000000004</v>
      </c>
      <c r="O62" s="36">
        <f t="shared" si="299"/>
        <v>0</v>
      </c>
      <c r="P62" s="36">
        <f t="shared" si="299"/>
        <v>0</v>
      </c>
      <c r="Q62" s="36">
        <f t="shared" si="299"/>
        <v>4159.9870000000001</v>
      </c>
      <c r="R62" s="36">
        <f t="shared" si="293"/>
        <v>0</v>
      </c>
      <c r="S62" s="36">
        <f t="shared" si="294"/>
        <v>6956.5</v>
      </c>
      <c r="T62" s="36">
        <f t="shared" si="295"/>
        <v>15826.037499999999</v>
      </c>
      <c r="U62" s="5"/>
      <c r="V62" s="36">
        <f t="shared" ref="V62:X62" si="300">V19</f>
        <v>66106</v>
      </c>
      <c r="W62" s="36">
        <f t="shared" si="300"/>
        <v>90434.5</v>
      </c>
      <c r="X62" s="36">
        <f t="shared" si="300"/>
        <v>114763</v>
      </c>
    </row>
    <row r="63" spans="1:24" x14ac:dyDescent="0.2">
      <c r="A63" s="4" t="s">
        <v>74</v>
      </c>
      <c r="B63" s="19" t="s">
        <v>55</v>
      </c>
      <c r="J63" s="36">
        <f t="shared" si="291"/>
        <v>22103.445</v>
      </c>
      <c r="K63" s="7"/>
      <c r="L63" s="37"/>
      <c r="M63" s="36">
        <f t="shared" ref="M63:Q63" si="301">(M20*$W20)</f>
        <v>0</v>
      </c>
      <c r="N63" s="36">
        <f t="shared" si="301"/>
        <v>7367.8150000000005</v>
      </c>
      <c r="O63" s="36">
        <f t="shared" si="301"/>
        <v>42101.8</v>
      </c>
      <c r="P63" s="36">
        <f t="shared" si="301"/>
        <v>36628.565999999999</v>
      </c>
      <c r="Q63" s="36">
        <f t="shared" si="301"/>
        <v>9683.4140000000007</v>
      </c>
      <c r="R63" s="36">
        <f t="shared" si="293"/>
        <v>38000</v>
      </c>
      <c r="S63" s="36">
        <f t="shared" si="294"/>
        <v>20241.25</v>
      </c>
      <c r="T63" s="36">
        <f t="shared" si="295"/>
        <v>36839.074999999997</v>
      </c>
      <c r="U63" s="5"/>
      <c r="V63" s="36">
        <f t="shared" ref="V63:X63" si="302">V20</f>
        <v>179078</v>
      </c>
      <c r="W63" s="36">
        <f t="shared" si="302"/>
        <v>210509</v>
      </c>
      <c r="X63" s="36">
        <f t="shared" si="302"/>
        <v>241940</v>
      </c>
    </row>
    <row r="64" spans="1:24" x14ac:dyDescent="0.2">
      <c r="J64" s="6"/>
      <c r="K64" s="7"/>
      <c r="L64" s="37"/>
      <c r="M64" s="37"/>
      <c r="N64" s="37"/>
      <c r="O64" s="38"/>
      <c r="P64" s="37"/>
      <c r="Q64" s="37"/>
      <c r="R64" s="26"/>
      <c r="S64" s="5"/>
      <c r="T64" s="37"/>
      <c r="U64" s="5"/>
      <c r="V64" s="36"/>
      <c r="W64" s="36"/>
      <c r="X64" s="36"/>
    </row>
    <row r="65" spans="1:24" x14ac:dyDescent="0.2">
      <c r="A65" s="4" t="s">
        <v>82</v>
      </c>
      <c r="B65" s="19" t="s">
        <v>33</v>
      </c>
      <c r="J65" s="36">
        <f>(J22*$W22)</f>
        <v>8949.99</v>
      </c>
      <c r="K65" s="7"/>
      <c r="L65" s="37"/>
      <c r="M65" s="36">
        <f>(M22*$W22)</f>
        <v>7019.6</v>
      </c>
      <c r="N65" s="36">
        <f>(N22*$W22)</f>
        <v>2456.86</v>
      </c>
      <c r="O65" s="36">
        <f>(O22*$W22)</f>
        <v>0</v>
      </c>
      <c r="P65" s="36">
        <f>(P22*$W22)</f>
        <v>0</v>
      </c>
      <c r="Q65" s="36">
        <f>(Q22*$W22)</f>
        <v>3229.0160000000001</v>
      </c>
      <c r="R65" s="36">
        <f>R22</f>
        <v>1826</v>
      </c>
      <c r="S65" s="36">
        <f>(S22/52*$W22)</f>
        <v>5399.6923076923076</v>
      </c>
      <c r="T65" s="36">
        <f>(T22*$W22)</f>
        <v>0</v>
      </c>
      <c r="U65" s="5"/>
      <c r="V65" s="36">
        <f>V22</f>
        <v>48552</v>
      </c>
      <c r="W65" s="36">
        <f t="shared" ref="W65:X65" si="303">W22</f>
        <v>70196</v>
      </c>
      <c r="X65" s="36">
        <f t="shared" si="303"/>
        <v>91840</v>
      </c>
    </row>
    <row r="66" spans="1:24" x14ac:dyDescent="0.2">
      <c r="A66" s="4" t="s">
        <v>82</v>
      </c>
      <c r="B66" s="19" t="s">
        <v>40</v>
      </c>
      <c r="J66" s="36">
        <f t="shared" ref="J66:J69" si="304">(J23*$W23)</f>
        <v>13298.696250000001</v>
      </c>
      <c r="K66" s="7"/>
      <c r="L66" s="37"/>
      <c r="M66" s="36">
        <f t="shared" ref="M66:Q66" si="305">(M23*$W23)</f>
        <v>10430.35</v>
      </c>
      <c r="N66" s="36">
        <f t="shared" si="305"/>
        <v>3650.6225000000004</v>
      </c>
      <c r="O66" s="36">
        <f t="shared" si="305"/>
        <v>0</v>
      </c>
      <c r="P66" s="36">
        <f t="shared" si="305"/>
        <v>0</v>
      </c>
      <c r="Q66" s="36">
        <f t="shared" si="305"/>
        <v>4797.9610000000002</v>
      </c>
      <c r="R66" s="36">
        <f t="shared" ref="R66:R69" si="306">R23</f>
        <v>1826</v>
      </c>
      <c r="S66" s="36">
        <f t="shared" ref="S66:S69" si="307">(S23/52*$W23)</f>
        <v>8023.3461538461543</v>
      </c>
      <c r="T66" s="36">
        <f t="shared" ref="T66:T69" si="308">(T23*$W23)</f>
        <v>0</v>
      </c>
      <c r="U66" s="5"/>
      <c r="V66" s="36">
        <f t="shared" ref="V66:X66" si="309">V23</f>
        <v>69031</v>
      </c>
      <c r="W66" s="36">
        <f t="shared" si="309"/>
        <v>104303.5</v>
      </c>
      <c r="X66" s="36">
        <f t="shared" si="309"/>
        <v>139576</v>
      </c>
    </row>
    <row r="67" spans="1:24" x14ac:dyDescent="0.2">
      <c r="A67" s="4" t="s">
        <v>82</v>
      </c>
      <c r="B67" s="19" t="s">
        <v>47</v>
      </c>
      <c r="J67" s="36">
        <f t="shared" si="304"/>
        <v>8134.8187500000004</v>
      </c>
      <c r="K67" s="7"/>
      <c r="L67" s="37"/>
      <c r="M67" s="36">
        <f t="shared" ref="M67:Q67" si="310">(M24*$W24)</f>
        <v>6380.25</v>
      </c>
      <c r="N67" s="36">
        <f t="shared" si="310"/>
        <v>2233.0875000000001</v>
      </c>
      <c r="O67" s="36">
        <f t="shared" si="310"/>
        <v>0</v>
      </c>
      <c r="P67" s="36">
        <f t="shared" si="310"/>
        <v>0</v>
      </c>
      <c r="Q67" s="36">
        <f t="shared" si="310"/>
        <v>2934.915</v>
      </c>
      <c r="R67" s="36">
        <f t="shared" si="306"/>
        <v>1826</v>
      </c>
      <c r="S67" s="36">
        <f t="shared" si="307"/>
        <v>4907.8846153846152</v>
      </c>
      <c r="T67" s="36">
        <f t="shared" si="308"/>
        <v>0</v>
      </c>
      <c r="U67" s="5"/>
      <c r="V67" s="36">
        <f t="shared" ref="V67:X67" si="311">V24</f>
        <v>47704</v>
      </c>
      <c r="W67" s="36">
        <f t="shared" si="311"/>
        <v>63802.5</v>
      </c>
      <c r="X67" s="36">
        <f t="shared" si="311"/>
        <v>79901</v>
      </c>
    </row>
    <row r="68" spans="1:24" x14ac:dyDescent="0.2">
      <c r="A68" s="4" t="s">
        <v>82</v>
      </c>
      <c r="B68" s="19" t="s">
        <v>50</v>
      </c>
      <c r="J68" s="36">
        <f t="shared" si="304"/>
        <v>13298.696250000001</v>
      </c>
      <c r="K68" s="7"/>
      <c r="L68" s="37"/>
      <c r="M68" s="36">
        <f t="shared" ref="M68:Q68" si="312">(M25*$W25)</f>
        <v>10430.35</v>
      </c>
      <c r="N68" s="36">
        <f t="shared" si="312"/>
        <v>3650.6225000000004</v>
      </c>
      <c r="O68" s="36">
        <f t="shared" si="312"/>
        <v>0</v>
      </c>
      <c r="P68" s="36">
        <f t="shared" si="312"/>
        <v>0</v>
      </c>
      <c r="Q68" s="36">
        <f t="shared" si="312"/>
        <v>4797.9610000000002</v>
      </c>
      <c r="R68" s="36">
        <f t="shared" si="306"/>
        <v>1826</v>
      </c>
      <c r="S68" s="36">
        <f t="shared" si="307"/>
        <v>8023.3461538461543</v>
      </c>
      <c r="T68" s="36">
        <f t="shared" si="308"/>
        <v>0</v>
      </c>
      <c r="U68" s="5"/>
      <c r="V68" s="36">
        <f t="shared" ref="V68:X68" si="313">V25</f>
        <v>69031</v>
      </c>
      <c r="W68" s="36">
        <f t="shared" si="313"/>
        <v>104303.5</v>
      </c>
      <c r="X68" s="36">
        <f t="shared" si="313"/>
        <v>139576</v>
      </c>
    </row>
    <row r="69" spans="1:24" x14ac:dyDescent="0.2">
      <c r="A69" s="4" t="s">
        <v>82</v>
      </c>
      <c r="B69" s="19" t="s">
        <v>55</v>
      </c>
      <c r="J69" s="36">
        <f t="shared" si="304"/>
        <v>28782.87</v>
      </c>
      <c r="K69" s="7"/>
      <c r="L69" s="37"/>
      <c r="M69" s="36">
        <f t="shared" ref="M69:Q69" si="314">(M26*$W26)</f>
        <v>0</v>
      </c>
      <c r="N69" s="36">
        <f t="shared" si="314"/>
        <v>7901.1800000000012</v>
      </c>
      <c r="O69" s="36">
        <f t="shared" si="314"/>
        <v>0</v>
      </c>
      <c r="P69" s="36">
        <f t="shared" si="314"/>
        <v>112874</v>
      </c>
      <c r="Q69" s="36">
        <f t="shared" si="314"/>
        <v>10384.407999999999</v>
      </c>
      <c r="R69" s="36">
        <f t="shared" si="306"/>
        <v>21500</v>
      </c>
      <c r="S69" s="36">
        <f t="shared" si="307"/>
        <v>17365.23076923077</v>
      </c>
      <c r="T69" s="36">
        <f t="shared" si="308"/>
        <v>0</v>
      </c>
      <c r="U69" s="5"/>
      <c r="V69" s="36">
        <f t="shared" ref="V69:X69" si="315">V26</f>
        <v>189406</v>
      </c>
      <c r="W69" s="36">
        <f t="shared" si="315"/>
        <v>225748</v>
      </c>
      <c r="X69" s="36">
        <f t="shared" si="315"/>
        <v>262090</v>
      </c>
    </row>
    <row r="70" spans="1:24" x14ac:dyDescent="0.2">
      <c r="J70" s="6"/>
      <c r="K70" s="7"/>
      <c r="L70" s="37"/>
      <c r="M70" s="37"/>
      <c r="N70" s="37"/>
      <c r="O70" s="38"/>
      <c r="P70" s="37"/>
      <c r="Q70" s="37"/>
      <c r="R70" s="26"/>
      <c r="S70" s="5"/>
      <c r="T70" s="37"/>
      <c r="U70" s="5"/>
      <c r="V70" s="36"/>
      <c r="W70" s="36"/>
      <c r="X70" s="36"/>
    </row>
    <row r="71" spans="1:24" x14ac:dyDescent="0.2">
      <c r="A71" s="4" t="s">
        <v>88</v>
      </c>
      <c r="B71" s="19" t="s">
        <v>33</v>
      </c>
      <c r="J71" s="36">
        <f>(J28*$W28)</f>
        <v>7493.6399999999994</v>
      </c>
      <c r="K71" s="7"/>
      <c r="L71" s="37"/>
      <c r="M71" s="36">
        <f>(M28*$W28)</f>
        <v>7136.8</v>
      </c>
      <c r="N71" s="36">
        <f>(N28*$W28)</f>
        <v>2497.88</v>
      </c>
      <c r="O71" s="36">
        <f>(O28*$W28)</f>
        <v>0</v>
      </c>
      <c r="P71" s="36">
        <f>(P28*$W28)</f>
        <v>0</v>
      </c>
      <c r="Q71" s="36">
        <f>(Q28*$W28)</f>
        <v>3282.9279999999999</v>
      </c>
      <c r="R71" s="36">
        <f>R28</f>
        <v>0</v>
      </c>
      <c r="S71" s="36">
        <f>(S28/52*$W28)</f>
        <v>5489.8461538461543</v>
      </c>
      <c r="T71" s="36">
        <f>(T28*$W28)</f>
        <v>14273.6</v>
      </c>
      <c r="U71" s="5"/>
      <c r="V71" s="36">
        <f>V28</f>
        <v>57579</v>
      </c>
      <c r="W71" s="36">
        <f t="shared" ref="W71:X71" si="316">W28</f>
        <v>71368</v>
      </c>
      <c r="X71" s="36">
        <f t="shared" si="316"/>
        <v>85157</v>
      </c>
    </row>
    <row r="72" spans="1:24" x14ac:dyDescent="0.2">
      <c r="A72" s="4" t="s">
        <v>88</v>
      </c>
      <c r="B72" s="19" t="s">
        <v>40</v>
      </c>
      <c r="J72" s="36">
        <f t="shared" ref="J72:J75" si="317">(J29*$W29)</f>
        <v>11449.305</v>
      </c>
      <c r="K72" s="7"/>
      <c r="L72" s="37"/>
      <c r="M72" s="36">
        <f t="shared" ref="M72:Q72" si="318">(M29*$W29)</f>
        <v>10904.1</v>
      </c>
      <c r="N72" s="36">
        <f t="shared" si="318"/>
        <v>3816.4350000000004</v>
      </c>
      <c r="O72" s="36">
        <f t="shared" si="318"/>
        <v>0</v>
      </c>
      <c r="P72" s="36">
        <f t="shared" si="318"/>
        <v>0</v>
      </c>
      <c r="Q72" s="36">
        <f t="shared" si="318"/>
        <v>5015.8859999999995</v>
      </c>
      <c r="R72" s="36">
        <f t="shared" ref="R72:R75" si="319">R29</f>
        <v>0</v>
      </c>
      <c r="S72" s="36">
        <f t="shared" ref="S72:S75" si="320">(S29/52*$W29)</f>
        <v>8387.7692307692305</v>
      </c>
      <c r="T72" s="36">
        <f t="shared" ref="T72:T75" si="321">(T29*$W29)</f>
        <v>21808.2</v>
      </c>
      <c r="U72" s="5"/>
      <c r="V72" s="36">
        <f t="shared" ref="V72:X72" si="322">V29</f>
        <v>77833</v>
      </c>
      <c r="W72" s="36">
        <f t="shared" si="322"/>
        <v>109041</v>
      </c>
      <c r="X72" s="36">
        <f t="shared" si="322"/>
        <v>140249</v>
      </c>
    </row>
    <row r="73" spans="1:24" x14ac:dyDescent="0.2">
      <c r="A73" s="4" t="s">
        <v>88</v>
      </c>
      <c r="B73" s="19" t="s">
        <v>47</v>
      </c>
      <c r="J73" s="36">
        <f t="shared" si="317"/>
        <v>6647.9699999999993</v>
      </c>
      <c r="K73" s="7"/>
      <c r="L73" s="37"/>
      <c r="M73" s="36">
        <f t="shared" ref="M73:Q73" si="323">(M30*$W30)</f>
        <v>6331.4000000000005</v>
      </c>
      <c r="N73" s="36">
        <f t="shared" si="323"/>
        <v>2215.9900000000002</v>
      </c>
      <c r="O73" s="36">
        <f t="shared" si="323"/>
        <v>0</v>
      </c>
      <c r="P73" s="36">
        <f t="shared" si="323"/>
        <v>0</v>
      </c>
      <c r="Q73" s="36">
        <f t="shared" si="323"/>
        <v>2912.444</v>
      </c>
      <c r="R73" s="36">
        <f t="shared" si="319"/>
        <v>0</v>
      </c>
      <c r="S73" s="36">
        <f t="shared" si="320"/>
        <v>4870.3076923076924</v>
      </c>
      <c r="T73" s="36">
        <f t="shared" si="321"/>
        <v>12662.800000000001</v>
      </c>
      <c r="U73" s="5"/>
      <c r="V73" s="36">
        <f t="shared" ref="V73:X73" si="324">V30</f>
        <v>57579</v>
      </c>
      <c r="W73" s="36">
        <f t="shared" si="324"/>
        <v>63314</v>
      </c>
      <c r="X73" s="36">
        <f t="shared" si="324"/>
        <v>69049</v>
      </c>
    </row>
    <row r="74" spans="1:24" x14ac:dyDescent="0.2">
      <c r="A74" s="4" t="s">
        <v>88</v>
      </c>
      <c r="B74" s="19" t="s">
        <v>50</v>
      </c>
      <c r="J74" s="36">
        <f t="shared" si="317"/>
        <v>9112.0049999999992</v>
      </c>
      <c r="K74" s="7"/>
      <c r="L74" s="37"/>
      <c r="M74" s="36">
        <f t="shared" ref="M74:Q74" si="325">(M31*$W31)</f>
        <v>8678.1</v>
      </c>
      <c r="N74" s="36">
        <f t="shared" si="325"/>
        <v>3037.3350000000005</v>
      </c>
      <c r="O74" s="36">
        <f t="shared" si="325"/>
        <v>0</v>
      </c>
      <c r="P74" s="36">
        <f t="shared" si="325"/>
        <v>0</v>
      </c>
      <c r="Q74" s="36">
        <f t="shared" si="325"/>
        <v>3991.9259999999999</v>
      </c>
      <c r="R74" s="36">
        <f t="shared" si="319"/>
        <v>0</v>
      </c>
      <c r="S74" s="36">
        <f t="shared" si="320"/>
        <v>6675.461538461539</v>
      </c>
      <c r="T74" s="36">
        <f t="shared" si="321"/>
        <v>17356.2</v>
      </c>
      <c r="U74" s="5"/>
      <c r="V74" s="36">
        <f t="shared" ref="V74:X74" si="326">V31</f>
        <v>79898</v>
      </c>
      <c r="W74" s="36">
        <f t="shared" si="326"/>
        <v>86781</v>
      </c>
      <c r="X74" s="36">
        <f t="shared" si="326"/>
        <v>93664</v>
      </c>
    </row>
    <row r="75" spans="1:24" x14ac:dyDescent="0.2">
      <c r="A75" s="4" t="s">
        <v>88</v>
      </c>
      <c r="B75" s="19" t="s">
        <v>55</v>
      </c>
      <c r="J75" s="36">
        <f t="shared" si="317"/>
        <v>35924.28</v>
      </c>
      <c r="K75" s="7"/>
      <c r="L75" s="37"/>
      <c r="M75" s="36">
        <f t="shared" ref="M75:Q75" si="327">(M32*$W32)</f>
        <v>0</v>
      </c>
      <c r="N75" s="36">
        <f t="shared" si="327"/>
        <v>11974.760000000002</v>
      </c>
      <c r="O75" s="36">
        <f t="shared" si="327"/>
        <v>0</v>
      </c>
      <c r="P75" s="36">
        <f t="shared" si="327"/>
        <v>0</v>
      </c>
      <c r="Q75" s="36">
        <f t="shared" si="327"/>
        <v>15738.255999999999</v>
      </c>
      <c r="R75" s="36">
        <f t="shared" si="319"/>
        <v>28909</v>
      </c>
      <c r="S75" s="36">
        <f t="shared" si="320"/>
        <v>26318.153846153848</v>
      </c>
      <c r="T75" s="36">
        <f t="shared" si="321"/>
        <v>0</v>
      </c>
      <c r="U75" s="5"/>
      <c r="V75" s="36">
        <f t="shared" ref="V75:X75" si="328">V32</f>
        <v>297757</v>
      </c>
      <c r="W75" s="36">
        <f t="shared" si="328"/>
        <v>342136</v>
      </c>
      <c r="X75" s="36">
        <f t="shared" si="328"/>
        <v>386515</v>
      </c>
    </row>
    <row r="76" spans="1:24" x14ac:dyDescent="0.2">
      <c r="J76" s="36"/>
      <c r="K76" s="7"/>
      <c r="L76" s="37"/>
      <c r="M76" s="36"/>
      <c r="N76" s="36"/>
      <c r="O76" s="36"/>
      <c r="P76" s="36"/>
      <c r="Q76" s="36"/>
      <c r="R76" s="36"/>
      <c r="S76" s="36"/>
      <c r="T76" s="36"/>
      <c r="U76" s="5"/>
      <c r="V76" s="36"/>
      <c r="W76" s="36"/>
      <c r="X76" s="36"/>
    </row>
    <row r="77" spans="1:24" x14ac:dyDescent="0.2">
      <c r="A77" s="4" t="s">
        <v>96</v>
      </c>
      <c r="B77" s="19" t="s">
        <v>33</v>
      </c>
      <c r="J77" s="36">
        <f>AVERAGE(J28,J22,J16,J10,J4)*$W4</f>
        <v>10399.1055</v>
      </c>
      <c r="K77" s="7"/>
      <c r="L77" s="37"/>
      <c r="M77" s="36">
        <f>AVERAGE(M28,M22,M16,M10,M4)*$W4</f>
        <v>9496.9</v>
      </c>
      <c r="N77" s="36">
        <f>AVERAGE(N28,N22,N16,N10,N4)*$W4</f>
        <v>3323.9150000000004</v>
      </c>
      <c r="O77" s="36">
        <f>AVERAGE(O28,O22,O16,O10,O4)*$W4</f>
        <v>0</v>
      </c>
      <c r="P77" s="36">
        <f>AVERAGE(P28,P22,P16,P10,P4)*$W4</f>
        <v>0</v>
      </c>
      <c r="Q77" s="36">
        <f>AVERAGE(Q28,Q22,Q16,Q10,Q4)*$W4</f>
        <v>4368.5739999999996</v>
      </c>
      <c r="R77" s="36">
        <f>AVERAGE(R28,R22,R16,R10,R4)</f>
        <v>365.2</v>
      </c>
      <c r="S77" s="36">
        <f>AVERAGE(S28,S22,S16,S10,S4)/52*$W4</f>
        <v>7305.3076923076924</v>
      </c>
      <c r="T77" s="36">
        <f>AVERAGE(T28,T22,T16,T10,T4)*$W4</f>
        <v>7122.6750000000002</v>
      </c>
      <c r="U77" s="5"/>
      <c r="V77" s="36">
        <f>AVERAGE(V28,V22,V16,V10,V4)</f>
        <v>60027.376000000004</v>
      </c>
      <c r="W77" s="36">
        <f>AVERAGE(W28,W22,W16,W10,W4)</f>
        <v>78368.712</v>
      </c>
      <c r="X77" s="36">
        <f>AVERAGE(X28,X22,X16,X10,X4)</f>
        <v>96710.047999999995</v>
      </c>
    </row>
    <row r="78" spans="1:24" x14ac:dyDescent="0.2">
      <c r="A78" s="4" t="s">
        <v>96</v>
      </c>
      <c r="B78" s="19" t="s">
        <v>40</v>
      </c>
      <c r="J78" s="36">
        <f t="shared" ref="J78:J81" si="329">AVERAGE(J29,J23,J17,J11,J5)*$W5</f>
        <v>11155.684800000001</v>
      </c>
      <c r="K78" s="7"/>
      <c r="L78" s="37"/>
      <c r="M78" s="36">
        <f t="shared" ref="M78:Q78" si="330">AVERAGE(M29,M23,M17,M11,M5)*$W5</f>
        <v>10187.840000000002</v>
      </c>
      <c r="N78" s="36">
        <f t="shared" si="330"/>
        <v>3565.7440000000006</v>
      </c>
      <c r="O78" s="36">
        <f t="shared" si="330"/>
        <v>0</v>
      </c>
      <c r="P78" s="36">
        <f t="shared" si="330"/>
        <v>0</v>
      </c>
      <c r="Q78" s="36">
        <f t="shared" si="330"/>
        <v>4686.4064000000008</v>
      </c>
      <c r="R78" s="36">
        <f t="shared" ref="R78:R81" si="331">AVERAGE(R29,R23,R17,R11,R5)</f>
        <v>365.2</v>
      </c>
      <c r="S78" s="36">
        <f t="shared" ref="S78:S81" si="332">AVERAGE(S29,S23,S17,S11,S5)/52*$W5</f>
        <v>8620.4800000000014</v>
      </c>
      <c r="T78" s="36">
        <f t="shared" ref="T78:T81" si="333">AVERAGE(T29,T23,T17,T11,T5)*$W5</f>
        <v>11206.624000000002</v>
      </c>
      <c r="U78" s="5"/>
      <c r="V78" s="36">
        <f t="shared" ref="V78:X78" si="334">AVERAGE(V29,V23,V17,V11,V5)</f>
        <v>68335.607999999993</v>
      </c>
      <c r="W78" s="36">
        <f t="shared" si="334"/>
        <v>104472.11600000001</v>
      </c>
      <c r="X78" s="36">
        <f t="shared" si="334"/>
        <v>140608.62400000001</v>
      </c>
    </row>
    <row r="79" spans="1:24" x14ac:dyDescent="0.2">
      <c r="A79" s="4" t="s">
        <v>96</v>
      </c>
      <c r="B79" s="19" t="s">
        <v>47</v>
      </c>
      <c r="J79" s="36">
        <f t="shared" si="329"/>
        <v>8495.0647499999995</v>
      </c>
      <c r="K79" s="7"/>
      <c r="L79" s="37"/>
      <c r="M79" s="36">
        <f t="shared" ref="M79:Q79" si="335">AVERAGE(M30,M24,M18,M12,M6)*$W6</f>
        <v>7758.05</v>
      </c>
      <c r="N79" s="36">
        <f t="shared" si="335"/>
        <v>2715.3175000000001</v>
      </c>
      <c r="O79" s="36">
        <f t="shared" si="335"/>
        <v>0</v>
      </c>
      <c r="P79" s="36">
        <f t="shared" si="335"/>
        <v>0</v>
      </c>
      <c r="Q79" s="36">
        <f t="shared" si="335"/>
        <v>3568.703</v>
      </c>
      <c r="R79" s="36">
        <f t="shared" si="331"/>
        <v>365.2</v>
      </c>
      <c r="S79" s="36">
        <f t="shared" si="332"/>
        <v>5967.7307692307695</v>
      </c>
      <c r="T79" s="36">
        <f t="shared" si="333"/>
        <v>5818.5374999999995</v>
      </c>
      <c r="U79" s="5"/>
      <c r="V79" s="36">
        <f t="shared" ref="V79:X79" si="336">AVERAGE(V30,V24,V18,V12,V6)</f>
        <v>54816.224000000002</v>
      </c>
      <c r="W79" s="36">
        <f t="shared" si="336"/>
        <v>65202.815999999992</v>
      </c>
      <c r="X79" s="36">
        <f t="shared" si="336"/>
        <v>75589.407999999996</v>
      </c>
    </row>
    <row r="80" spans="1:24" x14ac:dyDescent="0.2">
      <c r="A80" s="4" t="s">
        <v>96</v>
      </c>
      <c r="B80" s="19" t="s">
        <v>50</v>
      </c>
      <c r="J80" s="36">
        <f t="shared" si="329"/>
        <v>11153.779500000001</v>
      </c>
      <c r="K80" s="7"/>
      <c r="L80" s="37"/>
      <c r="M80" s="36">
        <f t="shared" ref="M80:Q80" si="337">AVERAGE(M31,M25,M19,M13,M7)*$W7</f>
        <v>10186.1</v>
      </c>
      <c r="N80" s="36">
        <f t="shared" si="337"/>
        <v>3565.1350000000002</v>
      </c>
      <c r="O80" s="36">
        <f t="shared" si="337"/>
        <v>0</v>
      </c>
      <c r="P80" s="36">
        <f t="shared" si="337"/>
        <v>0</v>
      </c>
      <c r="Q80" s="36">
        <f t="shared" si="337"/>
        <v>4685.6059999999998</v>
      </c>
      <c r="R80" s="36">
        <f t="shared" si="331"/>
        <v>365.2</v>
      </c>
      <c r="S80" s="36">
        <f t="shared" si="332"/>
        <v>7835.461538461539</v>
      </c>
      <c r="T80" s="36">
        <f t="shared" si="333"/>
        <v>11204.710000000001</v>
      </c>
      <c r="U80" s="5"/>
      <c r="V80" s="36">
        <f t="shared" ref="V80:X80" si="338">AVERAGE(V31,V25,V19,V13,V7)</f>
        <v>72209</v>
      </c>
      <c r="W80" s="36">
        <f t="shared" si="338"/>
        <v>94993.5</v>
      </c>
      <c r="X80" s="36">
        <f t="shared" si="338"/>
        <v>117778</v>
      </c>
    </row>
    <row r="81" spans="1:24" x14ac:dyDescent="0.2">
      <c r="A81" s="4" t="s">
        <v>96</v>
      </c>
      <c r="B81" s="19" t="s">
        <v>55</v>
      </c>
      <c r="J81" s="36">
        <f t="shared" si="329"/>
        <v>32439.145050000003</v>
      </c>
      <c r="K81" s="7"/>
      <c r="L81" s="37"/>
      <c r="M81" s="36">
        <f t="shared" ref="M81:Q81" si="339">AVERAGE(M32,M26,M20,M14,M8)*$W8</f>
        <v>0</v>
      </c>
      <c r="N81" s="36">
        <f t="shared" si="339"/>
        <v>10368.676500000001</v>
      </c>
      <c r="O81" s="36">
        <f t="shared" si="339"/>
        <v>11849.916000000001</v>
      </c>
      <c r="P81" s="36">
        <f t="shared" si="339"/>
        <v>75483.964920000013</v>
      </c>
      <c r="Q81" s="36">
        <f t="shared" si="339"/>
        <v>13627.403400000001</v>
      </c>
      <c r="R81" s="36">
        <f t="shared" si="331"/>
        <v>28681.832000000002</v>
      </c>
      <c r="S81" s="36">
        <f t="shared" si="332"/>
        <v>25067.130000000005</v>
      </c>
      <c r="T81" s="36">
        <f t="shared" si="333"/>
        <v>31106.029499999997</v>
      </c>
      <c r="U81" s="5"/>
      <c r="V81" s="36">
        <f t="shared" ref="V81:X81" si="340">AVERAGE(V32,V26,V20,V14,V8)</f>
        <v>227466.6</v>
      </c>
      <c r="W81" s="36">
        <f t="shared" si="340"/>
        <v>266292.27999999997</v>
      </c>
      <c r="X81" s="36">
        <f t="shared" si="340"/>
        <v>305117.96000000002</v>
      </c>
    </row>
    <row r="82" spans="1:24" x14ac:dyDescent="0.2">
      <c r="J82" s="23"/>
      <c r="M82" s="23"/>
      <c r="N82" s="23"/>
      <c r="O82" s="23"/>
      <c r="P82" s="23"/>
      <c r="Q82" s="23"/>
      <c r="R82" s="23"/>
      <c r="S82" s="23"/>
      <c r="T82" s="23"/>
    </row>
    <row r="83" spans="1:24" x14ac:dyDescent="0.2">
      <c r="A83" s="4" t="s">
        <v>96</v>
      </c>
      <c r="B83" s="19" t="s">
        <v>33</v>
      </c>
      <c r="J83" s="28" t="str">
        <f>TEXT((AVERAGE(J28,J22,J16,J10,J4)*$W4), "$0,0") &amp; " (" &amp; TEXT((MIN(J28,J22,J16,J10,J4)*$W4), "0,0") &amp; " - " &amp; TEXT((MAX(J28,J22,J16,J10,J4)*$W4), "0,0") &amp; ")"</f>
        <v>$10,399 (9,972 - 12,109)</v>
      </c>
      <c r="M83" s="28" t="str">
        <f t="shared" ref="M83:N86" si="341">TEXT((AVERAGE(M28,M22,M16,M10,M4)*$W4), "$0,0") &amp; " (" &amp; TEXT((MIN(M28,M22,M16,M10,M4)*$W4), "0,0") &amp; " - " &amp; TEXT((MAX(M28,M22,M16,M10,M4)*$W4), "0,0") &amp; ")"</f>
        <v>$9,497 (9,497 - 9,497)</v>
      </c>
      <c r="N83" s="28" t="str">
        <f t="shared" si="341"/>
        <v>$3,324 (3,324 - 3,324)</v>
      </c>
      <c r="O83" s="28" t="str">
        <f>TEXT((AVERAGE(O28,O22,O16,O10,O4)*$W4), "$0") &amp; " (" &amp; TEXT((MIN(O28,O22,O16,O10,O4)*$W4), "0") &amp; " - " &amp; TEXT((MAX(O28,O22,O16,O10,O4)*$W4), "0") &amp; ")"</f>
        <v>$0 (0 - 0)</v>
      </c>
      <c r="P83" s="28" t="str">
        <f>TEXT((AVERAGE(P28,P22,P16,P10,P4)*$W4), "$0") &amp; " (" &amp; TEXT((MIN(P28,P22,P16,P10,P4)*$W4), "0") &amp; " - " &amp; TEXT((MAX(P28,P22,P16,P10,P4)*$W4), "0") &amp; ")"</f>
        <v>$0 (0 - 0)</v>
      </c>
      <c r="Q83" s="28" t="str">
        <f>TEXT((AVERAGE(Q28,Q22,Q16,Q10,Q4)*$W4), "$0,0") &amp; " (" &amp; TEXT((MIN(Q28,Q22,Q16,Q10,Q4)*$W4), "0,0") &amp; " - " &amp; TEXT((MAX(Q28,Q22,Q16,Q10,Q4)*$W4), "0,0") &amp; ")"</f>
        <v>$4,369 (4,369 - 4,369)</v>
      </c>
      <c r="R83" s="28" t="str">
        <f>TEXT((AVERAGE(R28,R22,R16,R10,R4)), "$0,0") &amp; " (" &amp; TEXT((MIN(R28,R22,R16,R10,R4)), "0,0") &amp; " - " &amp; TEXT((MAX(R28,R22,R16,R10,R4)), "0,0") &amp; ")"</f>
        <v>$365 (00 - 1,826)</v>
      </c>
      <c r="S83" s="28" t="str">
        <f>TEXT((AVERAGE(S28,S22,S16,S10,S4)/52*$W4), "$0,0") &amp; " (" &amp; TEXT((MIN(S28,S22,S16,S10,S4)/52*$W4), "0,0") &amp; " - " &amp; TEXT((MAX(S28,S22,S16,S10,S4)*$W4)/52, "0,0") &amp; ")"</f>
        <v>$7,305 (7,305 - 7,305)</v>
      </c>
      <c r="T83" s="28" t="str">
        <f>TEXT((AVERAGE(T28,T22,T16,T10,T4)*$W4), "$0,0") &amp; " (" &amp; TEXT((MIN(T28,T22,T16,T10,T4)*$W4), "0,0") &amp; " - " &amp; TEXT((MAX(T28,T22,T16,T10,T4)*$W4), "0,0") &amp; ")"</f>
        <v>$7,123 (00 - 18,994)</v>
      </c>
      <c r="V83" s="28" t="str">
        <f>TEXT((AVERAGE(V28,V22,V16,V10,V4)), "$0,0") &amp; " (" &amp; TEXT((MIN(V28,V22,V16,V10,V4)), "0,0") &amp; " - " &amp; TEXT((MAX(V28,V22,V16,V10,V4)), "0,0") &amp; ")"</f>
        <v>$60,027 (48,552 - 79,624)</v>
      </c>
      <c r="W83" s="28" t="str">
        <f t="shared" ref="W83:X83" si="342">TEXT((AVERAGE(W28,W22,W16,W10,W4)), "$0,0") &amp; " (" &amp; TEXT((MIN(W28,W22,W16,W10,W4)), "0,0") &amp; " - " &amp; TEXT((MAX(W28,W22,W16,W10,W4)), "0,0") &amp; ")"</f>
        <v>$78,369 (70,196 - 94,969)</v>
      </c>
      <c r="X83" s="28" t="str">
        <f t="shared" si="342"/>
        <v>$96,710 (85,157 - 110,314)</v>
      </c>
    </row>
    <row r="84" spans="1:24" x14ac:dyDescent="0.2">
      <c r="A84" s="4" t="s">
        <v>96</v>
      </c>
      <c r="B84" s="19" t="s">
        <v>40</v>
      </c>
      <c r="J84" s="28" t="str">
        <f>TEXT((AVERAGE(J29,J23,J17,J11,J5)*$W5), "$0,0") &amp; " (" &amp; TEXT((MIN(J29,J23,J17,J11,J5)*$W5), "0,0") &amp; " - " &amp; TEXT((MAX(J29,J23,J17,J11,J5)*$W5), "0,0") &amp; ")"</f>
        <v>$11,156 (10,697 - 12,989)</v>
      </c>
      <c r="M84" s="28" t="str">
        <f t="shared" si="341"/>
        <v>$10,188 (10,188 - 10,188)</v>
      </c>
      <c r="N84" s="28" t="str">
        <f t="shared" si="341"/>
        <v>$3,566 (3,566 - 3,566)</v>
      </c>
      <c r="O84" s="28" t="str">
        <f t="shared" ref="O84:P84" si="343">TEXT((AVERAGE(O29,O23,O17,O11,O5)*$W5), "$0") &amp; " (" &amp; TEXT((MIN(O29,O23,O17,O11,O5)*$W5), "0") &amp; " - " &amp; TEXT((MAX(O29,O23,O17,O11,O5)*$W5), "0") &amp; ")"</f>
        <v>$0 (0 - 0)</v>
      </c>
      <c r="P84" s="28" t="str">
        <f t="shared" si="343"/>
        <v>$0 (0 - 0)</v>
      </c>
      <c r="Q84" s="28" t="str">
        <f>TEXT((AVERAGE(Q29,Q23,Q17,Q11,Q5)*$W5), "$0,0") &amp; " (" &amp; TEXT((MIN(Q29,Q23,Q17,Q11,Q5)*$W5), "0,0") &amp; " - " &amp; TEXT((MAX(Q29,Q23,Q17,Q11,Q5)*$W5), "0,0") &amp; ")"</f>
        <v>$4,686 (4,686 - 4,686)</v>
      </c>
      <c r="R84" s="28" t="str">
        <f>TEXT((AVERAGE(R29,R23,R17,R11,R5)), "$0,0") &amp; " (" &amp; TEXT((MIN(R29,R23,R17,R11,R5)), "0,0") &amp; " - " &amp; TEXT((MAX(R29,R23,R17,R11,R5)), "0,0") &amp; ")"</f>
        <v>$365 (00 - 1,826)</v>
      </c>
      <c r="S84" s="28" t="str">
        <f>TEXT((AVERAGE(S29,S23,S17,S11,S5)/52*$W5), "$0,0") &amp; " (" &amp; TEXT((MIN(S29,S23,S17,S11,S5)/52*$W5), "0,0") &amp; " - " &amp; TEXT((MAX(S29,S23,S17,S11,S5)*$W5)/52, "0,0") &amp; ")"</f>
        <v>$8,620 (7,837 - 9,796)</v>
      </c>
      <c r="T84" s="28" t="str">
        <f>TEXT((AVERAGE(T29,T23,T17,T11,T5)*$W5), "$0,0") &amp; " (" &amp; TEXT((MIN(T29,T23,T17,T11,T5)*$W5), "0,0") &amp; " - " &amp; TEXT((MAX(T29,T23,T17,T11,T5)*$W5), "0,0") &amp; ")"</f>
        <v>$11,207 (00 - 20,376)</v>
      </c>
      <c r="V84" s="28" t="str">
        <f t="shared" ref="V84:X87" si="344">TEXT((AVERAGE(V29,V23,V17,V11,V5)), "$0,0") &amp; " (" &amp; TEXT((MIN(V29,V23,V17,V11,V5)), "0,0") &amp; " - " &amp; TEXT((MAX(V29,V23,V17,V11,V5)), "0,0") &amp; ")"</f>
        <v>$68,336 (61,204 - 77,833)</v>
      </c>
      <c r="W84" s="28" t="str">
        <f t="shared" si="344"/>
        <v>$104,472 (101,878 - 109,041)</v>
      </c>
      <c r="X84" s="28" t="str">
        <f t="shared" si="344"/>
        <v>$140,609 (138,575 - 142,553)</v>
      </c>
    </row>
    <row r="85" spans="1:24" x14ac:dyDescent="0.2">
      <c r="A85" s="4" t="s">
        <v>96</v>
      </c>
      <c r="B85" s="19" t="s">
        <v>47</v>
      </c>
      <c r="J85" s="28" t="str">
        <f>TEXT((AVERAGE(J30,J24,J18,J12,J6)*$W6), "$0,0") &amp; " (" &amp; TEXT((MIN(J30,J24,J18,J12,J6)*$W6), "0,0") &amp; " - " &amp; TEXT((MAX(J30,J24,J18,J12,J6)*$W6), "0,0") &amp; ")"</f>
        <v>$8,495 (8,146 - 9,892)</v>
      </c>
      <c r="M85" s="28" t="str">
        <f t="shared" si="341"/>
        <v>$7,758 (7,758 - 7,758)</v>
      </c>
      <c r="N85" s="28" t="str">
        <f t="shared" si="341"/>
        <v>$2,715 (2,715 - 2,715)</v>
      </c>
      <c r="O85" s="28" t="str">
        <f t="shared" ref="O85:P85" si="345">TEXT((AVERAGE(O30,O24,O18,O12,O6)*$W6), "$0") &amp; " (" &amp; TEXT((MIN(O30,O24,O18,O12,O6)*$W6), "0") &amp; " - " &amp; TEXT((MAX(O30,O24,O18,O12,O6)*$W6), "0") &amp; ")"</f>
        <v>$0 (0 - 0)</v>
      </c>
      <c r="P85" s="28" t="str">
        <f t="shared" si="345"/>
        <v>$0 (0 - 0)</v>
      </c>
      <c r="Q85" s="28" t="str">
        <f>TEXT((AVERAGE(Q30,Q24,Q18,Q12,Q6)*$W6), "$0,0") &amp; " (" &amp; TEXT((MIN(Q30,Q24,Q18,Q12,Q6)*$W6), "0,0") &amp; " - " &amp; TEXT((MAX(Q30,Q24,Q18,Q12,Q6)*$W6), "0,0") &amp; ")"</f>
        <v>$3,569 (3,569 - 3,569)</v>
      </c>
      <c r="R85" s="28" t="str">
        <f>TEXT((AVERAGE(R30,R24,R18,R12,R6)), "$0,0") &amp; " (" &amp; TEXT((MIN(R30,R24,R18,R12,R6)), "0,0") &amp; " - " &amp; TEXT((MAX(R30,R24,R18,R12,R6)), "0,0") &amp; ")"</f>
        <v>$365 (00 - 1,826)</v>
      </c>
      <c r="S85" s="28" t="str">
        <f>TEXT((AVERAGE(S30,S24,S18,S12,S6)/52*$W6), "$0,0") &amp; " (" &amp; TEXT((MIN(S30,S24,S18,S12,S6)/52*$W6), "0,0") &amp; " - " &amp; TEXT((MAX(S30,S24,S18,S12,S6)*$W6)/52, "0,0") &amp; ")"</f>
        <v>$5,968 (5,968 - 5,968)</v>
      </c>
      <c r="T85" s="28" t="str">
        <f>TEXT((AVERAGE(T30,T24,T18,T12,T6)*$W6), "$0,0") &amp; " (" &amp; TEXT((MIN(T30,T24,T18,T12,T6)*$W6), "0,0") &amp; " - " &amp; TEXT((MAX(T30,T24,T18,T12,T6)*$W6), "0,0") &amp; ")"</f>
        <v>$5,819 (00 - 15,516)</v>
      </c>
      <c r="V85" s="28" t="str">
        <f t="shared" si="344"/>
        <v>$54,816 (47,704 - 63,701)</v>
      </c>
      <c r="W85" s="28" t="str">
        <f t="shared" si="344"/>
        <v>$65,203 (57,943 - 77,581)</v>
      </c>
      <c r="X85" s="28" t="str">
        <f t="shared" si="344"/>
        <v>$75,589 (67,705 - 91,460)</v>
      </c>
    </row>
    <row r="86" spans="1:24" x14ac:dyDescent="0.2">
      <c r="A86" s="4" t="s">
        <v>96</v>
      </c>
      <c r="B86" s="19" t="s">
        <v>50</v>
      </c>
      <c r="J86" s="28" t="str">
        <f>TEXT((AVERAGE(J31,J25,J19,J13,J7)*$W7), "$0,0") &amp; " (" &amp; TEXT((MIN(J31,J25,J19,J13,J7)*$W7), "0,0") &amp; " - " &amp; TEXT((MAX(J31,J25,J19,J13,J7)*$W7), "0,0") &amp; ")"</f>
        <v>$11,154 (10,695 - 12,987)</v>
      </c>
      <c r="M86" s="28" t="str">
        <f t="shared" si="341"/>
        <v>$10,186 (10,186 - 10,186)</v>
      </c>
      <c r="N86" s="28" t="str">
        <f t="shared" si="341"/>
        <v>$3,565 (3,565 - 3,565)</v>
      </c>
      <c r="O86" s="28" t="str">
        <f t="shared" ref="O86:P86" si="346">TEXT((AVERAGE(O31,O25,O19,O13,O7)*$W7), "$0") &amp; " (" &amp; TEXT((MIN(O31,O25,O19,O13,O7)*$W7), "0") &amp; " - " &amp; TEXT((MAX(O31,O25,O19,O13,O7)*$W7), "0") &amp; ")"</f>
        <v>$0 (0 - 0)</v>
      </c>
      <c r="P86" s="28" t="str">
        <f t="shared" si="346"/>
        <v>$0 (0 - 0)</v>
      </c>
      <c r="Q86" s="28" t="str">
        <f>TEXT((AVERAGE(Q31,Q25,Q19,Q13,Q7)*$W7), "$0,0") &amp; " (" &amp; TEXT((MIN(Q31,Q25,Q19,Q13,Q7)*$W7), "0,0") &amp; " - " &amp; TEXT((MAX(Q31,Q25,Q19,Q13,Q7)*$W7), "0,0") &amp; ")"</f>
        <v>$4,686 (4,686 - 4,686)</v>
      </c>
      <c r="R86" s="28" t="str">
        <f>TEXT((AVERAGE(R31,R25,R19,R13,R7)), "$0,0") &amp; " (" &amp; TEXT((MIN(R31,R25,R19,R13,R7)), "0,0") &amp; " - " &amp; TEXT((MAX(R31,R25,R19,R13,R7)), "0,0") &amp; ")"</f>
        <v>$365 (00 - 1,826)</v>
      </c>
      <c r="S86" s="28" t="str">
        <f>TEXT((AVERAGE(S31,S25,S19,S13,S7)/52*$W7), "$0,0") &amp; " (" &amp; TEXT((MIN(S31,S25,S19,S13,S7)/52*$W7), "0,0") &amp; " - " &amp; TEXT((MAX(S31,S25,S19,S13,S7)*$W7)/52, "0,0") &amp; ")"</f>
        <v>$7,835 (7,835 - 7,835)</v>
      </c>
      <c r="T86" s="28" t="str">
        <f>TEXT((AVERAGE(T31,T25,T19,T13,T7)*$W7), "$0,0") &amp; " (" &amp; TEXT((MIN(T31,T25,T19,T13,T7)*$W7), "0,0") &amp; " - " &amp; TEXT((MAX(T31,T25,T19,T13,T7)*$W7), "0,0") &amp; ")"</f>
        <v>$11,205 (00 - 20,372)</v>
      </c>
      <c r="V86" s="28" t="str">
        <f t="shared" si="344"/>
        <v>$72,209 (66,106 - 79,898)</v>
      </c>
      <c r="W86" s="28" t="str">
        <f t="shared" si="344"/>
        <v>$94,994 (86,781 - 104,304)</v>
      </c>
      <c r="X86" s="28" t="str">
        <f t="shared" si="344"/>
        <v>$117,778 (93,664 - 139,576)</v>
      </c>
    </row>
    <row r="87" spans="1:24" x14ac:dyDescent="0.2">
      <c r="A87" s="4" t="s">
        <v>96</v>
      </c>
      <c r="B87" s="19" t="s">
        <v>55</v>
      </c>
      <c r="J87" s="28" t="str">
        <f>TEXT((AVERAGE(J32,J26,J20,J14,J8)*$W8), "$0,0") &amp; " (" &amp; TEXT((MIN(J32,J26,J20,J14,J8)*$W8), "0,0") &amp; " - " &amp; TEXT((MAX(J32,J26,J20,J14,J8)*$W8), "0,0") &amp; ")"</f>
        <v>$32,439 (31,106 - 37,772)</v>
      </c>
      <c r="M87" s="28" t="str">
        <f t="shared" ref="M87:Q87" si="347">TEXT((AVERAGE(M32,M26,M20,M14,M8)*$W8), "$0,0") &amp; " (" &amp; TEXT((MIN(M32,M26,M20,M14,M8)*$W8), "0,0") &amp; " - " &amp; TEXT((MAX(M32,M26,M20,M14,M8)*$W8), "0,0") &amp; ")"</f>
        <v>$00 (00 - 00)</v>
      </c>
      <c r="N87" s="28" t="str">
        <f t="shared" si="347"/>
        <v>$10,369 (10,369 - 10,369)</v>
      </c>
      <c r="O87" s="28" t="str">
        <f t="shared" si="347"/>
        <v>$11,850 (00 - 59,250)</v>
      </c>
      <c r="P87" s="28" t="str">
        <f t="shared" si="347"/>
        <v>$75,484 (00 - 177,749)</v>
      </c>
      <c r="Q87" s="28" t="str">
        <f t="shared" si="347"/>
        <v>$13,627 (13,627 - 13,627)</v>
      </c>
      <c r="R87" s="28" t="str">
        <f>TEXT((AVERAGE(R32,R26,R20,R14,R8)), "$0,0") &amp; " (" &amp; TEXT((MIN(R32,R26,R20,R14,R8)), "0,0") &amp; " - " &amp; TEXT((MAX(R32,R26,R20,R14,R8)), "0,0") &amp; ")"</f>
        <v>$28,682 (21,500 - 38,000)</v>
      </c>
      <c r="S87" s="28" t="str">
        <f>TEXT((AVERAGE(S32,S26,S20,S14,S8)/52*$W8), "$0,0") &amp; " (" &amp; TEXT((MIN(S32,S26,S20,S14,S8)/52*$W8), "0,0") &amp; " - " &amp; TEXT((MAX(S32,S26,S20,S14,S8)*$W8)/52, "0,0") &amp; ")"</f>
        <v>$25,067 (22,788 - 28,485)</v>
      </c>
      <c r="T87" s="28" t="str">
        <f>TEXT((AVERAGE(T32,T26,T20,T14,T8)*$W8), "$0,0") &amp; " (" &amp; TEXT((MIN(T32,T26,T20,T14,T8)*$W8), "0,0") &amp; " - " &amp; TEXT((MAX(T32,T26,T20,T14,T8)*$W8), "0,0") &amp; ")"</f>
        <v>$31,106 (00 - 51,843)</v>
      </c>
      <c r="V87" s="28" t="str">
        <f t="shared" si="344"/>
        <v>$227,467 (179,078 - 297,757)</v>
      </c>
      <c r="W87" s="28" t="str">
        <f t="shared" si="344"/>
        <v>$266,292 (210,509 - 342,136)</v>
      </c>
      <c r="X87" s="28" t="str">
        <f t="shared" si="344"/>
        <v>$305,118 (241,940 - 386,515)</v>
      </c>
    </row>
    <row r="88" spans="1:24" x14ac:dyDescent="0.2">
      <c r="J88" s="28"/>
      <c r="M88" s="28"/>
      <c r="N88" s="28"/>
      <c r="O88" s="28"/>
      <c r="P88" s="28"/>
      <c r="Q88" s="28"/>
      <c r="R88" s="28"/>
      <c r="S88" s="28"/>
      <c r="T88" s="28"/>
      <c r="V88" s="28"/>
      <c r="W88" s="28"/>
      <c r="X88" s="28"/>
    </row>
    <row r="89" spans="1:24" x14ac:dyDescent="0.2">
      <c r="A89" s="4" t="s">
        <v>103</v>
      </c>
    </row>
    <row r="90" spans="1:24" x14ac:dyDescent="0.2">
      <c r="A90" s="4" t="s">
        <v>32</v>
      </c>
      <c r="B90" s="19" t="s">
        <v>33</v>
      </c>
      <c r="J90" s="8">
        <f>(J4*$W4)/$Z4</f>
        <v>4.1154124457308254E-2</v>
      </c>
      <c r="M90" s="8">
        <f>(M4*$W4)/$Z4</f>
        <v>3.9194404245055478E-2</v>
      </c>
      <c r="N90" s="8">
        <f>(N4*$W4)/$Z4</f>
        <v>1.371804148576942E-2</v>
      </c>
      <c r="O90" s="8">
        <f>(O4*$W4)/$Z4</f>
        <v>0</v>
      </c>
      <c r="P90" s="8">
        <f>(P4*$W4)/$Z4</f>
        <v>0</v>
      </c>
      <c r="Q90" s="8">
        <f>(Q4*$W4)/$Z4</f>
        <v>1.8029425952725518E-2</v>
      </c>
      <c r="R90" s="8">
        <f>(R4)/$Z4</f>
        <v>0</v>
      </c>
      <c r="S90" s="8">
        <f>(S4/52*$W4)/$Z4</f>
        <v>3.0149541726965757E-2</v>
      </c>
      <c r="T90" s="8">
        <f>(T4*$W4)/$Z4</f>
        <v>6.8590207428847097E-2</v>
      </c>
      <c r="V90" s="8">
        <f t="shared" ref="V90:X90" si="348">(V4)/$Z4</f>
        <v>0.3286140997176234</v>
      </c>
      <c r="W90" s="8">
        <f t="shared" si="348"/>
        <v>0.39194404245055481</v>
      </c>
      <c r="X90" s="8">
        <f t="shared" si="348"/>
        <v>0.45527398518348622</v>
      </c>
    </row>
    <row r="91" spans="1:24" x14ac:dyDescent="0.2">
      <c r="A91" s="4" t="s">
        <v>32</v>
      </c>
      <c r="B91" s="19" t="s">
        <v>40</v>
      </c>
      <c r="J91" s="8">
        <f t="shared" ref="J91:J94" si="349">(J5*$W5)/$Z5</f>
        <v>4.0792845562470578E-2</v>
      </c>
      <c r="M91" s="8">
        <f t="shared" ref="M91:Q94" si="350">(M5*$W5)/$Z5</f>
        <v>3.8850329107114841E-2</v>
      </c>
      <c r="N91" s="8">
        <f t="shared" si="350"/>
        <v>1.3597615187490194E-2</v>
      </c>
      <c r="O91" s="8">
        <f t="shared" si="350"/>
        <v>0</v>
      </c>
      <c r="P91" s="8">
        <f t="shared" si="350"/>
        <v>0</v>
      </c>
      <c r="Q91" s="8">
        <f t="shared" si="350"/>
        <v>1.7871151389272828E-2</v>
      </c>
      <c r="R91" s="8">
        <f t="shared" ref="R91:R94" si="351">(R5)/$Z5</f>
        <v>0</v>
      </c>
      <c r="S91" s="8">
        <f t="shared" ref="S91:S94" si="352">(S5/52*$W5)/$Z5</f>
        <v>3.7356085679918119E-2</v>
      </c>
      <c r="T91" s="8">
        <f t="shared" ref="T91:T94" si="353">(T5*$W5)/$Z5</f>
        <v>6.7988075937450959E-2</v>
      </c>
      <c r="V91" s="8">
        <f t="shared" ref="V91:X91" si="354">(V5)/$Z5</f>
        <v>0.2333954540581572</v>
      </c>
      <c r="W91" s="8">
        <f t="shared" si="354"/>
        <v>0.38850329107114839</v>
      </c>
      <c r="X91" s="8">
        <f t="shared" si="354"/>
        <v>0.54361112808413958</v>
      </c>
    </row>
    <row r="92" spans="1:24" x14ac:dyDescent="0.2">
      <c r="A92" s="4" t="s">
        <v>32</v>
      </c>
      <c r="B92" s="19" t="s">
        <v>47</v>
      </c>
      <c r="J92" s="8">
        <f t="shared" si="349"/>
        <v>4.1154124457308247E-2</v>
      </c>
      <c r="M92" s="8">
        <f t="shared" si="350"/>
        <v>3.9194404245055478E-2</v>
      </c>
      <c r="N92" s="8">
        <f t="shared" si="350"/>
        <v>1.3718041485769416E-2</v>
      </c>
      <c r="O92" s="8">
        <f t="shared" si="350"/>
        <v>0</v>
      </c>
      <c r="P92" s="8">
        <f t="shared" si="350"/>
        <v>0</v>
      </c>
      <c r="Q92" s="8">
        <f t="shared" si="350"/>
        <v>1.8029425952725518E-2</v>
      </c>
      <c r="R92" s="8">
        <f t="shared" si="351"/>
        <v>0</v>
      </c>
      <c r="S92" s="8">
        <f t="shared" si="352"/>
        <v>3.014954172696575E-2</v>
      </c>
      <c r="T92" s="8">
        <f t="shared" si="353"/>
        <v>6.8590207428847083E-2</v>
      </c>
      <c r="V92" s="8">
        <f t="shared" ref="V92:X92" si="355">(V6)/$Z6</f>
        <v>0.32182349234849977</v>
      </c>
      <c r="W92" s="8">
        <f t="shared" si="355"/>
        <v>0.39194404245055475</v>
      </c>
      <c r="X92" s="8">
        <f t="shared" si="355"/>
        <v>0.46206459255260973</v>
      </c>
    </row>
    <row r="93" spans="1:24" x14ac:dyDescent="0.2">
      <c r="A93" s="4" t="s">
        <v>32</v>
      </c>
      <c r="B93" s="19" t="s">
        <v>50</v>
      </c>
      <c r="J93" s="8">
        <f t="shared" si="349"/>
        <v>4.115412445730824E-2</v>
      </c>
      <c r="M93" s="8">
        <f t="shared" si="350"/>
        <v>3.9194404245055478E-2</v>
      </c>
      <c r="N93" s="8">
        <f t="shared" si="350"/>
        <v>1.3718041485769416E-2</v>
      </c>
      <c r="O93" s="8">
        <f t="shared" si="350"/>
        <v>0</v>
      </c>
      <c r="P93" s="8">
        <f t="shared" si="350"/>
        <v>0</v>
      </c>
      <c r="Q93" s="8">
        <f t="shared" si="350"/>
        <v>1.8029425952725518E-2</v>
      </c>
      <c r="R93" s="8">
        <f t="shared" si="351"/>
        <v>0</v>
      </c>
      <c r="S93" s="8">
        <f t="shared" si="352"/>
        <v>3.014954172696575E-2</v>
      </c>
      <c r="T93" s="8">
        <f t="shared" si="353"/>
        <v>6.8590207428847069E-2</v>
      </c>
      <c r="V93" s="8">
        <f t="shared" ref="V93:X93" si="356">(V7)/$Z7</f>
        <v>0.30637979635074236</v>
      </c>
      <c r="W93" s="8">
        <f t="shared" si="356"/>
        <v>0.39194404245055475</v>
      </c>
      <c r="X93" s="8">
        <f t="shared" si="356"/>
        <v>0.47750828855036709</v>
      </c>
    </row>
    <row r="94" spans="1:24" x14ac:dyDescent="0.2">
      <c r="A94" s="4" t="s">
        <v>32</v>
      </c>
      <c r="B94" s="19" t="s">
        <v>55</v>
      </c>
      <c r="J94" s="8">
        <f t="shared" si="349"/>
        <v>4.1188162458019831E-2</v>
      </c>
      <c r="M94" s="8">
        <f t="shared" si="350"/>
        <v>0</v>
      </c>
      <c r="N94" s="8">
        <f t="shared" si="350"/>
        <v>1.3729387486006613E-2</v>
      </c>
      <c r="O94" s="8">
        <f t="shared" si="350"/>
        <v>0</v>
      </c>
      <c r="P94" s="8">
        <f t="shared" si="350"/>
        <v>0</v>
      </c>
      <c r="Q94" s="8">
        <f t="shared" si="350"/>
        <v>1.8044337838751548E-2</v>
      </c>
      <c r="R94" s="8">
        <f t="shared" si="351"/>
        <v>3.8399735375695195E-2</v>
      </c>
      <c r="S94" s="8">
        <f t="shared" si="352"/>
        <v>3.0174477991223324E-2</v>
      </c>
      <c r="T94" s="8">
        <f t="shared" si="353"/>
        <v>6.8646937430033056E-2</v>
      </c>
      <c r="V94" s="8">
        <f>(V8)/$Z8</f>
        <v>0.33032859074483317</v>
      </c>
      <c r="W94" s="8">
        <f>(W8)/$Z8</f>
        <v>0.39226821388590316</v>
      </c>
      <c r="X94" s="8">
        <f>(X8)/$Z8</f>
        <v>0.45420783702697315</v>
      </c>
    </row>
    <row r="95" spans="1:24" x14ac:dyDescent="0.2">
      <c r="M95" s="11"/>
      <c r="N95" s="11"/>
      <c r="O95" s="11"/>
      <c r="P95" s="11"/>
      <c r="Q95" s="11"/>
      <c r="S95" s="8"/>
      <c r="T95" s="11"/>
    </row>
    <row r="96" spans="1:24" x14ac:dyDescent="0.2">
      <c r="A96" s="4" t="s">
        <v>62</v>
      </c>
      <c r="B96" s="19" t="s">
        <v>33</v>
      </c>
      <c r="J96" s="8">
        <f>(J10*$W10)/$Z10</f>
        <v>4.4436486750439486E-2</v>
      </c>
      <c r="M96" s="8">
        <f>(M10*$W10)/$Z10</f>
        <v>4.2320463571847135E-2</v>
      </c>
      <c r="N96" s="8">
        <f>(N10*$W10)/$Z10</f>
        <v>1.4812162250146498E-2</v>
      </c>
      <c r="O96" s="8">
        <f>(O10*$W10)/$Z10</f>
        <v>0</v>
      </c>
      <c r="P96" s="8">
        <f>(P10*$W10)/$Z10</f>
        <v>0</v>
      </c>
      <c r="Q96" s="8">
        <f>(Q10*$W10)/$Z10</f>
        <v>1.946741324304968E-2</v>
      </c>
      <c r="R96" s="8">
        <f>(R10)/$Z10</f>
        <v>0</v>
      </c>
      <c r="S96" s="8">
        <f>(S10/52*$W10)/$Z10</f>
        <v>3.2554202747574722E-2</v>
      </c>
      <c r="T96" s="8">
        <f>(T10*$W10)/$Z10</f>
        <v>0</v>
      </c>
      <c r="V96" s="8">
        <f>(V10)/$Z10</f>
        <v>0.29620456035171777</v>
      </c>
      <c r="W96" s="8">
        <f>(W10)/$Z10</f>
        <v>0.42320463571847133</v>
      </c>
      <c r="X96" s="8">
        <f>(X10)/$Z10</f>
        <v>0.55020471108522484</v>
      </c>
    </row>
    <row r="97" spans="1:24" x14ac:dyDescent="0.2">
      <c r="A97" s="4" t="s">
        <v>62</v>
      </c>
      <c r="B97" s="19" t="s">
        <v>40</v>
      </c>
      <c r="J97" s="8">
        <f t="shared" ref="J97:J100" si="357">(J11*$W11)/$Z11</f>
        <v>4.4077757685352617E-2</v>
      </c>
      <c r="M97" s="8">
        <f t="shared" ref="M97:Q100" si="358">(M11*$W11)/$Z11</f>
        <v>4.1978816843192976E-2</v>
      </c>
      <c r="N97" s="8">
        <f t="shared" si="358"/>
        <v>1.4692585895117542E-2</v>
      </c>
      <c r="O97" s="8">
        <f t="shared" si="358"/>
        <v>0</v>
      </c>
      <c r="P97" s="8">
        <f t="shared" si="358"/>
        <v>0</v>
      </c>
      <c r="Q97" s="8">
        <f t="shared" si="358"/>
        <v>1.9310255747868769E-2</v>
      </c>
      <c r="R97" s="8">
        <f t="shared" ref="R97:R100" si="359">(R11)/$Z11</f>
        <v>0</v>
      </c>
      <c r="S97" s="8">
        <f t="shared" ref="S97:S100" si="360">(S11/52*$W11)/$Z11</f>
        <v>4.0364246964608629E-2</v>
      </c>
      <c r="T97" s="8">
        <f t="shared" ref="T97:T100" si="361">(T11*$W11)/$Z11</f>
        <v>0</v>
      </c>
      <c r="V97" s="8">
        <f t="shared" ref="V97:X97" si="362">(V11)/$Z11</f>
        <v>0.2673502690911384</v>
      </c>
      <c r="W97" s="8">
        <f t="shared" si="362"/>
        <v>0.41978816843192973</v>
      </c>
      <c r="X97" s="8">
        <f t="shared" si="362"/>
        <v>0.572226067772721</v>
      </c>
    </row>
    <row r="98" spans="1:24" x14ac:dyDescent="0.2">
      <c r="A98" s="4" t="s">
        <v>62</v>
      </c>
      <c r="B98" s="19" t="s">
        <v>47</v>
      </c>
      <c r="J98" s="8">
        <f t="shared" si="357"/>
        <v>4.4436486750439479E-2</v>
      </c>
      <c r="M98" s="8">
        <f t="shared" si="358"/>
        <v>4.2320463571847128E-2</v>
      </c>
      <c r="N98" s="8">
        <f t="shared" si="358"/>
        <v>1.4812162250146496E-2</v>
      </c>
      <c r="O98" s="8">
        <f t="shared" si="358"/>
        <v>0</v>
      </c>
      <c r="P98" s="8">
        <f t="shared" si="358"/>
        <v>0</v>
      </c>
      <c r="Q98" s="8">
        <f t="shared" si="358"/>
        <v>1.9467413243049677E-2</v>
      </c>
      <c r="R98" s="8">
        <f t="shared" si="359"/>
        <v>0</v>
      </c>
      <c r="S98" s="8">
        <f t="shared" si="360"/>
        <v>3.2554202747574715E-2</v>
      </c>
      <c r="T98" s="8">
        <f t="shared" si="361"/>
        <v>0</v>
      </c>
      <c r="V98" s="8">
        <f t="shared" ref="V98:X98" si="363">(V12)/$Z12</f>
        <v>0.38007881854628889</v>
      </c>
      <c r="W98" s="8">
        <f t="shared" si="363"/>
        <v>0.42320463571847128</v>
      </c>
      <c r="X98" s="8">
        <f t="shared" si="363"/>
        <v>0.46633045289065367</v>
      </c>
    </row>
    <row r="99" spans="1:24" x14ac:dyDescent="0.2">
      <c r="A99" s="4" t="s">
        <v>62</v>
      </c>
      <c r="B99" s="19" t="s">
        <v>50</v>
      </c>
      <c r="J99" s="8">
        <f t="shared" si="357"/>
        <v>4.4436486750439486E-2</v>
      </c>
      <c r="M99" s="8">
        <f t="shared" si="358"/>
        <v>4.2320463571847135E-2</v>
      </c>
      <c r="N99" s="8">
        <f t="shared" si="358"/>
        <v>1.4812162250146498E-2</v>
      </c>
      <c r="O99" s="8">
        <f t="shared" si="358"/>
        <v>0</v>
      </c>
      <c r="P99" s="8">
        <f t="shared" si="358"/>
        <v>0</v>
      </c>
      <c r="Q99" s="8">
        <f t="shared" si="358"/>
        <v>1.946741324304968E-2</v>
      </c>
      <c r="R99" s="8">
        <f t="shared" si="359"/>
        <v>0</v>
      </c>
      <c r="S99" s="8">
        <f t="shared" si="360"/>
        <v>3.2554202747574722E-2</v>
      </c>
      <c r="T99" s="8">
        <f t="shared" si="361"/>
        <v>0</v>
      </c>
      <c r="V99" s="8">
        <f t="shared" ref="V99:X99" si="364">(V13)/$Z13</f>
        <v>0.30675433816630476</v>
      </c>
      <c r="W99" s="8">
        <f t="shared" si="364"/>
        <v>0.42320463571847133</v>
      </c>
      <c r="X99" s="8">
        <f t="shared" si="364"/>
        <v>0.53965493327063785</v>
      </c>
    </row>
    <row r="100" spans="1:24" x14ac:dyDescent="0.2">
      <c r="A100" s="4" t="s">
        <v>62</v>
      </c>
      <c r="B100" s="19" t="s">
        <v>55</v>
      </c>
      <c r="J100" s="8">
        <f t="shared" si="357"/>
        <v>3.3068587341593542E-2</v>
      </c>
      <c r="M100" s="8">
        <f t="shared" si="358"/>
        <v>0</v>
      </c>
      <c r="N100" s="8">
        <f t="shared" si="358"/>
        <v>1.1022862447197848E-2</v>
      </c>
      <c r="O100" s="8">
        <f t="shared" si="358"/>
        <v>0</v>
      </c>
      <c r="P100" s="8">
        <f t="shared" si="358"/>
        <v>0.18896335623767735</v>
      </c>
      <c r="Q100" s="8">
        <f t="shared" si="358"/>
        <v>1.4487190644888598E-2</v>
      </c>
      <c r="R100" s="8">
        <f t="shared" si="359"/>
        <v>3.188379472679434E-2</v>
      </c>
      <c r="S100" s="8">
        <f t="shared" si="360"/>
        <v>3.0282589140653425E-2</v>
      </c>
      <c r="T100" s="8">
        <f t="shared" si="361"/>
        <v>5.5114312235989227E-2</v>
      </c>
      <c r="V100" s="8">
        <f t="shared" ref="V100:X100" si="365">(V14)/$Z14</f>
        <v>0.27177501365160062</v>
      </c>
      <c r="W100" s="8">
        <f t="shared" si="365"/>
        <v>0.31493892706279564</v>
      </c>
      <c r="X100" s="8">
        <f t="shared" si="365"/>
        <v>0.35810284047399066</v>
      </c>
    </row>
    <row r="101" spans="1:24" x14ac:dyDescent="0.2">
      <c r="M101" s="11"/>
      <c r="N101" s="11"/>
      <c r="O101" s="11"/>
      <c r="P101" s="11"/>
      <c r="Q101" s="11"/>
      <c r="S101" s="8"/>
      <c r="T101" s="11"/>
    </row>
    <row r="102" spans="1:24" x14ac:dyDescent="0.2">
      <c r="A102" s="4" t="s">
        <v>74</v>
      </c>
      <c r="B102" s="19" t="s">
        <v>33</v>
      </c>
      <c r="J102" s="8">
        <f>(J16*$W16)/$Z16</f>
        <v>4.4436486750439479E-2</v>
      </c>
      <c r="M102" s="8">
        <f>(M16*$W16)/$Z16</f>
        <v>4.2320463571847128E-2</v>
      </c>
      <c r="N102" s="8">
        <f>(N16*$W16)/$Z16</f>
        <v>1.4812162250146496E-2</v>
      </c>
      <c r="O102" s="8">
        <f>(O16*$W16)/$Z16</f>
        <v>0</v>
      </c>
      <c r="P102" s="8">
        <f>(P16*$W16)/$Z16</f>
        <v>0</v>
      </c>
      <c r="Q102" s="8">
        <f>(Q16*$W16)/$Z16</f>
        <v>1.9467413243049677E-2</v>
      </c>
      <c r="R102" s="8">
        <f>(R16)/$Z16</f>
        <v>0</v>
      </c>
      <c r="S102" s="8">
        <f>(S16/52*$W16)/$Z16</f>
        <v>3.2554202747574715E-2</v>
      </c>
      <c r="T102" s="8">
        <f>(T16*$W16)/$Z16</f>
        <v>0</v>
      </c>
      <c r="V102" s="8">
        <f>(V16)/$Z16</f>
        <v>0.32715923893016374</v>
      </c>
      <c r="W102" s="8">
        <f>(W16)/$Z16</f>
        <v>0.42320463571847128</v>
      </c>
      <c r="X102" s="8">
        <f>(X16)/$Z16</f>
        <v>0.51925003250677881</v>
      </c>
    </row>
    <row r="103" spans="1:24" x14ac:dyDescent="0.2">
      <c r="A103" s="4" t="s">
        <v>74</v>
      </c>
      <c r="B103" s="19" t="s">
        <v>40</v>
      </c>
      <c r="J103" s="8">
        <f t="shared" ref="J103:J106" si="366">(J17*$W17)/$Z17</f>
        <v>4.1154124457308254E-2</v>
      </c>
      <c r="M103" s="8">
        <f t="shared" ref="M103:Q106" si="367">(M17*$W17)/$Z17</f>
        <v>3.9194404245055485E-2</v>
      </c>
      <c r="N103" s="8">
        <f t="shared" si="367"/>
        <v>1.3718041485769418E-2</v>
      </c>
      <c r="O103" s="8">
        <f t="shared" si="367"/>
        <v>0</v>
      </c>
      <c r="P103" s="8">
        <f t="shared" si="367"/>
        <v>0</v>
      </c>
      <c r="Q103" s="8">
        <f t="shared" si="367"/>
        <v>1.8029425952725518E-2</v>
      </c>
      <c r="R103" s="8">
        <f t="shared" ref="R103:R106" si="368">(R17)/$Z17</f>
        <v>0</v>
      </c>
      <c r="S103" s="8">
        <f t="shared" ref="S103:S106" si="369">(S17/52*$W17)/$Z17</f>
        <v>3.0149541726965753E-2</v>
      </c>
      <c r="T103" s="8">
        <f t="shared" ref="T103:T106" si="370">(T17*$W17)/$Z17</f>
        <v>6.8590207428847069E-2</v>
      </c>
      <c r="V103" s="8">
        <f t="shared" ref="V103:X103" si="371">(V17)/$Z17</f>
        <v>0.25605582045986724</v>
      </c>
      <c r="W103" s="8">
        <f t="shared" si="371"/>
        <v>0.39194404245055481</v>
      </c>
      <c r="X103" s="8">
        <f t="shared" si="371"/>
        <v>0.52783226444124243</v>
      </c>
    </row>
    <row r="104" spans="1:24" x14ac:dyDescent="0.2">
      <c r="A104" s="4" t="s">
        <v>74</v>
      </c>
      <c r="B104" s="19" t="s">
        <v>47</v>
      </c>
      <c r="J104" s="8">
        <f t="shared" si="366"/>
        <v>4.4436486750439479E-2</v>
      </c>
      <c r="M104" s="8">
        <f t="shared" si="367"/>
        <v>4.2320463571847128E-2</v>
      </c>
      <c r="N104" s="8">
        <f t="shared" si="367"/>
        <v>1.4812162250146496E-2</v>
      </c>
      <c r="O104" s="8">
        <f t="shared" si="367"/>
        <v>0</v>
      </c>
      <c r="P104" s="8">
        <f t="shared" si="367"/>
        <v>0</v>
      </c>
      <c r="Q104" s="8">
        <f t="shared" si="367"/>
        <v>1.9467413243049677E-2</v>
      </c>
      <c r="R104" s="8">
        <f t="shared" si="368"/>
        <v>0</v>
      </c>
      <c r="S104" s="8">
        <f t="shared" si="369"/>
        <v>3.2554202747574715E-2</v>
      </c>
      <c r="T104" s="8">
        <f t="shared" si="370"/>
        <v>0</v>
      </c>
      <c r="V104" s="8">
        <f t="shared" ref="V104:X104" si="372">(V18)/$Z18</f>
        <v>0.35190523765923298</v>
      </c>
      <c r="W104" s="8">
        <f t="shared" si="372"/>
        <v>0.42320463571847128</v>
      </c>
      <c r="X104" s="8">
        <f t="shared" si="372"/>
        <v>0.49450403377770952</v>
      </c>
    </row>
    <row r="105" spans="1:24" x14ac:dyDescent="0.2">
      <c r="A105" s="4" t="s">
        <v>74</v>
      </c>
      <c r="B105" s="19" t="s">
        <v>50</v>
      </c>
      <c r="J105" s="8">
        <f t="shared" si="366"/>
        <v>4.1154124457308247E-2</v>
      </c>
      <c r="M105" s="8">
        <f t="shared" si="367"/>
        <v>3.9194404245055485E-2</v>
      </c>
      <c r="N105" s="8">
        <f t="shared" si="367"/>
        <v>1.371804148576942E-2</v>
      </c>
      <c r="O105" s="8">
        <f t="shared" si="367"/>
        <v>0</v>
      </c>
      <c r="P105" s="8">
        <f t="shared" si="367"/>
        <v>0</v>
      </c>
      <c r="Q105" s="8">
        <f t="shared" si="367"/>
        <v>1.8029425952725522E-2</v>
      </c>
      <c r="R105" s="8">
        <f t="shared" si="368"/>
        <v>0</v>
      </c>
      <c r="S105" s="8">
        <f t="shared" si="369"/>
        <v>3.0149541726965753E-2</v>
      </c>
      <c r="T105" s="8">
        <f t="shared" si="370"/>
        <v>6.8590207428847083E-2</v>
      </c>
      <c r="V105" s="8">
        <f t="shared" ref="V105:X105" si="373">(V19)/$Z19</f>
        <v>0.28650407610189005</v>
      </c>
      <c r="W105" s="8">
        <f t="shared" si="373"/>
        <v>0.39194404245055481</v>
      </c>
      <c r="X105" s="8">
        <f t="shared" si="373"/>
        <v>0.49738400879921951</v>
      </c>
    </row>
    <row r="106" spans="1:24" x14ac:dyDescent="0.2">
      <c r="A106" s="4" t="s">
        <v>74</v>
      </c>
      <c r="B106" s="19" t="s">
        <v>55</v>
      </c>
      <c r="J106" s="8">
        <f t="shared" si="366"/>
        <v>3.4670679206291542E-2</v>
      </c>
      <c r="M106" s="8">
        <f t="shared" si="367"/>
        <v>0</v>
      </c>
      <c r="N106" s="8">
        <f t="shared" si="367"/>
        <v>1.1556893068763847E-2</v>
      </c>
      <c r="O106" s="8">
        <f>(O20*$W20)/$Z20</f>
        <v>6.6039388964364842E-2</v>
      </c>
      <c r="P106" s="8">
        <f t="shared" si="367"/>
        <v>5.7454268398997407E-2</v>
      </c>
      <c r="Q106" s="8">
        <f t="shared" si="367"/>
        <v>1.5189059461803914E-2</v>
      </c>
      <c r="R106" s="8">
        <f t="shared" si="368"/>
        <v>5.9605451088691308E-2</v>
      </c>
      <c r="S106" s="8">
        <f t="shared" si="369"/>
        <v>3.1749706232867707E-2</v>
      </c>
      <c r="T106" s="8">
        <f t="shared" si="370"/>
        <v>5.778446534381923E-2</v>
      </c>
      <c r="V106" s="8">
        <f t="shared" ref="V106:X106" si="374">(V20)/$Z20</f>
        <v>0.28089539394896479</v>
      </c>
      <c r="W106" s="8">
        <f t="shared" si="374"/>
        <v>0.33019694482182421</v>
      </c>
      <c r="X106" s="8">
        <f t="shared" si="374"/>
        <v>0.37949849569468358</v>
      </c>
    </row>
    <row r="107" spans="1:24" x14ac:dyDescent="0.2">
      <c r="M107" s="11"/>
      <c r="N107" s="11"/>
      <c r="O107" s="11"/>
      <c r="P107" s="11"/>
      <c r="Q107" s="11"/>
      <c r="S107" s="8"/>
      <c r="T107" s="11"/>
    </row>
    <row r="108" spans="1:24" x14ac:dyDescent="0.2">
      <c r="A108" s="4" t="s">
        <v>82</v>
      </c>
      <c r="B108" s="19" t="s">
        <v>33</v>
      </c>
      <c r="J108" s="8">
        <f>(J22*$W22)/$Z22</f>
        <v>5.2873060853105634E-2</v>
      </c>
      <c r="M108" s="8">
        <f>(M22*$W22)/$Z22</f>
        <v>4.1469067335769126E-2</v>
      </c>
      <c r="N108" s="8">
        <f>(N22*$W22)/$Z22</f>
        <v>1.4514173567519195E-2</v>
      </c>
      <c r="O108" s="8">
        <f>(O22*$W22)/$Z22</f>
        <v>0</v>
      </c>
      <c r="P108" s="8">
        <f>(P22*$W22)/$Z22</f>
        <v>0</v>
      </c>
      <c r="Q108" s="8">
        <f>(Q22*$W22)/$Z22</f>
        <v>1.9075770974453798E-2</v>
      </c>
      <c r="R108" s="8">
        <f>(R22)/$Z22</f>
        <v>1.0787297987793381E-2</v>
      </c>
      <c r="S108" s="8">
        <f>(S22/52*$W22)/$Z22</f>
        <v>3.1899282565976253E-2</v>
      </c>
      <c r="T108" s="8">
        <f>(T22*$W22)/$Z22</f>
        <v>0</v>
      </c>
      <c r="V108" s="8">
        <f>(V22)/$Z22</f>
        <v>0.28682633729646456</v>
      </c>
      <c r="W108" s="8">
        <f>(W22)/$Z22</f>
        <v>0.41469067335769128</v>
      </c>
      <c r="X108" s="8">
        <f>(X22)/$Z22</f>
        <v>0.54255500941891799</v>
      </c>
    </row>
    <row r="109" spans="1:24" x14ac:dyDescent="0.2">
      <c r="A109" s="4" t="s">
        <v>82</v>
      </c>
      <c r="B109" s="19" t="s">
        <v>40</v>
      </c>
      <c r="J109" s="8">
        <f t="shared" ref="J109:J112" si="375">(J23*$W23)/$Z23</f>
        <v>5.3060229372501141E-2</v>
      </c>
      <c r="M109" s="8">
        <f t="shared" ref="M109:Q112" si="376">(M23*$W23)/$Z23</f>
        <v>4.1615866174510699E-2</v>
      </c>
      <c r="N109" s="8">
        <f t="shared" si="376"/>
        <v>1.4565553161078746E-2</v>
      </c>
      <c r="O109" s="8">
        <f t="shared" si="376"/>
        <v>0</v>
      </c>
      <c r="P109" s="8">
        <f t="shared" si="376"/>
        <v>0</v>
      </c>
      <c r="Q109" s="8">
        <f t="shared" si="376"/>
        <v>1.914329844027492E-2</v>
      </c>
      <c r="R109" s="8">
        <f t="shared" ref="R109:R112" si="377">(R23)/$Z23</f>
        <v>7.2855246117969705E-3</v>
      </c>
      <c r="S109" s="8">
        <f t="shared" ref="S109:S112" si="378">(S23/52*$W23)/$Z23</f>
        <v>3.2012204749623616E-2</v>
      </c>
      <c r="T109" s="8">
        <f t="shared" ref="T109:T112" si="379">(T23*$W23)/$Z23</f>
        <v>0</v>
      </c>
      <c r="V109" s="8">
        <f t="shared" ref="V109:X109" si="380">(V23)/$Z23</f>
        <v>0.27542554735868385</v>
      </c>
      <c r="W109" s="8">
        <f t="shared" si="380"/>
        <v>0.41615866174510696</v>
      </c>
      <c r="X109" s="8">
        <f t="shared" si="380"/>
        <v>0.55689177613153007</v>
      </c>
    </row>
    <row r="110" spans="1:24" x14ac:dyDescent="0.2">
      <c r="A110" s="4" t="s">
        <v>82</v>
      </c>
      <c r="B110" s="19" t="s">
        <v>47</v>
      </c>
      <c r="J110" s="8">
        <f t="shared" si="375"/>
        <v>5.2815968374728621E-2</v>
      </c>
      <c r="M110" s="8">
        <f t="shared" si="376"/>
        <v>4.142428892135578E-2</v>
      </c>
      <c r="N110" s="8">
        <f t="shared" si="376"/>
        <v>1.4498501122474522E-2</v>
      </c>
      <c r="O110" s="8">
        <f t="shared" si="376"/>
        <v>0</v>
      </c>
      <c r="P110" s="8">
        <f t="shared" si="376"/>
        <v>0</v>
      </c>
      <c r="Q110" s="8">
        <f t="shared" si="376"/>
        <v>1.9055172903823657E-2</v>
      </c>
      <c r="R110" s="8">
        <f t="shared" si="377"/>
        <v>1.1855452618689808E-2</v>
      </c>
      <c r="S110" s="8">
        <f t="shared" si="378"/>
        <v>3.1864837631812137E-2</v>
      </c>
      <c r="T110" s="8">
        <f t="shared" si="379"/>
        <v>0</v>
      </c>
      <c r="V110" s="8">
        <f t="shared" ref="V110:X110" si="381">(V24)/$Z24</f>
        <v>0.30972207651806061</v>
      </c>
      <c r="W110" s="8">
        <f t="shared" si="381"/>
        <v>0.41424288921355779</v>
      </c>
      <c r="X110" s="8">
        <f t="shared" si="381"/>
        <v>0.51876370190905496</v>
      </c>
    </row>
    <row r="111" spans="1:24" x14ac:dyDescent="0.2">
      <c r="A111" s="4" t="s">
        <v>82</v>
      </c>
      <c r="B111" s="19" t="s">
        <v>50</v>
      </c>
      <c r="J111" s="8">
        <f t="shared" si="375"/>
        <v>5.3060229372501141E-2</v>
      </c>
      <c r="M111" s="8">
        <f t="shared" si="376"/>
        <v>4.1615866174510699E-2</v>
      </c>
      <c r="N111" s="8">
        <f t="shared" si="376"/>
        <v>1.4565553161078746E-2</v>
      </c>
      <c r="O111" s="8">
        <f t="shared" si="376"/>
        <v>0</v>
      </c>
      <c r="P111" s="8">
        <f t="shared" si="376"/>
        <v>0</v>
      </c>
      <c r="Q111" s="8">
        <f t="shared" si="376"/>
        <v>1.914329844027492E-2</v>
      </c>
      <c r="R111" s="8">
        <f t="shared" si="377"/>
        <v>7.2855246117969705E-3</v>
      </c>
      <c r="S111" s="8">
        <f t="shared" si="378"/>
        <v>3.2012204749623616E-2</v>
      </c>
      <c r="T111" s="8">
        <f t="shared" si="379"/>
        <v>0</v>
      </c>
      <c r="V111" s="8">
        <f t="shared" ref="V111:X111" si="382">(V25)/$Z25</f>
        <v>0.27542554735868385</v>
      </c>
      <c r="W111" s="8">
        <f t="shared" si="382"/>
        <v>0.41615866174510696</v>
      </c>
      <c r="X111" s="8">
        <f t="shared" si="382"/>
        <v>0.55689177613153007</v>
      </c>
    </row>
    <row r="112" spans="1:24" x14ac:dyDescent="0.2">
      <c r="A112" s="4" t="s">
        <v>82</v>
      </c>
      <c r="B112" s="19" t="s">
        <v>55</v>
      </c>
      <c r="J112" s="8">
        <f t="shared" si="375"/>
        <v>4.4260659284394738E-2</v>
      </c>
      <c r="M112" s="8">
        <f t="shared" si="376"/>
        <v>0</v>
      </c>
      <c r="N112" s="8">
        <f t="shared" si="376"/>
        <v>1.2149984901598559E-2</v>
      </c>
      <c r="O112" s="8">
        <f t="shared" si="376"/>
        <v>0</v>
      </c>
      <c r="P112" s="8">
        <f t="shared" si="376"/>
        <v>0.17357121287997937</v>
      </c>
      <c r="Q112" s="8">
        <f t="shared" si="376"/>
        <v>1.59685515849581E-2</v>
      </c>
      <c r="R112" s="8">
        <f t="shared" si="377"/>
        <v>3.3061476309154958E-2</v>
      </c>
      <c r="S112" s="8">
        <f t="shared" si="378"/>
        <v>2.6703263519996828E-2</v>
      </c>
      <c r="T112" s="8">
        <f t="shared" si="379"/>
        <v>0</v>
      </c>
      <c r="V112" s="8">
        <f t="shared" ref="V112:X112" si="383">(V26)/$Z26</f>
        <v>0.29125776659589786</v>
      </c>
      <c r="W112" s="8">
        <f t="shared" si="383"/>
        <v>0.34714242575995874</v>
      </c>
      <c r="X112" s="8">
        <f t="shared" si="383"/>
        <v>0.40302708492401967</v>
      </c>
    </row>
    <row r="113" spans="1:24" x14ac:dyDescent="0.2">
      <c r="M113" s="11"/>
      <c r="N113" s="11"/>
      <c r="O113" s="11"/>
      <c r="P113" s="11"/>
      <c r="Q113" s="11"/>
      <c r="S113" s="8"/>
      <c r="T113" s="11"/>
    </row>
    <row r="114" spans="1:24" x14ac:dyDescent="0.2">
      <c r="A114" s="4" t="s">
        <v>88</v>
      </c>
      <c r="B114" s="19" t="s">
        <v>33</v>
      </c>
      <c r="J114" s="8">
        <f>(J28*$W28)/$Z28</f>
        <v>4.0724386896592871E-2</v>
      </c>
      <c r="M114" s="8">
        <f>(M28*$W28)/$Z28</f>
        <v>3.8785130377707498E-2</v>
      </c>
      <c r="N114" s="8">
        <f>(N28*$W28)/$Z28</f>
        <v>1.3574795632197626E-2</v>
      </c>
      <c r="O114" s="8">
        <f>(O28*$W28)/$Z28</f>
        <v>0</v>
      </c>
      <c r="P114" s="8">
        <f>(P28*$W28)/$Z28</f>
        <v>0</v>
      </c>
      <c r="Q114" s="8">
        <f>(Q28*$W28)/$Z28</f>
        <v>1.7841159973745451E-2</v>
      </c>
      <c r="R114" s="8">
        <f>(R28)/$Z28</f>
        <v>0</v>
      </c>
      <c r="S114" s="8">
        <f>(S28/52*$W28)/$Z28</f>
        <v>2.9834715675159617E-2</v>
      </c>
      <c r="T114" s="8">
        <f>(T28*$W28)/$Z28</f>
        <v>7.7570260755414996E-2</v>
      </c>
      <c r="V114" s="8">
        <f>(V28)/$Z28</f>
        <v>0.31291461467576787</v>
      </c>
      <c r="W114" s="8">
        <f>(W28)/$Z28</f>
        <v>0.387851303777075</v>
      </c>
      <c r="X114" s="8">
        <f>(X28)/$Z28</f>
        <v>0.46278799287838213</v>
      </c>
    </row>
    <row r="115" spans="1:24" x14ac:dyDescent="0.2">
      <c r="A115" s="4" t="s">
        <v>88</v>
      </c>
      <c r="B115" s="19" t="s">
        <v>40</v>
      </c>
      <c r="J115" s="8">
        <f t="shared" ref="J115:J118" si="384">(J29*$W29)/$Z29</f>
        <v>4.0724386896592878E-2</v>
      </c>
      <c r="M115" s="8">
        <f t="shared" ref="M115:Q118" si="385">(M29*$W29)/$Z29</f>
        <v>3.8785130377707505E-2</v>
      </c>
      <c r="N115" s="8">
        <f t="shared" si="385"/>
        <v>1.3574795632197626E-2</v>
      </c>
      <c r="O115" s="8">
        <f t="shared" si="385"/>
        <v>0</v>
      </c>
      <c r="P115" s="8">
        <f t="shared" si="385"/>
        <v>0</v>
      </c>
      <c r="Q115" s="8">
        <f t="shared" si="385"/>
        <v>1.7841159973745448E-2</v>
      </c>
      <c r="R115" s="8">
        <f t="shared" ref="R115:R118" si="386">(R29)/$Z29</f>
        <v>0</v>
      </c>
      <c r="S115" s="8">
        <f t="shared" ref="S115:S118" si="387">(S29/52*$W29)/$Z29</f>
        <v>2.9834715675159617E-2</v>
      </c>
      <c r="T115" s="8">
        <f t="shared" ref="T115:T118" si="388">(T29*$W29)/$Z29</f>
        <v>7.757026075541501E-2</v>
      </c>
      <c r="V115" s="8">
        <f t="shared" ref="V115:X115" si="389">(V29)/$Z29</f>
        <v>0.27684660381765647</v>
      </c>
      <c r="W115" s="8">
        <f t="shared" si="389"/>
        <v>0.387851303777075</v>
      </c>
      <c r="X115" s="8">
        <f t="shared" si="389"/>
        <v>0.49885600373649358</v>
      </c>
    </row>
    <row r="116" spans="1:24" x14ac:dyDescent="0.2">
      <c r="A116" s="4" t="s">
        <v>88</v>
      </c>
      <c r="B116" s="19" t="s">
        <v>47</v>
      </c>
      <c r="J116" s="8">
        <f t="shared" si="384"/>
        <v>4.0724386896592878E-2</v>
      </c>
      <c r="M116" s="8">
        <f t="shared" si="385"/>
        <v>3.8785130377707505E-2</v>
      </c>
      <c r="N116" s="8">
        <f t="shared" si="385"/>
        <v>1.3574795632197628E-2</v>
      </c>
      <c r="O116" s="8">
        <f t="shared" si="385"/>
        <v>0</v>
      </c>
      <c r="P116" s="8">
        <f t="shared" si="385"/>
        <v>0</v>
      </c>
      <c r="Q116" s="8">
        <f t="shared" si="385"/>
        <v>1.7841159973745451E-2</v>
      </c>
      <c r="R116" s="8">
        <f t="shared" si="386"/>
        <v>0</v>
      </c>
      <c r="S116" s="8">
        <f t="shared" si="387"/>
        <v>2.9834715675159617E-2</v>
      </c>
      <c r="T116" s="8">
        <f t="shared" si="388"/>
        <v>7.757026075541501E-2</v>
      </c>
      <c r="V116" s="8">
        <f t="shared" ref="V116:X116" si="390">(V30)/$Z30</f>
        <v>0.35271962315096511</v>
      </c>
      <c r="W116" s="8">
        <f t="shared" si="390"/>
        <v>0.38785130377707505</v>
      </c>
      <c r="X116" s="8">
        <f t="shared" si="390"/>
        <v>0.42298298440318499</v>
      </c>
    </row>
    <row r="117" spans="1:24" x14ac:dyDescent="0.2">
      <c r="A117" s="4" t="s">
        <v>88</v>
      </c>
      <c r="B117" s="19" t="s">
        <v>50</v>
      </c>
      <c r="J117" s="8">
        <f t="shared" si="384"/>
        <v>4.0724386896592871E-2</v>
      </c>
      <c r="M117" s="8">
        <f t="shared" si="385"/>
        <v>3.8785130377707498E-2</v>
      </c>
      <c r="N117" s="8">
        <f t="shared" si="385"/>
        <v>1.3574795632197626E-2</v>
      </c>
      <c r="O117" s="8">
        <f t="shared" si="385"/>
        <v>0</v>
      </c>
      <c r="P117" s="8">
        <f t="shared" si="385"/>
        <v>0</v>
      </c>
      <c r="Q117" s="8">
        <f t="shared" si="385"/>
        <v>1.7841159973745448E-2</v>
      </c>
      <c r="R117" s="8">
        <f t="shared" si="386"/>
        <v>0</v>
      </c>
      <c r="S117" s="8">
        <f t="shared" si="387"/>
        <v>2.9834715675159617E-2</v>
      </c>
      <c r="T117" s="8">
        <f t="shared" si="388"/>
        <v>7.7570260755414996E-2</v>
      </c>
      <c r="V117" s="8">
        <f t="shared" ref="V117:X117" si="391">(V31)/$Z31</f>
        <v>0.3570890341109314</v>
      </c>
      <c r="W117" s="8">
        <f t="shared" si="391"/>
        <v>0.387851303777075</v>
      </c>
      <c r="X117" s="8">
        <f t="shared" si="391"/>
        <v>0.41861357344321859</v>
      </c>
    </row>
    <row r="118" spans="1:24" x14ac:dyDescent="0.2">
      <c r="A118" s="4" t="s">
        <v>88</v>
      </c>
      <c r="B118" s="19" t="s">
        <v>55</v>
      </c>
      <c r="J118" s="8">
        <f t="shared" si="384"/>
        <v>4.4729983313397788E-2</v>
      </c>
      <c r="M118" s="8">
        <f t="shared" si="385"/>
        <v>0</v>
      </c>
      <c r="N118" s="8">
        <f t="shared" si="385"/>
        <v>1.4909994437799265E-2</v>
      </c>
      <c r="O118" s="8">
        <f t="shared" si="385"/>
        <v>0</v>
      </c>
      <c r="P118" s="8">
        <f t="shared" si="385"/>
        <v>0</v>
      </c>
      <c r="Q118" s="8">
        <f t="shared" si="385"/>
        <v>1.9595992689679029E-2</v>
      </c>
      <c r="R118" s="8">
        <f t="shared" si="386"/>
        <v>3.5995128854552312E-2</v>
      </c>
      <c r="S118" s="8">
        <f t="shared" si="387"/>
        <v>3.2769218544613767E-2</v>
      </c>
      <c r="T118" s="8">
        <f t="shared" si="388"/>
        <v>0</v>
      </c>
      <c r="V118" s="8">
        <f t="shared" ref="V118:X118" si="392">(V32)/$Z32</f>
        <v>0.37074273002680597</v>
      </c>
      <c r="W118" s="8">
        <f t="shared" si="392"/>
        <v>0.4259998410799789</v>
      </c>
      <c r="X118" s="8">
        <f t="shared" si="392"/>
        <v>0.48125695213315189</v>
      </c>
    </row>
    <row r="120" spans="1:24" x14ac:dyDescent="0.2">
      <c r="A120" s="4" t="s">
        <v>96</v>
      </c>
      <c r="B120" s="19" t="s">
        <v>33</v>
      </c>
      <c r="J120" s="35" t="str">
        <f>TEXT((AVERAGE(J28,J22,J16,J10,J4)*$W4/$Z4), "0.0%") &amp; " (" &amp; TEXT((MIN(J28,J22,J16,J10,J4)*$W4/$Z4), "0.0%") &amp; " - " &amp; TEXT((MAX(J28,J22,J16,J10,J4)*$W4/$Z4), "0.0%") &amp; ")"</f>
        <v>4.3% (4.1% - 5.0%)</v>
      </c>
      <c r="M120" s="35" t="str">
        <f>TEXT((AVERAGE(M28,M22,M16,M10,M4)*$W4/$Z4), "0.0%") &amp; " (" &amp; TEXT((MIN(M28,M22,M16,M10,M4)*$W4/$Z4), "0.0%") &amp; " - " &amp; TEXT((MAX(M28,M22,M16,M10,M4)*$W4/$Z4), "0.0%") &amp; ")"</f>
        <v>3.9% (3.9% - 3.9%)</v>
      </c>
      <c r="N120" s="35" t="str">
        <f>TEXT((AVERAGE(N28,N22,N16,N10,N4)*$W4/$Z4), "0.0%") &amp; " (" &amp; TEXT((MIN(N28,N22,N16,N10,N4)*$W4/$Z4), "0.0%") &amp; " - " &amp; TEXT((MAX(N28,N22,N16,N10,N4)*$W4/$Z4), "0.0%") &amp; ")"</f>
        <v>1.4% (1.4% - 1.4%)</v>
      </c>
      <c r="O120" s="35" t="str">
        <f>TEXT((AVERAGE(O28,O22,O16,O10,O4)*$W4/$Z4), "0.0%") &amp; " (" &amp; TEXT((MIN(O28,O22,O16,O10,O4)*$W4/$Z4), "0.0%") &amp; " - " &amp; TEXT((MAX(O28,O22,O16,O10,O4)*$W4/$Z4), "0.0%") &amp; ")"</f>
        <v>0.0% (0.0% - 0.0%)</v>
      </c>
      <c r="P120" s="35" t="str">
        <f>TEXT((AVERAGE(P28,P22,P16,P10,P4)*$W4/$Z4), "0.0%") &amp; " (" &amp; TEXT((MIN(P28,P22,P16,P10,P4)*$W4/$Z4), "0.0%") &amp; " - " &amp; TEXT((MAX(P28,P22,P16,P10,P4)*$W4/$Z4), "0.0%") &amp; ")"</f>
        <v>0.0% (0.0% - 0.0%)</v>
      </c>
      <c r="Q120" s="35" t="str">
        <f>TEXT((AVERAGE(Q28,Q22,Q16,Q10,Q4)*$W4/$Z4), "0.0%") &amp; " (" &amp; TEXT((MIN(Q28,Q22,Q16,Q10,Q4)*$W4/$Z4), "0.0%") &amp; " - " &amp; TEXT((MAX(Q28,Q22,Q16,Q10,Q4)*$W4/$Z4), "0.0%") &amp; ")"</f>
        <v>1.8% (1.8% - 1.8%)</v>
      </c>
      <c r="R120" s="35" t="str">
        <f>TEXT((AVERAGE(R28,R22,R16,R10,R4)/$Z4), "0.0%") &amp; " (" &amp; TEXT((MIN(R28,R22,R16,R10,R4)/$Z4), "0.0%") &amp; " - " &amp; TEXT((MAX(R28,R22,R16,R10,R4)/$Z4), "0.0%") &amp; ")"</f>
        <v>0.2% (0.0% - 0.8%)</v>
      </c>
      <c r="S120" s="35" t="str">
        <f>TEXT((AVERAGE(S28,S22,S16,S10,S4)/52*$W4/$Z4), "0.0%") &amp; " (" &amp; TEXT((MIN(S28,S22,S16,S10,S4)/52*$W4/$Z4), "0.0%") &amp; " - " &amp; TEXT((MAX(S28,S22,S16,S10,S4)/52*$W4/$Z4), "0.0%") &amp; ")"</f>
        <v>3.0% (3.0% - 3.0%)</v>
      </c>
      <c r="T120" s="35" t="str">
        <f>TEXT((AVERAGE(T28,T22,T16,T10,T4)*$W4/$Z4), "0.0%") &amp; " (" &amp; TEXT((MIN(T28,T22,T16,T10,T4)*$W4/$Z4), "0.0%") &amp; " - " &amp; TEXT((MAX(T28,T22,T16,T10,T4)*$W4/$Z4), "0.0%") &amp; ")"</f>
        <v>2.9% (0.0% - 7.8%)</v>
      </c>
      <c r="V120" s="35" t="str">
        <f>TEXT((AVERAGE(V28,V22,V16,V10,V4)/$Z4), "0.0%") &amp; " (" &amp; TEXT((MIN(V28,V22,V16,V10,V4)/$Z4), "0.0%") &amp; " - " &amp; TEXT((MAX(V28,V22,V16,V10,V4)/$Z4), "0.0%") &amp; ")"</f>
        <v>24.8% (20.0% - 32.9%)</v>
      </c>
      <c r="W120" s="35" t="str">
        <f>TEXT((AVERAGE(W28,W22,W16,W10,W4)/$Z4), "0.0%") &amp; " (" &amp; TEXT((MIN(W28,W22,W16,W10,W4)/$Z4), "0.0%") &amp; " - " &amp; TEXT((MAX(W28,W22,W16,W10,W4)/$Z4), "0.0%") &amp; ")"</f>
        <v>32.3% (29.0% - 39.2%)</v>
      </c>
      <c r="X120" s="35" t="str">
        <f>TEXT((AVERAGE(X28,X22,X16,X10,X4)/$Z4), "0.0%") &amp; " (" &amp; TEXT((MIN(X28,X22,X16,X10,X4)/$Z4), "0.0%") &amp; " - " &amp; TEXT((MAX(X28,X22,X16,X10,X4)/$Z4), "0.0%") &amp; ")"</f>
        <v>39.9% (35.1% - 45.5%)</v>
      </c>
    </row>
    <row r="121" spans="1:24" x14ac:dyDescent="0.2">
      <c r="A121" s="4" t="s">
        <v>96</v>
      </c>
      <c r="B121" s="19" t="s">
        <v>40</v>
      </c>
      <c r="J121" s="35" t="str">
        <f>TEXT((AVERAGE(J29,J23,J17,J11,J5)*$W5/$Z5), "0.0%") &amp; " (" &amp; TEXT((MIN(J29,J23,J17,J11,J5)*$W5/$Z5), "0.0%") &amp; " - " &amp; TEXT((MAX(J29,J23,J17,J11,J5)*$W5/$Z5), "0.0%") &amp; ")"</f>
        <v>4.3% (4.1% - 5.0%)</v>
      </c>
      <c r="M121" s="35" t="str">
        <f t="shared" ref="M121:Q121" si="393">TEXT((AVERAGE(M29,M23,M17,M11,M5)*$W5/$Z5), "0.0%") &amp; " (" &amp; TEXT((MIN(M29,M23,M17,M11,M5)*$W5/$Z5), "0.0%") &amp; " - " &amp; TEXT((MAX(M29,M23,M17,M11,M5)*$W5/$Z5), "0.0%") &amp; ")"</f>
        <v>3.9% (3.9% - 3.9%)</v>
      </c>
      <c r="N121" s="35" t="str">
        <f t="shared" si="393"/>
        <v>1.4% (1.4% - 1.4%)</v>
      </c>
      <c r="O121" s="35" t="str">
        <f t="shared" si="393"/>
        <v>0.0% (0.0% - 0.0%)</v>
      </c>
      <c r="P121" s="35" t="str">
        <f t="shared" si="393"/>
        <v>0.0% (0.0% - 0.0%)</v>
      </c>
      <c r="Q121" s="35" t="str">
        <f t="shared" si="393"/>
        <v>1.8% (1.8% - 1.8%)</v>
      </c>
      <c r="R121" s="35" t="str">
        <f t="shared" ref="R121:R124" si="394">TEXT((AVERAGE(R29,R23,R17,R11,R5)/$Z5), "0.0%") &amp; " (" &amp; TEXT((MIN(R29,R23,R17,R11,R5)/$Z5), "0.0%") &amp; " - " &amp; TEXT((MAX(R29,R23,R17,R11,R5)/$Z5), "0.0%") &amp; ")"</f>
        <v>0.1% (0.0% - 0.7%)</v>
      </c>
      <c r="S121" s="35" t="str">
        <f t="shared" ref="S121:S124" si="395">TEXT((AVERAGE(S29,S23,S17,S11,S5)/52*$W5/$Z5), "0.0%") &amp; " (" &amp; TEXT((MIN(S29,S23,S17,S11,S5)/52*$W5/$Z5), "0.0%") &amp; " - " &amp; TEXT((MAX(S29,S23,S17,S11,S5)/52*$W5/$Z5), "0.0%") &amp; ")"</f>
        <v>3.3% (3.0% - 3.7%)</v>
      </c>
      <c r="T121" s="35" t="str">
        <f t="shared" ref="T121:T124" si="396">TEXT((AVERAGE(T29,T23,T17,T11,T5)*$W5/$Z5), "0.0%") &amp; " (" &amp; TEXT((MIN(T29,T23,T17,T11,T5)*$W5/$Z5), "0.0%") &amp; " - " &amp; TEXT((MAX(T29,T23,T17,T11,T5)*$W5/$Z5), "0.0%") &amp; ")"</f>
        <v>4.3% (0.0% - 7.8%)</v>
      </c>
      <c r="V121" s="35" t="str">
        <f t="shared" ref="V121:X121" si="397">TEXT((AVERAGE(V29,V23,V17,V11,V5)/$Z5), "0.0%") &amp; " (" &amp; TEXT((MIN(V29,V23,V17,V11,V5)/$Z5), "0.0%") &amp; " - " &amp; TEXT((MAX(V29,V23,V17,V11,V5)/$Z5), "0.0%") &amp; ")"</f>
        <v>26.1% (23.3% - 29.7%)</v>
      </c>
      <c r="W121" s="35" t="str">
        <f t="shared" si="397"/>
        <v>39.8% (38.9% - 41.6%)</v>
      </c>
      <c r="X121" s="35" t="str">
        <f t="shared" si="397"/>
        <v>53.6% (52.8% - 54.4%)</v>
      </c>
    </row>
    <row r="122" spans="1:24" x14ac:dyDescent="0.2">
      <c r="A122" s="4" t="s">
        <v>96</v>
      </c>
      <c r="B122" s="19" t="s">
        <v>47</v>
      </c>
      <c r="J122" s="35" t="str">
        <f>TEXT((AVERAGE(J30,J24,J18,J12,J6)*$W6/$Z6), "0.0%") &amp; " (" &amp; TEXT((MIN(J30,J24,J18,J12,J6)*$W6/$Z6), "0.0%") &amp; " - " &amp; TEXT((MAX(J30,J24,J18,J12,J6)*$W6/$Z6), "0.0%") &amp; ")"</f>
        <v>4.3% (4.1% - 5.0%)</v>
      </c>
      <c r="M122" s="35" t="str">
        <f t="shared" ref="M122:Q122" si="398">TEXT((AVERAGE(M30,M24,M18,M12,M6)*$W6/$Z6), "0.0%") &amp; " (" &amp; TEXT((MIN(M30,M24,M18,M12,M6)*$W6/$Z6), "0.0%") &amp; " - " &amp; TEXT((MAX(M30,M24,M18,M12,M6)*$W6/$Z6), "0.0%") &amp; ")"</f>
        <v>3.9% (3.9% - 3.9%)</v>
      </c>
      <c r="N122" s="35" t="str">
        <f t="shared" si="398"/>
        <v>1.4% (1.4% - 1.4%)</v>
      </c>
      <c r="O122" s="35" t="str">
        <f t="shared" si="398"/>
        <v>0.0% (0.0% - 0.0%)</v>
      </c>
      <c r="P122" s="35" t="str">
        <f t="shared" si="398"/>
        <v>0.0% (0.0% - 0.0%)</v>
      </c>
      <c r="Q122" s="35" t="str">
        <f t="shared" si="398"/>
        <v>1.8% (1.8% - 1.8%)</v>
      </c>
      <c r="R122" s="35" t="str">
        <f t="shared" si="394"/>
        <v>0.2% (0.0% - 0.9%)</v>
      </c>
      <c r="S122" s="35" t="str">
        <f t="shared" si="395"/>
        <v>3.0% (3.0% - 3.0%)</v>
      </c>
      <c r="T122" s="35" t="str">
        <f t="shared" si="396"/>
        <v>2.9% (0.0% - 7.8%)</v>
      </c>
      <c r="V122" s="35" t="str">
        <f t="shared" ref="V122:X122" si="399">TEXT((AVERAGE(V30,V24,V18,V12,V6)/$Z6), "0.0%") &amp; " (" &amp; TEXT((MIN(V30,V24,V18,V12,V6)/$Z6), "0.0%") &amp; " - " &amp; TEXT((MAX(V30,V24,V18,V12,V6)/$Z6), "0.0%") &amp; ")"</f>
        <v>27.7% (24.1% - 32.2%)</v>
      </c>
      <c r="W122" s="35" t="str">
        <f t="shared" si="399"/>
        <v>32.9% (29.3% - 39.2%)</v>
      </c>
      <c r="X122" s="35" t="str">
        <f t="shared" si="399"/>
        <v>38.2% (34.2% - 46.2%)</v>
      </c>
    </row>
    <row r="123" spans="1:24" x14ac:dyDescent="0.2">
      <c r="A123" s="4" t="s">
        <v>96</v>
      </c>
      <c r="B123" s="19" t="s">
        <v>50</v>
      </c>
      <c r="J123" s="35" t="str">
        <f>TEXT((AVERAGE(J31,J25,J19,J13,J7)*$W7/$Z7), "0.0%") &amp; " (" &amp; TEXT((MIN(J31,J25,J19,J13,J7)*$W7/$Z7), "0.0%") &amp; " - " &amp; TEXT((MAX(J31,J25,J19,J13,J7)*$W7/$Z7), "0.0%") &amp; ")"</f>
        <v>4.3% (4.1% - 5.0%)</v>
      </c>
      <c r="M123" s="35" t="str">
        <f t="shared" ref="M123:Q123" si="400">TEXT((AVERAGE(M31,M25,M19,M13,M7)*$W7/$Z7), "0.0%") &amp; " (" &amp; TEXT((MIN(M31,M25,M19,M13,M7)*$W7/$Z7), "0.0%") &amp; " - " &amp; TEXT((MAX(M31,M25,M19,M13,M7)*$W7/$Z7), "0.0%") &amp; ")"</f>
        <v>3.9% (3.9% - 3.9%)</v>
      </c>
      <c r="N123" s="35" t="str">
        <f t="shared" si="400"/>
        <v>1.4% (1.4% - 1.4%)</v>
      </c>
      <c r="O123" s="35" t="str">
        <f t="shared" si="400"/>
        <v>0.0% (0.0% - 0.0%)</v>
      </c>
      <c r="P123" s="35" t="str">
        <f t="shared" si="400"/>
        <v>0.0% (0.0% - 0.0%)</v>
      </c>
      <c r="Q123" s="35" t="str">
        <f t="shared" si="400"/>
        <v>1.8% (1.8% - 1.8%)</v>
      </c>
      <c r="R123" s="35" t="str">
        <f t="shared" si="394"/>
        <v>0.1% (0.0% - 0.7%)</v>
      </c>
      <c r="S123" s="35" t="str">
        <f t="shared" si="395"/>
        <v>3.0% (3.0% - 3.0%)</v>
      </c>
      <c r="T123" s="35" t="str">
        <f t="shared" si="396"/>
        <v>4.3% (0.0% - 7.8%)</v>
      </c>
      <c r="V123" s="35" t="str">
        <f t="shared" ref="V123:X123" si="401">TEXT((AVERAGE(V31,V25,V19,V13,V7)/$Z7), "0.0%") &amp; " (" &amp; TEXT((MIN(V31,V25,V19,V13,V7)/$Z7), "0.0%") &amp; " - " &amp; TEXT((MAX(V31,V25,V19,V13,V7)/$Z7), "0.0%") &amp; ")"</f>
        <v>27.8% (25.4% - 30.7%)</v>
      </c>
      <c r="W123" s="35" t="str">
        <f t="shared" si="401"/>
        <v>36.6% (33.4% - 40.1%)</v>
      </c>
      <c r="X123" s="35" t="str">
        <f t="shared" si="401"/>
        <v>45.3% (36.0% - 53.7%)</v>
      </c>
    </row>
    <row r="124" spans="1:24" x14ac:dyDescent="0.2">
      <c r="A124" s="4" t="s">
        <v>96</v>
      </c>
      <c r="B124" s="19" t="s">
        <v>55</v>
      </c>
      <c r="J124" s="35" t="str">
        <f>TEXT((AVERAGE(J32,J26,J20,J14,J8)*$W8/$Z8), "0.0%") &amp; " (" &amp; TEXT((MIN(J32,J26,J20,J14,J8)*$W8/$Z8), "0.0%") &amp; " - " &amp; TEXT((MAX(J32,J26,J20,J14,J8)*$W8/$Z8), "0.0%") &amp; ")"</f>
        <v>4.3% (4.1% - 5.0%)</v>
      </c>
      <c r="M124" s="35" t="str">
        <f t="shared" ref="M124:Q124" si="402">TEXT((AVERAGE(M32,M26,M20,M14,M8)*$W8/$Z8), "0.0%") &amp; " (" &amp; TEXT((MIN(M32,M26,M20,M14,M8)*$W8/$Z8), "0.0%") &amp; " - " &amp; TEXT((MAX(M32,M26,M20,M14,M8)*$W8/$Z8), "0.0%") &amp; ")"</f>
        <v>0.0% (0.0% - 0.0%)</v>
      </c>
      <c r="N124" s="35" t="str">
        <f t="shared" si="402"/>
        <v>1.4% (1.4% - 1.4%)</v>
      </c>
      <c r="O124" s="35" t="str">
        <f t="shared" si="402"/>
        <v>1.6% (0.0% - 7.8%)</v>
      </c>
      <c r="P124" s="35" t="str">
        <f t="shared" si="402"/>
        <v>10.0% (0.0% - 23.5%)</v>
      </c>
      <c r="Q124" s="35" t="str">
        <f t="shared" si="402"/>
        <v>1.8% (1.8% - 1.8%)</v>
      </c>
      <c r="R124" s="35" t="str">
        <f t="shared" si="394"/>
        <v>3.8% (2.8% - 5.0%)</v>
      </c>
      <c r="S124" s="35" t="str">
        <f t="shared" si="395"/>
        <v>3.3% (3.0% - 3.8%)</v>
      </c>
      <c r="T124" s="35" t="str">
        <f t="shared" si="396"/>
        <v>4.1% (0.0% - 6.9%)</v>
      </c>
      <c r="V124" s="35" t="str">
        <f t="shared" ref="V124:X124" si="403">TEXT((AVERAGE(V32,V26,V20,V14,V8)/$Z8), "0.0%") &amp; " (" &amp; TEXT((MIN(V32,V26,V20,V14,V8)/$Z8), "0.0%") &amp; " - " &amp; TEXT((MAX(V32,V26,V20,V14,V8)/$Z8), "0.0%") &amp; ")"</f>
        <v>30.1% (23.7% - 39.4%)</v>
      </c>
      <c r="W124" s="35" t="str">
        <f t="shared" si="403"/>
        <v>35.3% (27.9% - 45.3%)</v>
      </c>
      <c r="X124" s="35" t="str">
        <f t="shared" si="403"/>
        <v>40.4% (32.0% - 51.2%)</v>
      </c>
    </row>
  </sheetData>
  <mergeCells count="20">
    <mergeCell ref="V2:X2"/>
    <mergeCell ref="Y2:AA2"/>
    <mergeCell ref="AB2:AD2"/>
    <mergeCell ref="V1:AD1"/>
    <mergeCell ref="AE1:AM1"/>
    <mergeCell ref="AE2:AG2"/>
    <mergeCell ref="AH2:AJ2"/>
    <mergeCell ref="AK2:AM2"/>
    <mergeCell ref="BF1:BN1"/>
    <mergeCell ref="BF2:BH2"/>
    <mergeCell ref="BI2:BK2"/>
    <mergeCell ref="BL2:BN2"/>
    <mergeCell ref="AN1:AV1"/>
    <mergeCell ref="AN2:AP2"/>
    <mergeCell ref="AQ2:AS2"/>
    <mergeCell ref="AT2:AV2"/>
    <mergeCell ref="AW1:BE1"/>
    <mergeCell ref="AW2:AY2"/>
    <mergeCell ref="AZ2:BB2"/>
    <mergeCell ref="BC2:BE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FB8D-B1DE-2E4B-9D6D-84CCD35047C9}">
  <dimension ref="A1:BN160"/>
  <sheetViews>
    <sheetView workbookViewId="0">
      <pane xSplit="8" ySplit="3" topLeftCell="I4" activePane="bottomRight" state="frozen"/>
      <selection pane="topRight" activeCell="I1" sqref="I1"/>
      <selection pane="bottomLeft" activeCell="A4" sqref="A4"/>
      <selection pane="bottomRight" activeCell="AB52" sqref="AB52:AB56"/>
    </sheetView>
  </sheetViews>
  <sheetFormatPr baseColWidth="10" defaultColWidth="10.6640625" defaultRowHeight="16" x14ac:dyDescent="0.2"/>
  <cols>
    <col min="1" max="1" width="10.6640625" style="4"/>
    <col min="2" max="2" width="19.1640625" style="19" customWidth="1"/>
    <col min="3" max="3" width="9.5" style="20" hidden="1" customWidth="1"/>
    <col min="4" max="4" width="15.1640625" style="4" hidden="1" customWidth="1"/>
    <col min="5" max="5" width="19" style="21" hidden="1" customWidth="1"/>
    <col min="6" max="6" width="15.83203125" style="4" hidden="1" customWidth="1"/>
    <col min="7" max="7" width="14.1640625" style="4" hidden="1" customWidth="1"/>
    <col min="8" max="8" width="20" style="5" hidden="1" customWidth="1"/>
    <col min="9" max="9" width="6.83203125" style="5" customWidth="1"/>
    <col min="10" max="10" width="11.33203125" style="11" customWidth="1"/>
    <col min="11" max="11" width="11.33203125" style="32" customWidth="1"/>
    <col min="12" max="14" width="14.1640625" style="8" customWidth="1"/>
    <col min="15" max="15" width="14.1640625" style="27" customWidth="1"/>
    <col min="16" max="17" width="14.1640625" style="8" customWidth="1"/>
    <col min="18" max="18" width="14.1640625" style="29" customWidth="1"/>
    <col min="19" max="19" width="14.1640625" style="9" customWidth="1"/>
    <col min="20" max="20" width="14.1640625" style="8" customWidth="1"/>
    <col min="21" max="21" width="14.1640625" style="9" customWidth="1"/>
    <col min="22" max="27" width="14.83203125" style="23" customWidth="1"/>
    <col min="28" max="30" width="12.83203125" style="23" customWidth="1"/>
    <col min="31" max="16384" width="10.6640625" style="4"/>
  </cols>
  <sheetData>
    <row r="1" spans="1:66" x14ac:dyDescent="0.2">
      <c r="V1" s="82" t="s">
        <v>0</v>
      </c>
      <c r="W1" s="82"/>
      <c r="X1" s="82"/>
      <c r="Y1" s="82"/>
      <c r="Z1" s="82"/>
      <c r="AA1" s="82"/>
      <c r="AB1" s="82"/>
      <c r="AC1" s="82"/>
      <c r="AD1" s="82"/>
      <c r="AE1" s="82" t="s">
        <v>1</v>
      </c>
      <c r="AF1" s="82"/>
      <c r="AG1" s="82"/>
      <c r="AH1" s="82"/>
      <c r="AI1" s="82"/>
      <c r="AJ1" s="82"/>
      <c r="AK1" s="82"/>
      <c r="AL1" s="82"/>
      <c r="AM1" s="82"/>
      <c r="AN1" s="82" t="s">
        <v>2</v>
      </c>
      <c r="AO1" s="82"/>
      <c r="AP1" s="82"/>
      <c r="AQ1" s="82"/>
      <c r="AR1" s="82"/>
      <c r="AS1" s="82"/>
      <c r="AT1" s="82"/>
      <c r="AU1" s="82"/>
      <c r="AV1" s="82"/>
      <c r="AW1" s="82" t="s">
        <v>3</v>
      </c>
      <c r="AX1" s="82"/>
      <c r="AY1" s="82"/>
      <c r="AZ1" s="82"/>
      <c r="BA1" s="82"/>
      <c r="BB1" s="82"/>
      <c r="BC1" s="82"/>
      <c r="BD1" s="82"/>
      <c r="BE1" s="82"/>
      <c r="BF1" s="82" t="s">
        <v>4</v>
      </c>
      <c r="BG1" s="82"/>
      <c r="BH1" s="82"/>
      <c r="BI1" s="82"/>
      <c r="BJ1" s="82"/>
      <c r="BK1" s="82"/>
      <c r="BL1" s="82"/>
      <c r="BM1" s="82"/>
      <c r="BN1" s="82"/>
    </row>
    <row r="2" spans="1:66" ht="17" x14ac:dyDescent="0.2">
      <c r="A2" s="1" t="s">
        <v>5</v>
      </c>
      <c r="B2" s="1" t="s">
        <v>6</v>
      </c>
      <c r="C2" s="2" t="s">
        <v>7</v>
      </c>
      <c r="D2" s="1" t="s">
        <v>8</v>
      </c>
      <c r="E2" s="3" t="s">
        <v>9</v>
      </c>
      <c r="V2" s="82" t="s">
        <v>10</v>
      </c>
      <c r="W2" s="82"/>
      <c r="X2" s="82"/>
      <c r="Y2" s="82" t="s">
        <v>11</v>
      </c>
      <c r="Z2" s="82"/>
      <c r="AA2" s="82"/>
      <c r="AB2" s="82" t="s">
        <v>12</v>
      </c>
      <c r="AC2" s="82"/>
      <c r="AD2" s="82"/>
      <c r="AE2" s="82" t="s">
        <v>10</v>
      </c>
      <c r="AF2" s="82"/>
      <c r="AG2" s="82"/>
      <c r="AH2" s="82" t="s">
        <v>11</v>
      </c>
      <c r="AI2" s="82"/>
      <c r="AJ2" s="82"/>
      <c r="AK2" s="82" t="s">
        <v>12</v>
      </c>
      <c r="AL2" s="82"/>
      <c r="AM2" s="82"/>
      <c r="AN2" s="82" t="s">
        <v>10</v>
      </c>
      <c r="AO2" s="82"/>
      <c r="AP2" s="82"/>
      <c r="AQ2" s="82" t="s">
        <v>11</v>
      </c>
      <c r="AR2" s="82"/>
      <c r="AS2" s="82"/>
      <c r="AT2" s="82" t="s">
        <v>12</v>
      </c>
      <c r="AU2" s="82"/>
      <c r="AV2" s="82"/>
      <c r="AW2" s="82" t="s">
        <v>10</v>
      </c>
      <c r="AX2" s="82"/>
      <c r="AY2" s="82"/>
      <c r="AZ2" s="82" t="s">
        <v>11</v>
      </c>
      <c r="BA2" s="82"/>
      <c r="BB2" s="82"/>
      <c r="BC2" s="82" t="s">
        <v>12</v>
      </c>
      <c r="BD2" s="82"/>
      <c r="BE2" s="82"/>
      <c r="BF2" s="82" t="s">
        <v>10</v>
      </c>
      <c r="BG2" s="82"/>
      <c r="BH2" s="82"/>
      <c r="BI2" s="82" t="s">
        <v>11</v>
      </c>
      <c r="BJ2" s="82"/>
      <c r="BK2" s="82"/>
      <c r="BL2" s="82" t="s">
        <v>12</v>
      </c>
      <c r="BM2" s="82"/>
      <c r="BN2" s="82"/>
    </row>
    <row r="3" spans="1:66" s="1" customFormat="1" ht="51" x14ac:dyDescent="0.2">
      <c r="F3" s="1" t="s">
        <v>13</v>
      </c>
      <c r="G3" s="1" t="s">
        <v>14</v>
      </c>
      <c r="H3" s="12" t="s">
        <v>15</v>
      </c>
      <c r="I3" s="12" t="s">
        <v>16</v>
      </c>
      <c r="J3" s="17" t="s">
        <v>17</v>
      </c>
      <c r="K3" s="33" t="s">
        <v>18</v>
      </c>
      <c r="L3" s="15" t="s">
        <v>19</v>
      </c>
      <c r="M3" s="15" t="s">
        <v>20</v>
      </c>
      <c r="N3" s="15" t="s">
        <v>21</v>
      </c>
      <c r="O3" s="31" t="s">
        <v>22</v>
      </c>
      <c r="P3" s="15" t="s">
        <v>23</v>
      </c>
      <c r="Q3" s="15" t="s">
        <v>24</v>
      </c>
      <c r="R3" s="30" t="s">
        <v>25</v>
      </c>
      <c r="S3" s="2" t="s">
        <v>26</v>
      </c>
      <c r="T3" s="15" t="s">
        <v>27</v>
      </c>
      <c r="U3" s="2" t="s">
        <v>28</v>
      </c>
      <c r="V3" s="18" t="s">
        <v>29</v>
      </c>
      <c r="W3" s="18" t="s">
        <v>30</v>
      </c>
      <c r="X3" s="18" t="s">
        <v>31</v>
      </c>
      <c r="Y3" s="18" t="s">
        <v>29</v>
      </c>
      <c r="Z3" s="18" t="s">
        <v>30</v>
      </c>
      <c r="AA3" s="18" t="s">
        <v>31</v>
      </c>
      <c r="AB3" s="18" t="s">
        <v>29</v>
      </c>
      <c r="AC3" s="18" t="s">
        <v>30</v>
      </c>
      <c r="AD3" s="18" t="s">
        <v>31</v>
      </c>
      <c r="AE3" s="18" t="s">
        <v>29</v>
      </c>
      <c r="AF3" s="18" t="s">
        <v>30</v>
      </c>
      <c r="AG3" s="18" t="s">
        <v>31</v>
      </c>
      <c r="AH3" s="18" t="s">
        <v>29</v>
      </c>
      <c r="AI3" s="18" t="s">
        <v>30</v>
      </c>
      <c r="AJ3" s="18" t="s">
        <v>31</v>
      </c>
      <c r="AK3" s="18" t="s">
        <v>29</v>
      </c>
      <c r="AL3" s="18" t="s">
        <v>30</v>
      </c>
      <c r="AM3" s="18" t="s">
        <v>31</v>
      </c>
      <c r="AN3" s="18" t="s">
        <v>29</v>
      </c>
      <c r="AO3" s="18" t="s">
        <v>30</v>
      </c>
      <c r="AP3" s="18" t="s">
        <v>31</v>
      </c>
      <c r="AQ3" s="18" t="s">
        <v>29</v>
      </c>
      <c r="AR3" s="18" t="s">
        <v>30</v>
      </c>
      <c r="AS3" s="18" t="s">
        <v>31</v>
      </c>
      <c r="AT3" s="18" t="s">
        <v>29</v>
      </c>
      <c r="AU3" s="18" t="s">
        <v>30</v>
      </c>
      <c r="AV3" s="18" t="s">
        <v>31</v>
      </c>
      <c r="AW3" s="18" t="s">
        <v>29</v>
      </c>
      <c r="AX3" s="18" t="s">
        <v>30</v>
      </c>
      <c r="AY3" s="18" t="s">
        <v>31</v>
      </c>
      <c r="AZ3" s="18" t="s">
        <v>29</v>
      </c>
      <c r="BA3" s="18" t="s">
        <v>30</v>
      </c>
      <c r="BB3" s="18" t="s">
        <v>31</v>
      </c>
      <c r="BC3" s="18" t="s">
        <v>29</v>
      </c>
      <c r="BD3" s="18" t="s">
        <v>30</v>
      </c>
      <c r="BE3" s="18" t="s">
        <v>31</v>
      </c>
      <c r="BF3" s="18" t="s">
        <v>29</v>
      </c>
      <c r="BG3" s="18" t="s">
        <v>30</v>
      </c>
      <c r="BH3" s="18" t="s">
        <v>31</v>
      </c>
      <c r="BI3" s="18" t="s">
        <v>29</v>
      </c>
      <c r="BJ3" s="18" t="s">
        <v>30</v>
      </c>
      <c r="BK3" s="18" t="s">
        <v>31</v>
      </c>
      <c r="BL3" s="18" t="s">
        <v>29</v>
      </c>
      <c r="BM3" s="18" t="s">
        <v>30</v>
      </c>
      <c r="BN3" s="18" t="s">
        <v>31</v>
      </c>
    </row>
    <row r="4" spans="1:66" x14ac:dyDescent="0.2">
      <c r="A4" s="4" t="s">
        <v>32</v>
      </c>
      <c r="B4" s="19" t="s">
        <v>33</v>
      </c>
      <c r="C4" s="20" t="s">
        <v>34</v>
      </c>
      <c r="D4" s="4" t="s">
        <v>35</v>
      </c>
      <c r="E4" s="21" t="s">
        <v>36</v>
      </c>
      <c r="F4" s="22" t="s">
        <v>37</v>
      </c>
      <c r="G4" s="4" t="s">
        <v>38</v>
      </c>
      <c r="H4" s="5" t="s">
        <v>39</v>
      </c>
      <c r="I4" s="5">
        <v>2022</v>
      </c>
      <c r="J4" s="11">
        <v>0.105</v>
      </c>
      <c r="K4" s="32">
        <v>38</v>
      </c>
      <c r="L4" s="8">
        <v>1</v>
      </c>
      <c r="M4" s="8">
        <v>0.1</v>
      </c>
      <c r="N4" s="8">
        <v>3.5000000000000003E-2</v>
      </c>
      <c r="O4" s="27">
        <v>0</v>
      </c>
      <c r="P4" s="8">
        <v>0</v>
      </c>
      <c r="Q4" s="8">
        <v>4.5999999999999999E-2</v>
      </c>
      <c r="R4" s="23">
        <v>0</v>
      </c>
      <c r="S4" s="9">
        <v>4</v>
      </c>
      <c r="T4" s="8">
        <v>0.17499999999999999</v>
      </c>
      <c r="U4" s="8">
        <v>1.4999999999999999E-2</v>
      </c>
      <c r="V4" s="36">
        <v>79624</v>
      </c>
      <c r="W4" s="36">
        <f t="shared" ref="W4:W8" si="0">V4+((X4-V4)/2)</f>
        <v>94969</v>
      </c>
      <c r="X4" s="36">
        <v>110314</v>
      </c>
      <c r="Y4" s="36">
        <f>(V4+(V4*$J4)+(V4*$M4)+(V4*$N4)+(V4*$O4)+(V4*$P4)+(V4*$Q4)+($R4)+(V4*((52+$S4)/52))*(1+$T4))*1/$L4</f>
        <v>203151.44861538461</v>
      </c>
      <c r="Z4" s="36">
        <f>(W4+(W4*$J4)+(W4*$M4)+(W4*$N4)+(W4*$O4)+(W4*$P4)+(W4*$Q4)+($R4)+(W4*((52+$S4)/52))*(1+$T4))*1/$L4</f>
        <v>242302.4455384615</v>
      </c>
      <c r="AA4" s="36">
        <f>(X4+(X4*$J4)+(X4*$M4)+(X4*$N4)+(X4*$O4)+(X4*$P4)+(X4*$Q4)+($R4)+(X4*((52+$S4)/52))*(1+$T4))*1/$L4</f>
        <v>281453.44246153842</v>
      </c>
      <c r="AB4" s="36">
        <f t="shared" ref="AB4:AD8" si="1">Y4/52/$K4</f>
        <v>102.80943755839301</v>
      </c>
      <c r="AC4" s="36">
        <f t="shared" si="1"/>
        <v>122.62269511055743</v>
      </c>
      <c r="AD4" s="36">
        <f t="shared" si="1"/>
        <v>142.43595266272186</v>
      </c>
      <c r="AE4" s="36">
        <f>($V4*(1+(($U4/100)*1)))</f>
        <v>79635.943600000013</v>
      </c>
      <c r="AF4" s="36">
        <f>($W4*(1+(($U4/100)*1)))</f>
        <v>94983.245350000012</v>
      </c>
      <c r="AG4" s="36">
        <f>($X4*(1+(($U4/100)*1)))</f>
        <v>110330.54710000001</v>
      </c>
      <c r="AH4" s="36">
        <f>(AE4+(AE4*$J4)+(AE4*$M4)+(AE4*$N4)+(AE4*$O4)+(AE4*$P4)+(AE4*$Q4)+($R4)+(AE4*((52+$S4)/52))*(1+$T4))*1/$L4</f>
        <v>203181.92133267695</v>
      </c>
      <c r="AI4" s="36">
        <f>(AF4+(AF4*$J4)+(AF4*$M4)+(AF4*$N4)+(AF4*$O4)+(AF4*$P4)+(AF4*$Q4)+($R4)+(AF4*((52+$S4)/52))*(1+$T4))*1/$L4</f>
        <v>242338.79090529235</v>
      </c>
      <c r="AJ4" s="36">
        <f>(AG4+(AG4*$J4)+(AG4*$M4)+(AG4*$N4)+(AG4*$O4)+(AG4*$P4)+(AG4*$Q4)+($R4)+(AG4*((52+$S4)/52))*(1+$T4))*1/$L4</f>
        <v>281495.66047790775</v>
      </c>
      <c r="AK4" s="36">
        <f t="shared" ref="AK4:AM8" si="2">AH4/52/$K4</f>
        <v>102.8248589740268</v>
      </c>
      <c r="AL4" s="36">
        <f t="shared" si="2"/>
        <v>122.64108851482406</v>
      </c>
      <c r="AM4" s="36">
        <f t="shared" si="2"/>
        <v>142.45731805562133</v>
      </c>
      <c r="AN4" s="36">
        <f>($V4*(1+(($U4/100)*2)))</f>
        <v>79647.887199999997</v>
      </c>
      <c r="AO4" s="36">
        <f>($W4*(1+(($U4/100)*2)))</f>
        <v>94997.490699999995</v>
      </c>
      <c r="AP4" s="36">
        <f>($X4*(1+(($U4/100)*2)))</f>
        <v>110347.09419999999</v>
      </c>
      <c r="AQ4" s="36">
        <f>(AN4+(AN4*$J4)+(AN4*$M4)+(AN4*$N4)+(AN4*$O4)+(AN4*$P4)+(AN4*$Q4)+($R4)+(AN4*((52+$S4)/52))*(1+$T4))*1/$L4</f>
        <v>203212.39404996921</v>
      </c>
      <c r="AR4" s="36">
        <f>(AO4+(AO4*$J4)+(AO4*$M4)+(AO4*$N4)+(AO4*$O4)+(AO4*$P4)+(AO4*$Q4)+($R4)+(AO4*((52+$S4)/52))*(1+$T4))*1/$L4</f>
        <v>242375.13627212308</v>
      </c>
      <c r="AS4" s="36">
        <f>(AP4+(AP4*$J4)+(AP4*$M4)+(AP4*$N4)+(AP4*$O4)+(AP4*$P4)+(AP4*$Q4)+($R4)+(AP4*((52+$S4)/52))*(1+$T4))*1/$L4</f>
        <v>281537.8784942769</v>
      </c>
      <c r="AT4" s="36">
        <f t="shared" ref="AT4:AV8" si="3">AQ4/52/$K4</f>
        <v>102.84028038966053</v>
      </c>
      <c r="AU4" s="36">
        <f t="shared" si="3"/>
        <v>122.65948191909064</v>
      </c>
      <c r="AV4" s="36">
        <f t="shared" si="3"/>
        <v>142.47868344852068</v>
      </c>
      <c r="AW4" s="36">
        <f>($V4*(1+(($U4/100)*3)))</f>
        <v>79659.830800000011</v>
      </c>
      <c r="AX4" s="36">
        <f>($W4*(1+(($U4/100)*3)))</f>
        <v>95011.736050000007</v>
      </c>
      <c r="AY4" s="36">
        <f>($X4*(1+(($U4/100)*3)))</f>
        <v>110363.6413</v>
      </c>
      <c r="AZ4" s="36">
        <f>(AW4+(AW4*$J4)+(AW4*$M4)+(AW4*$N4)+(AW4*$O4)+(AW4*$P4)+(AW4*$Q4)+($R4)+(AW4*((52+$S4)/52))*(1+$T4))*1/$L4</f>
        <v>203242.86676726156</v>
      </c>
      <c r="BA4" s="36">
        <f>(AX4+(AX4*$J4)+(AX4*$M4)+(AX4*$N4)+(AX4*$O4)+(AX4*$P4)+(AX4*$Q4)+($R4)+(AX4*((52+$S4)/52))*(1+$T4))*1/$L4</f>
        <v>242411.48163895388</v>
      </c>
      <c r="BB4" s="36">
        <f>(AY4+(AY4*$J4)+(AY4*$M4)+(AY4*$N4)+(AY4*$O4)+(AY4*$P4)+(AY4*$Q4)+($R4)+(AY4*((52+$S4)/52))*(1+$T4))*1/$L4</f>
        <v>281580.09651064617</v>
      </c>
      <c r="BC4" s="36">
        <f t="shared" ref="BC4:BE8" si="4">AZ4/52/$K4</f>
        <v>102.85570180529432</v>
      </c>
      <c r="BD4" s="36">
        <f t="shared" si="4"/>
        <v>122.67787532335723</v>
      </c>
      <c r="BE4" s="36">
        <f t="shared" si="4"/>
        <v>142.50004884142012</v>
      </c>
      <c r="BF4" s="36">
        <f>($V4*(1+(($U4/100)*4)))</f>
        <v>79671.774399999995</v>
      </c>
      <c r="BG4" s="36">
        <f>($W4*(1+(($U4/100)*4)))</f>
        <v>95025.98139999999</v>
      </c>
      <c r="BH4" s="36">
        <f>($X4*(1+(($U4/100)*4)))</f>
        <v>110380.1884</v>
      </c>
      <c r="BI4" s="36">
        <f>(BF4+(BF4*$J4)+(BF4*$M4)+(BF4*$N4)+(BF4*$O4)+(BF4*$P4)+(BF4*$Q4)+($R4)+(BF4*((52+$S4)/52))*(1+$T4))*1/$L4</f>
        <v>203273.33948455381</v>
      </c>
      <c r="BJ4" s="36">
        <f>(BG4+(BG4*$J4)+(BG4*$M4)+(BG4*$N4)+(BG4*$O4)+(BG4*$P4)+(BG4*$Q4)+($R4)+(BG4*((52+$S4)/52))*(1+$T4))*1/$L4</f>
        <v>242447.82700578458</v>
      </c>
      <c r="BK4" s="36">
        <f>(BH4+(BH4*$J4)+(BH4*$M4)+(BH4*$N4)+(BH4*$O4)+(BH4*$P4)+(BH4*$Q4)+($R4)+(BH4*((52+$S4)/52))*(1+$T4))*1/$L4</f>
        <v>281622.31452701538</v>
      </c>
      <c r="BL4" s="36">
        <f t="shared" ref="BL4:BN8" si="5">BI4/52/$K4</f>
        <v>102.87112322092804</v>
      </c>
      <c r="BM4" s="36">
        <f t="shared" si="5"/>
        <v>122.69626872762376</v>
      </c>
      <c r="BN4" s="36">
        <f t="shared" si="5"/>
        <v>142.52141423431954</v>
      </c>
    </row>
    <row r="5" spans="1:66" x14ac:dyDescent="0.2">
      <c r="A5" s="4" t="s">
        <v>32</v>
      </c>
      <c r="B5" s="19" t="s">
        <v>40</v>
      </c>
      <c r="C5" s="20" t="s">
        <v>41</v>
      </c>
      <c r="D5" s="4" t="s">
        <v>42</v>
      </c>
      <c r="E5" s="21" t="s">
        <v>43</v>
      </c>
      <c r="F5" s="4" t="s">
        <v>44</v>
      </c>
      <c r="G5" s="22" t="s">
        <v>45</v>
      </c>
      <c r="H5" s="5" t="s">
        <v>46</v>
      </c>
      <c r="I5" s="5">
        <v>2023</v>
      </c>
      <c r="J5" s="11">
        <v>0.105</v>
      </c>
      <c r="K5" s="32">
        <v>38</v>
      </c>
      <c r="L5" s="8">
        <v>1</v>
      </c>
      <c r="M5" s="8">
        <v>0.1</v>
      </c>
      <c r="N5" s="8">
        <v>3.5000000000000003E-2</v>
      </c>
      <c r="O5" s="27">
        <v>0</v>
      </c>
      <c r="P5" s="8">
        <v>0</v>
      </c>
      <c r="Q5" s="8">
        <v>4.5999999999999999E-2</v>
      </c>
      <c r="R5" s="23">
        <v>0</v>
      </c>
      <c r="S5" s="9">
        <v>5</v>
      </c>
      <c r="T5" s="8">
        <v>0.17499999999999999</v>
      </c>
      <c r="U5" s="8">
        <v>1.4999999999999999E-2</v>
      </c>
      <c r="V5" s="36">
        <f>1177*52</f>
        <v>61204</v>
      </c>
      <c r="W5" s="36">
        <f t="shared" si="0"/>
        <v>101878.40000000001</v>
      </c>
      <c r="X5" s="36">
        <f>2741.4*52</f>
        <v>142552.80000000002</v>
      </c>
      <c r="Y5" s="36">
        <f t="shared" ref="Y5:AA8" si="6">(V5+(V5*$J5)+(V5*$M5)+(V5*$N5)+(V5*$O5)+(V5*$P5)+(V5*$Q5)+($R5)+(V5*((52+$S5)/52))*(1+$T5))*1/$L5</f>
        <v>157537.91899999999</v>
      </c>
      <c r="Z5" s="36">
        <f t="shared" si="6"/>
        <v>262233.04240000003</v>
      </c>
      <c r="AA5" s="36">
        <f t="shared" si="6"/>
        <v>366928.16580000008</v>
      </c>
      <c r="AB5" s="36">
        <f t="shared" si="1"/>
        <v>79.725667510121454</v>
      </c>
      <c r="AC5" s="36">
        <f t="shared" si="1"/>
        <v>132.7090295546559</v>
      </c>
      <c r="AD5" s="36">
        <f t="shared" si="1"/>
        <v>185.69239159919033</v>
      </c>
      <c r="AE5" s="36">
        <f t="shared" ref="AE5:AE8" si="7">($V5*(1+(($U5/100)*1)))</f>
        <v>61213.180600000007</v>
      </c>
      <c r="AF5" s="36">
        <f t="shared" ref="AF5:AF8" si="8">($W5*(1+(($U5/100)*1)))</f>
        <v>101893.68176000002</v>
      </c>
      <c r="AG5" s="36">
        <f t="shared" ref="AG5:AG8" si="9">($X5*(1+(($U5/100)*1)))</f>
        <v>142574.18292000002</v>
      </c>
      <c r="AH5" s="36">
        <f t="shared" ref="AH5:AJ8" si="10">(AE5+(AE5*$J5)+(AE5*$M5)+(AE5*$N5)+(AE5*$O5)+(AE5*$P5)+(AE5*$Q5)+($R5)+(AE5*((52+$S5)/52))*(1+$T5))*1/$L5</f>
        <v>157561.54968785003</v>
      </c>
      <c r="AI5" s="36">
        <f t="shared" si="10"/>
        <v>262272.37735636008</v>
      </c>
      <c r="AJ5" s="36">
        <f t="shared" si="10"/>
        <v>366983.20502487</v>
      </c>
      <c r="AK5" s="36">
        <f t="shared" si="2"/>
        <v>79.737626360247987</v>
      </c>
      <c r="AL5" s="36">
        <f t="shared" si="2"/>
        <v>132.7289359090891</v>
      </c>
      <c r="AM5" s="36">
        <f t="shared" si="2"/>
        <v>185.72024545793016</v>
      </c>
      <c r="AN5" s="36">
        <f t="shared" ref="AN5:AN8" si="11">($V5*(1+(($U5/100)*2)))</f>
        <v>61222.361199999999</v>
      </c>
      <c r="AO5" s="36">
        <f t="shared" ref="AO5:AO8" si="12">($W5*(1+(($U5/100)*2)))</f>
        <v>101908.96352</v>
      </c>
      <c r="AP5" s="36">
        <f t="shared" ref="AP5:AP8" si="13">($X5*(1+(($U5/100)*2)))</f>
        <v>142595.56584000002</v>
      </c>
      <c r="AQ5" s="36">
        <f t="shared" ref="AQ5:AS8" si="14">(AN5+(AN5*$J5)+(AN5*$M5)+(AN5*$N5)+(AN5*$O5)+(AN5*$P5)+(AN5*$Q5)+($R5)+(AN5*((52+$S5)/52))*(1+$T5))*1/$L5</f>
        <v>157585.1803757</v>
      </c>
      <c r="AR5" s="36">
        <f t="shared" si="14"/>
        <v>262311.71231272002</v>
      </c>
      <c r="AS5" s="36">
        <f t="shared" si="14"/>
        <v>367038.24424974015</v>
      </c>
      <c r="AT5" s="36">
        <f t="shared" si="3"/>
        <v>79.749585210374491</v>
      </c>
      <c r="AU5" s="36">
        <f t="shared" si="3"/>
        <v>132.74884226352228</v>
      </c>
      <c r="AV5" s="36">
        <f t="shared" si="3"/>
        <v>185.74809931667014</v>
      </c>
      <c r="AW5" s="36">
        <f t="shared" ref="AW5:AW8" si="15">($V5*(1+(($U5/100)*3)))</f>
        <v>61231.541800000006</v>
      </c>
      <c r="AX5" s="36">
        <f t="shared" ref="AX5:AX8" si="16">($W5*(1+(($U5/100)*3)))</f>
        <v>101924.24528000002</v>
      </c>
      <c r="AY5" s="36">
        <f t="shared" ref="AY5:AY8" si="17">($X5*(1+(($U5/100)*3)))</f>
        <v>142616.94876000003</v>
      </c>
      <c r="AZ5" s="36">
        <f t="shared" ref="AZ5:BB8" si="18">(AW5+(AW5*$J5)+(AW5*$M5)+(AW5*$N5)+(AW5*$O5)+(AW5*$P5)+(AW5*$Q5)+($R5)+(AW5*((52+$S5)/52))*(1+$T5))*1/$L5</f>
        <v>157608.81106355006</v>
      </c>
      <c r="BA5" s="36">
        <f t="shared" si="18"/>
        <v>262351.04726908007</v>
      </c>
      <c r="BB5" s="36">
        <f t="shared" si="18"/>
        <v>367093.28347461007</v>
      </c>
      <c r="BC5" s="36">
        <f t="shared" si="4"/>
        <v>79.761544060501038</v>
      </c>
      <c r="BD5" s="36">
        <f t="shared" si="4"/>
        <v>132.76874861795548</v>
      </c>
      <c r="BE5" s="36">
        <f t="shared" si="4"/>
        <v>185.77595317540994</v>
      </c>
      <c r="BF5" s="36">
        <f t="shared" ref="BF5:BF8" si="19">($V5*(1+(($U5/100)*4)))</f>
        <v>61240.722399999999</v>
      </c>
      <c r="BG5" s="36">
        <f t="shared" ref="BG5:BG8" si="20">($W5*(1+(($U5/100)*4)))</f>
        <v>101939.52704</v>
      </c>
      <c r="BH5" s="36">
        <f t="shared" ref="BH5:BH8" si="21">($X5*(1+(($U5/100)*4)))</f>
        <v>142638.33168</v>
      </c>
      <c r="BI5" s="36">
        <f t="shared" ref="BI5:BK8" si="22">(BF5+(BF5*$J5)+(BF5*$M5)+(BF5*$N5)+(BF5*$O5)+(BF5*$P5)+(BF5*$Q5)+($R5)+(BF5*((52+$S5)/52))*(1+$T5))*1/$L5</f>
        <v>157632.44175140001</v>
      </c>
      <c r="BJ5" s="36">
        <f t="shared" si="22"/>
        <v>262390.38222544</v>
      </c>
      <c r="BK5" s="36">
        <f t="shared" si="22"/>
        <v>367148.32269948005</v>
      </c>
      <c r="BL5" s="36">
        <f t="shared" si="5"/>
        <v>79.773502910627528</v>
      </c>
      <c r="BM5" s="36">
        <f t="shared" si="5"/>
        <v>132.78865497238866</v>
      </c>
      <c r="BN5" s="36">
        <f t="shared" si="5"/>
        <v>185.80380703414983</v>
      </c>
    </row>
    <row r="6" spans="1:66" x14ac:dyDescent="0.2">
      <c r="A6" s="4" t="s">
        <v>32</v>
      </c>
      <c r="B6" s="19" t="s">
        <v>47</v>
      </c>
      <c r="C6" s="20" t="s">
        <v>48</v>
      </c>
      <c r="D6" s="4" t="s">
        <v>35</v>
      </c>
      <c r="E6" s="21" t="s">
        <v>49</v>
      </c>
      <c r="G6" s="4" t="s">
        <v>38</v>
      </c>
      <c r="H6" s="5" t="s">
        <v>39</v>
      </c>
      <c r="I6" s="5">
        <v>2022</v>
      </c>
      <c r="J6" s="11">
        <v>0.105</v>
      </c>
      <c r="K6" s="32">
        <v>38</v>
      </c>
      <c r="L6" s="8">
        <v>1</v>
      </c>
      <c r="M6" s="8">
        <v>0.1</v>
      </c>
      <c r="N6" s="8">
        <v>3.5000000000000003E-2</v>
      </c>
      <c r="O6" s="27">
        <v>0</v>
      </c>
      <c r="P6" s="8">
        <v>0</v>
      </c>
      <c r="Q6" s="8">
        <v>4.5999999999999999E-2</v>
      </c>
      <c r="R6" s="23">
        <v>0</v>
      </c>
      <c r="S6" s="9">
        <v>4</v>
      </c>
      <c r="T6" s="8">
        <v>0.17499999999999999</v>
      </c>
      <c r="U6" s="8">
        <v>1.4999999999999999E-2</v>
      </c>
      <c r="V6" s="36">
        <v>63701</v>
      </c>
      <c r="W6" s="36">
        <f t="shared" si="0"/>
        <v>77580.5</v>
      </c>
      <c r="X6" s="36">
        <v>91460</v>
      </c>
      <c r="Y6" s="36">
        <f t="shared" si="6"/>
        <v>162525.75138461537</v>
      </c>
      <c r="Z6" s="36">
        <f t="shared" si="6"/>
        <v>197937.69415384615</v>
      </c>
      <c r="AA6" s="36">
        <f t="shared" si="6"/>
        <v>233349.63692307693</v>
      </c>
      <c r="AB6" s="36">
        <f t="shared" si="1"/>
        <v>82.249874182497663</v>
      </c>
      <c r="AC6" s="36">
        <f t="shared" si="1"/>
        <v>100.17089785113671</v>
      </c>
      <c r="AD6" s="36">
        <f t="shared" si="1"/>
        <v>118.09192151977578</v>
      </c>
      <c r="AE6" s="36">
        <f t="shared" si="7"/>
        <v>63710.555150000007</v>
      </c>
      <c r="AF6" s="36">
        <f t="shared" si="8"/>
        <v>77592.137075000006</v>
      </c>
      <c r="AG6" s="36">
        <f t="shared" si="9"/>
        <v>91473.719000000012</v>
      </c>
      <c r="AH6" s="36">
        <f t="shared" si="10"/>
        <v>162550.13024732308</v>
      </c>
      <c r="AI6" s="36">
        <f t="shared" si="10"/>
        <v>197967.38480796924</v>
      </c>
      <c r="AJ6" s="36">
        <f t="shared" si="10"/>
        <v>233384.6393686154</v>
      </c>
      <c r="AK6" s="36">
        <f t="shared" si="2"/>
        <v>82.262211663625038</v>
      </c>
      <c r="AL6" s="36">
        <f t="shared" si="2"/>
        <v>100.18592348581439</v>
      </c>
      <c r="AM6" s="36">
        <f t="shared" si="2"/>
        <v>118.10963530800375</v>
      </c>
      <c r="AN6" s="36">
        <f t="shared" si="11"/>
        <v>63720.1103</v>
      </c>
      <c r="AO6" s="36">
        <f t="shared" si="12"/>
        <v>77603.774149999997</v>
      </c>
      <c r="AP6" s="36">
        <f t="shared" si="13"/>
        <v>91487.437999999995</v>
      </c>
      <c r="AQ6" s="36">
        <f t="shared" si="14"/>
        <v>162574.50911003075</v>
      </c>
      <c r="AR6" s="36">
        <f t="shared" si="14"/>
        <v>197997.0754620923</v>
      </c>
      <c r="AS6" s="36">
        <f t="shared" si="14"/>
        <v>233419.64181415382</v>
      </c>
      <c r="AT6" s="36">
        <f t="shared" si="3"/>
        <v>82.274549144752399</v>
      </c>
      <c r="AU6" s="36">
        <f t="shared" si="3"/>
        <v>100.20094912049206</v>
      </c>
      <c r="AV6" s="36">
        <f t="shared" si="3"/>
        <v>118.12734909623168</v>
      </c>
      <c r="AW6" s="36">
        <f t="shared" si="15"/>
        <v>63729.66545</v>
      </c>
      <c r="AX6" s="36">
        <f t="shared" si="16"/>
        <v>77615.411225000003</v>
      </c>
      <c r="AY6" s="36">
        <f t="shared" si="17"/>
        <v>91501.157000000007</v>
      </c>
      <c r="AZ6" s="36">
        <f t="shared" si="18"/>
        <v>162598.88797273848</v>
      </c>
      <c r="BA6" s="36">
        <f t="shared" si="18"/>
        <v>198026.76611621538</v>
      </c>
      <c r="BB6" s="36">
        <f t="shared" si="18"/>
        <v>233454.64425969232</v>
      </c>
      <c r="BC6" s="36">
        <f t="shared" si="4"/>
        <v>82.286886625879802</v>
      </c>
      <c r="BD6" s="36">
        <f t="shared" si="4"/>
        <v>100.21597475516973</v>
      </c>
      <c r="BE6" s="36">
        <f t="shared" si="4"/>
        <v>118.14506288445966</v>
      </c>
      <c r="BF6" s="36">
        <f t="shared" si="19"/>
        <v>63739.220599999993</v>
      </c>
      <c r="BG6" s="36">
        <f t="shared" si="20"/>
        <v>77627.048299999995</v>
      </c>
      <c r="BH6" s="36">
        <f t="shared" si="21"/>
        <v>91514.875999999989</v>
      </c>
      <c r="BI6" s="36">
        <f t="shared" si="22"/>
        <v>162623.26683544612</v>
      </c>
      <c r="BJ6" s="36">
        <f t="shared" si="22"/>
        <v>198056.45677033847</v>
      </c>
      <c r="BK6" s="36">
        <f t="shared" si="22"/>
        <v>233489.64670523073</v>
      </c>
      <c r="BL6" s="36">
        <f t="shared" si="5"/>
        <v>82.299224107007149</v>
      </c>
      <c r="BM6" s="36">
        <f t="shared" si="5"/>
        <v>100.23100038984741</v>
      </c>
      <c r="BN6" s="36">
        <f t="shared" si="5"/>
        <v>118.1627766726876</v>
      </c>
    </row>
    <row r="7" spans="1:66" x14ac:dyDescent="0.2">
      <c r="A7" s="4" t="s">
        <v>32</v>
      </c>
      <c r="B7" s="19" t="s">
        <v>50</v>
      </c>
      <c r="C7" s="20" t="s">
        <v>51</v>
      </c>
      <c r="D7" s="4" t="s">
        <v>52</v>
      </c>
      <c r="E7" s="21" t="s">
        <v>53</v>
      </c>
      <c r="F7" s="22"/>
      <c r="G7" s="4" t="s">
        <v>38</v>
      </c>
      <c r="H7" s="5" t="s">
        <v>54</v>
      </c>
      <c r="I7" s="5">
        <v>2022</v>
      </c>
      <c r="J7" s="11">
        <v>0.105</v>
      </c>
      <c r="K7" s="32">
        <v>38</v>
      </c>
      <c r="L7" s="8">
        <v>1</v>
      </c>
      <c r="M7" s="8">
        <v>0.1</v>
      </c>
      <c r="N7" s="8">
        <v>3.5000000000000003E-2</v>
      </c>
      <c r="O7" s="27">
        <v>0</v>
      </c>
      <c r="P7" s="8">
        <v>0</v>
      </c>
      <c r="Q7" s="8">
        <v>4.5999999999999999E-2</v>
      </c>
      <c r="R7" s="23">
        <v>0</v>
      </c>
      <c r="S7" s="9">
        <v>4</v>
      </c>
      <c r="T7" s="8">
        <v>0.17499999999999999</v>
      </c>
      <c r="U7" s="8">
        <v>1.4999999999999999E-2</v>
      </c>
      <c r="V7" s="36">
        <v>79624</v>
      </c>
      <c r="W7" s="36">
        <f t="shared" si="0"/>
        <v>101861</v>
      </c>
      <c r="X7" s="36">
        <v>124098</v>
      </c>
      <c r="Y7" s="36">
        <f t="shared" si="6"/>
        <v>203151.44861538461</v>
      </c>
      <c r="Z7" s="36">
        <f t="shared" si="6"/>
        <v>259886.58830769232</v>
      </c>
      <c r="AA7" s="36">
        <f t="shared" si="6"/>
        <v>316621.728</v>
      </c>
      <c r="AB7" s="36">
        <f t="shared" si="1"/>
        <v>102.80943755839301</v>
      </c>
      <c r="AC7" s="36">
        <f t="shared" si="1"/>
        <v>131.5215527872937</v>
      </c>
      <c r="AD7" s="36">
        <f t="shared" si="1"/>
        <v>160.23366801619434</v>
      </c>
      <c r="AE7" s="36">
        <f t="shared" si="7"/>
        <v>79635.943600000013</v>
      </c>
      <c r="AF7" s="36">
        <f t="shared" si="8"/>
        <v>101876.27915000002</v>
      </c>
      <c r="AG7" s="36">
        <f t="shared" si="9"/>
        <v>124116.61470000001</v>
      </c>
      <c r="AH7" s="36">
        <f t="shared" si="10"/>
        <v>203181.92133267695</v>
      </c>
      <c r="AI7" s="36">
        <f t="shared" si="10"/>
        <v>259925.57129593851</v>
      </c>
      <c r="AJ7" s="36">
        <f t="shared" si="10"/>
        <v>316669.22125920001</v>
      </c>
      <c r="AK7" s="36">
        <f t="shared" si="2"/>
        <v>102.8248589740268</v>
      </c>
      <c r="AL7" s="36">
        <f t="shared" si="2"/>
        <v>131.54128102021178</v>
      </c>
      <c r="AM7" s="36">
        <f t="shared" si="2"/>
        <v>160.25770306639677</v>
      </c>
      <c r="AN7" s="36">
        <f t="shared" si="11"/>
        <v>79647.887199999997</v>
      </c>
      <c r="AO7" s="36">
        <f t="shared" si="12"/>
        <v>101891.55829999999</v>
      </c>
      <c r="AP7" s="36">
        <f t="shared" si="13"/>
        <v>124135.2294</v>
      </c>
      <c r="AQ7" s="36">
        <f t="shared" si="14"/>
        <v>203212.39404996921</v>
      </c>
      <c r="AR7" s="36">
        <f t="shared" si="14"/>
        <v>259964.55428418459</v>
      </c>
      <c r="AS7" s="36">
        <f t="shared" si="14"/>
        <v>316716.71451840003</v>
      </c>
      <c r="AT7" s="36">
        <f t="shared" si="3"/>
        <v>102.84028038966053</v>
      </c>
      <c r="AU7" s="36">
        <f t="shared" si="3"/>
        <v>131.56100925312987</v>
      </c>
      <c r="AV7" s="36">
        <f t="shared" si="3"/>
        <v>160.2817381165992</v>
      </c>
      <c r="AW7" s="36">
        <f t="shared" si="15"/>
        <v>79659.830800000011</v>
      </c>
      <c r="AX7" s="36">
        <f t="shared" si="16"/>
        <v>101906.83745000001</v>
      </c>
      <c r="AY7" s="36">
        <f t="shared" si="17"/>
        <v>124153.8441</v>
      </c>
      <c r="AZ7" s="36">
        <f t="shared" si="18"/>
        <v>203242.86676726156</v>
      </c>
      <c r="BA7" s="36">
        <f t="shared" si="18"/>
        <v>260003.53727243078</v>
      </c>
      <c r="BB7" s="36">
        <f t="shared" si="18"/>
        <v>316764.20777760004</v>
      </c>
      <c r="BC7" s="36">
        <f t="shared" si="4"/>
        <v>102.85570180529432</v>
      </c>
      <c r="BD7" s="36">
        <f t="shared" si="4"/>
        <v>131.58073748604795</v>
      </c>
      <c r="BE7" s="36">
        <f t="shared" si="4"/>
        <v>160.30577316680163</v>
      </c>
      <c r="BF7" s="36">
        <f t="shared" si="19"/>
        <v>79671.774399999995</v>
      </c>
      <c r="BG7" s="36">
        <f t="shared" si="20"/>
        <v>101922.11659999999</v>
      </c>
      <c r="BH7" s="36">
        <f t="shared" si="21"/>
        <v>124172.45879999999</v>
      </c>
      <c r="BI7" s="36">
        <f t="shared" si="22"/>
        <v>203273.33948455381</v>
      </c>
      <c r="BJ7" s="36">
        <f t="shared" si="22"/>
        <v>260042.52026067692</v>
      </c>
      <c r="BK7" s="36">
        <f t="shared" si="22"/>
        <v>316811.70103679993</v>
      </c>
      <c r="BL7" s="36">
        <f t="shared" si="5"/>
        <v>102.87112322092804</v>
      </c>
      <c r="BM7" s="36">
        <f t="shared" si="5"/>
        <v>131.60046571896606</v>
      </c>
      <c r="BN7" s="36">
        <f t="shared" si="5"/>
        <v>160.329808217004</v>
      </c>
    </row>
    <row r="8" spans="1:66" x14ac:dyDescent="0.2">
      <c r="A8" s="4" t="s">
        <v>32</v>
      </c>
      <c r="B8" s="19" t="s">
        <v>55</v>
      </c>
      <c r="C8" s="20" t="s">
        <v>56</v>
      </c>
      <c r="D8" s="4" t="s">
        <v>57</v>
      </c>
      <c r="E8" s="21" t="s">
        <v>58</v>
      </c>
      <c r="F8" s="4" t="s">
        <v>59</v>
      </c>
      <c r="G8" s="4" t="s">
        <v>60</v>
      </c>
      <c r="H8" s="5" t="s">
        <v>61</v>
      </c>
      <c r="I8" s="5">
        <v>2022</v>
      </c>
      <c r="J8" s="11">
        <v>0.105</v>
      </c>
      <c r="K8" s="32">
        <v>38</v>
      </c>
      <c r="L8" s="8">
        <v>1</v>
      </c>
      <c r="M8" s="8">
        <v>0</v>
      </c>
      <c r="N8" s="8">
        <v>3.5000000000000003E-2</v>
      </c>
      <c r="O8" s="27">
        <v>0</v>
      </c>
      <c r="P8" s="8">
        <v>0</v>
      </c>
      <c r="Q8" s="8">
        <v>4.5999999999999999E-2</v>
      </c>
      <c r="R8" s="23">
        <v>29000.16</v>
      </c>
      <c r="S8" s="9">
        <v>4</v>
      </c>
      <c r="T8" s="8">
        <v>0.17499999999999999</v>
      </c>
      <c r="U8" s="8">
        <v>1.4999999999999999E-2</v>
      </c>
      <c r="V8" s="36">
        <f>4797.5*52</f>
        <v>249470</v>
      </c>
      <c r="W8" s="36">
        <f t="shared" si="0"/>
        <v>296247.90000000002</v>
      </c>
      <c r="X8" s="36">
        <f>6596.65*52</f>
        <v>343025.8</v>
      </c>
      <c r="Y8" s="36">
        <f t="shared" si="6"/>
        <v>640547.07999999996</v>
      </c>
      <c r="Z8" s="36">
        <f t="shared" si="6"/>
        <v>755217.70440000005</v>
      </c>
      <c r="AA8" s="36">
        <f t="shared" si="6"/>
        <v>869888.3287999999</v>
      </c>
      <c r="AB8" s="36">
        <f t="shared" si="1"/>
        <v>324.16350202429146</v>
      </c>
      <c r="AC8" s="36">
        <f t="shared" si="1"/>
        <v>382.19519453441296</v>
      </c>
      <c r="AD8" s="36">
        <f t="shared" si="1"/>
        <v>440.22688704453435</v>
      </c>
      <c r="AE8" s="36">
        <f t="shared" si="7"/>
        <v>249507.42050000004</v>
      </c>
      <c r="AF8" s="36">
        <f t="shared" si="8"/>
        <v>296292.33718500007</v>
      </c>
      <c r="AG8" s="36">
        <f t="shared" si="9"/>
        <v>343077.25387000002</v>
      </c>
      <c r="AH8" s="36">
        <f t="shared" si="10"/>
        <v>640638.81203799997</v>
      </c>
      <c r="AI8" s="36">
        <f t="shared" si="10"/>
        <v>755326.63703166018</v>
      </c>
      <c r="AJ8" s="36">
        <f t="shared" si="10"/>
        <v>870014.46202532016</v>
      </c>
      <c r="AK8" s="36">
        <f t="shared" si="2"/>
        <v>324.20992512044529</v>
      </c>
      <c r="AL8" s="36">
        <f t="shared" si="2"/>
        <v>382.25032238444345</v>
      </c>
      <c r="AM8" s="36">
        <f t="shared" si="2"/>
        <v>440.29071964844132</v>
      </c>
      <c r="AN8" s="36">
        <f t="shared" si="11"/>
        <v>249544.84099999999</v>
      </c>
      <c r="AO8" s="36">
        <f t="shared" si="12"/>
        <v>296336.77437</v>
      </c>
      <c r="AP8" s="36">
        <f t="shared" si="13"/>
        <v>343128.70773999998</v>
      </c>
      <c r="AQ8" s="36">
        <f t="shared" si="14"/>
        <v>640730.54407599999</v>
      </c>
      <c r="AR8" s="36">
        <f t="shared" si="14"/>
        <v>755435.56966331997</v>
      </c>
      <c r="AS8" s="36">
        <f t="shared" si="14"/>
        <v>870140.59525063995</v>
      </c>
      <c r="AT8" s="36">
        <f t="shared" si="3"/>
        <v>324.25634821659918</v>
      </c>
      <c r="AU8" s="36">
        <f t="shared" si="3"/>
        <v>382.30545023447365</v>
      </c>
      <c r="AV8" s="36">
        <f t="shared" si="3"/>
        <v>440.35455225234813</v>
      </c>
      <c r="AW8" s="36">
        <f t="shared" si="15"/>
        <v>249582.26150000002</v>
      </c>
      <c r="AX8" s="36">
        <f t="shared" si="16"/>
        <v>296381.21155500005</v>
      </c>
      <c r="AY8" s="36">
        <f t="shared" si="17"/>
        <v>343180.16161000001</v>
      </c>
      <c r="AZ8" s="36">
        <f t="shared" si="18"/>
        <v>640822.27611400001</v>
      </c>
      <c r="BA8" s="36">
        <f t="shared" si="18"/>
        <v>755544.50229498022</v>
      </c>
      <c r="BB8" s="36">
        <f t="shared" si="18"/>
        <v>870266.72847595997</v>
      </c>
      <c r="BC8" s="36">
        <f t="shared" si="4"/>
        <v>324.30277131275301</v>
      </c>
      <c r="BD8" s="36">
        <f t="shared" si="4"/>
        <v>382.36057808450414</v>
      </c>
      <c r="BE8" s="36">
        <f t="shared" si="4"/>
        <v>440.41838485625505</v>
      </c>
      <c r="BF8" s="36">
        <f t="shared" si="19"/>
        <v>249619.68199999997</v>
      </c>
      <c r="BG8" s="36">
        <f t="shared" si="20"/>
        <v>296425.64873999998</v>
      </c>
      <c r="BH8" s="36">
        <f t="shared" si="21"/>
        <v>343231.61547999998</v>
      </c>
      <c r="BI8" s="36">
        <f t="shared" si="22"/>
        <v>640914.00815199991</v>
      </c>
      <c r="BJ8" s="36">
        <f t="shared" si="22"/>
        <v>755653.43492664001</v>
      </c>
      <c r="BK8" s="36">
        <f t="shared" si="22"/>
        <v>870392.86170127988</v>
      </c>
      <c r="BL8" s="36">
        <f t="shared" si="5"/>
        <v>324.34919440890684</v>
      </c>
      <c r="BM8" s="36">
        <f t="shared" si="5"/>
        <v>382.41570593453446</v>
      </c>
      <c r="BN8" s="36">
        <f t="shared" si="5"/>
        <v>440.48221746016191</v>
      </c>
    </row>
    <row r="9" spans="1:66" x14ac:dyDescent="0.2">
      <c r="R9" s="23"/>
      <c r="U9" s="8"/>
      <c r="V9" s="36"/>
      <c r="W9" s="36"/>
      <c r="X9" s="36"/>
      <c r="Y9" s="36"/>
      <c r="Z9" s="36"/>
      <c r="AA9" s="36"/>
      <c r="AB9" s="36"/>
      <c r="AC9" s="36"/>
      <c r="AD9" s="36"/>
      <c r="AE9" s="5"/>
      <c r="AF9" s="36"/>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row>
    <row r="10" spans="1:66" x14ac:dyDescent="0.2">
      <c r="A10" s="4" t="s">
        <v>62</v>
      </c>
      <c r="B10" s="19" t="s">
        <v>33</v>
      </c>
      <c r="C10" s="20" t="s">
        <v>34</v>
      </c>
      <c r="D10" s="4" t="s">
        <v>63</v>
      </c>
      <c r="E10" s="21" t="s">
        <v>64</v>
      </c>
      <c r="G10" s="24" t="s">
        <v>65</v>
      </c>
      <c r="I10" s="5">
        <v>2022</v>
      </c>
      <c r="J10" s="11">
        <v>0.105</v>
      </c>
      <c r="K10" s="32">
        <v>37.5</v>
      </c>
      <c r="L10" s="8">
        <v>1</v>
      </c>
      <c r="M10" s="8">
        <v>0.1</v>
      </c>
      <c r="N10" s="8">
        <v>3.5000000000000003E-2</v>
      </c>
      <c r="O10" s="27">
        <v>0</v>
      </c>
      <c r="P10" s="8">
        <v>0</v>
      </c>
      <c r="Q10" s="8">
        <v>4.5999999999999999E-2</v>
      </c>
      <c r="R10" s="23">
        <v>0</v>
      </c>
      <c r="S10" s="9">
        <v>4</v>
      </c>
      <c r="T10" s="8">
        <v>0</v>
      </c>
      <c r="U10" s="8">
        <v>1.4999999999999999E-2</v>
      </c>
      <c r="V10" s="36">
        <v>54364</v>
      </c>
      <c r="W10" s="36">
        <f>V10+((X10-V10)/2)</f>
        <v>77673</v>
      </c>
      <c r="X10" s="36">
        <v>100982</v>
      </c>
      <c r="Y10" s="36">
        <f t="shared" ref="Y10:AA14" si="23">(V10+(V10*$J10)+(V10*$M10)+(V10*$N10)+(V10*$O10)+(V10*$P10)+(V10*$Q10)+($R10)+(V10*((52+$S10)/52))*(1+$T10))*1/$L10</f>
        <v>128457.95015384615</v>
      </c>
      <c r="Z10" s="36">
        <f t="shared" si="23"/>
        <v>183535.32415384613</v>
      </c>
      <c r="AA10" s="36">
        <f t="shared" si="23"/>
        <v>238612.69815384614</v>
      </c>
      <c r="AB10" s="36">
        <f>Y10/52/$K10</f>
        <v>65.875871873767252</v>
      </c>
      <c r="AC10" s="36">
        <f t="shared" ref="AC10:AD14" si="24">Z10/52/$K10</f>
        <v>94.12067905325442</v>
      </c>
      <c r="AD10" s="36">
        <f t="shared" si="24"/>
        <v>122.3654862327416</v>
      </c>
      <c r="AE10" s="36">
        <f>($V10*(1+(($U10/100)*1)))</f>
        <v>54372.154600000002</v>
      </c>
      <c r="AF10" s="36">
        <f>($W10*(1+(($U10/100)*1)))</f>
        <v>77684.65095000001</v>
      </c>
      <c r="AG10" s="36">
        <f>($X10*(1+(($U10/100)*1)))</f>
        <v>100997.14730000001</v>
      </c>
      <c r="AH10" s="36">
        <f>(AE10+(AE10*$J10)+(AE10*$M10)+(AE10*$N10)+(AE10*$O10)+(AE10*$P10)+(AE10*$Q10)+($R10)+(AE10*((52+$S10)/52))*(1+$T10))*1/$L10</f>
        <v>128477.21884636921</v>
      </c>
      <c r="AI10" s="36">
        <f>(AF10+(AF10*$J10)+(AF10*$M10)+(AF10*$N10)+(AF10*$O10)+(AF10*$P10)+(AF10*$Q10)+($R10)+(AF10*((52+$S10)/52))*(1+$T10))*1/$L10</f>
        <v>183562.85445246927</v>
      </c>
      <c r="AJ10" s="36">
        <f>(AG10+(AG10*$J10)+(AG10*$M10)+(AG10*$N10)+(AG10*$O10)+(AG10*$P10)+(AG10*$Q10)+($R10)+(AG10*((52+$S10)/52))*(1+$T10))*1/$L10</f>
        <v>238648.49005856924</v>
      </c>
      <c r="AK10" s="36">
        <f t="shared" ref="AK10:AM14" si="25">AH10/52/$K10</f>
        <v>65.88575325454832</v>
      </c>
      <c r="AL10" s="36">
        <f t="shared" si="25"/>
        <v>94.134797155112437</v>
      </c>
      <c r="AM10" s="36">
        <f t="shared" si="25"/>
        <v>122.38384105567653</v>
      </c>
      <c r="AN10" s="36">
        <f>($V10*(1+(($U10/100)*2)))</f>
        <v>54380.309199999996</v>
      </c>
      <c r="AO10" s="36">
        <f>($W10*(1+(($U10/100)*2)))</f>
        <v>77696.301899999991</v>
      </c>
      <c r="AP10" s="36">
        <f>($X10*(1+(($U10/100)*2)))</f>
        <v>101012.29459999999</v>
      </c>
      <c r="AQ10" s="36">
        <f>(AN10+(AN10*$J10)+(AN10*$M10)+(AN10*$N10)+(AN10*$O10)+(AN10*$P10)+(AN10*$Q10)+($R10)+(AN10*((52+$S10)/52))*(1+$T10))*1/$L10</f>
        <v>128496.4875388923</v>
      </c>
      <c r="AR10" s="36">
        <f>(AO10+(AO10*$J10)+(AO10*$M10)+(AO10*$N10)+(AO10*$O10)+(AO10*$P10)+(AO10*$Q10)+($R10)+(AO10*((52+$S10)/52))*(1+$T10))*1/$L10</f>
        <v>183590.38475109229</v>
      </c>
      <c r="AS10" s="36">
        <f>(AP10+(AP10*$J10)+(AP10*$M10)+(AP10*$N10)+(AP10*$O10)+(AP10*$P10)+(AP10*$Q10)+($R10)+(AP10*((52+$S10)/52))*(1+$T10))*1/$L10</f>
        <v>238684.28196329228</v>
      </c>
      <c r="AT10" s="36">
        <f t="shared" ref="AT10:AV14" si="26">AQ10/52/$K10</f>
        <v>65.895634635329387</v>
      </c>
      <c r="AU10" s="36">
        <f t="shared" si="26"/>
        <v>94.148915256970412</v>
      </c>
      <c r="AV10" s="36">
        <f t="shared" si="26"/>
        <v>122.40219587861144</v>
      </c>
      <c r="AW10" s="36">
        <f>($V10*(1+(($U10/100)*3)))</f>
        <v>54388.463800000005</v>
      </c>
      <c r="AX10" s="36">
        <f>($W10*(1+(($U10/100)*3)))</f>
        <v>77707.952850000001</v>
      </c>
      <c r="AY10" s="36">
        <f>($X10*(1+(($U10/100)*3)))</f>
        <v>101027.44190000001</v>
      </c>
      <c r="AZ10" s="36">
        <f>(AW10+(AW10*$J10)+(AW10*$M10)+(AW10*$N10)+(AW10*$O10)+(AW10*$P10)+(AW10*$Q10)+($R10)+(AW10*((52+$S10)/52))*(1+$T10))*1/$L10</f>
        <v>128515.75623141541</v>
      </c>
      <c r="BA10" s="36">
        <f>(AX10+(AX10*$J10)+(AX10*$M10)+(AX10*$N10)+(AX10*$O10)+(AX10*$P10)+(AX10*$Q10)+($R10)+(AX10*((52+$S10)/52))*(1+$T10))*1/$L10</f>
        <v>183617.91504971538</v>
      </c>
      <c r="BB10" s="36">
        <f>(AY10+(AY10*$J10)+(AY10*$M10)+(AY10*$N10)+(AY10*$O10)+(AY10*$P10)+(AY10*$Q10)+($R10)+(AY10*((52+$S10)/52))*(1+$T10))*1/$L10</f>
        <v>238720.0738680154</v>
      </c>
      <c r="BC10" s="36">
        <f t="shared" ref="BC10:BE14" si="27">AZ10/52/$K10</f>
        <v>65.905516016110468</v>
      </c>
      <c r="BD10" s="36">
        <f t="shared" si="27"/>
        <v>94.1630333588284</v>
      </c>
      <c r="BE10" s="36">
        <f t="shared" si="27"/>
        <v>122.42055070154636</v>
      </c>
      <c r="BF10" s="36">
        <f>($V10*(1+(($U10/100)*4)))</f>
        <v>54396.618399999999</v>
      </c>
      <c r="BG10" s="36">
        <f>($W10*(1+(($U10/100)*4)))</f>
        <v>77719.603799999997</v>
      </c>
      <c r="BH10" s="36">
        <f>($X10*(1+(($U10/100)*4)))</f>
        <v>101042.58919999999</v>
      </c>
      <c r="BI10" s="36">
        <f>(BF10+(BF10*$J10)+(BF10*$M10)+(BF10*$N10)+(BF10*$O10)+(BF10*$P10)+(BF10*$Q10)+($R10)+(BF10*((52+$S10)/52))*(1+$T10))*1/$L10</f>
        <v>128535.02492393846</v>
      </c>
      <c r="BJ10" s="36">
        <f>(BG10+(BG10*$J10)+(BG10*$M10)+(BG10*$N10)+(BG10*$O10)+(BG10*$P10)+(BG10*$Q10)+($R10)+(BG10*((52+$S10)/52))*(1+$T10))*1/$L10</f>
        <v>183645.44534833846</v>
      </c>
      <c r="BK10" s="36">
        <f>(BH10+(BH10*$J10)+(BH10*$M10)+(BH10*$N10)+(BH10*$O10)+(BH10*$P10)+(BH10*$Q10)+($R10)+(BH10*((52+$S10)/52))*(1+$T10))*1/$L10</f>
        <v>238755.86577273841</v>
      </c>
      <c r="BL10" s="36">
        <f t="shared" ref="BL10:BN14" si="28">BI10/52/$K10</f>
        <v>65.915397396891521</v>
      </c>
      <c r="BM10" s="36">
        <f t="shared" si="28"/>
        <v>94.177151460686389</v>
      </c>
      <c r="BN10" s="36">
        <f t="shared" si="28"/>
        <v>122.43890552448123</v>
      </c>
    </row>
    <row r="11" spans="1:66" x14ac:dyDescent="0.2">
      <c r="A11" s="4" t="s">
        <v>62</v>
      </c>
      <c r="B11" s="19" t="s">
        <v>40</v>
      </c>
      <c r="C11" s="20" t="s">
        <v>41</v>
      </c>
      <c r="D11" s="4" t="s">
        <v>66</v>
      </c>
      <c r="E11" s="21" t="s">
        <v>67</v>
      </c>
      <c r="F11" s="4" t="s">
        <v>60</v>
      </c>
      <c r="G11" s="4" t="s">
        <v>68</v>
      </c>
      <c r="H11" s="5" t="s">
        <v>69</v>
      </c>
      <c r="I11" s="5">
        <v>2022</v>
      </c>
      <c r="J11" s="11">
        <v>0.105</v>
      </c>
      <c r="K11" s="32">
        <v>37.5</v>
      </c>
      <c r="L11" s="8">
        <v>1</v>
      </c>
      <c r="M11" s="8">
        <v>0.1</v>
      </c>
      <c r="N11" s="8">
        <v>3.5000000000000003E-2</v>
      </c>
      <c r="O11" s="27">
        <v>0</v>
      </c>
      <c r="P11" s="8">
        <v>0</v>
      </c>
      <c r="Q11" s="8">
        <v>4.5999999999999999E-2</v>
      </c>
      <c r="R11" s="23">
        <v>0</v>
      </c>
      <c r="S11" s="9">
        <v>5</v>
      </c>
      <c r="T11" s="8">
        <v>0</v>
      </c>
      <c r="U11" s="8">
        <v>1.4999999999999999E-2</v>
      </c>
      <c r="V11" s="36">
        <v>66386</v>
      </c>
      <c r="W11" s="36">
        <f>V11+((X11-V11)/2)</f>
        <v>104238</v>
      </c>
      <c r="X11" s="36">
        <v>142090</v>
      </c>
      <c r="Y11" s="36">
        <f t="shared" si="23"/>
        <v>158141.66523076923</v>
      </c>
      <c r="Z11" s="36">
        <f t="shared" si="23"/>
        <v>248310.95261538462</v>
      </c>
      <c r="AA11" s="36">
        <f t="shared" si="23"/>
        <v>338480.24000000005</v>
      </c>
      <c r="AB11" s="36">
        <f t="shared" ref="AB11:AD26" si="29">Y11/52/$K11</f>
        <v>81.09828986193294</v>
      </c>
      <c r="AC11" s="36">
        <f t="shared" si="24"/>
        <v>127.33895005917159</v>
      </c>
      <c r="AD11" s="36">
        <f t="shared" si="24"/>
        <v>173.57961025641029</v>
      </c>
      <c r="AE11" s="36">
        <f t="shared" ref="AE11:AE14" si="30">($V11*(1+(($U11/100)*1)))</f>
        <v>66395.957900000009</v>
      </c>
      <c r="AF11" s="36">
        <f t="shared" ref="AF11:AF14" si="31">($W11*(1+(($U11/100)*1)))</f>
        <v>104253.63570000001</v>
      </c>
      <c r="AG11" s="36">
        <f t="shared" ref="AG11:AG14" si="32">($X11*(1+(($U11/100)*1)))</f>
        <v>142111.31350000002</v>
      </c>
      <c r="AH11" s="36">
        <f t="shared" ref="AH11:AJ14" si="33">(AE11+(AE11*$J11)+(AE11*$M11)+(AE11*$N11)+(AE11*$O11)+(AE11*$P11)+(AE11*$Q11)+($R11)+(AE11*((52+$S11)/52))*(1+$T11))*1/$L11</f>
        <v>158165.38648055389</v>
      </c>
      <c r="AI11" s="36">
        <f t="shared" si="33"/>
        <v>248348.19925827696</v>
      </c>
      <c r="AJ11" s="36">
        <f t="shared" si="33"/>
        <v>338531.01203600003</v>
      </c>
      <c r="AK11" s="36">
        <f t="shared" si="25"/>
        <v>81.110454605412258</v>
      </c>
      <c r="AL11" s="36">
        <f t="shared" si="25"/>
        <v>127.3580509016805</v>
      </c>
      <c r="AM11" s="36">
        <f t="shared" si="25"/>
        <v>173.60564719794874</v>
      </c>
      <c r="AN11" s="36">
        <f t="shared" ref="AN11:AN14" si="34">($V11*(1+(($U11/100)*2)))</f>
        <v>66405.915800000002</v>
      </c>
      <c r="AO11" s="36">
        <f t="shared" ref="AO11:AO14" si="35">($W11*(1+(($U11/100)*2)))</f>
        <v>104269.2714</v>
      </c>
      <c r="AP11" s="36">
        <f t="shared" ref="AP11:AP14" si="36">($X11*(1+(($U11/100)*2)))</f>
        <v>142132.62700000001</v>
      </c>
      <c r="AQ11" s="36">
        <f t="shared" ref="AQ11:AS14" si="37">(AN11+(AN11*$J11)+(AN11*$M11)+(AN11*$N11)+(AN11*$O11)+(AN11*$P11)+(AN11*$Q11)+($R11)+(AN11*((52+$S11)/52))*(1+$T11))*1/$L11</f>
        <v>158189.10773033847</v>
      </c>
      <c r="AR11" s="36">
        <f t="shared" si="37"/>
        <v>248385.44590116924</v>
      </c>
      <c r="AS11" s="36">
        <f t="shared" si="37"/>
        <v>338581.78407200007</v>
      </c>
      <c r="AT11" s="36">
        <f t="shared" si="26"/>
        <v>81.122619348891519</v>
      </c>
      <c r="AU11" s="36">
        <f t="shared" si="26"/>
        <v>127.37715174418935</v>
      </c>
      <c r="AV11" s="36">
        <f t="shared" si="26"/>
        <v>173.63168413948722</v>
      </c>
      <c r="AW11" s="36">
        <f t="shared" ref="AW11:AW14" si="38">($V11*(1+(($U11/100)*3)))</f>
        <v>66415.873700000011</v>
      </c>
      <c r="AX11" s="36">
        <f t="shared" ref="AX11:AX14" si="39">($W11*(1+(($U11/100)*3)))</f>
        <v>104284.90710000001</v>
      </c>
      <c r="AY11" s="36">
        <f t="shared" ref="AY11:AY14" si="40">($X11*(1+(($U11/100)*3)))</f>
        <v>142153.9405</v>
      </c>
      <c r="AZ11" s="36">
        <f t="shared" ref="AZ11:BB14" si="41">(AW11+(AW11*$J11)+(AW11*$M11)+(AW11*$N11)+(AW11*$O11)+(AW11*$P11)+(AW11*$Q11)+($R11)+(AW11*((52+$S11)/52))*(1+$T11))*1/$L11</f>
        <v>158212.8289801231</v>
      </c>
      <c r="BA11" s="36">
        <f t="shared" si="41"/>
        <v>248422.69254406157</v>
      </c>
      <c r="BB11" s="36">
        <f t="shared" si="41"/>
        <v>338632.55610799999</v>
      </c>
      <c r="BC11" s="36">
        <f t="shared" si="27"/>
        <v>81.134784092370822</v>
      </c>
      <c r="BD11" s="36">
        <f t="shared" si="27"/>
        <v>127.39625258669825</v>
      </c>
      <c r="BE11" s="36">
        <f t="shared" si="27"/>
        <v>173.65772108102564</v>
      </c>
      <c r="BF11" s="36">
        <f t="shared" ref="BF11:BF14" si="42">($V11*(1+(($U11/100)*4)))</f>
        <v>66425.83159999999</v>
      </c>
      <c r="BG11" s="36">
        <f t="shared" ref="BG11:BG14" si="43">($W11*(1+(($U11/100)*4)))</f>
        <v>104300.5428</v>
      </c>
      <c r="BH11" s="36">
        <f t="shared" ref="BH11:BH14" si="44">($X11*(1+(($U11/100)*4)))</f>
        <v>142175.25399999999</v>
      </c>
      <c r="BI11" s="36">
        <f t="shared" ref="BI11:BK14" si="45">(BF11+(BF11*$J11)+(BF11*$M11)+(BF11*$N11)+(BF11*$O11)+(BF11*$P11)+(BF11*$Q11)+($R11)+(BF11*((52+$S11)/52))*(1+$T11))*1/$L11</f>
        <v>158236.55022990768</v>
      </c>
      <c r="BJ11" s="36">
        <f t="shared" si="45"/>
        <v>248459.93918695382</v>
      </c>
      <c r="BK11" s="36">
        <f t="shared" si="45"/>
        <v>338683.32814399997</v>
      </c>
      <c r="BL11" s="36">
        <f t="shared" si="28"/>
        <v>81.146948835850083</v>
      </c>
      <c r="BM11" s="36">
        <f t="shared" si="28"/>
        <v>127.4153534292071</v>
      </c>
      <c r="BN11" s="36">
        <f t="shared" si="28"/>
        <v>173.68375802256409</v>
      </c>
    </row>
    <row r="12" spans="1:66" x14ac:dyDescent="0.2">
      <c r="A12" s="4" t="s">
        <v>62</v>
      </c>
      <c r="B12" s="19" t="s">
        <v>47</v>
      </c>
      <c r="C12" s="20" t="s">
        <v>48</v>
      </c>
      <c r="D12" s="4" t="s">
        <v>63</v>
      </c>
      <c r="E12" s="21" t="s">
        <v>70</v>
      </c>
      <c r="I12" s="5">
        <v>2022</v>
      </c>
      <c r="J12" s="11">
        <v>0.105</v>
      </c>
      <c r="K12" s="32">
        <v>37.5</v>
      </c>
      <c r="L12" s="8">
        <v>1</v>
      </c>
      <c r="M12" s="8">
        <v>0.1</v>
      </c>
      <c r="N12" s="8">
        <v>3.5000000000000003E-2</v>
      </c>
      <c r="O12" s="27">
        <v>0</v>
      </c>
      <c r="P12" s="8">
        <v>0</v>
      </c>
      <c r="Q12" s="8">
        <v>4.5999999999999999E-2</v>
      </c>
      <c r="R12" s="23">
        <v>0</v>
      </c>
      <c r="S12" s="9">
        <v>4</v>
      </c>
      <c r="T12" s="8">
        <v>0</v>
      </c>
      <c r="U12" s="8">
        <v>1.4999999999999999E-2</v>
      </c>
      <c r="V12" s="36">
        <v>56916</v>
      </c>
      <c r="W12" s="36">
        <f>V12+((X12-V12)/2)</f>
        <v>63374</v>
      </c>
      <c r="X12" s="36">
        <v>69832</v>
      </c>
      <c r="Y12" s="36">
        <f t="shared" si="23"/>
        <v>134488.12984615384</v>
      </c>
      <c r="Z12" s="36">
        <f t="shared" si="23"/>
        <v>149747.88707692307</v>
      </c>
      <c r="AA12" s="36">
        <f t="shared" si="23"/>
        <v>165007.6443076923</v>
      </c>
      <c r="AB12" s="36">
        <f t="shared" si="29"/>
        <v>68.968271715976329</v>
      </c>
      <c r="AC12" s="36">
        <f t="shared" si="24"/>
        <v>76.793788244575936</v>
      </c>
      <c r="AD12" s="36">
        <f t="shared" si="24"/>
        <v>84.619304773175543</v>
      </c>
      <c r="AE12" s="36">
        <f t="shared" si="30"/>
        <v>56924.537400000008</v>
      </c>
      <c r="AF12" s="36">
        <f t="shared" si="31"/>
        <v>63383.506100000006</v>
      </c>
      <c r="AG12" s="36">
        <f t="shared" si="32"/>
        <v>69842.474800000011</v>
      </c>
      <c r="AH12" s="36">
        <f t="shared" si="33"/>
        <v>134508.30306563078</v>
      </c>
      <c r="AI12" s="36">
        <f t="shared" si="33"/>
        <v>149770.34925998462</v>
      </c>
      <c r="AJ12" s="36">
        <f t="shared" si="33"/>
        <v>165032.39545433846</v>
      </c>
      <c r="AK12" s="36">
        <f t="shared" si="25"/>
        <v>68.978616956733731</v>
      </c>
      <c r="AL12" s="36">
        <f t="shared" si="25"/>
        <v>76.80530731281263</v>
      </c>
      <c r="AM12" s="36">
        <f t="shared" si="25"/>
        <v>84.631997668891515</v>
      </c>
      <c r="AN12" s="36">
        <f t="shared" si="34"/>
        <v>56933.074799999995</v>
      </c>
      <c r="AO12" s="36">
        <f t="shared" si="35"/>
        <v>63393.012199999997</v>
      </c>
      <c r="AP12" s="36">
        <f t="shared" si="36"/>
        <v>69852.949599999993</v>
      </c>
      <c r="AQ12" s="36">
        <f t="shared" si="37"/>
        <v>134528.47628510767</v>
      </c>
      <c r="AR12" s="36">
        <f t="shared" si="37"/>
        <v>149792.81144304614</v>
      </c>
      <c r="AS12" s="36">
        <f t="shared" si="37"/>
        <v>165057.14660098459</v>
      </c>
      <c r="AT12" s="36">
        <f t="shared" si="26"/>
        <v>68.988962197491119</v>
      </c>
      <c r="AU12" s="36">
        <f t="shared" si="26"/>
        <v>76.816826381049296</v>
      </c>
      <c r="AV12" s="36">
        <f t="shared" si="26"/>
        <v>84.644690564607487</v>
      </c>
      <c r="AW12" s="36">
        <f t="shared" si="38"/>
        <v>56941.612200000003</v>
      </c>
      <c r="AX12" s="36">
        <f t="shared" si="39"/>
        <v>63402.518300000003</v>
      </c>
      <c r="AY12" s="36">
        <f t="shared" si="40"/>
        <v>69863.424400000004</v>
      </c>
      <c r="AZ12" s="36">
        <f t="shared" si="41"/>
        <v>134548.64950458461</v>
      </c>
      <c r="BA12" s="36">
        <f t="shared" si="41"/>
        <v>149815.27362610769</v>
      </c>
      <c r="BB12" s="36">
        <f t="shared" si="41"/>
        <v>165081.89774763078</v>
      </c>
      <c r="BC12" s="36">
        <f t="shared" si="27"/>
        <v>68.999307438248522</v>
      </c>
      <c r="BD12" s="36">
        <f t="shared" si="27"/>
        <v>76.828345449286005</v>
      </c>
      <c r="BE12" s="36">
        <f t="shared" si="27"/>
        <v>84.657383460323473</v>
      </c>
      <c r="BF12" s="36">
        <f t="shared" si="42"/>
        <v>56950.149599999997</v>
      </c>
      <c r="BG12" s="36">
        <f t="shared" si="43"/>
        <v>63412.024399999995</v>
      </c>
      <c r="BH12" s="36">
        <f t="shared" si="44"/>
        <v>69873.8992</v>
      </c>
      <c r="BI12" s="36">
        <f t="shared" si="45"/>
        <v>134568.82272406152</v>
      </c>
      <c r="BJ12" s="36">
        <f t="shared" si="45"/>
        <v>149837.73580916919</v>
      </c>
      <c r="BK12" s="36">
        <f t="shared" si="45"/>
        <v>165106.64889427691</v>
      </c>
      <c r="BL12" s="36">
        <f t="shared" si="28"/>
        <v>69.00965267900591</v>
      </c>
      <c r="BM12" s="36">
        <f t="shared" si="28"/>
        <v>76.839864517522656</v>
      </c>
      <c r="BN12" s="36">
        <f t="shared" si="28"/>
        <v>84.670076356039445</v>
      </c>
    </row>
    <row r="13" spans="1:66" x14ac:dyDescent="0.2">
      <c r="A13" s="4" t="s">
        <v>62</v>
      </c>
      <c r="B13" s="19" t="s">
        <v>50</v>
      </c>
      <c r="C13" s="20" t="s">
        <v>51</v>
      </c>
      <c r="D13" s="4" t="s">
        <v>63</v>
      </c>
      <c r="E13" s="21" t="s">
        <v>71</v>
      </c>
      <c r="I13" s="5">
        <v>2022</v>
      </c>
      <c r="J13" s="11">
        <v>0.105</v>
      </c>
      <c r="K13" s="32">
        <v>37.5</v>
      </c>
      <c r="L13" s="8">
        <v>1</v>
      </c>
      <c r="M13" s="8">
        <v>0.1</v>
      </c>
      <c r="N13" s="8">
        <v>3.5000000000000003E-2</v>
      </c>
      <c r="O13" s="27">
        <v>0</v>
      </c>
      <c r="P13" s="8">
        <v>0</v>
      </c>
      <c r="Q13" s="8">
        <v>4.5999999999999999E-2</v>
      </c>
      <c r="R13" s="23">
        <v>0</v>
      </c>
      <c r="S13" s="9">
        <v>4</v>
      </c>
      <c r="T13" s="8">
        <v>0</v>
      </c>
      <c r="U13" s="8">
        <v>1.4999999999999999E-2</v>
      </c>
      <c r="V13" s="36">
        <v>66386</v>
      </c>
      <c r="W13" s="36">
        <f t="shared" ref="W13:W14" si="46">V13+((X13-V13)/2)</f>
        <v>91587.5</v>
      </c>
      <c r="X13" s="36">
        <v>116789</v>
      </c>
      <c r="Y13" s="36">
        <f t="shared" si="23"/>
        <v>156865.01138461538</v>
      </c>
      <c r="Z13" s="36">
        <f t="shared" si="23"/>
        <v>216414.21730769228</v>
      </c>
      <c r="AA13" s="36">
        <f t="shared" si="23"/>
        <v>275963.42323076923</v>
      </c>
      <c r="AB13" s="36">
        <f t="shared" si="29"/>
        <v>80.443595581854055</v>
      </c>
      <c r="AC13" s="36">
        <f t="shared" si="24"/>
        <v>110.98164990138066</v>
      </c>
      <c r="AD13" s="36">
        <f t="shared" si="24"/>
        <v>141.5197042209073</v>
      </c>
      <c r="AE13" s="36">
        <f t="shared" si="30"/>
        <v>66395.957900000009</v>
      </c>
      <c r="AF13" s="36">
        <f t="shared" si="31"/>
        <v>91601.238125000003</v>
      </c>
      <c r="AG13" s="36">
        <f t="shared" si="32"/>
        <v>116806.51835000001</v>
      </c>
      <c r="AH13" s="36">
        <f t="shared" si="33"/>
        <v>156888.5411363231</v>
      </c>
      <c r="AI13" s="36">
        <f t="shared" si="33"/>
        <v>216446.67944028846</v>
      </c>
      <c r="AJ13" s="36">
        <f t="shared" si="33"/>
        <v>276004.8177442539</v>
      </c>
      <c r="AK13" s="36">
        <f t="shared" si="25"/>
        <v>80.455662121191338</v>
      </c>
      <c r="AL13" s="36">
        <f t="shared" si="25"/>
        <v>110.99829714886587</v>
      </c>
      <c r="AM13" s="36">
        <f t="shared" si="25"/>
        <v>141.54093217654048</v>
      </c>
      <c r="AN13" s="36">
        <f t="shared" si="34"/>
        <v>66405.915800000002</v>
      </c>
      <c r="AO13" s="36">
        <f t="shared" si="35"/>
        <v>91614.976249999992</v>
      </c>
      <c r="AP13" s="36">
        <f t="shared" si="36"/>
        <v>116824.0367</v>
      </c>
      <c r="AQ13" s="36">
        <f t="shared" si="37"/>
        <v>156912.07088803075</v>
      </c>
      <c r="AR13" s="36">
        <f t="shared" si="37"/>
        <v>216479.14157288457</v>
      </c>
      <c r="AS13" s="36">
        <f t="shared" si="37"/>
        <v>276046.21225773846</v>
      </c>
      <c r="AT13" s="36">
        <f t="shared" si="26"/>
        <v>80.467728660528593</v>
      </c>
      <c r="AU13" s="36">
        <f t="shared" si="26"/>
        <v>111.01494439635105</v>
      </c>
      <c r="AV13" s="36">
        <f t="shared" si="26"/>
        <v>141.56216013217357</v>
      </c>
      <c r="AW13" s="36">
        <f t="shared" si="38"/>
        <v>66415.873700000011</v>
      </c>
      <c r="AX13" s="36">
        <f t="shared" si="39"/>
        <v>91628.71437500001</v>
      </c>
      <c r="AY13" s="36">
        <f t="shared" si="40"/>
        <v>116841.55505000001</v>
      </c>
      <c r="AZ13" s="36">
        <f t="shared" si="41"/>
        <v>156935.60063973849</v>
      </c>
      <c r="BA13" s="36">
        <f t="shared" si="41"/>
        <v>216511.60370548078</v>
      </c>
      <c r="BB13" s="36">
        <f t="shared" si="41"/>
        <v>276087.60677122307</v>
      </c>
      <c r="BC13" s="36">
        <f t="shared" si="27"/>
        <v>80.47979519986589</v>
      </c>
      <c r="BD13" s="36">
        <f t="shared" si="27"/>
        <v>111.03159164383629</v>
      </c>
      <c r="BE13" s="36">
        <f t="shared" si="27"/>
        <v>141.5833880878067</v>
      </c>
      <c r="BF13" s="36">
        <f t="shared" si="42"/>
        <v>66425.83159999999</v>
      </c>
      <c r="BG13" s="36">
        <f t="shared" si="43"/>
        <v>91642.452499999999</v>
      </c>
      <c r="BH13" s="36">
        <f t="shared" si="44"/>
        <v>116859.07339999999</v>
      </c>
      <c r="BI13" s="36">
        <f t="shared" si="45"/>
        <v>156959.13039144612</v>
      </c>
      <c r="BJ13" s="36">
        <f t="shared" si="45"/>
        <v>216544.06583807693</v>
      </c>
      <c r="BK13" s="36">
        <f t="shared" si="45"/>
        <v>276129.00128470769</v>
      </c>
      <c r="BL13" s="36">
        <f t="shared" si="28"/>
        <v>80.491861739203131</v>
      </c>
      <c r="BM13" s="36">
        <f t="shared" si="28"/>
        <v>111.0482388913215</v>
      </c>
      <c r="BN13" s="36">
        <f t="shared" si="28"/>
        <v>141.60461604343985</v>
      </c>
    </row>
    <row r="14" spans="1:66" x14ac:dyDescent="0.2">
      <c r="A14" s="4" t="s">
        <v>62</v>
      </c>
      <c r="B14" s="19" t="s">
        <v>55</v>
      </c>
      <c r="C14" s="20" t="s">
        <v>56</v>
      </c>
      <c r="D14" s="4" t="s">
        <v>72</v>
      </c>
      <c r="E14" s="21" t="s">
        <v>73</v>
      </c>
      <c r="I14" s="5">
        <v>2022</v>
      </c>
      <c r="J14" s="11">
        <v>0.105</v>
      </c>
      <c r="K14" s="32">
        <v>38</v>
      </c>
      <c r="L14" s="8">
        <v>1</v>
      </c>
      <c r="M14" s="8">
        <v>0</v>
      </c>
      <c r="N14" s="8">
        <v>3.5000000000000003E-2</v>
      </c>
      <c r="O14" s="27">
        <v>0</v>
      </c>
      <c r="P14" s="8">
        <v>0.6</v>
      </c>
      <c r="Q14" s="8">
        <v>4.5999999999999999E-2</v>
      </c>
      <c r="R14" s="23">
        <v>26000</v>
      </c>
      <c r="S14" s="9">
        <v>5</v>
      </c>
      <c r="T14" s="8">
        <v>0.17499999999999999</v>
      </c>
      <c r="U14" s="8">
        <v>1.4999999999999999E-2</v>
      </c>
      <c r="V14" s="36">
        <v>221622</v>
      </c>
      <c r="W14" s="36">
        <f t="shared" si="46"/>
        <v>256820.5</v>
      </c>
      <c r="X14" s="36">
        <v>292019</v>
      </c>
      <c r="Y14" s="36">
        <f t="shared" si="23"/>
        <v>707261.76603846159</v>
      </c>
      <c r="Z14" s="36">
        <f t="shared" si="23"/>
        <v>815461.27814423083</v>
      </c>
      <c r="AA14" s="36">
        <f t="shared" si="23"/>
        <v>923660.79024999996</v>
      </c>
      <c r="AB14" s="36">
        <f t="shared" si="29"/>
        <v>357.92599495873566</v>
      </c>
      <c r="AC14" s="36">
        <f t="shared" si="24"/>
        <v>412.68283306894273</v>
      </c>
      <c r="AD14" s="36">
        <f t="shared" si="24"/>
        <v>467.4396711791498</v>
      </c>
      <c r="AE14" s="36">
        <f t="shared" si="30"/>
        <v>221655.24330000003</v>
      </c>
      <c r="AF14" s="36">
        <f t="shared" si="31"/>
        <v>256859.02307500003</v>
      </c>
      <c r="AG14" s="36">
        <f t="shared" si="32"/>
        <v>292062.80285000004</v>
      </c>
      <c r="AH14" s="36">
        <f t="shared" si="33"/>
        <v>707363.95530336746</v>
      </c>
      <c r="AI14" s="36">
        <f t="shared" si="33"/>
        <v>815579.69733595266</v>
      </c>
      <c r="AJ14" s="36">
        <f t="shared" si="33"/>
        <v>923795.43936853763</v>
      </c>
      <c r="AK14" s="36">
        <f t="shared" si="25"/>
        <v>357.97771017376891</v>
      </c>
      <c r="AL14" s="36">
        <f t="shared" si="25"/>
        <v>412.74276180969264</v>
      </c>
      <c r="AM14" s="36">
        <f t="shared" si="25"/>
        <v>467.50781344561619</v>
      </c>
      <c r="AN14" s="36">
        <f t="shared" si="34"/>
        <v>221688.4866</v>
      </c>
      <c r="AO14" s="36">
        <f t="shared" si="35"/>
        <v>256897.54614999998</v>
      </c>
      <c r="AP14" s="36">
        <f t="shared" si="36"/>
        <v>292106.60570000001</v>
      </c>
      <c r="AQ14" s="36">
        <f t="shared" si="37"/>
        <v>707466.1445682731</v>
      </c>
      <c r="AR14" s="36">
        <f t="shared" si="37"/>
        <v>815698.11652767402</v>
      </c>
      <c r="AS14" s="36">
        <f t="shared" si="37"/>
        <v>923930.08848707518</v>
      </c>
      <c r="AT14" s="36">
        <f t="shared" si="26"/>
        <v>358.02942538880217</v>
      </c>
      <c r="AU14" s="36">
        <f t="shared" si="26"/>
        <v>412.80269055044232</v>
      </c>
      <c r="AV14" s="36">
        <f t="shared" si="26"/>
        <v>467.57595571208259</v>
      </c>
      <c r="AW14" s="36">
        <f t="shared" si="38"/>
        <v>221721.72990000001</v>
      </c>
      <c r="AX14" s="36">
        <f t="shared" si="39"/>
        <v>256936.06922500001</v>
      </c>
      <c r="AY14" s="36">
        <f t="shared" si="40"/>
        <v>292150.40854999999</v>
      </c>
      <c r="AZ14" s="36">
        <f t="shared" si="41"/>
        <v>707568.33383317897</v>
      </c>
      <c r="BA14" s="36">
        <f t="shared" si="41"/>
        <v>815816.53571939573</v>
      </c>
      <c r="BB14" s="36">
        <f t="shared" si="41"/>
        <v>924064.73760561249</v>
      </c>
      <c r="BC14" s="36">
        <f t="shared" si="27"/>
        <v>358.08114060383548</v>
      </c>
      <c r="BD14" s="36">
        <f t="shared" si="27"/>
        <v>412.86261929119217</v>
      </c>
      <c r="BE14" s="36">
        <f t="shared" si="27"/>
        <v>467.64409797854887</v>
      </c>
      <c r="BF14" s="36">
        <f t="shared" si="42"/>
        <v>221754.97319999998</v>
      </c>
      <c r="BG14" s="36">
        <f t="shared" si="43"/>
        <v>256974.59229999999</v>
      </c>
      <c r="BH14" s="36">
        <f t="shared" si="44"/>
        <v>292194.21139999997</v>
      </c>
      <c r="BI14" s="36">
        <f t="shared" si="45"/>
        <v>707670.52309808461</v>
      </c>
      <c r="BJ14" s="36">
        <f t="shared" si="45"/>
        <v>815934.95491111744</v>
      </c>
      <c r="BK14" s="36">
        <f t="shared" si="45"/>
        <v>924199.38672414992</v>
      </c>
      <c r="BL14" s="36">
        <f t="shared" si="28"/>
        <v>358.13285581886873</v>
      </c>
      <c r="BM14" s="36">
        <f t="shared" si="28"/>
        <v>412.92254803194203</v>
      </c>
      <c r="BN14" s="36">
        <f t="shared" si="28"/>
        <v>467.71224024501515</v>
      </c>
    </row>
    <row r="15" spans="1:66" x14ac:dyDescent="0.2">
      <c r="R15" s="23"/>
      <c r="U15" s="8"/>
      <c r="V15" s="36"/>
      <c r="W15" s="36"/>
      <c r="X15" s="36"/>
      <c r="Y15" s="36"/>
      <c r="Z15" s="36"/>
      <c r="AA15" s="36"/>
      <c r="AB15" s="36"/>
      <c r="AC15" s="36"/>
      <c r="AD15" s="36"/>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row>
    <row r="16" spans="1:66" ht="15" customHeight="1" x14ac:dyDescent="0.2">
      <c r="A16" s="4" t="s">
        <v>74</v>
      </c>
      <c r="B16" s="19" t="s">
        <v>33</v>
      </c>
      <c r="C16" s="20" t="s">
        <v>34</v>
      </c>
      <c r="D16" s="4" t="s">
        <v>75</v>
      </c>
      <c r="E16" s="21" t="s">
        <v>76</v>
      </c>
      <c r="I16" s="5">
        <v>2022</v>
      </c>
      <c r="J16" s="11">
        <v>0.105</v>
      </c>
      <c r="K16" s="32">
        <v>40</v>
      </c>
      <c r="L16" s="8">
        <v>1</v>
      </c>
      <c r="M16" s="8">
        <v>0.1</v>
      </c>
      <c r="N16" s="8">
        <v>3.5000000000000003E-2</v>
      </c>
      <c r="O16" s="27">
        <v>0</v>
      </c>
      <c r="P16" s="8">
        <v>0</v>
      </c>
      <c r="Q16" s="8">
        <v>4.5999999999999999E-2</v>
      </c>
      <c r="R16" s="23">
        <v>0</v>
      </c>
      <c r="S16" s="9">
        <v>4</v>
      </c>
      <c r="T16" s="8">
        <v>0</v>
      </c>
      <c r="U16" s="8">
        <v>1.4999999999999999E-2</v>
      </c>
      <c r="V16" s="39">
        <f>1154.19*52</f>
        <v>60017.880000000005</v>
      </c>
      <c r="W16" s="36">
        <f>V16+((X16-V16)/2)</f>
        <v>77637.56</v>
      </c>
      <c r="X16" s="36">
        <f>1831.87*52</f>
        <v>95257.239999999991</v>
      </c>
      <c r="Y16" s="36">
        <f t="shared" ref="Y16:AA20" si="47">(V16+(V16*$J16)+(V16*$M16)+(V16*$N16)+(V16*$O16)+(V16*$P16)+(V16*$Q16)+($R16)+(V16*((52+$S16)/52))*(1+$T16))*1/$L16</f>
        <v>141817.63368</v>
      </c>
      <c r="Z16" s="36">
        <f t="shared" si="47"/>
        <v>183451.58215999999</v>
      </c>
      <c r="AA16" s="36">
        <f t="shared" si="47"/>
        <v>225085.53063999998</v>
      </c>
      <c r="AB16" s="36">
        <f t="shared" si="29"/>
        <v>68.181554653846149</v>
      </c>
      <c r="AC16" s="36">
        <f t="shared" si="29"/>
        <v>88.197876038461544</v>
      </c>
      <c r="AD16" s="36">
        <f t="shared" si="29"/>
        <v>108.21419742307691</v>
      </c>
      <c r="AE16" s="36">
        <f>($V16*(1+(($U16/100)*1)))</f>
        <v>60026.88268200001</v>
      </c>
      <c r="AF16" s="36">
        <f>($W16*(1+(($U16/100)*1)))</f>
        <v>77649.205633999998</v>
      </c>
      <c r="AG16" s="36">
        <f>($X16*(1+(($U16/100)*1)))</f>
        <v>95271.528586</v>
      </c>
      <c r="AH16" s="36">
        <f>(AE16+(AE16*$J16)+(AE16*$M16)+(AE16*$N16)+(AE16*$O16)+(AE16*$P16)+(AE16*$Q16)+($R16)+(AE16*((52+$S16)/52))*(1+$T16))*1/$L16</f>
        <v>141838.90632505203</v>
      </c>
      <c r="AI16" s="36">
        <f>(AF16+(AF16*$J16)+(AF16*$M16)+(AF16*$N16)+(AF16*$O16)+(AF16*$P16)+(AF16*$Q16)+($R16)+(AF16*((52+$S16)/52))*(1+$T16))*1/$L16</f>
        <v>183479.09989732399</v>
      </c>
      <c r="AJ16" s="36">
        <f>(AG16+(AG16*$J16)+(AG16*$M16)+(AG16*$N16)+(AG16*$O16)+(AG16*$P16)+(AG16*$Q16)+($R16)+(AG16*((52+$S16)/52))*(1+$T16))*1/$L16</f>
        <v>225119.29346959601</v>
      </c>
      <c r="AK16" s="36">
        <f t="shared" ref="AK16:AM20" si="48">AH16/52/$K16</f>
        <v>68.191781887044243</v>
      </c>
      <c r="AL16" s="36">
        <f t="shared" si="48"/>
        <v>88.211105719867305</v>
      </c>
      <c r="AM16" s="36">
        <f t="shared" si="48"/>
        <v>108.23042955269038</v>
      </c>
      <c r="AN16" s="36">
        <f>($V16*(1+(($U16/100)*2)))</f>
        <v>60035.885364000002</v>
      </c>
      <c r="AO16" s="36">
        <f>($W16*(1+(($U16/100)*2)))</f>
        <v>77660.851267999999</v>
      </c>
      <c r="AP16" s="36">
        <f>($X16*(1+(($U16/100)*2)))</f>
        <v>95285.817171999981</v>
      </c>
      <c r="AQ16" s="36">
        <f>(AN16+(AN16*$J16)+(AN16*$M16)+(AN16*$N16)+(AN16*$O16)+(AN16*$P16)+(AN16*$Q16)+($R16)+(AN16*((52+$S16)/52))*(1+$T16))*1/$L16</f>
        <v>141860.17897010403</v>
      </c>
      <c r="AR16" s="36">
        <f>(AO16+(AO16*$J16)+(AO16*$M16)+(AO16*$N16)+(AO16*$O16)+(AO16*$P16)+(AO16*$Q16)+($R16)+(AO16*((52+$S16)/52))*(1+$T16))*1/$L16</f>
        <v>183506.61763464799</v>
      </c>
      <c r="AS16" s="36">
        <f>(AP16+(AP16*$J16)+(AP16*$M16)+(AP16*$N16)+(AP16*$O16)+(AP16*$P16)+(AP16*$Q16)+($R16)+(AP16*((52+$S16)/52))*(1+$T16))*1/$L16</f>
        <v>225153.05629919196</v>
      </c>
      <c r="AT16" s="36">
        <f t="shared" ref="AT16:AV20" si="49">AQ16/52/$K16</f>
        <v>68.202009120242309</v>
      </c>
      <c r="AU16" s="36">
        <f t="shared" si="49"/>
        <v>88.224335401273066</v>
      </c>
      <c r="AV16" s="36">
        <f t="shared" si="49"/>
        <v>108.24666168230382</v>
      </c>
      <c r="AW16" s="36">
        <f>($V16*(1+(($U16/100)*3)))</f>
        <v>60044.888046000007</v>
      </c>
      <c r="AX16" s="36">
        <f>($W16*(1+(($U16/100)*3)))</f>
        <v>77672.496901999999</v>
      </c>
      <c r="AY16" s="36">
        <f>($X16*(1+(($U16/100)*3)))</f>
        <v>95300.105757999991</v>
      </c>
      <c r="AZ16" s="36">
        <f>(AW16+(AW16*$J16)+(AW16*$M16)+(AW16*$N16)+(AW16*$O16)+(AW16*$P16)+(AW16*$Q16)+($R16)+(AW16*((52+$S16)/52))*(1+$T16))*1/$L16</f>
        <v>141881.45161515602</v>
      </c>
      <c r="BA16" s="36">
        <f>(AX16+(AX16*$J16)+(AX16*$M16)+(AX16*$N16)+(AX16*$O16)+(AX16*$P16)+(AX16*$Q16)+($R16)+(AX16*((52+$S16)/52))*(1+$T16))*1/$L16</f>
        <v>183534.13537197199</v>
      </c>
      <c r="BB16" s="36">
        <f>(AY16+(AY16*$J16)+(AY16*$M16)+(AY16*$N16)+(AY16*$O16)+(AY16*$P16)+(AY16*$Q16)+($R16)+(AY16*((52+$S16)/52))*(1+$T16))*1/$L16</f>
        <v>225186.81912878796</v>
      </c>
      <c r="BC16" s="36">
        <f t="shared" ref="BC16:BE20" si="50">AZ16/52/$K16</f>
        <v>68.212236353440389</v>
      </c>
      <c r="BD16" s="36">
        <f t="shared" si="50"/>
        <v>88.237565082678842</v>
      </c>
      <c r="BE16" s="36">
        <f t="shared" si="50"/>
        <v>108.26289381191729</v>
      </c>
      <c r="BF16" s="36">
        <f>($V16*(1+(($U16/100)*4)))</f>
        <v>60053.890727999998</v>
      </c>
      <c r="BG16" s="36">
        <f>($W16*(1+(($U16/100)*4)))</f>
        <v>77684.142535999999</v>
      </c>
      <c r="BH16" s="36">
        <f>($X16*(1+(($U16/100)*4)))</f>
        <v>95314.394343999986</v>
      </c>
      <c r="BI16" s="36">
        <f>(BF16+(BF16*$J16)+(BF16*$M16)+(BF16*$N16)+(BF16*$O16)+(BF16*$P16)+(BF16*$Q16)+($R16)+(BF16*((52+$S16)/52))*(1+$T16))*1/$L16</f>
        <v>141902.72426020799</v>
      </c>
      <c r="BJ16" s="36">
        <f>(BG16+(BG16*$J16)+(BG16*$M16)+(BG16*$N16)+(BG16*$O16)+(BG16*$P16)+(BG16*$Q16)+($R16)+(BG16*((52+$S16)/52))*(1+$T16))*1/$L16</f>
        <v>183561.65310929599</v>
      </c>
      <c r="BK16" s="36">
        <f>(BH16+(BH16*$J16)+(BH16*$M16)+(BH16*$N16)+(BH16*$O16)+(BH16*$P16)+(BH16*$Q16)+($R16)+(BH16*((52+$S16)/52))*(1+$T16))*1/$L16</f>
        <v>225220.58195838396</v>
      </c>
      <c r="BL16" s="36">
        <f t="shared" ref="BL16:BN20" si="51">BI16/52/$K16</f>
        <v>68.222463586638455</v>
      </c>
      <c r="BM16" s="36">
        <f t="shared" si="51"/>
        <v>88.250794764084617</v>
      </c>
      <c r="BN16" s="36">
        <f t="shared" si="51"/>
        <v>108.27912594153074</v>
      </c>
    </row>
    <row r="17" spans="1:66" x14ac:dyDescent="0.2">
      <c r="A17" s="4" t="s">
        <v>74</v>
      </c>
      <c r="B17" s="19" t="s">
        <v>40</v>
      </c>
      <c r="C17" s="20" t="s">
        <v>41</v>
      </c>
      <c r="D17" s="4" t="s">
        <v>77</v>
      </c>
      <c r="E17" s="21" t="s">
        <v>78</v>
      </c>
      <c r="I17" s="5">
        <v>2022</v>
      </c>
      <c r="J17" s="11">
        <v>0.105</v>
      </c>
      <c r="K17" s="32">
        <v>38</v>
      </c>
      <c r="L17" s="8">
        <v>1</v>
      </c>
      <c r="M17" s="8">
        <v>0.1</v>
      </c>
      <c r="N17" s="8">
        <v>3.5000000000000003E-2</v>
      </c>
      <c r="O17" s="27">
        <v>0</v>
      </c>
      <c r="P17" s="8">
        <v>0</v>
      </c>
      <c r="Q17" s="8">
        <v>4.5999999999999999E-2</v>
      </c>
      <c r="R17" s="23">
        <v>0</v>
      </c>
      <c r="S17" s="9">
        <v>4</v>
      </c>
      <c r="T17" s="8">
        <v>0.17499999999999999</v>
      </c>
      <c r="U17" s="8">
        <v>1.4999999999999999E-2</v>
      </c>
      <c r="V17" s="36">
        <f>1292.77*52</f>
        <v>67224.039999999994</v>
      </c>
      <c r="W17" s="36">
        <f>V17+((X17-V17)/2)</f>
        <v>102899.68</v>
      </c>
      <c r="X17" s="36">
        <f>2664.91*52</f>
        <v>138575.32</v>
      </c>
      <c r="Y17" s="36">
        <f t="shared" si="47"/>
        <v>171514.38144</v>
      </c>
      <c r="Z17" s="36">
        <f t="shared" si="47"/>
        <v>262536.66047999996</v>
      </c>
      <c r="AA17" s="36">
        <f t="shared" si="47"/>
        <v>353558.93952000001</v>
      </c>
      <c r="AB17" s="36">
        <f t="shared" si="29"/>
        <v>86.798776032388673</v>
      </c>
      <c r="AC17" s="36">
        <f t="shared" si="29"/>
        <v>132.8626824291498</v>
      </c>
      <c r="AD17" s="36">
        <f t="shared" si="29"/>
        <v>178.92658882591095</v>
      </c>
      <c r="AE17" s="36">
        <f t="shared" ref="AE17:AE20" si="52">($V17*(1+(($U17/100)*1)))</f>
        <v>67234.123605999994</v>
      </c>
      <c r="AF17" s="36">
        <f t="shared" ref="AF17:AF20" si="53">($W17*(1+(($U17/100)*1)))</f>
        <v>102915.114952</v>
      </c>
      <c r="AG17" s="36">
        <f t="shared" ref="AG17:AG20" si="54">($X17*(1+(($U17/100)*1)))</f>
        <v>138596.10629800003</v>
      </c>
      <c r="AH17" s="36">
        <f t="shared" ref="AH17:AJ20" si="55">(AE17+(AE17*$J17)+(AE17*$M17)+(AE17*$N17)+(AE17*$O17)+(AE17*$P17)+(AE17*$Q17)+($R17)+(AE17*((52+$S17)/52))*(1+$T17))*1/$L17</f>
        <v>171540.10859721599</v>
      </c>
      <c r="AI17" s="36">
        <f t="shared" si="55"/>
        <v>262576.04097907204</v>
      </c>
      <c r="AJ17" s="36">
        <f t="shared" si="55"/>
        <v>353611.97336092812</v>
      </c>
      <c r="AK17" s="36">
        <f t="shared" si="48"/>
        <v>86.811795848793523</v>
      </c>
      <c r="AL17" s="36">
        <f t="shared" si="48"/>
        <v>132.8826118315142</v>
      </c>
      <c r="AM17" s="36">
        <f t="shared" si="48"/>
        <v>178.95342781423489</v>
      </c>
      <c r="AN17" s="36">
        <f t="shared" ref="AN17:AN20" si="56">($V17*(1+(($U17/100)*2)))</f>
        <v>67244.207211999994</v>
      </c>
      <c r="AO17" s="36">
        <f t="shared" ref="AO17:AO20" si="57">($W17*(1+(($U17/100)*2)))</f>
        <v>102930.54990399998</v>
      </c>
      <c r="AP17" s="36">
        <f t="shared" ref="AP17:AP20" si="58">($X17*(1+(($U17/100)*2)))</f>
        <v>138616.89259599999</v>
      </c>
      <c r="AQ17" s="36">
        <f t="shared" ref="AQ17:AS20" si="59">(AN17+(AN17*$J17)+(AN17*$M17)+(AN17*$N17)+(AN17*$O17)+(AN17*$P17)+(AN17*$Q17)+($R17)+(AN17*((52+$S17)/52))*(1+$T17))*1/$L17</f>
        <v>171565.83575443202</v>
      </c>
      <c r="AR17" s="36">
        <f t="shared" si="59"/>
        <v>262615.42147814395</v>
      </c>
      <c r="AS17" s="36">
        <f t="shared" si="59"/>
        <v>353665.007201856</v>
      </c>
      <c r="AT17" s="36">
        <f t="shared" si="49"/>
        <v>86.824815665198386</v>
      </c>
      <c r="AU17" s="36">
        <f t="shared" si="49"/>
        <v>132.90254123387854</v>
      </c>
      <c r="AV17" s="36">
        <f t="shared" si="49"/>
        <v>178.9802668025587</v>
      </c>
      <c r="AW17" s="36">
        <f t="shared" ref="AW17:AW20" si="60">($V17*(1+(($U17/100)*3)))</f>
        <v>67254.290817999994</v>
      </c>
      <c r="AX17" s="36">
        <f t="shared" ref="AX17:AX20" si="61">($W17*(1+(($U17/100)*3)))</f>
        <v>102945.984856</v>
      </c>
      <c r="AY17" s="36">
        <f t="shared" ref="AY17:AY20" si="62">($X17*(1+(($U17/100)*3)))</f>
        <v>138637.67889400001</v>
      </c>
      <c r="AZ17" s="36">
        <f t="shared" ref="AZ17:BB20" si="63">(AW17+(AW17*$J17)+(AW17*$M17)+(AW17*$N17)+(AW17*$O17)+(AW17*$P17)+(AW17*$Q17)+($R17)+(AW17*((52+$S17)/52))*(1+$T17))*1/$L17</f>
        <v>171591.56291164801</v>
      </c>
      <c r="BA17" s="36">
        <f t="shared" si="63"/>
        <v>262654.80197721603</v>
      </c>
      <c r="BB17" s="36">
        <f t="shared" si="63"/>
        <v>353718.041042784</v>
      </c>
      <c r="BC17" s="36">
        <f t="shared" si="50"/>
        <v>86.83783548160325</v>
      </c>
      <c r="BD17" s="36">
        <f t="shared" si="50"/>
        <v>132.92247063624293</v>
      </c>
      <c r="BE17" s="36">
        <f t="shared" si="50"/>
        <v>179.00710579088258</v>
      </c>
      <c r="BF17" s="36">
        <f t="shared" ref="BF17:BF20" si="64">($V17*(1+(($U17/100)*4)))</f>
        <v>67264.374423999994</v>
      </c>
      <c r="BG17" s="36">
        <f t="shared" ref="BG17:BG20" si="65">($W17*(1+(($U17/100)*4)))</f>
        <v>102961.41980799999</v>
      </c>
      <c r="BH17" s="36">
        <f t="shared" ref="BH17:BH20" si="66">($X17*(1+(($U17/100)*4)))</f>
        <v>138658.465192</v>
      </c>
      <c r="BI17" s="36">
        <f t="shared" ref="BI17:BK20" si="67">(BF17+(BF17*$J17)+(BF17*$M17)+(BF17*$N17)+(BF17*$O17)+(BF17*$P17)+(BF17*$Q17)+($R17)+(BF17*((52+$S17)/52))*(1+$T17))*1/$L17</f>
        <v>171617.29006886398</v>
      </c>
      <c r="BJ17" s="36">
        <f t="shared" si="67"/>
        <v>262694.18247628794</v>
      </c>
      <c r="BK17" s="36">
        <f t="shared" si="67"/>
        <v>353771.07488371199</v>
      </c>
      <c r="BL17" s="36">
        <f t="shared" si="51"/>
        <v>86.850855298008085</v>
      </c>
      <c r="BM17" s="36">
        <f t="shared" si="51"/>
        <v>132.94240003860727</v>
      </c>
      <c r="BN17" s="36">
        <f t="shared" si="51"/>
        <v>179.03394477920648</v>
      </c>
    </row>
    <row r="18" spans="1:66" x14ac:dyDescent="0.2">
      <c r="A18" s="4" t="s">
        <v>74</v>
      </c>
      <c r="B18" s="19" t="s">
        <v>47</v>
      </c>
      <c r="C18" s="20" t="s">
        <v>48</v>
      </c>
      <c r="I18" s="5">
        <v>2022</v>
      </c>
      <c r="J18" s="11">
        <v>0.105</v>
      </c>
      <c r="K18" s="32">
        <v>40</v>
      </c>
      <c r="L18" s="8">
        <v>1</v>
      </c>
      <c r="M18" s="8">
        <v>0.1</v>
      </c>
      <c r="N18" s="8">
        <v>3.5000000000000003E-2</v>
      </c>
      <c r="O18" s="27">
        <v>0</v>
      </c>
      <c r="P18" s="8">
        <v>0</v>
      </c>
      <c r="Q18" s="8">
        <v>4.5999999999999999E-2</v>
      </c>
      <c r="R18" s="23">
        <v>0</v>
      </c>
      <c r="S18" s="9">
        <v>4</v>
      </c>
      <c r="T18" s="8">
        <v>0</v>
      </c>
      <c r="U18" s="8">
        <v>1.4999999999999999E-2</v>
      </c>
      <c r="V18" s="36">
        <f>926.56*52</f>
        <v>48181.119999999995</v>
      </c>
      <c r="W18" s="36">
        <f>V18+((X18-V18)/2)</f>
        <v>57943.079999999994</v>
      </c>
      <c r="X18" s="36">
        <f>1302.02*52</f>
        <v>67705.039999999994</v>
      </c>
      <c r="Y18" s="36">
        <f t="shared" si="47"/>
        <v>113848.28031999999</v>
      </c>
      <c r="Z18" s="36">
        <f t="shared" si="47"/>
        <v>136915.04087999999</v>
      </c>
      <c r="AA18" s="36">
        <f t="shared" si="47"/>
        <v>159981.80144000001</v>
      </c>
      <c r="AB18" s="36">
        <f t="shared" si="29"/>
        <v>54.73475015384615</v>
      </c>
      <c r="AC18" s="36">
        <f t="shared" si="29"/>
        <v>65.824538884615379</v>
      </c>
      <c r="AD18" s="36">
        <f t="shared" si="29"/>
        <v>76.914327615384622</v>
      </c>
      <c r="AE18" s="36">
        <f t="shared" si="52"/>
        <v>48188.347168</v>
      </c>
      <c r="AF18" s="36">
        <f t="shared" si="53"/>
        <v>57951.771461999997</v>
      </c>
      <c r="AG18" s="36">
        <f t="shared" si="54"/>
        <v>67715.195756000001</v>
      </c>
      <c r="AH18" s="36">
        <f t="shared" si="55"/>
        <v>113865.35756204798</v>
      </c>
      <c r="AI18" s="36">
        <f t="shared" si="55"/>
        <v>136935.57813613198</v>
      </c>
      <c r="AJ18" s="36">
        <f t="shared" si="55"/>
        <v>160005.79871021601</v>
      </c>
      <c r="AK18" s="36">
        <f t="shared" si="48"/>
        <v>54.742960366369218</v>
      </c>
      <c r="AL18" s="36">
        <f t="shared" si="48"/>
        <v>65.834412565448062</v>
      </c>
      <c r="AM18" s="36">
        <f t="shared" si="48"/>
        <v>76.925864764526935</v>
      </c>
      <c r="AN18" s="36">
        <f t="shared" si="56"/>
        <v>48195.574335999991</v>
      </c>
      <c r="AO18" s="36">
        <f t="shared" si="57"/>
        <v>57960.462923999992</v>
      </c>
      <c r="AP18" s="36">
        <f t="shared" si="58"/>
        <v>67725.351511999994</v>
      </c>
      <c r="AQ18" s="36">
        <f t="shared" si="59"/>
        <v>113882.43480409597</v>
      </c>
      <c r="AR18" s="36">
        <f t="shared" si="59"/>
        <v>136956.11539226398</v>
      </c>
      <c r="AS18" s="36">
        <f t="shared" si="59"/>
        <v>160029.79598043198</v>
      </c>
      <c r="AT18" s="36">
        <f t="shared" si="49"/>
        <v>54.7511705788923</v>
      </c>
      <c r="AU18" s="36">
        <f t="shared" si="49"/>
        <v>65.84428624628076</v>
      </c>
      <c r="AV18" s="36">
        <f t="shared" si="49"/>
        <v>76.93740191366922</v>
      </c>
      <c r="AW18" s="36">
        <f t="shared" si="60"/>
        <v>48202.801503999995</v>
      </c>
      <c r="AX18" s="36">
        <f t="shared" si="61"/>
        <v>57969.154385999995</v>
      </c>
      <c r="AY18" s="36">
        <f t="shared" si="62"/>
        <v>67735.507268000001</v>
      </c>
      <c r="AZ18" s="36">
        <f t="shared" si="63"/>
        <v>113899.51204614399</v>
      </c>
      <c r="BA18" s="36">
        <f t="shared" si="63"/>
        <v>136976.65264839598</v>
      </c>
      <c r="BB18" s="36">
        <f t="shared" si="63"/>
        <v>160053.79325064798</v>
      </c>
      <c r="BC18" s="36">
        <f t="shared" si="50"/>
        <v>54.759380791415381</v>
      </c>
      <c r="BD18" s="36">
        <f t="shared" si="50"/>
        <v>65.854159927113443</v>
      </c>
      <c r="BE18" s="36">
        <f t="shared" si="50"/>
        <v>76.948939062811533</v>
      </c>
      <c r="BF18" s="36">
        <f t="shared" si="64"/>
        <v>48210.028671999993</v>
      </c>
      <c r="BG18" s="36">
        <f t="shared" si="65"/>
        <v>57977.84584799999</v>
      </c>
      <c r="BH18" s="36">
        <f t="shared" si="66"/>
        <v>67745.663023999994</v>
      </c>
      <c r="BI18" s="36">
        <f t="shared" si="67"/>
        <v>113916.58928819199</v>
      </c>
      <c r="BJ18" s="36">
        <f t="shared" si="67"/>
        <v>136997.18990452797</v>
      </c>
      <c r="BK18" s="36">
        <f t="shared" si="67"/>
        <v>160077.79052086396</v>
      </c>
      <c r="BL18" s="36">
        <f t="shared" si="51"/>
        <v>54.767591003938456</v>
      </c>
      <c r="BM18" s="36">
        <f t="shared" si="51"/>
        <v>65.864033607946141</v>
      </c>
      <c r="BN18" s="36">
        <f t="shared" si="51"/>
        <v>76.960476211953818</v>
      </c>
    </row>
    <row r="19" spans="1:66" x14ac:dyDescent="0.2">
      <c r="A19" s="4" t="s">
        <v>74</v>
      </c>
      <c r="B19" s="19" t="s">
        <v>50</v>
      </c>
      <c r="C19" s="20" t="s">
        <v>51</v>
      </c>
      <c r="D19" s="4" t="s">
        <v>77</v>
      </c>
      <c r="E19" s="21" t="s">
        <v>78</v>
      </c>
      <c r="I19" s="5">
        <v>2022</v>
      </c>
      <c r="J19" s="11">
        <v>0.105</v>
      </c>
      <c r="K19" s="32">
        <v>40</v>
      </c>
      <c r="L19" s="8">
        <v>1</v>
      </c>
      <c r="M19" s="8">
        <v>0.1</v>
      </c>
      <c r="N19" s="8">
        <v>3.5000000000000003E-2</v>
      </c>
      <c r="O19" s="27">
        <v>0</v>
      </c>
      <c r="P19" s="8">
        <v>0</v>
      </c>
      <c r="Q19" s="8">
        <v>4.5999999999999999E-2</v>
      </c>
      <c r="R19" s="23">
        <v>0</v>
      </c>
      <c r="S19" s="9">
        <v>4</v>
      </c>
      <c r="T19" s="8">
        <v>0.17499999999999999</v>
      </c>
      <c r="U19" s="8">
        <v>1.4999999999999999E-2</v>
      </c>
      <c r="V19" s="36">
        <v>66106</v>
      </c>
      <c r="W19" s="36">
        <f>V19+((X19-V19)/2)</f>
        <v>90434.5</v>
      </c>
      <c r="X19" s="36">
        <v>114763</v>
      </c>
      <c r="Y19" s="36">
        <f t="shared" si="47"/>
        <v>168661.83138461539</v>
      </c>
      <c r="Z19" s="36">
        <f t="shared" si="47"/>
        <v>230733.19199999998</v>
      </c>
      <c r="AA19" s="36">
        <f t="shared" si="47"/>
        <v>292804.55261538463</v>
      </c>
      <c r="AB19" s="36">
        <f t="shared" si="29"/>
        <v>81.087418934911256</v>
      </c>
      <c r="AC19" s="36">
        <f t="shared" si="29"/>
        <v>110.92941923076921</v>
      </c>
      <c r="AD19" s="36">
        <f t="shared" si="29"/>
        <v>140.77141952662723</v>
      </c>
      <c r="AE19" s="36">
        <f t="shared" si="52"/>
        <v>66115.915900000007</v>
      </c>
      <c r="AF19" s="36">
        <f t="shared" si="53"/>
        <v>90448.065175000011</v>
      </c>
      <c r="AG19" s="36">
        <f t="shared" si="54"/>
        <v>114780.21445000001</v>
      </c>
      <c r="AH19" s="36">
        <f t="shared" si="55"/>
        <v>168687.13065932307</v>
      </c>
      <c r="AI19" s="36">
        <f t="shared" si="55"/>
        <v>230767.80197880004</v>
      </c>
      <c r="AJ19" s="36">
        <f t="shared" si="55"/>
        <v>292848.47329827701</v>
      </c>
      <c r="AK19" s="36">
        <f t="shared" si="48"/>
        <v>81.099582047751468</v>
      </c>
      <c r="AL19" s="36">
        <f t="shared" si="48"/>
        <v>110.94605864365387</v>
      </c>
      <c r="AM19" s="36">
        <f t="shared" si="48"/>
        <v>140.79253523955626</v>
      </c>
      <c r="AN19" s="36">
        <f t="shared" si="56"/>
        <v>66125.8318</v>
      </c>
      <c r="AO19" s="36">
        <f t="shared" si="57"/>
        <v>90461.630349999992</v>
      </c>
      <c r="AP19" s="36">
        <f t="shared" si="58"/>
        <v>114797.4289</v>
      </c>
      <c r="AQ19" s="36">
        <f t="shared" si="59"/>
        <v>168712.42993403078</v>
      </c>
      <c r="AR19" s="36">
        <f t="shared" si="59"/>
        <v>230802.41195759998</v>
      </c>
      <c r="AS19" s="36">
        <f t="shared" si="59"/>
        <v>292892.39398116921</v>
      </c>
      <c r="AT19" s="36">
        <f t="shared" si="49"/>
        <v>81.11174516059171</v>
      </c>
      <c r="AU19" s="36">
        <f t="shared" si="49"/>
        <v>110.96269805653844</v>
      </c>
      <c r="AV19" s="36">
        <f t="shared" si="49"/>
        <v>140.8136509524852</v>
      </c>
      <c r="AW19" s="36">
        <f t="shared" si="60"/>
        <v>66135.747700000007</v>
      </c>
      <c r="AX19" s="36">
        <f t="shared" si="61"/>
        <v>90475.195525000003</v>
      </c>
      <c r="AY19" s="36">
        <f t="shared" si="62"/>
        <v>114814.64335000001</v>
      </c>
      <c r="AZ19" s="36">
        <f t="shared" si="63"/>
        <v>168737.72920873848</v>
      </c>
      <c r="BA19" s="36">
        <f t="shared" si="63"/>
        <v>230837.02193639998</v>
      </c>
      <c r="BB19" s="36">
        <f t="shared" si="63"/>
        <v>292936.31466406159</v>
      </c>
      <c r="BC19" s="36">
        <f t="shared" si="50"/>
        <v>81.123908273431965</v>
      </c>
      <c r="BD19" s="36">
        <f t="shared" si="50"/>
        <v>110.97933746942306</v>
      </c>
      <c r="BE19" s="36">
        <f t="shared" si="50"/>
        <v>140.83476666541424</v>
      </c>
      <c r="BF19" s="36">
        <f t="shared" si="64"/>
        <v>66145.6636</v>
      </c>
      <c r="BG19" s="36">
        <f t="shared" si="65"/>
        <v>90488.760699999999</v>
      </c>
      <c r="BH19" s="36">
        <f t="shared" si="66"/>
        <v>114831.8578</v>
      </c>
      <c r="BI19" s="36">
        <f t="shared" si="67"/>
        <v>168763.02848344616</v>
      </c>
      <c r="BJ19" s="36">
        <f t="shared" si="67"/>
        <v>230871.63191520001</v>
      </c>
      <c r="BK19" s="36">
        <f t="shared" si="67"/>
        <v>292980.23534695385</v>
      </c>
      <c r="BL19" s="36">
        <f t="shared" si="51"/>
        <v>81.136071386272192</v>
      </c>
      <c r="BM19" s="36">
        <f t="shared" si="51"/>
        <v>110.9959768823077</v>
      </c>
      <c r="BN19" s="36">
        <f t="shared" si="51"/>
        <v>140.85588237834321</v>
      </c>
    </row>
    <row r="20" spans="1:66" x14ac:dyDescent="0.2">
      <c r="A20" s="4" t="s">
        <v>74</v>
      </c>
      <c r="B20" s="19" t="s">
        <v>55</v>
      </c>
      <c r="C20" s="20" t="s">
        <v>56</v>
      </c>
      <c r="D20" s="4" t="s">
        <v>79</v>
      </c>
      <c r="E20" s="21" t="s">
        <v>80</v>
      </c>
      <c r="F20" s="4" t="s">
        <v>60</v>
      </c>
      <c r="G20" s="4" t="s">
        <v>60</v>
      </c>
      <c r="H20" s="26" t="s">
        <v>81</v>
      </c>
      <c r="I20" s="5">
        <v>2022</v>
      </c>
      <c r="J20" s="11">
        <v>0.105</v>
      </c>
      <c r="K20" s="32">
        <v>40</v>
      </c>
      <c r="L20" s="8">
        <v>1</v>
      </c>
      <c r="M20" s="8">
        <v>0</v>
      </c>
      <c r="N20" s="8">
        <v>3.5000000000000003E-2</v>
      </c>
      <c r="O20" s="27">
        <v>0.2</v>
      </c>
      <c r="P20" s="8">
        <v>0.17399999999999999</v>
      </c>
      <c r="Q20" s="8">
        <v>4.5999999999999999E-2</v>
      </c>
      <c r="R20" s="23">
        <v>38000</v>
      </c>
      <c r="S20" s="9">
        <v>5</v>
      </c>
      <c r="T20" s="8">
        <v>0.17499999999999999</v>
      </c>
      <c r="U20" s="8">
        <v>1.4999999999999999E-2</v>
      </c>
      <c r="V20" s="36">
        <v>179078</v>
      </c>
      <c r="W20" s="36">
        <f>V20+((X20-V20)/2)</f>
        <v>210509</v>
      </c>
      <c r="X20" s="36">
        <v>241940</v>
      </c>
      <c r="Y20" s="36">
        <f>(V20+(V20*$J20)+(V20*$M20)+(V20*$N20)+(V20*$O20)+(V20*$P20)+(V20*$Q20)+($R20)+(V20*((52+$S20)/52))*(1+$T20))*1/$L20</f>
        <v>548010.7001923077</v>
      </c>
      <c r="Z20" s="36">
        <f t="shared" si="47"/>
        <v>637525.58374999999</v>
      </c>
      <c r="AA20" s="36">
        <f t="shared" si="47"/>
        <v>727040.46730769239</v>
      </c>
      <c r="AB20" s="36">
        <f t="shared" si="29"/>
        <v>263.46668278476329</v>
      </c>
      <c r="AC20" s="36">
        <f t="shared" si="29"/>
        <v>306.50268449519228</v>
      </c>
      <c r="AD20" s="36">
        <f t="shared" si="29"/>
        <v>349.53868620562133</v>
      </c>
      <c r="AE20" s="36">
        <f t="shared" si="52"/>
        <v>179104.86170000001</v>
      </c>
      <c r="AF20" s="36">
        <f t="shared" si="53"/>
        <v>210540.57635000002</v>
      </c>
      <c r="AG20" s="36">
        <f t="shared" si="54"/>
        <v>241976.29100000003</v>
      </c>
      <c r="AH20" s="36">
        <f t="shared" si="55"/>
        <v>548087.20179733657</v>
      </c>
      <c r="AI20" s="36">
        <f t="shared" si="55"/>
        <v>637615.51258756267</v>
      </c>
      <c r="AJ20" s="36">
        <f t="shared" si="55"/>
        <v>727143.82337778853</v>
      </c>
      <c r="AK20" s="36">
        <f t="shared" si="48"/>
        <v>263.50346240256567</v>
      </c>
      <c r="AL20" s="36">
        <f t="shared" si="48"/>
        <v>306.54591951325131</v>
      </c>
      <c r="AM20" s="36">
        <f t="shared" si="48"/>
        <v>349.58837662393682</v>
      </c>
      <c r="AN20" s="36">
        <f t="shared" si="56"/>
        <v>179131.72339999999</v>
      </c>
      <c r="AO20" s="36">
        <f t="shared" si="57"/>
        <v>210572.15270000001</v>
      </c>
      <c r="AP20" s="36">
        <f t="shared" si="58"/>
        <v>242012.58199999999</v>
      </c>
      <c r="AQ20" s="36">
        <f t="shared" si="59"/>
        <v>548163.70340236533</v>
      </c>
      <c r="AR20" s="36">
        <f t="shared" si="59"/>
        <v>637705.44142512511</v>
      </c>
      <c r="AS20" s="36">
        <f t="shared" si="59"/>
        <v>727247.17944788467</v>
      </c>
      <c r="AT20" s="36">
        <f t="shared" si="49"/>
        <v>263.54024202036794</v>
      </c>
      <c r="AU20" s="36">
        <f t="shared" si="49"/>
        <v>306.58915453131016</v>
      </c>
      <c r="AV20" s="36">
        <f t="shared" si="49"/>
        <v>349.63806704225226</v>
      </c>
      <c r="AW20" s="36">
        <f t="shared" si="60"/>
        <v>179158.5851</v>
      </c>
      <c r="AX20" s="36">
        <f t="shared" si="61"/>
        <v>210603.72905000002</v>
      </c>
      <c r="AY20" s="36">
        <f t="shared" si="62"/>
        <v>242048.87300000002</v>
      </c>
      <c r="AZ20" s="36">
        <f t="shared" si="63"/>
        <v>548240.20500739431</v>
      </c>
      <c r="BA20" s="36">
        <f t="shared" si="63"/>
        <v>637795.37026268756</v>
      </c>
      <c r="BB20" s="36">
        <f t="shared" si="63"/>
        <v>727350.53551798081</v>
      </c>
      <c r="BC20" s="36">
        <f t="shared" si="50"/>
        <v>263.57702163817032</v>
      </c>
      <c r="BD20" s="36">
        <f t="shared" si="50"/>
        <v>306.63238954936901</v>
      </c>
      <c r="BE20" s="36">
        <f t="shared" si="50"/>
        <v>349.6877574605677</v>
      </c>
      <c r="BF20" s="36">
        <f t="shared" si="64"/>
        <v>179185.44679999998</v>
      </c>
      <c r="BG20" s="36">
        <f t="shared" si="65"/>
        <v>210635.30539999998</v>
      </c>
      <c r="BH20" s="36">
        <f t="shared" si="66"/>
        <v>242085.16399999999</v>
      </c>
      <c r="BI20" s="36">
        <f t="shared" si="67"/>
        <v>548316.70661242306</v>
      </c>
      <c r="BJ20" s="36">
        <f t="shared" si="67"/>
        <v>637885.29910025001</v>
      </c>
      <c r="BK20" s="36">
        <f t="shared" si="67"/>
        <v>727453.89158807695</v>
      </c>
      <c r="BL20" s="36">
        <f t="shared" si="51"/>
        <v>263.61380125597259</v>
      </c>
      <c r="BM20" s="36">
        <f t="shared" si="51"/>
        <v>306.67562456742792</v>
      </c>
      <c r="BN20" s="36">
        <f t="shared" si="51"/>
        <v>349.73744787888313</v>
      </c>
    </row>
    <row r="21" spans="1:66" x14ac:dyDescent="0.2">
      <c r="R21" s="23"/>
      <c r="U21" s="8"/>
      <c r="V21" s="36"/>
      <c r="W21" s="36"/>
      <c r="X21" s="36"/>
      <c r="Y21" s="36"/>
      <c r="Z21" s="36"/>
      <c r="AA21" s="36"/>
      <c r="AB21" s="36"/>
      <c r="AC21" s="36"/>
      <c r="AD21" s="36"/>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row>
    <row r="22" spans="1:66" x14ac:dyDescent="0.2">
      <c r="A22" s="4" t="s">
        <v>82</v>
      </c>
      <c r="B22" s="19" t="s">
        <v>33</v>
      </c>
      <c r="C22" s="20" t="s">
        <v>34</v>
      </c>
      <c r="D22" s="4" t="s">
        <v>83</v>
      </c>
      <c r="I22" s="5">
        <v>2022</v>
      </c>
      <c r="J22" s="11">
        <v>0.1275</v>
      </c>
      <c r="K22" s="32">
        <v>36.25</v>
      </c>
      <c r="L22" s="8">
        <v>1</v>
      </c>
      <c r="M22" s="8">
        <v>0.1</v>
      </c>
      <c r="N22" s="8">
        <v>3.5000000000000003E-2</v>
      </c>
      <c r="O22" s="27">
        <v>0</v>
      </c>
      <c r="P22" s="8">
        <v>0</v>
      </c>
      <c r="Q22" s="8">
        <v>4.5999999999999999E-2</v>
      </c>
      <c r="R22" s="23">
        <v>1826</v>
      </c>
      <c r="S22" s="9">
        <v>4</v>
      </c>
      <c r="T22" s="8">
        <v>0</v>
      </c>
      <c r="U22" s="8">
        <v>1.4999999999999999E-2</v>
      </c>
      <c r="V22" s="36">
        <v>48552</v>
      </c>
      <c r="W22" s="36">
        <f>V22+((X22-V22)/2)</f>
        <v>70196</v>
      </c>
      <c r="X22" s="36">
        <v>91840</v>
      </c>
      <c r="Y22" s="36">
        <f t="shared" ref="Y22:AA26" si="68">(V22+(V22*$J22)+(V22*$M22)+(V22*$N22)+(V22*$O22)+(V22*$P22)+(V22*$Q22)+($R22)+(V22*((52+$S22)/52))*(1+$T22))*1/$L22</f>
        <v>117643.06123076922</v>
      </c>
      <c r="Z22" s="36">
        <f t="shared" si="68"/>
        <v>169273.15830769233</v>
      </c>
      <c r="AA22" s="36">
        <f t="shared" si="68"/>
        <v>220903.25538461539</v>
      </c>
      <c r="AB22" s="36">
        <f t="shared" si="29"/>
        <v>62.410112058763517</v>
      </c>
      <c r="AC22" s="36">
        <f t="shared" si="29"/>
        <v>89.800083982860656</v>
      </c>
      <c r="AD22" s="36">
        <f t="shared" si="29"/>
        <v>117.19005590695778</v>
      </c>
      <c r="AE22" s="36">
        <f>($V22*(1+(($U22/100)*1)))</f>
        <v>48559.282800000008</v>
      </c>
      <c r="AF22" s="36">
        <f>($W22*(1+(($U22/100)*1)))</f>
        <v>70206.529399999999</v>
      </c>
      <c r="AG22" s="36">
        <f>($X22*(1+(($U22/100)*1)))</f>
        <v>91853.776000000013</v>
      </c>
      <c r="AH22" s="36">
        <f>(AE22+(AE22*$J22)+(AE22*$M22)+(AE22*$N22)+(AE22*$O22)+(AE22*$P22)+(AE22*$Q22)+($R22)+(AE22*((52+$S22)/52))*(1+$T22))*1/$L22</f>
        <v>117660.43378995387</v>
      </c>
      <c r="AI22" s="36">
        <f>(AF22+(AF22*$J22)+(AF22*$M22)+(AF22*$N22)+(AF22*$O22)+(AF22*$P22)+(AF22*$Q22)+($R22)+(AF22*((52+$S22)/52))*(1+$T22))*1/$L22</f>
        <v>169298.27538143846</v>
      </c>
      <c r="AJ22" s="36">
        <f>(AG22+(AG22*$J22)+(AG22*$M22)+(AG22*$N22)+(AG22*$O22)+(AG22*$P22)+(AG22*$Q22)+($R22)+(AG22*((52+$S22)/52))*(1+$T22))*1/$L22</f>
        <v>220936.1169729231</v>
      </c>
      <c r="AK22" s="36">
        <f t="shared" ref="AK22:AM26" si="69">AH22/52/$K22</f>
        <v>62.419328270532546</v>
      </c>
      <c r="AL22" s="36">
        <f t="shared" si="69"/>
        <v>89.813408690418285</v>
      </c>
      <c r="AM22" s="36">
        <f t="shared" si="69"/>
        <v>117.20748911030404</v>
      </c>
      <c r="AN22" s="36">
        <f>($V22*(1+(($U22/100)*2)))</f>
        <v>48566.565600000002</v>
      </c>
      <c r="AO22" s="36">
        <f>($W22*(1+(($U22/100)*2)))</f>
        <v>70217.058799999999</v>
      </c>
      <c r="AP22" s="36">
        <f>($X22*(1+(($U22/100)*2)))</f>
        <v>91867.551999999996</v>
      </c>
      <c r="AQ22" s="36">
        <f>(AN22+(AN22*$J22)+(AN22*$M22)+(AN22*$N22)+(AN22*$O22)+(AN22*$P22)+(AN22*$Q22)+($R22)+(AN22*((52+$S22)/52))*(1+$T22))*1/$L22</f>
        <v>117677.80634913847</v>
      </c>
      <c r="AR22" s="36">
        <f>(AO22+(AO22*$J22)+(AO22*$M22)+(AO22*$N22)+(AO22*$O22)+(AO22*$P22)+(AO22*$Q22)+($R22)+(AO22*((52+$S22)/52))*(1+$T22))*1/$L22</f>
        <v>169323.3924551846</v>
      </c>
      <c r="AS22" s="36">
        <f>(AP22+(AP22*$J22)+(AP22*$M22)+(AP22*$N22)+(AP22*$O22)+(AP22*$P22)+(AP22*$Q22)+($R22)+(AP22*((52+$S22)/52))*(1+$T22))*1/$L22</f>
        <v>220968.97856123076</v>
      </c>
      <c r="AT22" s="36">
        <f t="shared" ref="AT22:AV26" si="70">AQ22/52/$K22</f>
        <v>62.428544482301568</v>
      </c>
      <c r="AU22" s="36">
        <f t="shared" si="70"/>
        <v>89.826733397975914</v>
      </c>
      <c r="AV22" s="36">
        <f t="shared" si="70"/>
        <v>117.22492231365027</v>
      </c>
      <c r="AW22" s="36">
        <f>($V22*(1+(($U22/100)*3)))</f>
        <v>48573.848400000003</v>
      </c>
      <c r="AX22" s="36">
        <f>($W22*(1+(($U22/100)*3)))</f>
        <v>70227.588199999998</v>
      </c>
      <c r="AY22" s="36">
        <f>($X22*(1+(($U22/100)*3)))</f>
        <v>91881.328000000009</v>
      </c>
      <c r="AZ22" s="36">
        <f>(AW22+(AW22*$J22)+(AW22*$M22)+(AW22*$N22)+(AW22*$O22)+(AW22*$P22)+(AW22*$Q22)+($R22)+(AW22*((52+$S22)/52))*(1+$T22))*1/$L22</f>
        <v>117695.17890832308</v>
      </c>
      <c r="BA22" s="36">
        <f>(AX22+(AX22*$J22)+(AX22*$M22)+(AX22*$N22)+(AX22*$O22)+(AX22*$P22)+(AX22*$Q22)+($R22)+(AX22*((52+$S22)/52))*(1+$T22))*1/$L22</f>
        <v>169348.50952893076</v>
      </c>
      <c r="BB22" s="36">
        <f>(AY22+(AY22*$J22)+(AY22*$M22)+(AY22*$N22)+(AY22*$O22)+(AY22*$P22)+(AY22*$Q22)+($R22)+(AY22*((52+$S22)/52))*(1+$T22))*1/$L22</f>
        <v>221001.84014953848</v>
      </c>
      <c r="BC22" s="36">
        <f t="shared" ref="BC22:BE26" si="71">AZ22/52/$K22</f>
        <v>62.437760694070597</v>
      </c>
      <c r="BD22" s="36">
        <f t="shared" si="71"/>
        <v>89.840058105533558</v>
      </c>
      <c r="BE22" s="36">
        <f t="shared" si="71"/>
        <v>117.24235551699654</v>
      </c>
      <c r="BF22" s="36">
        <f>($V22*(1+(($U22/100)*4)))</f>
        <v>48581.131199999996</v>
      </c>
      <c r="BG22" s="36">
        <f>($W22*(1+(($U22/100)*4)))</f>
        <v>70238.117599999998</v>
      </c>
      <c r="BH22" s="36">
        <f>($X22*(1+(($U22/100)*4)))</f>
        <v>91895.103999999992</v>
      </c>
      <c r="BI22" s="36">
        <f>(BF22+(BF22*$J22)+(BF22*$M22)+(BF22*$N22)+(BF22*$O22)+(BF22*$P22)+(BF22*$Q22)+($R22)+(BF22*((52+$S22)/52))*(1+$T22))*1/$L22</f>
        <v>117712.55146750768</v>
      </c>
      <c r="BJ22" s="36">
        <f>(BG22+(BG22*$J22)+(BG22*$M22)+(BG22*$N22)+(BG22*$O22)+(BG22*$P22)+(BG22*$Q22)+($R22)+(BG22*((52+$S22)/52))*(1+$T22))*1/$L22</f>
        <v>169373.6266026769</v>
      </c>
      <c r="BK22" s="36">
        <f>(BH22+(BH22*$J22)+(BH22*$M22)+(BH22*$N22)+(BH22*$O22)+(BH22*$P22)+(BH22*$Q22)+($R22)+(BH22*((52+$S22)/52))*(1+$T22))*1/$L22</f>
        <v>221034.70173784613</v>
      </c>
      <c r="BL22" s="36">
        <f t="shared" ref="BL22:BN26" si="72">BI22/52/$K22</f>
        <v>62.44697690583962</v>
      </c>
      <c r="BM22" s="36">
        <f t="shared" si="72"/>
        <v>89.853382813091187</v>
      </c>
      <c r="BN22" s="36">
        <f t="shared" si="72"/>
        <v>117.25978872034278</v>
      </c>
    </row>
    <row r="23" spans="1:66" x14ac:dyDescent="0.2">
      <c r="A23" s="4" t="s">
        <v>82</v>
      </c>
      <c r="B23" s="19" t="s">
        <v>40</v>
      </c>
      <c r="C23" s="20" t="s">
        <v>41</v>
      </c>
      <c r="D23" s="4" t="s">
        <v>83</v>
      </c>
      <c r="E23" s="21" t="s">
        <v>84</v>
      </c>
      <c r="I23" s="5">
        <v>2022</v>
      </c>
      <c r="J23" s="11">
        <v>0.1275</v>
      </c>
      <c r="K23" s="32">
        <v>36.25</v>
      </c>
      <c r="L23" s="8">
        <v>1</v>
      </c>
      <c r="M23" s="8">
        <v>0.1</v>
      </c>
      <c r="N23" s="8">
        <v>3.5000000000000003E-2</v>
      </c>
      <c r="O23" s="27">
        <v>0</v>
      </c>
      <c r="P23" s="8">
        <v>0</v>
      </c>
      <c r="Q23" s="8">
        <v>4.5999999999999999E-2</v>
      </c>
      <c r="R23" s="23">
        <v>1826</v>
      </c>
      <c r="S23" s="9">
        <v>4</v>
      </c>
      <c r="T23" s="8">
        <v>0</v>
      </c>
      <c r="U23" s="8">
        <v>1.4999999999999999E-2</v>
      </c>
      <c r="V23" s="36">
        <v>69031</v>
      </c>
      <c r="W23" s="36">
        <f>V23+((X23-V23)/2)</f>
        <v>104303.5</v>
      </c>
      <c r="X23" s="36">
        <v>139576</v>
      </c>
      <c r="Y23" s="36">
        <f t="shared" si="68"/>
        <v>166494.14042307693</v>
      </c>
      <c r="Z23" s="36">
        <f t="shared" si="68"/>
        <v>250633.97590384615</v>
      </c>
      <c r="AA23" s="36">
        <f t="shared" si="68"/>
        <v>334773.81138461537</v>
      </c>
      <c r="AB23" s="36">
        <f t="shared" si="29"/>
        <v>88.325803937971841</v>
      </c>
      <c r="AC23" s="36">
        <f t="shared" si="29"/>
        <v>132.96232143440113</v>
      </c>
      <c r="AD23" s="36">
        <f t="shared" si="29"/>
        <v>177.59883893083045</v>
      </c>
      <c r="AE23" s="36">
        <f t="shared" ref="AE23:AE26" si="73">($V23*(1+(($U23/100)*1)))</f>
        <v>69041.354650000008</v>
      </c>
      <c r="AF23" s="36">
        <f t="shared" ref="AF23:AF26" si="74">($W23*(1+(($U23/100)*1)))</f>
        <v>104319.14552500001</v>
      </c>
      <c r="AG23" s="36">
        <f t="shared" ref="AG23:AG26" si="75">($X23*(1+(($U23/100)*1)))</f>
        <v>139596.93640000001</v>
      </c>
      <c r="AH23" s="36">
        <f t="shared" ref="AH23:AJ26" si="76">(AE23+(AE23*$J23)+(AE23*$M23)+(AE23*$N23)+(AE23*$O23)+(AE23*$P23)+(AE23*$Q23)+($R23)+(AE23*((52+$S23)/52))*(1+$T23))*1/$L23</f>
        <v>166518.84064414041</v>
      </c>
      <c r="AI23" s="36">
        <f t="shared" si="76"/>
        <v>250671.29710023175</v>
      </c>
      <c r="AJ23" s="36">
        <f t="shared" si="76"/>
        <v>334823.75355632312</v>
      </c>
      <c r="AK23" s="36">
        <f t="shared" si="69"/>
        <v>88.338907503522762</v>
      </c>
      <c r="AL23" s="36">
        <f t="shared" si="69"/>
        <v>132.98212047757653</v>
      </c>
      <c r="AM23" s="36">
        <f t="shared" si="69"/>
        <v>177.6253334516303</v>
      </c>
      <c r="AN23" s="36">
        <f t="shared" ref="AN23:AN26" si="77">($V23*(1+(($U23/100)*2)))</f>
        <v>69051.709300000002</v>
      </c>
      <c r="AO23" s="36">
        <f t="shared" ref="AO23:AO26" si="78">($W23*(1+(($U23/100)*2)))</f>
        <v>104334.79105</v>
      </c>
      <c r="AP23" s="36">
        <f t="shared" ref="AP23:AP26" si="79">($X23*(1+(($U23/100)*2)))</f>
        <v>139617.87279999998</v>
      </c>
      <c r="AQ23" s="36">
        <f t="shared" ref="AQ23:AS26" si="80">(AN23+(AN23*$J23)+(AN23*$M23)+(AN23*$N23)+(AN23*$O23)+(AN23*$P23)+(AN23*$Q23)+($R23)+(AN23*((52+$S23)/52))*(1+$T23))*1/$L23</f>
        <v>166543.54086520386</v>
      </c>
      <c r="AR23" s="36">
        <f t="shared" si="80"/>
        <v>250708.61829661735</v>
      </c>
      <c r="AS23" s="36">
        <f t="shared" si="80"/>
        <v>334873.69572803075</v>
      </c>
      <c r="AT23" s="36">
        <f t="shared" si="70"/>
        <v>88.352011069073669</v>
      </c>
      <c r="AU23" s="36">
        <f t="shared" si="70"/>
        <v>133.0019195207519</v>
      </c>
      <c r="AV23" s="36">
        <f t="shared" si="70"/>
        <v>177.65182797243011</v>
      </c>
      <c r="AW23" s="36">
        <f t="shared" ref="AW23:AW26" si="81">($V23*(1+(($U23/100)*3)))</f>
        <v>69062.063950000011</v>
      </c>
      <c r="AX23" s="36">
        <f t="shared" ref="AX23:AX26" si="82">($W23*(1+(($U23/100)*3)))</f>
        <v>104350.436575</v>
      </c>
      <c r="AY23" s="36">
        <f t="shared" ref="AY23:AY26" si="83">($X23*(1+(($U23/100)*3)))</f>
        <v>139638.80920000002</v>
      </c>
      <c r="AZ23" s="36">
        <f t="shared" ref="AZ23:BB26" si="84">(AW23+(AW23*$J23)+(AW23*$M23)+(AW23*$N23)+(AW23*$O23)+(AW23*$P23)+(AW23*$Q23)+($R23)+(AW23*((52+$S23)/52))*(1+$T23))*1/$L23</f>
        <v>166568.24108626734</v>
      </c>
      <c r="BA23" s="36">
        <f t="shared" si="84"/>
        <v>250745.93949300289</v>
      </c>
      <c r="BB23" s="36">
        <f t="shared" si="84"/>
        <v>334923.6378997385</v>
      </c>
      <c r="BC23" s="36">
        <f t="shared" si="71"/>
        <v>88.365114634624575</v>
      </c>
      <c r="BD23" s="36">
        <f t="shared" si="71"/>
        <v>133.02171856392727</v>
      </c>
      <c r="BE23" s="36">
        <f t="shared" si="71"/>
        <v>177.67832249322996</v>
      </c>
      <c r="BF23" s="36">
        <f t="shared" ref="BF23:BF26" si="85">($V23*(1+(($U23/100)*4)))</f>
        <v>69072.41859999999</v>
      </c>
      <c r="BG23" s="36">
        <f t="shared" ref="BG23:BG26" si="86">($W23*(1+(($U23/100)*4)))</f>
        <v>104366.0821</v>
      </c>
      <c r="BH23" s="36">
        <f t="shared" ref="BH23:BH26" si="87">($X23*(1+(($U23/100)*4)))</f>
        <v>139659.74559999999</v>
      </c>
      <c r="BI23" s="36">
        <f t="shared" ref="BI23:BK26" si="88">(BF23+(BF23*$J23)+(BF23*$M23)+(BF23*$N23)+(BF23*$O23)+(BF23*$P23)+(BF23*$Q23)+($R23)+(BF23*((52+$S23)/52))*(1+$T23))*1/$L23</f>
        <v>166592.94130733074</v>
      </c>
      <c r="BJ23" s="36">
        <f t="shared" si="88"/>
        <v>250783.26068938847</v>
      </c>
      <c r="BK23" s="36">
        <f t="shared" si="88"/>
        <v>334973.58007144614</v>
      </c>
      <c r="BL23" s="36">
        <f t="shared" si="72"/>
        <v>88.378218200175453</v>
      </c>
      <c r="BM23" s="36">
        <f t="shared" si="72"/>
        <v>133.04151760710263</v>
      </c>
      <c r="BN23" s="36">
        <f t="shared" si="72"/>
        <v>177.7048170140298</v>
      </c>
    </row>
    <row r="24" spans="1:66" x14ac:dyDescent="0.2">
      <c r="A24" s="4" t="s">
        <v>82</v>
      </c>
      <c r="B24" s="19" t="s">
        <v>47</v>
      </c>
      <c r="C24" s="20" t="s">
        <v>48</v>
      </c>
      <c r="D24" s="4" t="s">
        <v>83</v>
      </c>
      <c r="I24" s="5">
        <v>2022</v>
      </c>
      <c r="J24" s="11">
        <v>0.1275</v>
      </c>
      <c r="K24" s="32">
        <v>36.25</v>
      </c>
      <c r="L24" s="8">
        <v>1</v>
      </c>
      <c r="M24" s="8">
        <v>0.1</v>
      </c>
      <c r="N24" s="8">
        <v>3.5000000000000003E-2</v>
      </c>
      <c r="O24" s="27">
        <v>0</v>
      </c>
      <c r="P24" s="8">
        <v>0</v>
      </c>
      <c r="Q24" s="8">
        <v>4.5999999999999999E-2</v>
      </c>
      <c r="R24" s="23">
        <v>1826</v>
      </c>
      <c r="S24" s="9">
        <v>4</v>
      </c>
      <c r="T24" s="8">
        <v>0</v>
      </c>
      <c r="U24" s="8">
        <v>1.4999999999999999E-2</v>
      </c>
      <c r="V24" s="36">
        <v>47704</v>
      </c>
      <c r="W24" s="36">
        <f>V24+((X24-V24)/2)</f>
        <v>63802.5</v>
      </c>
      <c r="X24" s="36">
        <v>79901</v>
      </c>
      <c r="Y24" s="36">
        <f t="shared" si="68"/>
        <v>115620.22246153846</v>
      </c>
      <c r="Z24" s="36">
        <f t="shared" si="68"/>
        <v>154021.9558653846</v>
      </c>
      <c r="AA24" s="36">
        <f t="shared" si="68"/>
        <v>192423.68926923076</v>
      </c>
      <c r="AB24" s="36">
        <f t="shared" si="29"/>
        <v>61.336988043256483</v>
      </c>
      <c r="AC24" s="36">
        <f t="shared" si="29"/>
        <v>81.709260406039576</v>
      </c>
      <c r="AD24" s="36">
        <f t="shared" si="29"/>
        <v>102.08153276882268</v>
      </c>
      <c r="AE24" s="36">
        <f t="shared" si="73"/>
        <v>47711.155600000006</v>
      </c>
      <c r="AF24" s="36">
        <f t="shared" si="74"/>
        <v>63812.070375000003</v>
      </c>
      <c r="AG24" s="36">
        <f t="shared" si="75"/>
        <v>79912.985150000008</v>
      </c>
      <c r="AH24" s="36">
        <f t="shared" si="76"/>
        <v>115637.2915949077</v>
      </c>
      <c r="AI24" s="36">
        <f t="shared" si="76"/>
        <v>154044.7852587644</v>
      </c>
      <c r="AJ24" s="36">
        <f t="shared" si="76"/>
        <v>192452.27892262116</v>
      </c>
      <c r="AK24" s="36">
        <f t="shared" si="69"/>
        <v>61.346043286423182</v>
      </c>
      <c r="AL24" s="36">
        <f t="shared" si="69"/>
        <v>81.72137149006069</v>
      </c>
      <c r="AM24" s="36">
        <f t="shared" si="69"/>
        <v>102.09669969369824</v>
      </c>
      <c r="AN24" s="36">
        <f t="shared" si="77"/>
        <v>47718.311199999996</v>
      </c>
      <c r="AO24" s="36">
        <f t="shared" si="78"/>
        <v>63821.640749999999</v>
      </c>
      <c r="AP24" s="36">
        <f t="shared" si="79"/>
        <v>79924.970300000001</v>
      </c>
      <c r="AQ24" s="36">
        <f t="shared" si="80"/>
        <v>115654.36072827692</v>
      </c>
      <c r="AR24" s="36">
        <f t="shared" si="80"/>
        <v>154067.61465214423</v>
      </c>
      <c r="AS24" s="36">
        <f t="shared" si="80"/>
        <v>192480.86857601153</v>
      </c>
      <c r="AT24" s="36">
        <f t="shared" si="70"/>
        <v>61.355098529589881</v>
      </c>
      <c r="AU24" s="36">
        <f t="shared" si="70"/>
        <v>81.733482574081819</v>
      </c>
      <c r="AV24" s="36">
        <f t="shared" si="70"/>
        <v>102.11186661857376</v>
      </c>
      <c r="AW24" s="36">
        <f t="shared" si="81"/>
        <v>47725.466800000002</v>
      </c>
      <c r="AX24" s="36">
        <f t="shared" si="82"/>
        <v>63831.211125000002</v>
      </c>
      <c r="AY24" s="36">
        <f t="shared" si="83"/>
        <v>79936.955450000009</v>
      </c>
      <c r="AZ24" s="36">
        <f t="shared" si="84"/>
        <v>115671.42986164615</v>
      </c>
      <c r="BA24" s="36">
        <f t="shared" si="84"/>
        <v>154090.44404552405</v>
      </c>
      <c r="BB24" s="36">
        <f t="shared" si="84"/>
        <v>192509.45822940191</v>
      </c>
      <c r="BC24" s="36">
        <f t="shared" si="71"/>
        <v>61.36415377275658</v>
      </c>
      <c r="BD24" s="36">
        <f t="shared" si="71"/>
        <v>81.745593658102948</v>
      </c>
      <c r="BE24" s="36">
        <f t="shared" si="71"/>
        <v>102.12703354344929</v>
      </c>
      <c r="BF24" s="36">
        <f t="shared" si="85"/>
        <v>47732.6224</v>
      </c>
      <c r="BG24" s="36">
        <f t="shared" si="86"/>
        <v>63840.781499999997</v>
      </c>
      <c r="BH24" s="36">
        <f t="shared" si="87"/>
        <v>79948.940600000002</v>
      </c>
      <c r="BI24" s="36">
        <f t="shared" si="88"/>
        <v>115688.49899501537</v>
      </c>
      <c r="BJ24" s="36">
        <f t="shared" si="88"/>
        <v>154113.27343890385</v>
      </c>
      <c r="BK24" s="36">
        <f t="shared" si="88"/>
        <v>192538.04788279231</v>
      </c>
      <c r="BL24" s="36">
        <f t="shared" si="72"/>
        <v>61.37320901592328</v>
      </c>
      <c r="BM24" s="36">
        <f t="shared" si="72"/>
        <v>81.757704742124048</v>
      </c>
      <c r="BN24" s="36">
        <f t="shared" si="72"/>
        <v>102.14220046832483</v>
      </c>
    </row>
    <row r="25" spans="1:66" x14ac:dyDescent="0.2">
      <c r="A25" s="4" t="s">
        <v>82</v>
      </c>
      <c r="B25" s="19" t="s">
        <v>50</v>
      </c>
      <c r="C25" s="20" t="s">
        <v>51</v>
      </c>
      <c r="D25" s="4" t="s">
        <v>83</v>
      </c>
      <c r="I25" s="5">
        <v>2022</v>
      </c>
      <c r="J25" s="11">
        <v>0.1275</v>
      </c>
      <c r="K25" s="32">
        <v>36.25</v>
      </c>
      <c r="L25" s="8">
        <v>1</v>
      </c>
      <c r="M25" s="8">
        <v>0.1</v>
      </c>
      <c r="N25" s="8">
        <v>3.5000000000000003E-2</v>
      </c>
      <c r="O25" s="27">
        <v>0</v>
      </c>
      <c r="P25" s="8">
        <v>0</v>
      </c>
      <c r="Q25" s="8">
        <v>4.5999999999999999E-2</v>
      </c>
      <c r="R25" s="23">
        <v>1826</v>
      </c>
      <c r="S25" s="9">
        <v>4</v>
      </c>
      <c r="T25" s="8">
        <v>0</v>
      </c>
      <c r="U25" s="8">
        <v>1.4999999999999999E-2</v>
      </c>
      <c r="V25" s="36">
        <v>69031</v>
      </c>
      <c r="W25" s="36">
        <f>V25+((X25-V25)/2)</f>
        <v>104303.5</v>
      </c>
      <c r="X25" s="36">
        <v>139576</v>
      </c>
      <c r="Y25" s="36">
        <f t="shared" si="68"/>
        <v>166494.14042307693</v>
      </c>
      <c r="Z25" s="36">
        <f t="shared" si="68"/>
        <v>250633.97590384615</v>
      </c>
      <c r="AA25" s="36">
        <f t="shared" si="68"/>
        <v>334773.81138461537</v>
      </c>
      <c r="AB25" s="36">
        <f t="shared" si="29"/>
        <v>88.325803937971841</v>
      </c>
      <c r="AC25" s="36">
        <f t="shared" si="29"/>
        <v>132.96232143440113</v>
      </c>
      <c r="AD25" s="36">
        <f t="shared" si="29"/>
        <v>177.59883893083045</v>
      </c>
      <c r="AE25" s="36">
        <f t="shared" si="73"/>
        <v>69041.354650000008</v>
      </c>
      <c r="AF25" s="36">
        <f t="shared" si="74"/>
        <v>104319.14552500001</v>
      </c>
      <c r="AG25" s="36">
        <f t="shared" si="75"/>
        <v>139596.93640000001</v>
      </c>
      <c r="AH25" s="36">
        <f t="shared" si="76"/>
        <v>166518.84064414041</v>
      </c>
      <c r="AI25" s="36">
        <f t="shared" si="76"/>
        <v>250671.29710023175</v>
      </c>
      <c r="AJ25" s="36">
        <f t="shared" si="76"/>
        <v>334823.75355632312</v>
      </c>
      <c r="AK25" s="36">
        <f t="shared" si="69"/>
        <v>88.338907503522762</v>
      </c>
      <c r="AL25" s="36">
        <f t="shared" si="69"/>
        <v>132.98212047757653</v>
      </c>
      <c r="AM25" s="36">
        <f t="shared" si="69"/>
        <v>177.6253334516303</v>
      </c>
      <c r="AN25" s="36">
        <f t="shared" si="77"/>
        <v>69051.709300000002</v>
      </c>
      <c r="AO25" s="36">
        <f t="shared" si="78"/>
        <v>104334.79105</v>
      </c>
      <c r="AP25" s="36">
        <f t="shared" si="79"/>
        <v>139617.87279999998</v>
      </c>
      <c r="AQ25" s="36">
        <f t="shared" si="80"/>
        <v>166543.54086520386</v>
      </c>
      <c r="AR25" s="36">
        <f t="shared" si="80"/>
        <v>250708.61829661735</v>
      </c>
      <c r="AS25" s="36">
        <f t="shared" si="80"/>
        <v>334873.69572803075</v>
      </c>
      <c r="AT25" s="36">
        <f t="shared" si="70"/>
        <v>88.352011069073669</v>
      </c>
      <c r="AU25" s="36">
        <f t="shared" si="70"/>
        <v>133.0019195207519</v>
      </c>
      <c r="AV25" s="36">
        <f t="shared" si="70"/>
        <v>177.65182797243011</v>
      </c>
      <c r="AW25" s="36">
        <f t="shared" si="81"/>
        <v>69062.063950000011</v>
      </c>
      <c r="AX25" s="36">
        <f t="shared" si="82"/>
        <v>104350.436575</v>
      </c>
      <c r="AY25" s="36">
        <f t="shared" si="83"/>
        <v>139638.80920000002</v>
      </c>
      <c r="AZ25" s="36">
        <f t="shared" si="84"/>
        <v>166568.24108626734</v>
      </c>
      <c r="BA25" s="36">
        <f t="shared" si="84"/>
        <v>250745.93949300289</v>
      </c>
      <c r="BB25" s="36">
        <f t="shared" si="84"/>
        <v>334923.6378997385</v>
      </c>
      <c r="BC25" s="36">
        <f t="shared" si="71"/>
        <v>88.365114634624575</v>
      </c>
      <c r="BD25" s="36">
        <f t="shared" si="71"/>
        <v>133.02171856392727</v>
      </c>
      <c r="BE25" s="36">
        <f t="shared" si="71"/>
        <v>177.67832249322996</v>
      </c>
      <c r="BF25" s="36">
        <f t="shared" si="85"/>
        <v>69072.41859999999</v>
      </c>
      <c r="BG25" s="36">
        <f t="shared" si="86"/>
        <v>104366.0821</v>
      </c>
      <c r="BH25" s="36">
        <f t="shared" si="87"/>
        <v>139659.74559999999</v>
      </c>
      <c r="BI25" s="36">
        <f t="shared" si="88"/>
        <v>166592.94130733074</v>
      </c>
      <c r="BJ25" s="36">
        <f t="shared" si="88"/>
        <v>250783.26068938847</v>
      </c>
      <c r="BK25" s="36">
        <f t="shared" si="88"/>
        <v>334973.58007144614</v>
      </c>
      <c r="BL25" s="36">
        <f t="shared" si="72"/>
        <v>88.378218200175453</v>
      </c>
      <c r="BM25" s="36">
        <f t="shared" si="72"/>
        <v>133.04151760710263</v>
      </c>
      <c r="BN25" s="36">
        <f t="shared" si="72"/>
        <v>177.7048170140298</v>
      </c>
    </row>
    <row r="26" spans="1:66" x14ac:dyDescent="0.2">
      <c r="A26" s="4" t="s">
        <v>82</v>
      </c>
      <c r="B26" s="19" t="s">
        <v>55</v>
      </c>
      <c r="C26" s="20" t="s">
        <v>56</v>
      </c>
      <c r="D26" s="4" t="s">
        <v>85</v>
      </c>
      <c r="E26" s="21" t="s">
        <v>86</v>
      </c>
      <c r="H26" s="5" t="s">
        <v>87</v>
      </c>
      <c r="I26" s="5">
        <v>2022</v>
      </c>
      <c r="J26" s="11">
        <v>0.1275</v>
      </c>
      <c r="K26" s="32">
        <v>38</v>
      </c>
      <c r="L26" s="8">
        <v>1</v>
      </c>
      <c r="M26" s="8">
        <v>0</v>
      </c>
      <c r="N26" s="8">
        <v>3.5000000000000003E-2</v>
      </c>
      <c r="O26" s="27">
        <v>0</v>
      </c>
      <c r="P26" s="8">
        <v>0.5</v>
      </c>
      <c r="Q26" s="8">
        <v>4.5999999999999999E-2</v>
      </c>
      <c r="R26" s="23">
        <v>21500</v>
      </c>
      <c r="S26" s="9">
        <v>4</v>
      </c>
      <c r="T26" s="8">
        <v>0</v>
      </c>
      <c r="U26" s="8">
        <v>1.4999999999999999E-2</v>
      </c>
      <c r="V26" s="36">
        <v>189406</v>
      </c>
      <c r="W26" s="36">
        <f>V26+((X26-V26)/2)</f>
        <v>225748</v>
      </c>
      <c r="X26" s="36">
        <v>262090</v>
      </c>
      <c r="Y26" s="36">
        <f t="shared" si="68"/>
        <v>549075.84330769232</v>
      </c>
      <c r="Z26" s="36">
        <f t="shared" si="68"/>
        <v>650303.68876923074</v>
      </c>
      <c r="AA26" s="36">
        <f t="shared" si="68"/>
        <v>751531.53423076915</v>
      </c>
      <c r="AB26" s="36">
        <f t="shared" si="29"/>
        <v>277.87239033790098</v>
      </c>
      <c r="AC26" s="36">
        <f t="shared" si="29"/>
        <v>329.10105706944876</v>
      </c>
      <c r="AD26" s="36">
        <f t="shared" si="29"/>
        <v>380.32972380099653</v>
      </c>
      <c r="AE26" s="36">
        <f t="shared" si="73"/>
        <v>189434.41090000002</v>
      </c>
      <c r="AF26" s="36">
        <f t="shared" si="74"/>
        <v>225781.86220000003</v>
      </c>
      <c r="AG26" s="36">
        <f t="shared" si="75"/>
        <v>262129.31350000002</v>
      </c>
      <c r="AH26" s="36">
        <f t="shared" si="76"/>
        <v>549154.9796841885</v>
      </c>
      <c r="AI26" s="36">
        <f t="shared" si="76"/>
        <v>650398.00932254619</v>
      </c>
      <c r="AJ26" s="36">
        <f t="shared" si="76"/>
        <v>751641.03896090388</v>
      </c>
      <c r="AK26" s="36">
        <f t="shared" si="69"/>
        <v>277.91243911143147</v>
      </c>
      <c r="AL26" s="36">
        <f t="shared" si="69"/>
        <v>329.14879014298896</v>
      </c>
      <c r="AM26" s="36">
        <f t="shared" si="69"/>
        <v>380.3851411745465</v>
      </c>
      <c r="AN26" s="36">
        <f t="shared" si="77"/>
        <v>189462.82180000001</v>
      </c>
      <c r="AO26" s="36">
        <f t="shared" si="78"/>
        <v>225815.72440000001</v>
      </c>
      <c r="AP26" s="36">
        <f t="shared" si="79"/>
        <v>262168.62699999998</v>
      </c>
      <c r="AQ26" s="36">
        <f t="shared" si="80"/>
        <v>549234.11606068455</v>
      </c>
      <c r="AR26" s="36">
        <f t="shared" si="80"/>
        <v>650492.32987586153</v>
      </c>
      <c r="AS26" s="36">
        <f t="shared" si="80"/>
        <v>751750.54369103839</v>
      </c>
      <c r="AT26" s="36">
        <f t="shared" si="70"/>
        <v>277.95248788496178</v>
      </c>
      <c r="AU26" s="36">
        <f t="shared" si="70"/>
        <v>329.1965232165291</v>
      </c>
      <c r="AV26" s="36">
        <f t="shared" si="70"/>
        <v>380.44055854809636</v>
      </c>
      <c r="AW26" s="36">
        <f t="shared" si="81"/>
        <v>189491.23270000002</v>
      </c>
      <c r="AX26" s="36">
        <f t="shared" si="82"/>
        <v>225849.58660000001</v>
      </c>
      <c r="AY26" s="36">
        <f t="shared" si="83"/>
        <v>262207.94050000003</v>
      </c>
      <c r="AZ26" s="36">
        <f t="shared" si="84"/>
        <v>549313.25243718084</v>
      </c>
      <c r="BA26" s="36">
        <f t="shared" si="84"/>
        <v>650586.65042917687</v>
      </c>
      <c r="BB26" s="36">
        <f t="shared" si="84"/>
        <v>751860.04842117312</v>
      </c>
      <c r="BC26" s="36">
        <f t="shared" si="71"/>
        <v>277.99253665849233</v>
      </c>
      <c r="BD26" s="36">
        <f t="shared" si="71"/>
        <v>329.24425629006925</v>
      </c>
      <c r="BE26" s="36">
        <f t="shared" si="71"/>
        <v>380.49597592164633</v>
      </c>
      <c r="BF26" s="36">
        <f t="shared" si="85"/>
        <v>189519.64359999998</v>
      </c>
      <c r="BG26" s="36">
        <f t="shared" si="86"/>
        <v>225883.44879999998</v>
      </c>
      <c r="BH26" s="36">
        <f t="shared" si="87"/>
        <v>262247.25399999996</v>
      </c>
      <c r="BI26" s="36">
        <f t="shared" si="88"/>
        <v>549392.38881367689</v>
      </c>
      <c r="BJ26" s="36">
        <f t="shared" si="88"/>
        <v>650680.9709824922</v>
      </c>
      <c r="BK26" s="36">
        <f t="shared" si="88"/>
        <v>751969.55315130751</v>
      </c>
      <c r="BL26" s="36">
        <f t="shared" si="72"/>
        <v>278.03258543202276</v>
      </c>
      <c r="BM26" s="36">
        <f t="shared" si="72"/>
        <v>329.29198936360945</v>
      </c>
      <c r="BN26" s="36">
        <f t="shared" si="72"/>
        <v>380.55139329519608</v>
      </c>
    </row>
    <row r="27" spans="1:66" x14ac:dyDescent="0.2">
      <c r="R27" s="23"/>
      <c r="U27" s="8"/>
      <c r="V27" s="36"/>
      <c r="W27" s="36"/>
      <c r="X27" s="36"/>
      <c r="Y27" s="36"/>
      <c r="Z27" s="36"/>
      <c r="AA27" s="36"/>
      <c r="AB27" s="36"/>
      <c r="AC27" s="36"/>
      <c r="AD27" s="36"/>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row>
    <row r="28" spans="1:66" x14ac:dyDescent="0.2">
      <c r="A28" s="4" t="s">
        <v>88</v>
      </c>
      <c r="B28" s="19" t="s">
        <v>33</v>
      </c>
      <c r="C28" s="20" t="s">
        <v>34</v>
      </c>
      <c r="D28" s="4" t="s">
        <v>89</v>
      </c>
      <c r="E28" s="21" t="s">
        <v>90</v>
      </c>
      <c r="I28" s="5">
        <v>2022</v>
      </c>
      <c r="J28" s="11">
        <v>0.105</v>
      </c>
      <c r="K28" s="32">
        <v>38</v>
      </c>
      <c r="L28" s="8">
        <v>1</v>
      </c>
      <c r="M28" s="8">
        <v>0.1</v>
      </c>
      <c r="N28" s="8">
        <v>3.5000000000000003E-2</v>
      </c>
      <c r="O28" s="27">
        <v>0</v>
      </c>
      <c r="P28" s="8">
        <v>0</v>
      </c>
      <c r="Q28" s="8">
        <v>4.5999999999999999E-2</v>
      </c>
      <c r="R28" s="23">
        <v>0</v>
      </c>
      <c r="S28" s="9">
        <v>4</v>
      </c>
      <c r="T28" s="8">
        <v>0.2</v>
      </c>
      <c r="U28" s="8">
        <v>1.4999999999999999E-2</v>
      </c>
      <c r="V28" s="36">
        <v>57579</v>
      </c>
      <c r="W28" s="36">
        <f>V28+((X28-V28)/2)</f>
        <v>71368</v>
      </c>
      <c r="X28" s="36">
        <v>85157</v>
      </c>
      <c r="Y28" s="36">
        <f t="shared" ref="Y28:AA32" si="89">(V28+(V28*$J28)+(V28*$M28)+(V28*$N28)+(V28*$O28)+(V28*$P28)+(V28*$Q28)+($R28)+(V28*((52+$S28)/52))*(1+$T28))*1/$L28</f>
        <v>148456.3786153846</v>
      </c>
      <c r="Z28" s="36">
        <f t="shared" si="89"/>
        <v>184008.66338461539</v>
      </c>
      <c r="AA28" s="36">
        <f t="shared" si="89"/>
        <v>219560.94815384614</v>
      </c>
      <c r="AB28" s="36">
        <f t="shared" ref="AB28:AD32" si="90">Y28/52/$K28</f>
        <v>75.129746262846453</v>
      </c>
      <c r="AC28" s="36">
        <f t="shared" si="90"/>
        <v>93.121793210837751</v>
      </c>
      <c r="AD28" s="36">
        <f t="shared" si="90"/>
        <v>111.11384015882902</v>
      </c>
      <c r="AE28" s="36">
        <f>($V28*(1+(($U28/100)*1)))</f>
        <v>57587.636850000003</v>
      </c>
      <c r="AF28" s="36">
        <f>($W28*(1+(($U28/100)*1)))</f>
        <v>71378.705200000011</v>
      </c>
      <c r="AG28" s="36">
        <f>($X28*(1+(($U28/100)*1)))</f>
        <v>85169.773550000013</v>
      </c>
      <c r="AH28" s="36">
        <f>(AE28+(AE28*$J28)+(AE28*$M28)+(AE28*$N28)+(AE28*$O28)+(AE28*$P28)+(AE28*$Q28)+($R28)+(AE28*((52+$S28)/52))*(1+$T28))*1/$L28</f>
        <v>148478.64707217691</v>
      </c>
      <c r="AI28" s="36">
        <f>(AF28+(AF28*$J28)+(AF28*$M28)+(AF28*$N28)+(AF28*$O28)+(AF28*$P28)+(AF28*$Q28)+($R28)+(AF28*((52+$S28)/52))*(1+$T28))*1/$L28</f>
        <v>184036.2646841231</v>
      </c>
      <c r="AJ28" s="36">
        <f>(AG28+(AG28*$J28)+(AG28*$M28)+(AG28*$N28)+(AG28*$O28)+(AG28*$P28)+(AG28*$Q28)+($R28)+(AG28*((52+$S28)/52))*(1+$T28))*1/$L28</f>
        <v>219593.88229606926</v>
      </c>
      <c r="AK28" s="36">
        <f t="shared" ref="AK28:AM32" si="91">AH28/52/$K28</f>
        <v>75.141015724785888</v>
      </c>
      <c r="AL28" s="36">
        <f t="shared" si="91"/>
        <v>93.135761479819379</v>
      </c>
      <c r="AM28" s="36">
        <f t="shared" si="91"/>
        <v>111.13050723485287</v>
      </c>
      <c r="AN28" s="36">
        <f>($V28*(1+(($U28/100)*2)))</f>
        <v>57596.273699999998</v>
      </c>
      <c r="AO28" s="36">
        <f>($W28*(1+(($U28/100)*2)))</f>
        <v>71389.410399999993</v>
      </c>
      <c r="AP28" s="36">
        <f>($X28*(1+(($U28/100)*2)))</f>
        <v>85182.547099999996</v>
      </c>
      <c r="AQ28" s="36">
        <f>(AN28+(AN28*$J28)+(AN28*$M28)+(AN28*$N28)+(AN28*$O28)+(AN28*$P28)+(AN28*$Q28)+($R28)+(AN28*((52+$S28)/52))*(1+$T28))*1/$L28</f>
        <v>148500.9155289692</v>
      </c>
      <c r="AR28" s="36">
        <f>(AO28+(AO28*$J28)+(AO28*$M28)+(AO28*$N28)+(AO28*$O28)+(AO28*$P28)+(AO28*$Q28)+($R28)+(AO28*((52+$S28)/52))*(1+$T28))*1/$L28</f>
        <v>184063.86598363076</v>
      </c>
      <c r="AS28" s="36">
        <f>(AP28+(AP28*$J28)+(AP28*$M28)+(AP28*$N28)+(AP28*$O28)+(AP28*$P28)+(AP28*$Q28)+($R28)+(AP28*((52+$S28)/52))*(1+$T28))*1/$L28</f>
        <v>219626.8164382923</v>
      </c>
      <c r="AT28" s="36">
        <f t="shared" ref="AT28:AV32" si="92">AQ28/52/$K28</f>
        <v>75.152285186725308</v>
      </c>
      <c r="AU28" s="36">
        <f t="shared" si="92"/>
        <v>93.149729748800993</v>
      </c>
      <c r="AV28" s="36">
        <f t="shared" si="92"/>
        <v>111.14717431087666</v>
      </c>
      <c r="AW28" s="36">
        <f>($V28*(1+(($U28/100)*3)))</f>
        <v>57604.910550000001</v>
      </c>
      <c r="AX28" s="36">
        <f>($W28*(1+(($U28/100)*3)))</f>
        <v>71400.115600000005</v>
      </c>
      <c r="AY28" s="36">
        <f>($X28*(1+(($U28/100)*3)))</f>
        <v>85195.320650000009</v>
      </c>
      <c r="AZ28" s="36">
        <f>(AW28+(AW28*$J28)+(AW28*$M28)+(AW28*$N28)+(AW28*$O28)+(AW28*$P28)+(AW28*$Q28)+($R28)+(AW28*((52+$S28)/52))*(1+$T28))*1/$L28</f>
        <v>148523.18398576154</v>
      </c>
      <c r="BA28" s="36">
        <f>(AX28+(AX28*$J28)+(AX28*$M28)+(AX28*$N28)+(AX28*$O28)+(AX28*$P28)+(AX28*$Q28)+($R28)+(AX28*((52+$S28)/52))*(1+$T28))*1/$L28</f>
        <v>184091.46728313848</v>
      </c>
      <c r="BB28" s="36">
        <f>(AY28+(AY28*$J28)+(AY28*$M28)+(AY28*$N28)+(AY28*$O28)+(AY28*$P28)+(AY28*$Q28)+($R28)+(AY28*((52+$S28)/52))*(1+$T28))*1/$L28</f>
        <v>219659.75058051539</v>
      </c>
      <c r="BC28" s="36">
        <f t="shared" ref="BC28:BE32" si="93">AZ28/52/$K28</f>
        <v>75.163554648664743</v>
      </c>
      <c r="BD28" s="36">
        <f t="shared" si="93"/>
        <v>93.163698017782622</v>
      </c>
      <c r="BE28" s="36">
        <f t="shared" si="93"/>
        <v>111.1638413869005</v>
      </c>
      <c r="BF28" s="36">
        <f>($V28*(1+(($U28/100)*4)))</f>
        <v>57613.547399999996</v>
      </c>
      <c r="BG28" s="36">
        <f>($W28*(1+(($U28/100)*4)))</f>
        <v>71410.820800000001</v>
      </c>
      <c r="BH28" s="36">
        <f>($X28*(1+(($U28/100)*4)))</f>
        <v>85208.094199999992</v>
      </c>
      <c r="BI28" s="36">
        <f>(BF28+(BF28*$J28)+(BF28*$M28)+(BF28*$N28)+(BF28*$O28)+(BF28*$P28)+(BF28*$Q28)+($R28)+(BF28*((52+$S28)/52))*(1+$T28))*1/$L28</f>
        <v>148545.45244255383</v>
      </c>
      <c r="BJ28" s="36">
        <f>(BG28+(BG28*$J28)+(BG28*$M28)+(BG28*$N28)+(BG28*$O28)+(BG28*$P28)+(BG28*$Q28)+($R28)+(BG28*((52+$S28)/52))*(1+$T28))*1/$L28</f>
        <v>184119.06858264614</v>
      </c>
      <c r="BK28" s="36">
        <f>(BH28+(BH28*$J28)+(BH28*$M28)+(BH28*$N28)+(BH28*$O28)+(BH28*$P28)+(BH28*$Q28)+($R28)+(BH28*((52+$S28)/52))*(1+$T28))*1/$L28</f>
        <v>219692.68472273846</v>
      </c>
      <c r="BL28" s="36">
        <f t="shared" ref="BL28:BN32" si="94">BI28/52/$K28</f>
        <v>75.174824110604163</v>
      </c>
      <c r="BM28" s="36">
        <f t="shared" si="94"/>
        <v>93.177666286764236</v>
      </c>
      <c r="BN28" s="36">
        <f t="shared" si="94"/>
        <v>111.18050846292432</v>
      </c>
    </row>
    <row r="29" spans="1:66" x14ac:dyDescent="0.2">
      <c r="A29" s="4" t="s">
        <v>88</v>
      </c>
      <c r="B29" s="19" t="s">
        <v>40</v>
      </c>
      <c r="C29" s="20" t="s">
        <v>41</v>
      </c>
      <c r="D29" s="4" t="s">
        <v>89</v>
      </c>
      <c r="E29" s="21" t="s">
        <v>91</v>
      </c>
      <c r="I29" s="5">
        <v>2022</v>
      </c>
      <c r="J29" s="11">
        <v>0.105</v>
      </c>
      <c r="K29" s="32">
        <v>38</v>
      </c>
      <c r="L29" s="8">
        <v>1</v>
      </c>
      <c r="M29" s="8">
        <v>0.1</v>
      </c>
      <c r="N29" s="8">
        <v>3.5000000000000003E-2</v>
      </c>
      <c r="O29" s="27">
        <v>0</v>
      </c>
      <c r="P29" s="8">
        <v>0</v>
      </c>
      <c r="Q29" s="8">
        <v>4.5999999999999999E-2</v>
      </c>
      <c r="R29" s="23">
        <v>0</v>
      </c>
      <c r="S29" s="9">
        <v>4</v>
      </c>
      <c r="T29" s="8">
        <v>0.2</v>
      </c>
      <c r="U29" s="8">
        <v>1.4999999999999999E-2</v>
      </c>
      <c r="V29" s="36">
        <v>77833</v>
      </c>
      <c r="W29" s="36">
        <f>V29+((X29-V29)/2)</f>
        <v>109041</v>
      </c>
      <c r="X29" s="36">
        <v>140249</v>
      </c>
      <c r="Y29" s="36">
        <f t="shared" si="89"/>
        <v>200677.42261538462</v>
      </c>
      <c r="Z29" s="36">
        <f t="shared" si="89"/>
        <v>281141.24907692306</v>
      </c>
      <c r="AA29" s="36">
        <f t="shared" si="89"/>
        <v>361605.07553846145</v>
      </c>
      <c r="AB29" s="36">
        <f t="shared" si="90"/>
        <v>101.55740010900031</v>
      </c>
      <c r="AC29" s="36">
        <f t="shared" si="90"/>
        <v>142.27796005917159</v>
      </c>
      <c r="AD29" s="36">
        <f t="shared" si="90"/>
        <v>182.99852000934283</v>
      </c>
      <c r="AE29" s="36">
        <f t="shared" ref="AE29:AE32" si="95">($V29*(1+(($U29/100)*1)))</f>
        <v>77844.674950000001</v>
      </c>
      <c r="AF29" s="36">
        <f t="shared" ref="AF29:AF32" si="96">($W29*(1+(($U29/100)*1)))</f>
        <v>109057.35615000001</v>
      </c>
      <c r="AG29" s="36">
        <f t="shared" ref="AG29:AG32" si="97">($X29*(1+(($U29/100)*1)))</f>
        <v>140270.03735000003</v>
      </c>
      <c r="AH29" s="36">
        <f t="shared" ref="AH29:AJ32" si="98">(AE29+(AE29*$J29)+(AE29*$M29)+(AE29*$N29)+(AE29*$O29)+(AE29*$P29)+(AE29*$Q29)+($R29)+(AE29*((52+$S29)/52))*(1+$T29))*1/$L29</f>
        <v>200707.52422877692</v>
      </c>
      <c r="AI29" s="36">
        <f t="shared" si="98"/>
        <v>281183.42026428465</v>
      </c>
      <c r="AJ29" s="36">
        <f t="shared" si="98"/>
        <v>361659.31629979238</v>
      </c>
      <c r="AK29" s="36">
        <f t="shared" si="91"/>
        <v>101.57263371901666</v>
      </c>
      <c r="AL29" s="36">
        <f t="shared" si="91"/>
        <v>142.29930175318049</v>
      </c>
      <c r="AM29" s="36">
        <f t="shared" si="91"/>
        <v>183.02596978734431</v>
      </c>
      <c r="AN29" s="36">
        <f t="shared" ref="AN29:AN32" si="99">($V29*(1+(($U29/100)*2)))</f>
        <v>77856.349900000001</v>
      </c>
      <c r="AO29" s="36">
        <f t="shared" ref="AO29:AO32" si="100">($W29*(1+(($U29/100)*2)))</f>
        <v>109073.7123</v>
      </c>
      <c r="AP29" s="36">
        <f t="shared" ref="AP29:AP32" si="101">($X29*(1+(($U29/100)*2)))</f>
        <v>140291.0747</v>
      </c>
      <c r="AQ29" s="36">
        <f t="shared" ref="AQ29:AS32" si="102">(AN29+(AN29*$J29)+(AN29*$M29)+(AN29*$N29)+(AN29*$O29)+(AN29*$P29)+(AN29*$Q29)+($R29)+(AN29*((52+$S29)/52))*(1+$T29))*1/$L29</f>
        <v>200737.62584216922</v>
      </c>
      <c r="AR29" s="36">
        <f t="shared" si="102"/>
        <v>281225.59145164618</v>
      </c>
      <c r="AS29" s="36">
        <f t="shared" si="102"/>
        <v>361713.55706112308</v>
      </c>
      <c r="AT29" s="36">
        <f t="shared" si="92"/>
        <v>101.587867329033</v>
      </c>
      <c r="AU29" s="36">
        <f t="shared" si="92"/>
        <v>142.32064344718938</v>
      </c>
      <c r="AV29" s="36">
        <f t="shared" si="92"/>
        <v>183.05341956534568</v>
      </c>
      <c r="AW29" s="36">
        <f t="shared" ref="AW29:AW32" si="103">($V29*(1+(($U29/100)*3)))</f>
        <v>77868.024850000002</v>
      </c>
      <c r="AX29" s="36">
        <f t="shared" ref="AX29:AX32" si="104">($W29*(1+(($U29/100)*3)))</f>
        <v>109090.06845000001</v>
      </c>
      <c r="AY29" s="36">
        <f t="shared" ref="AY29:AY32" si="105">($X29*(1+(($U29/100)*3)))</f>
        <v>140312.11205</v>
      </c>
      <c r="AZ29" s="36">
        <f t="shared" ref="AZ29:BB32" si="106">(AW29+(AW29*$J29)+(AW29*$M29)+(AW29*$N29)+(AW29*$O29)+(AW29*$P29)+(AW29*$Q29)+($R29)+(AW29*((52+$S29)/52))*(1+$T29))*1/$L29</f>
        <v>200767.72745556154</v>
      </c>
      <c r="BA29" s="36">
        <f t="shared" si="106"/>
        <v>281267.76263900771</v>
      </c>
      <c r="BB29" s="36">
        <f t="shared" si="106"/>
        <v>361767.7978224539</v>
      </c>
      <c r="BC29" s="36">
        <f t="shared" si="93"/>
        <v>101.60310093904936</v>
      </c>
      <c r="BD29" s="36">
        <f t="shared" si="93"/>
        <v>142.34198514119825</v>
      </c>
      <c r="BE29" s="36">
        <f t="shared" si="93"/>
        <v>183.0808693433471</v>
      </c>
      <c r="BF29" s="36">
        <f t="shared" ref="BF29:BF32" si="107">($V29*(1+(($U29/100)*4)))</f>
        <v>77879.699799999988</v>
      </c>
      <c r="BG29" s="36">
        <f t="shared" ref="BG29:BG32" si="108">($W29*(1+(($U29/100)*4)))</f>
        <v>109106.4246</v>
      </c>
      <c r="BH29" s="36">
        <f t="shared" ref="BH29:BH32" si="109">($X29*(1+(($U29/100)*4)))</f>
        <v>140333.14939999999</v>
      </c>
      <c r="BI29" s="36">
        <f t="shared" ref="BI29:BK32" si="110">(BF29+(BF29*$J29)+(BF29*$M29)+(BF29*$N29)+(BF29*$O29)+(BF29*$P29)+(BF29*$Q29)+($R29)+(BF29*((52+$S29)/52))*(1+$T29))*1/$L29</f>
        <v>200797.82906895381</v>
      </c>
      <c r="BJ29" s="36">
        <f t="shared" si="110"/>
        <v>281309.93382636923</v>
      </c>
      <c r="BK29" s="36">
        <f t="shared" si="110"/>
        <v>361822.0385837846</v>
      </c>
      <c r="BL29" s="36">
        <f t="shared" si="94"/>
        <v>101.61833454906569</v>
      </c>
      <c r="BM29" s="36">
        <f t="shared" si="94"/>
        <v>142.36332683520709</v>
      </c>
      <c r="BN29" s="36">
        <f t="shared" si="94"/>
        <v>183.10831912134847</v>
      </c>
    </row>
    <row r="30" spans="1:66" x14ac:dyDescent="0.2">
      <c r="A30" s="4" t="s">
        <v>88</v>
      </c>
      <c r="B30" s="19" t="s">
        <v>47</v>
      </c>
      <c r="C30" s="20" t="s">
        <v>48</v>
      </c>
      <c r="D30" s="4" t="s">
        <v>89</v>
      </c>
      <c r="E30" s="21" t="s">
        <v>92</v>
      </c>
      <c r="I30" s="5">
        <v>2022</v>
      </c>
      <c r="J30" s="11">
        <v>0.105</v>
      </c>
      <c r="K30" s="32">
        <v>38</v>
      </c>
      <c r="L30" s="8">
        <v>1</v>
      </c>
      <c r="M30" s="8">
        <v>0.1</v>
      </c>
      <c r="N30" s="8">
        <v>3.5000000000000003E-2</v>
      </c>
      <c r="O30" s="27">
        <v>0</v>
      </c>
      <c r="P30" s="8">
        <v>0</v>
      </c>
      <c r="Q30" s="8">
        <v>4.5999999999999999E-2</v>
      </c>
      <c r="R30" s="23">
        <v>0</v>
      </c>
      <c r="S30" s="9">
        <v>4</v>
      </c>
      <c r="T30" s="8">
        <v>0.2</v>
      </c>
      <c r="U30" s="8">
        <v>1.4999999999999999E-2</v>
      </c>
      <c r="V30" s="36">
        <v>57579</v>
      </c>
      <c r="W30" s="36">
        <f>V30+((X30-V30)/2)</f>
        <v>63314</v>
      </c>
      <c r="X30" s="36">
        <v>69049</v>
      </c>
      <c r="Y30" s="36">
        <f>(V30+(V30*$J30)+(V30*$M30)+(V30*$N30)+(V30*$O30)+(V30*$P30)+(V30*$Q30)+($R30)+(V30*((52+$S30)/52))*(1+$T30))*1/$L30</f>
        <v>148456.3786153846</v>
      </c>
      <c r="Z30" s="36">
        <f t="shared" si="89"/>
        <v>163242.97323076922</v>
      </c>
      <c r="AA30" s="36">
        <f>(X30+(X30*$J30)+(X30*$M30)+(X30*$N30)+(X30*$O30)+(X30*$P30)+(X30*$Q30)+($R30)+(X30*((52+$S30)/52))*(1+$T30))*1/$L30</f>
        <v>178029.56784615383</v>
      </c>
      <c r="AB30" s="36">
        <f t="shared" si="90"/>
        <v>75.129746262846453</v>
      </c>
      <c r="AC30" s="36">
        <f t="shared" si="90"/>
        <v>82.612840703830571</v>
      </c>
      <c r="AD30" s="36">
        <f t="shared" si="90"/>
        <v>90.095935144814689</v>
      </c>
      <c r="AE30" s="36">
        <f t="shared" si="95"/>
        <v>57587.636850000003</v>
      </c>
      <c r="AF30" s="36">
        <f t="shared" si="96"/>
        <v>63323.497100000008</v>
      </c>
      <c r="AG30" s="36">
        <f t="shared" si="97"/>
        <v>69059.357350000006</v>
      </c>
      <c r="AH30" s="36">
        <f t="shared" si="98"/>
        <v>148478.64707217691</v>
      </c>
      <c r="AI30" s="36">
        <f t="shared" si="98"/>
        <v>163267.45967675385</v>
      </c>
      <c r="AJ30" s="36">
        <f t="shared" si="98"/>
        <v>178056.27228133078</v>
      </c>
      <c r="AK30" s="36">
        <f t="shared" si="91"/>
        <v>75.141015724785888</v>
      </c>
      <c r="AL30" s="36">
        <f t="shared" si="91"/>
        <v>82.625232629936164</v>
      </c>
      <c r="AM30" s="36">
        <f t="shared" si="91"/>
        <v>90.109449535086426</v>
      </c>
      <c r="AN30" s="36">
        <f t="shared" si="99"/>
        <v>57596.273699999998</v>
      </c>
      <c r="AO30" s="36">
        <f t="shared" si="100"/>
        <v>63332.994200000001</v>
      </c>
      <c r="AP30" s="36">
        <f t="shared" si="101"/>
        <v>69069.714699999997</v>
      </c>
      <c r="AQ30" s="36">
        <f t="shared" si="102"/>
        <v>148500.9155289692</v>
      </c>
      <c r="AR30" s="36">
        <f t="shared" si="102"/>
        <v>163291.94612273847</v>
      </c>
      <c r="AS30" s="36">
        <f t="shared" si="102"/>
        <v>178082.97671650769</v>
      </c>
      <c r="AT30" s="36">
        <f t="shared" si="92"/>
        <v>75.152285186725308</v>
      </c>
      <c r="AU30" s="36">
        <f t="shared" si="92"/>
        <v>82.637624556041729</v>
      </c>
      <c r="AV30" s="36">
        <f t="shared" si="92"/>
        <v>90.12296392535815</v>
      </c>
      <c r="AW30" s="36">
        <f t="shared" si="103"/>
        <v>57604.910550000001</v>
      </c>
      <c r="AX30" s="36">
        <f t="shared" si="104"/>
        <v>63342.491300000002</v>
      </c>
      <c r="AY30" s="36">
        <f t="shared" si="105"/>
        <v>69080.072050000002</v>
      </c>
      <c r="AZ30" s="36">
        <f t="shared" si="106"/>
        <v>148523.18398576154</v>
      </c>
      <c r="BA30" s="36">
        <f t="shared" si="106"/>
        <v>163316.43256872307</v>
      </c>
      <c r="BB30" s="36">
        <f t="shared" si="106"/>
        <v>178109.68115168461</v>
      </c>
      <c r="BC30" s="36">
        <f t="shared" si="93"/>
        <v>75.163554648664743</v>
      </c>
      <c r="BD30" s="36">
        <f t="shared" si="93"/>
        <v>82.650016482147308</v>
      </c>
      <c r="BE30" s="36">
        <f t="shared" si="93"/>
        <v>90.136478315629859</v>
      </c>
      <c r="BF30" s="36">
        <f t="shared" si="107"/>
        <v>57613.547399999996</v>
      </c>
      <c r="BG30" s="36">
        <f t="shared" si="108"/>
        <v>63351.988399999995</v>
      </c>
      <c r="BH30" s="36">
        <f t="shared" si="109"/>
        <v>69090.429399999994</v>
      </c>
      <c r="BI30" s="36">
        <f t="shared" si="110"/>
        <v>148545.45244255383</v>
      </c>
      <c r="BJ30" s="36">
        <f t="shared" si="110"/>
        <v>163340.91901470767</v>
      </c>
      <c r="BK30" s="36">
        <f t="shared" si="110"/>
        <v>178136.38558686152</v>
      </c>
      <c r="BL30" s="36">
        <f t="shared" si="94"/>
        <v>75.174824110604163</v>
      </c>
      <c r="BM30" s="36">
        <f t="shared" si="94"/>
        <v>82.662408408252873</v>
      </c>
      <c r="BN30" s="36">
        <f t="shared" si="94"/>
        <v>90.149992705901582</v>
      </c>
    </row>
    <row r="31" spans="1:66" x14ac:dyDescent="0.2">
      <c r="A31" s="4" t="s">
        <v>88</v>
      </c>
      <c r="B31" s="19" t="s">
        <v>50</v>
      </c>
      <c r="C31" s="20" t="s">
        <v>51</v>
      </c>
      <c r="D31" s="4" t="s">
        <v>89</v>
      </c>
      <c r="E31" s="21" t="s">
        <v>93</v>
      </c>
      <c r="I31" s="5">
        <v>2022</v>
      </c>
      <c r="J31" s="11">
        <v>0.105</v>
      </c>
      <c r="K31" s="32">
        <v>38</v>
      </c>
      <c r="L31" s="8">
        <v>1</v>
      </c>
      <c r="M31" s="8">
        <v>0.1</v>
      </c>
      <c r="N31" s="8">
        <v>3.5000000000000003E-2</v>
      </c>
      <c r="O31" s="27">
        <v>0</v>
      </c>
      <c r="P31" s="8">
        <v>0</v>
      </c>
      <c r="Q31" s="8">
        <v>4.5999999999999999E-2</v>
      </c>
      <c r="R31" s="23">
        <v>0</v>
      </c>
      <c r="S31" s="9">
        <v>4</v>
      </c>
      <c r="T31" s="8">
        <v>0.2</v>
      </c>
      <c r="U31" s="8">
        <v>1.4999999999999999E-2</v>
      </c>
      <c r="V31" s="36">
        <v>79898</v>
      </c>
      <c r="W31" s="36">
        <f>V31+((X31-V31)/2)</f>
        <v>86781</v>
      </c>
      <c r="X31" s="36">
        <v>93664</v>
      </c>
      <c r="Y31" s="36">
        <f>(V31+(V31*$J31)+(V31*$M31)+(V31*$N31)+(V31*$O31)+(V31*$P31)+(V31*$Q31)+($R31)+(V31*((52+$S31)/52))*(1+$T31))*1/$L31</f>
        <v>206001.628</v>
      </c>
      <c r="Z31" s="36">
        <f t="shared" si="89"/>
        <v>223748.11984615386</v>
      </c>
      <c r="AA31" s="36">
        <f>(X31+(X31*$J31)+(X31*$M31)+(X31*$N31)+(X31*$O31)+(X31*$P31)+(X31*$Q31)+($R31)+(X31*((52+$S31)/52))*(1+$T31))*1/$L31</f>
        <v>241494.61169230769</v>
      </c>
      <c r="AB31" s="36">
        <f t="shared" si="90"/>
        <v>104.25183603238865</v>
      </c>
      <c r="AC31" s="36">
        <f t="shared" si="90"/>
        <v>113.23285417315478</v>
      </c>
      <c r="AD31" s="36">
        <f t="shared" si="90"/>
        <v>122.2138723139209</v>
      </c>
      <c r="AE31" s="36">
        <f t="shared" si="95"/>
        <v>79909.984700000001</v>
      </c>
      <c r="AF31" s="36">
        <f t="shared" si="96"/>
        <v>86794.017150000014</v>
      </c>
      <c r="AG31" s="36">
        <f t="shared" si="97"/>
        <v>93678.049600000013</v>
      </c>
      <c r="AH31" s="36">
        <f t="shared" si="98"/>
        <v>206032.52824419999</v>
      </c>
      <c r="AI31" s="36">
        <f t="shared" si="98"/>
        <v>223781.68206413079</v>
      </c>
      <c r="AJ31" s="36">
        <f t="shared" si="98"/>
        <v>241530.83588406158</v>
      </c>
      <c r="AK31" s="36">
        <f t="shared" si="91"/>
        <v>104.26747380779352</v>
      </c>
      <c r="AL31" s="36">
        <f t="shared" si="91"/>
        <v>113.24983910128077</v>
      </c>
      <c r="AM31" s="36">
        <f t="shared" si="91"/>
        <v>122.232204394768</v>
      </c>
      <c r="AN31" s="36">
        <f t="shared" si="99"/>
        <v>79921.969400000002</v>
      </c>
      <c r="AO31" s="36">
        <f t="shared" si="100"/>
        <v>86807.034299999999</v>
      </c>
      <c r="AP31" s="36">
        <f t="shared" si="101"/>
        <v>93692.099199999997</v>
      </c>
      <c r="AQ31" s="36">
        <f t="shared" si="102"/>
        <v>206063.42848840001</v>
      </c>
      <c r="AR31" s="36">
        <f t="shared" si="102"/>
        <v>223815.24428210765</v>
      </c>
      <c r="AS31" s="36">
        <f t="shared" si="102"/>
        <v>241567.06007581536</v>
      </c>
      <c r="AT31" s="36">
        <f t="shared" si="92"/>
        <v>104.28311158319839</v>
      </c>
      <c r="AU31" s="36">
        <f t="shared" si="92"/>
        <v>113.26682402940669</v>
      </c>
      <c r="AV31" s="36">
        <f t="shared" si="92"/>
        <v>122.25053647561508</v>
      </c>
      <c r="AW31" s="36">
        <f t="shared" si="103"/>
        <v>79933.954100000003</v>
      </c>
      <c r="AX31" s="36">
        <f t="shared" si="104"/>
        <v>86820.051449999999</v>
      </c>
      <c r="AY31" s="36">
        <f t="shared" si="105"/>
        <v>93706.14880000001</v>
      </c>
      <c r="AZ31" s="36">
        <f t="shared" si="106"/>
        <v>206094.32873259997</v>
      </c>
      <c r="BA31" s="36">
        <f t="shared" si="106"/>
        <v>223848.80650008464</v>
      </c>
      <c r="BB31" s="36">
        <f t="shared" si="106"/>
        <v>241603.28426756925</v>
      </c>
      <c r="BC31" s="36">
        <f t="shared" si="93"/>
        <v>104.29874935860323</v>
      </c>
      <c r="BD31" s="36">
        <f t="shared" si="93"/>
        <v>113.28380895753271</v>
      </c>
      <c r="BE31" s="36">
        <f t="shared" si="93"/>
        <v>122.26886855646217</v>
      </c>
      <c r="BF31" s="36">
        <f t="shared" si="107"/>
        <v>79945.938799999989</v>
      </c>
      <c r="BG31" s="36">
        <f t="shared" si="108"/>
        <v>86833.068599999999</v>
      </c>
      <c r="BH31" s="36">
        <f t="shared" si="109"/>
        <v>93720.198399999994</v>
      </c>
      <c r="BI31" s="36">
        <f t="shared" si="110"/>
        <v>206125.22897679996</v>
      </c>
      <c r="BJ31" s="36">
        <f t="shared" si="110"/>
        <v>223882.36871806154</v>
      </c>
      <c r="BK31" s="36">
        <f t="shared" si="110"/>
        <v>241639.50845932306</v>
      </c>
      <c r="BL31" s="36">
        <f t="shared" si="94"/>
        <v>104.31438713400807</v>
      </c>
      <c r="BM31" s="36">
        <f t="shared" si="94"/>
        <v>113.30079388565866</v>
      </c>
      <c r="BN31" s="36">
        <f t="shared" si="94"/>
        <v>122.28720063730924</v>
      </c>
    </row>
    <row r="32" spans="1:66" x14ac:dyDescent="0.2">
      <c r="A32" s="4" t="s">
        <v>88</v>
      </c>
      <c r="B32" s="19" t="s">
        <v>55</v>
      </c>
      <c r="C32" s="20" t="s">
        <v>56</v>
      </c>
      <c r="D32" s="4" t="s">
        <v>94</v>
      </c>
      <c r="E32" s="21" t="s">
        <v>95</v>
      </c>
      <c r="I32" s="5">
        <v>2022</v>
      </c>
      <c r="J32" s="11">
        <v>0.105</v>
      </c>
      <c r="K32" s="32">
        <v>40</v>
      </c>
      <c r="L32" s="8">
        <v>1</v>
      </c>
      <c r="M32" s="8">
        <v>0</v>
      </c>
      <c r="N32" s="8">
        <v>3.5000000000000003E-2</v>
      </c>
      <c r="O32" s="27">
        <v>0</v>
      </c>
      <c r="P32" s="8">
        <v>0</v>
      </c>
      <c r="Q32" s="8">
        <v>4.5999999999999999E-2</v>
      </c>
      <c r="R32" s="23">
        <v>28909</v>
      </c>
      <c r="S32" s="9">
        <f>160/40</f>
        <v>4</v>
      </c>
      <c r="T32" s="8">
        <v>0</v>
      </c>
      <c r="U32" s="8">
        <v>1.4999999999999999E-2</v>
      </c>
      <c r="V32" s="36">
        <v>297757</v>
      </c>
      <c r="W32" s="36">
        <f>V32+((X32-V32)/2)</f>
        <v>342136</v>
      </c>
      <c r="X32" s="36">
        <v>386515</v>
      </c>
      <c r="Y32" s="36">
        <f t="shared" si="89"/>
        <v>702710.18661538465</v>
      </c>
      <c r="Z32" s="36">
        <f t="shared" si="89"/>
        <v>803136.44984615385</v>
      </c>
      <c r="AA32" s="36">
        <f t="shared" si="89"/>
        <v>903562.71307692304</v>
      </c>
      <c r="AB32" s="36">
        <f t="shared" si="90"/>
        <v>337.84143587278106</v>
      </c>
      <c r="AC32" s="36">
        <f t="shared" si="90"/>
        <v>386.12329319526623</v>
      </c>
      <c r="AD32" s="36">
        <f t="shared" si="90"/>
        <v>434.40515051775145</v>
      </c>
      <c r="AE32" s="36">
        <f t="shared" si="95"/>
        <v>297801.66355000006</v>
      </c>
      <c r="AF32" s="36">
        <f t="shared" si="96"/>
        <v>342187.32040000003</v>
      </c>
      <c r="AG32" s="36">
        <f t="shared" si="97"/>
        <v>386572.97725000005</v>
      </c>
      <c r="AH32" s="36">
        <f t="shared" si="98"/>
        <v>702811.25679337699</v>
      </c>
      <c r="AI32" s="36">
        <f t="shared" si="98"/>
        <v>803252.58396363072</v>
      </c>
      <c r="AJ32" s="36">
        <f t="shared" si="98"/>
        <v>903693.91113388469</v>
      </c>
      <c r="AK32" s="36">
        <f t="shared" si="91"/>
        <v>337.89002730450818</v>
      </c>
      <c r="AL32" s="36">
        <f t="shared" si="91"/>
        <v>386.17912690559172</v>
      </c>
      <c r="AM32" s="36">
        <f t="shared" si="91"/>
        <v>434.46822650667536</v>
      </c>
      <c r="AN32" s="36">
        <f t="shared" si="99"/>
        <v>297846.32709999999</v>
      </c>
      <c r="AO32" s="36">
        <f t="shared" si="100"/>
        <v>342238.64079999999</v>
      </c>
      <c r="AP32" s="36">
        <f t="shared" si="101"/>
        <v>386630.95449999999</v>
      </c>
      <c r="AQ32" s="36">
        <f t="shared" si="102"/>
        <v>702912.32697136921</v>
      </c>
      <c r="AR32" s="36">
        <f t="shared" si="102"/>
        <v>803368.7180811076</v>
      </c>
      <c r="AS32" s="36">
        <f t="shared" si="102"/>
        <v>903825.10919084609</v>
      </c>
      <c r="AT32" s="36">
        <f t="shared" si="92"/>
        <v>337.93861873623518</v>
      </c>
      <c r="AU32" s="36">
        <f t="shared" si="92"/>
        <v>386.23496061591715</v>
      </c>
      <c r="AV32" s="36">
        <f t="shared" si="92"/>
        <v>434.53130249559911</v>
      </c>
      <c r="AW32" s="36">
        <f t="shared" si="103"/>
        <v>297890.99064999999</v>
      </c>
      <c r="AX32" s="36">
        <f t="shared" si="104"/>
        <v>342289.96120000002</v>
      </c>
      <c r="AY32" s="36">
        <f t="shared" si="105"/>
        <v>386688.93175000005</v>
      </c>
      <c r="AZ32" s="36">
        <f t="shared" si="106"/>
        <v>703013.39714936155</v>
      </c>
      <c r="BA32" s="36">
        <f t="shared" si="106"/>
        <v>803484.8521985847</v>
      </c>
      <c r="BB32" s="36">
        <f t="shared" si="106"/>
        <v>903956.30724780774</v>
      </c>
      <c r="BC32" s="36">
        <f t="shared" si="93"/>
        <v>337.9872101679623</v>
      </c>
      <c r="BD32" s="36">
        <f t="shared" si="93"/>
        <v>386.29079432624269</v>
      </c>
      <c r="BE32" s="36">
        <f t="shared" si="93"/>
        <v>434.59437848452296</v>
      </c>
      <c r="BF32" s="36">
        <f t="shared" si="107"/>
        <v>297935.65419999999</v>
      </c>
      <c r="BG32" s="36">
        <f t="shared" si="108"/>
        <v>342341.28159999999</v>
      </c>
      <c r="BH32" s="36">
        <f t="shared" si="109"/>
        <v>386746.90899999999</v>
      </c>
      <c r="BI32" s="36">
        <f t="shared" si="110"/>
        <v>703114.46732735378</v>
      </c>
      <c r="BJ32" s="36">
        <f t="shared" si="110"/>
        <v>803600.98631606158</v>
      </c>
      <c r="BK32" s="36">
        <f t="shared" si="110"/>
        <v>904087.50530476915</v>
      </c>
      <c r="BL32" s="36">
        <f t="shared" si="94"/>
        <v>338.03580159968931</v>
      </c>
      <c r="BM32" s="36">
        <f t="shared" si="94"/>
        <v>386.34662803656806</v>
      </c>
      <c r="BN32" s="36">
        <f t="shared" si="94"/>
        <v>434.65745447344671</v>
      </c>
    </row>
    <row r="33" spans="1:66" x14ac:dyDescent="0.2">
      <c r="R33" s="23"/>
      <c r="U33" s="8"/>
      <c r="V33" s="36"/>
      <c r="W33" s="36"/>
      <c r="X33" s="36"/>
      <c r="Y33" s="36"/>
      <c r="Z33" s="36"/>
      <c r="AA33" s="36"/>
      <c r="AB33" s="36"/>
      <c r="AC33" s="36"/>
      <c r="AD33" s="36"/>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row>
    <row r="34" spans="1:66" x14ac:dyDescent="0.2">
      <c r="A34" s="4" t="s">
        <v>96</v>
      </c>
      <c r="B34" s="19" t="s">
        <v>33</v>
      </c>
      <c r="J34" s="8">
        <f t="shared" ref="J34" si="111">AVERAGE(J28,J22,J16,J10,J4)</f>
        <v>0.1095</v>
      </c>
      <c r="K34" s="32">
        <f t="shared" ref="J34:U38" si="112">AVERAGE(K28,K22,K16,K10,K4)</f>
        <v>37.950000000000003</v>
      </c>
      <c r="L34" s="8">
        <f t="shared" si="112"/>
        <v>1</v>
      </c>
      <c r="M34" s="8">
        <f t="shared" si="112"/>
        <v>0.1</v>
      </c>
      <c r="N34" s="8">
        <f t="shared" si="112"/>
        <v>3.5000000000000003E-2</v>
      </c>
      <c r="O34" s="27">
        <f t="shared" si="112"/>
        <v>0</v>
      </c>
      <c r="P34" s="8">
        <f t="shared" si="112"/>
        <v>0</v>
      </c>
      <c r="Q34" s="8">
        <f t="shared" si="112"/>
        <v>4.5999999999999999E-2</v>
      </c>
      <c r="R34" s="23">
        <f t="shared" si="112"/>
        <v>365.2</v>
      </c>
      <c r="S34" s="32">
        <f t="shared" si="112"/>
        <v>4</v>
      </c>
      <c r="T34" s="8">
        <f t="shared" si="112"/>
        <v>7.4999999999999997E-2</v>
      </c>
      <c r="U34" s="8">
        <f t="shared" si="112"/>
        <v>1.4999999999999999E-2</v>
      </c>
      <c r="V34" s="36">
        <f>MIN(V28,V22,V16,V10,V4)</f>
        <v>48552</v>
      </c>
      <c r="W34" s="36">
        <f>AVERAGE(W28,W22,W16,W10,W4)</f>
        <v>78368.712</v>
      </c>
      <c r="X34" s="36">
        <f>MAX(X28,X22,X16,X10,X4)</f>
        <v>110314</v>
      </c>
      <c r="Y34" s="36">
        <f>MIN(Y28,Y22,Y16,Y10,Y4)</f>
        <v>117643.06123076922</v>
      </c>
      <c r="Z34" s="36">
        <f>AVERAGE(Z28,Z22,Z16,Z10,Z4)</f>
        <v>192514.23470892306</v>
      </c>
      <c r="AA34" s="36">
        <f>MAX(AA28,AA22,AA16,AA10,AA4)</f>
        <v>281453.44246153842</v>
      </c>
      <c r="AB34" s="36">
        <f>MIN(AB28,AB22,AB16,AB10,AB4)</f>
        <v>62.410112058763517</v>
      </c>
      <c r="AC34" s="36">
        <f>AVERAGE(AC28,AC22,AC16,AC10,AC4)</f>
        <v>97.572625479194357</v>
      </c>
      <c r="AD34" s="36">
        <f>MAX(AD28,AD22,AD16,AD10,AD4)</f>
        <v>142.43595266272186</v>
      </c>
      <c r="AE34" s="36">
        <f>MIN(AE28,AE22,AE16,AE10,AE4)</f>
        <v>48559.282800000008</v>
      </c>
      <c r="AF34" s="36">
        <f>AVERAGE(AF28,AF22,AF16,AF10,AF4)</f>
        <v>78380.467306799997</v>
      </c>
      <c r="AG34" s="36">
        <f>MAX(AG28,AG22,AG16,AG10,AG4)</f>
        <v>110330.54710000001</v>
      </c>
      <c r="AH34" s="36">
        <f>MIN(AH28,AH22,AH16,AH10,AH4)</f>
        <v>117660.43378995387</v>
      </c>
      <c r="AI34" s="36">
        <f>AVERAGE(AI28,AI22,AI16,AI10,AI4)</f>
        <v>192543.05706412945</v>
      </c>
      <c r="AJ34" s="36">
        <f>MAX(AJ28,AJ22,AJ16,AJ10,AJ4)</f>
        <v>281495.66047790775</v>
      </c>
      <c r="AK34" s="36">
        <f>MIN(AK28,AK22,AK16,AK10,AK4)</f>
        <v>62.419328270532546</v>
      </c>
      <c r="AL34" s="36">
        <f>AVERAGE(AL28,AL22,AL16,AL10,AL4)</f>
        <v>97.587232312008297</v>
      </c>
      <c r="AM34" s="36">
        <f>MAX(AM28,AM22,AM16,AM10,AM4)</f>
        <v>142.45731805562133</v>
      </c>
      <c r="AN34" s="36">
        <f>MIN(AN28,AN22,AN16,AN10,AN4)</f>
        <v>48566.565600000002</v>
      </c>
      <c r="AO34" s="36">
        <f>AVERAGE(AO28,AO22,AO16,AO10,AO4)</f>
        <v>78392.222613599995</v>
      </c>
      <c r="AP34" s="36">
        <f>MAX(AP28,AP22,AP16,AP10,AP4)</f>
        <v>110347.09419999999</v>
      </c>
      <c r="AQ34" s="36">
        <f>MIN(AQ28,AQ22,AQ16,AQ10,AQ4)</f>
        <v>117677.80634913847</v>
      </c>
      <c r="AR34" s="36">
        <f>AVERAGE(AR28,AR22,AR16,AR10,AR4)</f>
        <v>192571.87941933575</v>
      </c>
      <c r="AS34" s="36">
        <f>MAX(AS28,AS22,AS16,AS10,AS4)</f>
        <v>281537.8784942769</v>
      </c>
      <c r="AT34" s="36">
        <f>MIN(AT28,AT22,AT16,AT10,AT4)</f>
        <v>62.428544482301568</v>
      </c>
      <c r="AU34" s="36">
        <f>AVERAGE(AU28,AU22,AU16,AU10,AU4)</f>
        <v>97.601839144822208</v>
      </c>
      <c r="AV34" s="36">
        <f>MAX(AV28,AV22,AV16,AV10,AV4)</f>
        <v>142.47868344852068</v>
      </c>
      <c r="AW34" s="36">
        <f>MIN(AW28,AW22,AW16,AW10,AW4)</f>
        <v>48573.848400000003</v>
      </c>
      <c r="AX34" s="36">
        <f>AVERAGE(AX28,AX22,AX16,AX10,AX4)</f>
        <v>78403.977920400008</v>
      </c>
      <c r="AY34" s="36">
        <f>MAX(AY28,AY22,AY16,AY10,AY4)</f>
        <v>110363.6413</v>
      </c>
      <c r="AZ34" s="36">
        <f>MIN(AZ28,AZ22,AZ16,AZ10,AZ4)</f>
        <v>117695.17890832308</v>
      </c>
      <c r="BA34" s="36">
        <f>AVERAGE(BA28,BA22,BA16,BA10,BA4)</f>
        <v>192600.7017745421</v>
      </c>
      <c r="BB34" s="36">
        <f>MAX(BB28,BB22,BB16,BB10,BB4)</f>
        <v>281580.09651064617</v>
      </c>
      <c r="BC34" s="36">
        <f>MIN(BC28,BC22,BC16,BC10,BC4)</f>
        <v>62.437760694070597</v>
      </c>
      <c r="BD34" s="36">
        <f>AVERAGE(BD28,BD22,BD16,BD10,BD4)</f>
        <v>97.616445977636118</v>
      </c>
      <c r="BE34" s="36">
        <f>MAX(BE28,BE22,BE16,BE10,BE4)</f>
        <v>142.50004884142012</v>
      </c>
      <c r="BF34" s="36">
        <f>MIN(BF28,BF22,BF16,BF10,BF4)</f>
        <v>48581.131199999996</v>
      </c>
      <c r="BG34" s="36">
        <f>AVERAGE(BG28,BG22,BG16,BG10,BG4)</f>
        <v>78415.733227199991</v>
      </c>
      <c r="BH34" s="36">
        <f>MAX(BH28,BH22,BH16,BH10,BH4)</f>
        <v>110380.1884</v>
      </c>
      <c r="BI34" s="36">
        <f>MIN(BI28,BI22,BI16,BI10,BI4)</f>
        <v>117712.55146750768</v>
      </c>
      <c r="BJ34" s="36">
        <f>AVERAGE(BJ28,BJ22,BJ16,BJ10,BJ4)</f>
        <v>192629.5241297484</v>
      </c>
      <c r="BK34" s="36">
        <f>MAX(BK28,BK22,BK16,BK10,BK4)</f>
        <v>281622.31452701538</v>
      </c>
      <c r="BL34" s="36">
        <f>MIN(BL28,BL22,BL16,BL10,BL4)</f>
        <v>62.44697690583962</v>
      </c>
      <c r="BM34" s="36">
        <f>AVERAGE(BM28,BM22,BM16,BM10,BM4)</f>
        <v>97.631052810450029</v>
      </c>
      <c r="BN34" s="36">
        <f>MAX(BN28,BN22,BN16,BN10,BN4)</f>
        <v>142.52141423431954</v>
      </c>
    </row>
    <row r="35" spans="1:66" x14ac:dyDescent="0.2">
      <c r="A35" s="4" t="s">
        <v>96</v>
      </c>
      <c r="B35" s="19" t="s">
        <v>40</v>
      </c>
      <c r="J35" s="8">
        <f t="shared" si="112"/>
        <v>0.1095</v>
      </c>
      <c r="K35" s="32">
        <f t="shared" si="112"/>
        <v>37.549999999999997</v>
      </c>
      <c r="L35" s="8">
        <f t="shared" si="112"/>
        <v>1</v>
      </c>
      <c r="M35" s="8">
        <f t="shared" si="112"/>
        <v>0.1</v>
      </c>
      <c r="N35" s="8">
        <f t="shared" si="112"/>
        <v>3.5000000000000003E-2</v>
      </c>
      <c r="O35" s="27">
        <f t="shared" si="112"/>
        <v>0</v>
      </c>
      <c r="P35" s="8">
        <f t="shared" si="112"/>
        <v>0</v>
      </c>
      <c r="Q35" s="8">
        <f t="shared" si="112"/>
        <v>4.5999999999999999E-2</v>
      </c>
      <c r="R35" s="23">
        <f t="shared" si="112"/>
        <v>365.2</v>
      </c>
      <c r="S35" s="32">
        <f t="shared" si="112"/>
        <v>4.4000000000000004</v>
      </c>
      <c r="T35" s="8">
        <f t="shared" si="112"/>
        <v>0.11000000000000001</v>
      </c>
      <c r="U35" s="8">
        <f t="shared" si="112"/>
        <v>1.4999999999999999E-2</v>
      </c>
      <c r="V35" s="36">
        <f>MIN(V29,V23,V17,V11,V5)</f>
        <v>61204</v>
      </c>
      <c r="W35" s="36">
        <f>AVERAGE(W29,W23,W17,W11,W5)</f>
        <v>104472.11600000001</v>
      </c>
      <c r="X35" s="36">
        <f t="shared" ref="X35:X38" si="113">MAX(X29,X23,X17,X11,X5)</f>
        <v>142552.80000000002</v>
      </c>
      <c r="Y35" s="36">
        <f>MIN(Y29,Y23,Y17,Y11,Y5)</f>
        <v>157537.91899999999</v>
      </c>
      <c r="Z35" s="36">
        <f>AVERAGE(Z29,Z23,Z17,Z11,Z5)</f>
        <v>260971.1760952308</v>
      </c>
      <c r="AA35" s="36">
        <f t="shared" ref="AA35:AA38" si="114">MAX(AA29,AA23,AA17,AA11,AA5)</f>
        <v>366928.16580000008</v>
      </c>
      <c r="AB35" s="36">
        <f t="shared" ref="AB35:AB38" si="115">MIN(AB29,AB23,AB17,AB11,AB5)</f>
        <v>79.725667510121454</v>
      </c>
      <c r="AC35" s="36">
        <f t="shared" ref="AC35:AC38" si="116">AVERAGE(AC29,AC23,AC17,AC11,AC5)</f>
        <v>133.63018870731</v>
      </c>
      <c r="AD35" s="36">
        <f t="shared" ref="AD35:AD38" si="117">MAX(AD29,AD23,AD17,AD11,AD5)</f>
        <v>185.69239159919033</v>
      </c>
      <c r="AE35" s="36">
        <f>MIN(AE29,AE23,AE17,AE11,AE5)</f>
        <v>61213.180600000007</v>
      </c>
      <c r="AF35" s="36">
        <f>AVERAGE(AF29,AF23,AF17,AF11,AF5)</f>
        <v>104487.7868174</v>
      </c>
      <c r="AG35" s="36">
        <f t="shared" ref="AG35:AG38" si="118">MAX(AG29,AG23,AG17,AG11,AG5)</f>
        <v>142574.18292000002</v>
      </c>
      <c r="AH35" s="36">
        <f t="shared" ref="AH35:AH38" si="119">MIN(AH29,AH23,AH17,AH11,AH5)</f>
        <v>157561.54968785003</v>
      </c>
      <c r="AI35" s="36">
        <f t="shared" ref="AI35:AI38" si="120">AVERAGE(AI29,AI23,AI17,AI11,AI5)</f>
        <v>261010.2669916451</v>
      </c>
      <c r="AJ35" s="36">
        <f t="shared" ref="AJ35:AJ38" si="121">MAX(AJ29,AJ23,AJ17,AJ11,AJ5)</f>
        <v>366983.20502487</v>
      </c>
      <c r="AK35" s="36">
        <f t="shared" ref="AK35:AK38" si="122">MIN(AK29,AK23,AK17,AK11,AK5)</f>
        <v>79.737626360247987</v>
      </c>
      <c r="AL35" s="36">
        <f t="shared" ref="AL35:AL38" si="123">AVERAGE(AL29,AL23,AL17,AL11,AL5)</f>
        <v>133.65020417460815</v>
      </c>
      <c r="AM35" s="36">
        <f t="shared" ref="AM35:AM38" si="124">MAX(AM29,AM23,AM17,AM11,AM5)</f>
        <v>185.72024545793016</v>
      </c>
      <c r="AN35" s="36">
        <f>MIN(AN29,AN23,AN17,AN11,AN5)</f>
        <v>61222.361199999999</v>
      </c>
      <c r="AO35" s="36">
        <f>AVERAGE(AO29,AO23,AO17,AO11,AO5)</f>
        <v>104503.4576348</v>
      </c>
      <c r="AP35" s="36">
        <f t="shared" ref="AP35:AP38" si="125">MAX(AP29,AP23,AP17,AP11,AP5)</f>
        <v>142595.56584000002</v>
      </c>
      <c r="AQ35" s="36">
        <f t="shared" ref="AQ35:AQ38" si="126">MIN(AQ29,AQ23,AQ17,AQ11,AQ5)</f>
        <v>157585.1803757</v>
      </c>
      <c r="AR35" s="36">
        <f t="shared" ref="AR35:AR38" si="127">AVERAGE(AR29,AR23,AR17,AR11,AR5)</f>
        <v>261049.35788805931</v>
      </c>
      <c r="AS35" s="36">
        <f t="shared" ref="AS35:AS38" si="128">MAX(AS29,AS23,AS17,AS11,AS5)</f>
        <v>367038.24424974015</v>
      </c>
      <c r="AT35" s="36">
        <f t="shared" ref="AT35:AT38" si="129">MIN(AT29,AT23,AT17,AT11,AT5)</f>
        <v>79.749585210374491</v>
      </c>
      <c r="AU35" s="36">
        <f t="shared" ref="AU35:AU38" si="130">AVERAGE(AU29,AU23,AU17,AU11,AU5)</f>
        <v>133.67021964190627</v>
      </c>
      <c r="AV35" s="36">
        <f t="shared" ref="AV35:AV38" si="131">MAX(AV29,AV23,AV17,AV11,AV5)</f>
        <v>185.74809931667014</v>
      </c>
      <c r="AW35" s="36">
        <f>MIN(AW29,AW23,AW17,AW11,AW5)</f>
        <v>61231.541800000006</v>
      </c>
      <c r="AX35" s="36">
        <f>AVERAGE(AX29,AX23,AX17,AX11,AX5)</f>
        <v>104519.12845220001</v>
      </c>
      <c r="AY35" s="36">
        <f t="shared" ref="AY35:AY38" si="132">MAX(AY29,AY23,AY17,AY11,AY5)</f>
        <v>142616.94876000003</v>
      </c>
      <c r="AZ35" s="36">
        <f t="shared" ref="AZ35:AZ38" si="133">MIN(AZ29,AZ23,AZ17,AZ11,AZ5)</f>
        <v>157608.81106355006</v>
      </c>
      <c r="BA35" s="36">
        <f t="shared" ref="BA35:BA38" si="134">AVERAGE(BA29,BA23,BA17,BA11,BA5)</f>
        <v>261088.44878447364</v>
      </c>
      <c r="BB35" s="36">
        <f t="shared" ref="BB35:BB38" si="135">MAX(BB29,BB23,BB17,BB11,BB5)</f>
        <v>367093.28347461007</v>
      </c>
      <c r="BC35" s="36">
        <f t="shared" ref="BC35:BC38" si="136">MIN(BC29,BC23,BC17,BC11,BC5)</f>
        <v>79.761544060501038</v>
      </c>
      <c r="BD35" s="36">
        <f t="shared" ref="BD35:BD38" si="137">AVERAGE(BD29,BD23,BD17,BD11,BD5)</f>
        <v>133.69023510920442</v>
      </c>
      <c r="BE35" s="36">
        <f t="shared" ref="BE35:BE38" si="138">MAX(BE29,BE23,BE17,BE11,BE5)</f>
        <v>185.77595317540994</v>
      </c>
      <c r="BF35" s="36">
        <f>MIN(BF29,BF23,BF17,BF11,BF5)</f>
        <v>61240.722399999999</v>
      </c>
      <c r="BG35" s="36">
        <f>AVERAGE(BG29,BG23,BG17,BG11,BG5)</f>
        <v>104534.7992696</v>
      </c>
      <c r="BH35" s="36">
        <f t="shared" ref="BH35:BH38" si="139">MAX(BH29,BH23,BH17,BH11,BH5)</f>
        <v>142638.33168</v>
      </c>
      <c r="BI35" s="36">
        <f t="shared" ref="BI35:BI38" si="140">MIN(BI29,BI23,BI17,BI11,BI5)</f>
        <v>157632.44175140001</v>
      </c>
      <c r="BJ35" s="36">
        <f t="shared" ref="BJ35:BJ38" si="141">AVERAGE(BJ29,BJ23,BJ17,BJ11,BJ5)</f>
        <v>261127.53968088789</v>
      </c>
      <c r="BK35" s="36">
        <f t="shared" ref="BK35:BK38" si="142">MAX(BK29,BK23,BK17,BK11,BK5)</f>
        <v>367148.32269948005</v>
      </c>
      <c r="BL35" s="36">
        <f t="shared" ref="BL35:BL38" si="143">MIN(BL29,BL23,BL17,BL11,BL5)</f>
        <v>79.773502910627528</v>
      </c>
      <c r="BM35" s="36">
        <f t="shared" ref="BM35:BM38" si="144">AVERAGE(BM29,BM23,BM17,BM11,BM5)</f>
        <v>133.71025057650255</v>
      </c>
      <c r="BN35" s="36">
        <f t="shared" ref="BN35:BN38" si="145">MAX(BN29,BN23,BN17,BN11,BN5)</f>
        <v>185.80380703414983</v>
      </c>
    </row>
    <row r="36" spans="1:66" x14ac:dyDescent="0.2">
      <c r="A36" s="4" t="s">
        <v>96</v>
      </c>
      <c r="B36" s="19" t="s">
        <v>47</v>
      </c>
      <c r="J36" s="8">
        <f t="shared" si="112"/>
        <v>0.1095</v>
      </c>
      <c r="K36" s="32">
        <f t="shared" si="112"/>
        <v>37.950000000000003</v>
      </c>
      <c r="L36" s="8">
        <f t="shared" si="112"/>
        <v>1</v>
      </c>
      <c r="M36" s="8">
        <f t="shared" si="112"/>
        <v>0.1</v>
      </c>
      <c r="N36" s="8">
        <f t="shared" si="112"/>
        <v>3.5000000000000003E-2</v>
      </c>
      <c r="O36" s="27">
        <f t="shared" si="112"/>
        <v>0</v>
      </c>
      <c r="P36" s="8">
        <f t="shared" si="112"/>
        <v>0</v>
      </c>
      <c r="Q36" s="8">
        <f t="shared" si="112"/>
        <v>4.5999999999999999E-2</v>
      </c>
      <c r="R36" s="23">
        <f t="shared" si="112"/>
        <v>365.2</v>
      </c>
      <c r="S36" s="32">
        <f t="shared" si="112"/>
        <v>4</v>
      </c>
      <c r="T36" s="8">
        <f t="shared" si="112"/>
        <v>7.4999999999999997E-2</v>
      </c>
      <c r="U36" s="8">
        <f t="shared" si="112"/>
        <v>1.4999999999999999E-2</v>
      </c>
      <c r="V36" s="36">
        <f>MIN(V30,V24,V18,V12,V6)</f>
        <v>47704</v>
      </c>
      <c r="W36" s="36">
        <f>AVERAGE(W30,W24,W18,W12,W6)</f>
        <v>65202.815999999992</v>
      </c>
      <c r="X36" s="36">
        <f t="shared" si="113"/>
        <v>91460</v>
      </c>
      <c r="Y36" s="36">
        <f>MIN(Y30,Y24,Y18,Y12,Y6)</f>
        <v>113848.28031999999</v>
      </c>
      <c r="Z36" s="36">
        <f>AVERAGE(Z30,Z24,Z18,Z12,Z6)</f>
        <v>160373.11024138459</v>
      </c>
      <c r="AA36" s="36">
        <f t="shared" si="114"/>
        <v>233349.63692307693</v>
      </c>
      <c r="AB36" s="36">
        <f t="shared" si="115"/>
        <v>54.73475015384615</v>
      </c>
      <c r="AC36" s="36">
        <f t="shared" si="116"/>
        <v>81.422265218039641</v>
      </c>
      <c r="AD36" s="36">
        <f t="shared" si="117"/>
        <v>118.09192151977578</v>
      </c>
      <c r="AE36" s="36">
        <f>MIN(AE30,AE24,AE18,AE12,AE6)</f>
        <v>47711.155600000006</v>
      </c>
      <c r="AF36" s="36">
        <f>AVERAGE(AF30,AF24,AF18,AF12,AF6)</f>
        <v>65212.596422399998</v>
      </c>
      <c r="AG36" s="36">
        <f t="shared" si="118"/>
        <v>91473.719000000012</v>
      </c>
      <c r="AH36" s="36">
        <f t="shared" si="119"/>
        <v>113865.35756204798</v>
      </c>
      <c r="AI36" s="36">
        <f t="shared" si="120"/>
        <v>160397.11142792081</v>
      </c>
      <c r="AJ36" s="36">
        <f t="shared" si="121"/>
        <v>233384.6393686154</v>
      </c>
      <c r="AK36" s="36">
        <f t="shared" si="122"/>
        <v>54.742960366369218</v>
      </c>
      <c r="AL36" s="36">
        <f t="shared" si="123"/>
        <v>81.434449496814395</v>
      </c>
      <c r="AM36" s="36">
        <f t="shared" si="124"/>
        <v>118.10963530800375</v>
      </c>
      <c r="AN36" s="36">
        <f>MIN(AN30,AN24,AN18,AN12,AN6)</f>
        <v>47718.311199999996</v>
      </c>
      <c r="AO36" s="36">
        <f>AVERAGE(AO30,AO24,AO18,AO12,AO6)</f>
        <v>65222.376844799997</v>
      </c>
      <c r="AP36" s="36">
        <f t="shared" si="125"/>
        <v>91487.437999999995</v>
      </c>
      <c r="AQ36" s="36">
        <f t="shared" si="126"/>
        <v>113882.43480409597</v>
      </c>
      <c r="AR36" s="36">
        <f t="shared" si="127"/>
        <v>160421.112614457</v>
      </c>
      <c r="AS36" s="36">
        <f t="shared" si="128"/>
        <v>233419.64181415382</v>
      </c>
      <c r="AT36" s="36">
        <f t="shared" si="129"/>
        <v>54.7511705788923</v>
      </c>
      <c r="AU36" s="36">
        <f t="shared" si="130"/>
        <v>81.446633775589135</v>
      </c>
      <c r="AV36" s="36">
        <f t="shared" si="131"/>
        <v>118.12734909623168</v>
      </c>
      <c r="AW36" s="36">
        <f>MIN(AW30,AW24,AW18,AW12,AW6)</f>
        <v>47725.466800000002</v>
      </c>
      <c r="AX36" s="36">
        <f>AVERAGE(AX30,AX24,AX18,AX12,AX6)</f>
        <v>65232.157267199989</v>
      </c>
      <c r="AY36" s="36">
        <f t="shared" si="132"/>
        <v>91501.157000000007</v>
      </c>
      <c r="AZ36" s="36">
        <f t="shared" si="133"/>
        <v>113899.51204614399</v>
      </c>
      <c r="BA36" s="36">
        <f t="shared" si="134"/>
        <v>160445.11380099325</v>
      </c>
      <c r="BB36" s="36">
        <f t="shared" si="135"/>
        <v>233454.64425969232</v>
      </c>
      <c r="BC36" s="36">
        <f t="shared" si="136"/>
        <v>54.759380791415381</v>
      </c>
      <c r="BD36" s="36">
        <f t="shared" si="137"/>
        <v>81.458818054363888</v>
      </c>
      <c r="BE36" s="36">
        <f t="shared" si="138"/>
        <v>118.14506288445966</v>
      </c>
      <c r="BF36" s="36">
        <f>MIN(BF30,BF24,BF18,BF12,BF6)</f>
        <v>47732.6224</v>
      </c>
      <c r="BG36" s="36">
        <f>AVERAGE(BG30,BG24,BG18,BG12,BG6)</f>
        <v>65241.937689600003</v>
      </c>
      <c r="BH36" s="36">
        <f t="shared" si="139"/>
        <v>91514.875999999989</v>
      </c>
      <c r="BI36" s="36">
        <f t="shared" si="140"/>
        <v>113916.58928819199</v>
      </c>
      <c r="BJ36" s="36">
        <f t="shared" si="141"/>
        <v>160469.11498752941</v>
      </c>
      <c r="BK36" s="36">
        <f t="shared" si="142"/>
        <v>233489.64670523073</v>
      </c>
      <c r="BL36" s="36">
        <f t="shared" si="143"/>
        <v>54.767591003938456</v>
      </c>
      <c r="BM36" s="36">
        <f t="shared" si="144"/>
        <v>81.471002333138614</v>
      </c>
      <c r="BN36" s="36">
        <f t="shared" si="145"/>
        <v>118.1627766726876</v>
      </c>
    </row>
    <row r="37" spans="1:66" x14ac:dyDescent="0.2">
      <c r="A37" s="4" t="s">
        <v>96</v>
      </c>
      <c r="B37" s="19" t="s">
        <v>50</v>
      </c>
      <c r="J37" s="8">
        <f t="shared" si="112"/>
        <v>0.1095</v>
      </c>
      <c r="K37" s="32">
        <f t="shared" si="112"/>
        <v>37.950000000000003</v>
      </c>
      <c r="L37" s="8">
        <f t="shared" si="112"/>
        <v>1</v>
      </c>
      <c r="M37" s="8">
        <f t="shared" si="112"/>
        <v>0.1</v>
      </c>
      <c r="N37" s="8">
        <f t="shared" si="112"/>
        <v>3.5000000000000003E-2</v>
      </c>
      <c r="O37" s="27">
        <f t="shared" si="112"/>
        <v>0</v>
      </c>
      <c r="P37" s="8">
        <f t="shared" si="112"/>
        <v>0</v>
      </c>
      <c r="Q37" s="8">
        <f t="shared" si="112"/>
        <v>4.5999999999999999E-2</v>
      </c>
      <c r="R37" s="23">
        <f t="shared" si="112"/>
        <v>365.2</v>
      </c>
      <c r="S37" s="32">
        <f t="shared" si="112"/>
        <v>4</v>
      </c>
      <c r="T37" s="8">
        <f t="shared" si="112"/>
        <v>0.11000000000000001</v>
      </c>
      <c r="U37" s="8">
        <f t="shared" si="112"/>
        <v>1.4999999999999999E-2</v>
      </c>
      <c r="V37" s="36">
        <f>MIN(V31,V25,V19,V13,V7)</f>
        <v>66106</v>
      </c>
      <c r="W37" s="36">
        <f>AVERAGE(W31,W25,W19,W13,W7)</f>
        <v>94993.5</v>
      </c>
      <c r="X37" s="36">
        <f t="shared" si="113"/>
        <v>139576</v>
      </c>
      <c r="Y37" s="36">
        <f>MIN(Y31,Y25,Y19,Y13,Y7)</f>
        <v>156865.01138461538</v>
      </c>
      <c r="Z37" s="36">
        <f>AVERAGE(Z31,Z25,Z19,Z13,Z7)</f>
        <v>236283.21867307689</v>
      </c>
      <c r="AA37" s="36">
        <f t="shared" si="114"/>
        <v>334773.81138461537</v>
      </c>
      <c r="AB37" s="36">
        <f t="shared" si="115"/>
        <v>80.443595581854055</v>
      </c>
      <c r="AC37" s="36">
        <f t="shared" si="116"/>
        <v>119.9255595053999</v>
      </c>
      <c r="AD37" s="36">
        <f t="shared" si="117"/>
        <v>177.59883893083045</v>
      </c>
      <c r="AE37" s="36">
        <f>MIN(AE31,AE25,AE19,AE13,AE7)</f>
        <v>66115.915900000007</v>
      </c>
      <c r="AF37" s="36">
        <f>AVERAGE(AF31,AF25,AF19,AF13,AF7)</f>
        <v>95007.749025000012</v>
      </c>
      <c r="AG37" s="36">
        <f t="shared" si="118"/>
        <v>139596.93640000001</v>
      </c>
      <c r="AH37" s="36">
        <f t="shared" si="119"/>
        <v>156888.5411363231</v>
      </c>
      <c r="AI37" s="36">
        <f t="shared" si="120"/>
        <v>236318.60637587792</v>
      </c>
      <c r="AJ37" s="36">
        <f t="shared" si="121"/>
        <v>334823.75355632312</v>
      </c>
      <c r="AK37" s="36">
        <f t="shared" si="122"/>
        <v>80.455662121191338</v>
      </c>
      <c r="AL37" s="36">
        <f t="shared" si="123"/>
        <v>119.94351927831777</v>
      </c>
      <c r="AM37" s="36">
        <f t="shared" si="124"/>
        <v>177.6253334516303</v>
      </c>
      <c r="AN37" s="36">
        <f>MIN(AN31,AN25,AN19,AN13,AN7)</f>
        <v>66125.8318</v>
      </c>
      <c r="AO37" s="36">
        <f>AVERAGE(AO31,AO25,AO19,AO13,AO7)</f>
        <v>95021.998049999995</v>
      </c>
      <c r="AP37" s="36">
        <f t="shared" si="125"/>
        <v>139617.87279999998</v>
      </c>
      <c r="AQ37" s="36">
        <f t="shared" si="126"/>
        <v>156912.07088803075</v>
      </c>
      <c r="AR37" s="36">
        <f t="shared" si="127"/>
        <v>236353.99407867884</v>
      </c>
      <c r="AS37" s="36">
        <f t="shared" si="128"/>
        <v>334873.69572803075</v>
      </c>
      <c r="AT37" s="36">
        <f t="shared" si="129"/>
        <v>80.467728660528593</v>
      </c>
      <c r="AU37" s="36">
        <f t="shared" si="130"/>
        <v>119.9614790512356</v>
      </c>
      <c r="AV37" s="36">
        <f t="shared" si="131"/>
        <v>177.65182797243011</v>
      </c>
      <c r="AW37" s="36">
        <f>MIN(AW31,AW25,AW19,AW13,AW7)</f>
        <v>66135.747700000007</v>
      </c>
      <c r="AX37" s="36">
        <f>AVERAGE(AX31,AX25,AX19,AX13,AX7)</f>
        <v>95036.247075000007</v>
      </c>
      <c r="AY37" s="36">
        <f t="shared" si="132"/>
        <v>139638.80920000002</v>
      </c>
      <c r="AZ37" s="36">
        <f t="shared" si="133"/>
        <v>156935.60063973849</v>
      </c>
      <c r="BA37" s="36">
        <f t="shared" si="134"/>
        <v>236389.38178147981</v>
      </c>
      <c r="BB37" s="36">
        <f t="shared" si="135"/>
        <v>334923.6378997385</v>
      </c>
      <c r="BC37" s="36">
        <f t="shared" si="136"/>
        <v>80.47979519986589</v>
      </c>
      <c r="BD37" s="36">
        <f t="shared" si="137"/>
        <v>119.97943882415345</v>
      </c>
      <c r="BE37" s="36">
        <f t="shared" si="138"/>
        <v>177.67832249322996</v>
      </c>
      <c r="BF37" s="36">
        <f>MIN(BF31,BF25,BF19,BF13,BF7)</f>
        <v>66145.6636</v>
      </c>
      <c r="BG37" s="36">
        <f>AVERAGE(BG31,BG25,BG19,BG13,BG7)</f>
        <v>95050.496100000004</v>
      </c>
      <c r="BH37" s="36">
        <f t="shared" si="139"/>
        <v>139659.74559999999</v>
      </c>
      <c r="BI37" s="36">
        <f t="shared" si="140"/>
        <v>156959.13039144612</v>
      </c>
      <c r="BJ37" s="36">
        <f t="shared" si="141"/>
        <v>236424.76948428078</v>
      </c>
      <c r="BK37" s="36">
        <f t="shared" si="142"/>
        <v>334973.58007144614</v>
      </c>
      <c r="BL37" s="36">
        <f t="shared" si="143"/>
        <v>80.491861739203131</v>
      </c>
      <c r="BM37" s="36">
        <f t="shared" si="144"/>
        <v>119.99739859707131</v>
      </c>
      <c r="BN37" s="36">
        <f t="shared" si="145"/>
        <v>177.7048170140298</v>
      </c>
    </row>
    <row r="38" spans="1:66" x14ac:dyDescent="0.2">
      <c r="A38" s="4" t="s">
        <v>96</v>
      </c>
      <c r="B38" s="19" t="s">
        <v>55</v>
      </c>
      <c r="J38" s="8">
        <f t="shared" si="112"/>
        <v>0.1095</v>
      </c>
      <c r="K38" s="32">
        <f t="shared" si="112"/>
        <v>38.799999999999997</v>
      </c>
      <c r="L38" s="8">
        <f t="shared" si="112"/>
        <v>1</v>
      </c>
      <c r="M38" s="8">
        <f t="shared" si="112"/>
        <v>0</v>
      </c>
      <c r="N38" s="8">
        <f t="shared" si="112"/>
        <v>3.5000000000000003E-2</v>
      </c>
      <c r="O38" s="27">
        <f t="shared" si="112"/>
        <v>0.04</v>
      </c>
      <c r="P38" s="8">
        <f t="shared" si="112"/>
        <v>0.25480000000000003</v>
      </c>
      <c r="Q38" s="8">
        <f t="shared" si="112"/>
        <v>4.5999999999999999E-2</v>
      </c>
      <c r="R38" s="23">
        <f t="shared" si="112"/>
        <v>28681.832000000002</v>
      </c>
      <c r="S38" s="32">
        <f t="shared" si="112"/>
        <v>4.4000000000000004</v>
      </c>
      <c r="T38" s="8">
        <f t="shared" si="112"/>
        <v>0.10499999999999998</v>
      </c>
      <c r="U38" s="8">
        <f t="shared" si="112"/>
        <v>1.4999999999999999E-2</v>
      </c>
      <c r="V38" s="36">
        <f>MIN(V32,V26,V20,V14,V8)</f>
        <v>179078</v>
      </c>
      <c r="W38" s="36">
        <f>AVERAGE(W32,W26,W20,W14,W8)</f>
        <v>266292.27999999997</v>
      </c>
      <c r="X38" s="36">
        <f t="shared" si="113"/>
        <v>386515</v>
      </c>
      <c r="Y38" s="36">
        <f>MIN(Y32,Y26,Y20,Y14,Y8)</f>
        <v>548010.7001923077</v>
      </c>
      <c r="Z38" s="36">
        <f>AVERAGE(Z32,Z26,Z20,Z14,Z8)</f>
        <v>732328.94098192314</v>
      </c>
      <c r="AA38" s="36">
        <f t="shared" si="114"/>
        <v>923660.79024999996</v>
      </c>
      <c r="AB38" s="36">
        <f t="shared" si="115"/>
        <v>263.46668278476329</v>
      </c>
      <c r="AC38" s="36">
        <f t="shared" si="116"/>
        <v>363.32101247265263</v>
      </c>
      <c r="AD38" s="36">
        <f t="shared" si="117"/>
        <v>467.4396711791498</v>
      </c>
      <c r="AE38" s="36">
        <f>MIN(AE32,AE26,AE20,AE14,AE8)</f>
        <v>179104.86170000001</v>
      </c>
      <c r="AF38" s="36">
        <f>AVERAGE(AF32,AF26,AF20,AF14,AF8)</f>
        <v>266332.22384200001</v>
      </c>
      <c r="AG38" s="36">
        <f t="shared" si="118"/>
        <v>386572.97725000005</v>
      </c>
      <c r="AH38" s="36">
        <f t="shared" si="119"/>
        <v>548087.20179733657</v>
      </c>
      <c r="AI38" s="36">
        <f t="shared" si="120"/>
        <v>732434.48804827058</v>
      </c>
      <c r="AJ38" s="36">
        <f t="shared" si="121"/>
        <v>923795.43936853763</v>
      </c>
      <c r="AK38" s="36">
        <f t="shared" si="122"/>
        <v>263.50346240256567</v>
      </c>
      <c r="AL38" s="36">
        <f t="shared" si="123"/>
        <v>363.37338415119359</v>
      </c>
      <c r="AM38" s="36">
        <f t="shared" si="124"/>
        <v>467.50781344561619</v>
      </c>
      <c r="AN38" s="36">
        <f>MIN(AN32,AN26,AN20,AN14,AN8)</f>
        <v>179131.72339999999</v>
      </c>
      <c r="AO38" s="36">
        <f>AVERAGE(AO32,AO26,AO20,AO14,AO8)</f>
        <v>266372.16768399999</v>
      </c>
      <c r="AP38" s="36">
        <f t="shared" si="125"/>
        <v>386630.95449999999</v>
      </c>
      <c r="AQ38" s="36">
        <f t="shared" si="126"/>
        <v>548163.70340236533</v>
      </c>
      <c r="AR38" s="36">
        <f t="shared" si="127"/>
        <v>732540.03511461767</v>
      </c>
      <c r="AS38" s="36">
        <f t="shared" si="128"/>
        <v>923930.08848707518</v>
      </c>
      <c r="AT38" s="36">
        <f t="shared" si="129"/>
        <v>263.54024202036794</v>
      </c>
      <c r="AU38" s="36">
        <f t="shared" si="130"/>
        <v>363.4257558297345</v>
      </c>
      <c r="AV38" s="36">
        <f t="shared" si="131"/>
        <v>467.57595571208259</v>
      </c>
      <c r="AW38" s="36">
        <f>MIN(AW32,AW26,AW20,AW14,AW8)</f>
        <v>179158.5851</v>
      </c>
      <c r="AX38" s="36">
        <f>AVERAGE(AX32,AX26,AX20,AX14,AX8)</f>
        <v>266412.11152600002</v>
      </c>
      <c r="AY38" s="36">
        <f t="shared" si="132"/>
        <v>386688.93175000005</v>
      </c>
      <c r="AZ38" s="36">
        <f t="shared" si="133"/>
        <v>548240.20500739431</v>
      </c>
      <c r="BA38" s="36">
        <f t="shared" si="134"/>
        <v>732645.58218096499</v>
      </c>
      <c r="BB38" s="36">
        <f t="shared" si="135"/>
        <v>924064.73760561249</v>
      </c>
      <c r="BC38" s="36">
        <f t="shared" si="136"/>
        <v>263.57702163817032</v>
      </c>
      <c r="BD38" s="36">
        <f t="shared" si="137"/>
        <v>363.47812750827546</v>
      </c>
      <c r="BE38" s="36">
        <f t="shared" si="138"/>
        <v>467.64409797854887</v>
      </c>
      <c r="BF38" s="36">
        <f>MIN(BF32,BF26,BF20,BF14,BF8)</f>
        <v>179185.44679999998</v>
      </c>
      <c r="BG38" s="36">
        <f>AVERAGE(BG32,BG26,BG20,BG14,BG8)</f>
        <v>266452.055368</v>
      </c>
      <c r="BH38" s="36">
        <f t="shared" si="139"/>
        <v>386746.90899999999</v>
      </c>
      <c r="BI38" s="36">
        <f t="shared" si="140"/>
        <v>548316.70661242306</v>
      </c>
      <c r="BJ38" s="36">
        <f t="shared" si="141"/>
        <v>732751.1292473122</v>
      </c>
      <c r="BK38" s="36">
        <f t="shared" si="142"/>
        <v>924199.38672414992</v>
      </c>
      <c r="BL38" s="36">
        <f t="shared" si="143"/>
        <v>263.61380125597259</v>
      </c>
      <c r="BM38" s="36">
        <f t="shared" si="144"/>
        <v>363.53049918681637</v>
      </c>
      <c r="BN38" s="36">
        <f t="shared" si="145"/>
        <v>467.71224024501515</v>
      </c>
    </row>
    <row r="40" spans="1:66" x14ac:dyDescent="0.2">
      <c r="A40" s="4" t="s">
        <v>96</v>
      </c>
      <c r="B40" s="19" t="s">
        <v>33</v>
      </c>
      <c r="J40" s="28" t="str">
        <f>TEXT(J34, "0.0%") &amp; " (" &amp; TEXT(MIN(J28,J22,J16,J10,J4), "0.0%") &amp; " - " &amp; TEXT(MAX(J28,J22,J16,J10,J4), "0.0%") &amp; ")"</f>
        <v>11.0% (10.5% - 12.8%)</v>
      </c>
      <c r="K40" s="28" t="str">
        <f>TEXT(K34, "0.0") &amp; " (" &amp; TEXT(MIN(K28,K22,K16,K10,K4), "0.0") &amp; " - " &amp; TEXT(MAX(K28,K22,K16,K10,K4), "0.0") &amp; ")"</f>
        <v>38.0 (36.3 - 40.0)</v>
      </c>
      <c r="L40" s="28" t="str">
        <f t="shared" ref="L40:Q44" si="146">TEXT(L34, "0.0%") &amp; " (" &amp; TEXT(MIN(L28,L22,L16,L10,L4), "0.0%") &amp; " - " &amp; TEXT(MAX(L28,L22,L16,L10,L4), "0.0%") &amp; ")"</f>
        <v>100.0% (100.0% - 100.0%)</v>
      </c>
      <c r="M40" s="28" t="str">
        <f t="shared" si="146"/>
        <v>10.0% (10.0% - 10.0%)</v>
      </c>
      <c r="N40" s="28" t="str">
        <f t="shared" si="146"/>
        <v>3.5% (3.5% - 3.5%)</v>
      </c>
      <c r="O40" s="28" t="str">
        <f t="shared" si="146"/>
        <v>0.0% (0.0% - 0.0%)</v>
      </c>
      <c r="P40" s="28" t="str">
        <f t="shared" si="146"/>
        <v>0.0% (0.0% - 0.0%)</v>
      </c>
      <c r="Q40" s="28" t="str">
        <f t="shared" si="146"/>
        <v>4.6% (4.6% - 4.6%)</v>
      </c>
      <c r="R40" s="28" t="str">
        <f>TEXT(R34, "$0.0") &amp; " (" &amp; TEXT(MIN(R28,R22,R16,R10,R4), "$0.0") &amp; " - " &amp; TEXT(MAX(R28,R22,R16,R10,R4), "$0.0") &amp; ")"</f>
        <v>$365.2 ($0.0 - $1826.0)</v>
      </c>
      <c r="S40" s="28" t="str">
        <f>TEXT(S34, "0.0") &amp; " (" &amp; TEXT(MIN(S28,S22,S16,S10,S4), "0.0") &amp; " - " &amp; TEXT(MAX(S28,S22,S16,S10,S4), "0.0") &amp; ")"</f>
        <v>4.0 (4.0 - 4.0)</v>
      </c>
      <c r="T40" s="28" t="str">
        <f>TEXT(T34, "0.0%") &amp; " (" &amp; TEXT(MIN(T28,T22,T16,T10,T4), "0.0%") &amp; " - " &amp; TEXT(MAX(T28,T22,T16,T10,T4), "0.0%") &amp; ")"</f>
        <v>7.5% (0.0% - 20.0%)</v>
      </c>
      <c r="U40" s="28" t="str">
        <f>TEXT(U34, "0.0%") &amp; " (" &amp; TEXT(MIN(U28,U22,U16,U10,U4), "0.0%") &amp; " - " &amp; TEXT(MAX(U28,U22,U16,U10,U4), "0.0%") &amp; ")"</f>
        <v>1.5% (1.5% - 1.5%)</v>
      </c>
      <c r="V40" s="28" t="str">
        <f>"AUD " &amp; TEXT(W34, "0,0") &amp; " (" &amp; TEXT(V34, "0,0") &amp; " - " &amp; TEXT(X34, "0,0") &amp; ")"</f>
        <v>AUD 78,369 (48,552 - 110,314)</v>
      </c>
      <c r="Y40" s="28" t="str">
        <f>"AUD " &amp; TEXT(Z34, "0,0") &amp; " (" &amp; TEXT(Y34, "0,0") &amp; " - " &amp; TEXT(AA34, "0,0") &amp; ")"</f>
        <v>AUD 192,514 (117,643 - 281,453)</v>
      </c>
      <c r="AB40" s="28" t="str">
        <f>"AUD " &amp; TEXT(AC34, "0,0") &amp; " (" &amp; TEXT(AB34, "0,0") &amp; " - " &amp; TEXT(AD34, "0,0") &amp; ")"</f>
        <v>AUD 98 (62 - 142)</v>
      </c>
      <c r="AE40" s="28" t="str">
        <f>"AUD " &amp; TEXT(AF34, "0,0") &amp; " (" &amp; TEXT(AE34, "0,0") &amp; " - " &amp; TEXT(AG34, "0,0") &amp; ")"</f>
        <v>AUD 78,380 (48,559 - 110,331)</v>
      </c>
      <c r="AH40" s="28" t="str">
        <f>"AUD " &amp; TEXT(AI34, "0,0") &amp; " (" &amp; TEXT(AH34, "0,0") &amp; " - " &amp; TEXT(AJ34, "0,0") &amp; ")"</f>
        <v>AUD 192,543 (117,660 - 281,496)</v>
      </c>
      <c r="AK40" s="28" t="str">
        <f>"AUD " &amp; TEXT(AL34, "0,0") &amp; " (" &amp; TEXT(AK34, "0,0") &amp; " - " &amp; TEXT(AM34, "0,0") &amp; ")"</f>
        <v>AUD 98 (62 - 142)</v>
      </c>
      <c r="AN40" s="34" t="s">
        <v>97</v>
      </c>
      <c r="AQ40" s="28" t="str">
        <f>"AUD " &amp; TEXT(AR34, "0,0") &amp; " (" &amp; TEXT(AQ34, "0,0") &amp; " - " &amp; TEXT(AS34, "0,0") &amp; ")"</f>
        <v>AUD 192,572 (117,678 - 281,538)</v>
      </c>
      <c r="AT40" s="28" t="str">
        <f>"AUD " &amp; TEXT(AU34, "0,0") &amp; " (" &amp; TEXT(AT34, "0,0") &amp; " - " &amp; TEXT(AV34, "0,0") &amp; ")"</f>
        <v>AUD 98 (62 - 142)</v>
      </c>
      <c r="AW40" s="34" t="s">
        <v>97</v>
      </c>
      <c r="AZ40" s="28" t="str">
        <f>"AUD " &amp; TEXT(BA34, "0,0") &amp; " (" &amp; TEXT(AZ34, "0,0") &amp; " - " &amp; TEXT(BB34, "0,0") &amp; ")"</f>
        <v>AUD 192,601 (117,695 - 281,580)</v>
      </c>
      <c r="BC40" s="28" t="str">
        <f>"AUD " &amp; TEXT(BD34, "0,0") &amp; " (" &amp; TEXT(BC34, "0,0") &amp; " - " &amp; TEXT(BE34, "0,0") &amp; ")"</f>
        <v>AUD 98 (62 - 143)</v>
      </c>
      <c r="BF40" s="34" t="s">
        <v>97</v>
      </c>
      <c r="BI40" s="28" t="str">
        <f>"AUD " &amp; TEXT(BJ34, "0,0") &amp; " (" &amp; TEXT(BI34, "0,0") &amp; " - " &amp; TEXT(BK34, "0,0") &amp; ")"</f>
        <v>AUD 192,630 (117,713 - 281,622)</v>
      </c>
      <c r="BL40" s="28" t="str">
        <f>"AUD " &amp; TEXT(BM34, "0,0") &amp; " (" &amp; TEXT(BL34, "0,0") &amp; " - " &amp; TEXT(BN34, "0,0") &amp; ")"</f>
        <v>AUD 98 (62 - 143)</v>
      </c>
    </row>
    <row r="41" spans="1:66" x14ac:dyDescent="0.2">
      <c r="A41" s="4" t="s">
        <v>96</v>
      </c>
      <c r="B41" s="19" t="s">
        <v>40</v>
      </c>
      <c r="J41" s="28" t="str">
        <f t="shared" ref="J41:J44" si="147">TEXT(J35, "0.0%") &amp; " (" &amp; TEXT(MIN(J29,J23,J17,J11,J5), "0.0%") &amp; " - " &amp; TEXT(MAX(J29,J23,J17,J11,J5), "0.0%") &amp; ")"</f>
        <v>11.0% (10.5% - 12.8%)</v>
      </c>
      <c r="K41" s="28" t="str">
        <f t="shared" ref="K41:K44" si="148">TEXT(K35, "0.0") &amp; " (" &amp; TEXT(MIN(K29,K23,K17,K11,K5), "0.0") &amp; " - " &amp; TEXT(MAX(K29,K23,K17,K11,K5), "0.0") &amp; ")"</f>
        <v>37.6 (36.3 - 38.0)</v>
      </c>
      <c r="L41" s="28" t="str">
        <f t="shared" si="146"/>
        <v>100.0% (100.0% - 100.0%)</v>
      </c>
      <c r="M41" s="28" t="str">
        <f t="shared" si="146"/>
        <v>10.0% (10.0% - 10.0%)</v>
      </c>
      <c r="N41" s="28" t="str">
        <f t="shared" si="146"/>
        <v>3.5% (3.5% - 3.5%)</v>
      </c>
      <c r="O41" s="28" t="str">
        <f t="shared" si="146"/>
        <v>0.0% (0.0% - 0.0%)</v>
      </c>
      <c r="P41" s="28" t="str">
        <f t="shared" si="146"/>
        <v>0.0% (0.0% - 0.0%)</v>
      </c>
      <c r="Q41" s="28" t="str">
        <f t="shared" si="146"/>
        <v>4.6% (4.6% - 4.6%)</v>
      </c>
      <c r="R41" s="28" t="str">
        <f t="shared" ref="R41:R44" si="149">TEXT(R35, "$0.0") &amp; " (" &amp; TEXT(MIN(R29,R23,R17,R11,R5), "$0.0") &amp; " - " &amp; TEXT(MAX(R29,R23,R17,R11,R5), "$0.0") &amp; ")"</f>
        <v>$365.2 ($0.0 - $1826.0)</v>
      </c>
      <c r="S41" s="28" t="str">
        <f t="shared" ref="S41:S44" si="150">TEXT(S35, "0.0") &amp; " (" &amp; TEXT(MIN(S29,S23,S17,S11,S5), "0.0") &amp; " - " &amp; TEXT(MAX(S29,S23,S17,S11,S5), "0.0") &amp; ")"</f>
        <v>4.4 (4.0 - 5.0)</v>
      </c>
      <c r="T41" s="28" t="str">
        <f t="shared" ref="T41:U44" si="151">TEXT(T35, "0.0%") &amp; " (" &amp; TEXT(MIN(T29,T23,T17,T11,T5), "0.0%") &amp; " - " &amp; TEXT(MAX(T29,T23,T17,T11,T5), "0.0%") &amp; ")"</f>
        <v>11.0% (0.0% - 20.0%)</v>
      </c>
      <c r="U41" s="28" t="str">
        <f t="shared" si="151"/>
        <v>1.5% (1.5% - 1.5%)</v>
      </c>
      <c r="V41" s="28" t="str">
        <f t="shared" ref="V41:V44" si="152">"AUD " &amp; TEXT(W35, "0,0") &amp; " (" &amp; TEXT(V35, "0,0") &amp; " - " &amp; TEXT(X35, "0,0") &amp; ")"</f>
        <v>AUD 104,472 (61,204 - 142,553)</v>
      </c>
      <c r="Y41" s="28" t="str">
        <f t="shared" ref="Y41:Y44" si="153">"AUD " &amp; TEXT(Z35, "0,0") &amp; " (" &amp; TEXT(Y35, "0,0") &amp; " - " &amp; TEXT(AA35, "0,0") &amp; ")"</f>
        <v>AUD 260,971 (157,538 - 366,928)</v>
      </c>
      <c r="AB41" s="28" t="str">
        <f t="shared" ref="AB41:AB44" si="154">"AUD " &amp; TEXT(AC35, "0,0") &amp; " (" &amp; TEXT(AB35, "0,0") &amp; " - " &amp; TEXT(AD35, "0,0") &amp; ")"</f>
        <v>AUD 134 (80 - 186)</v>
      </c>
      <c r="AE41" s="28" t="str">
        <f t="shared" ref="AE41:AE44" si="155">"AUD " &amp; TEXT(AF35, "0,0") &amp; " (" &amp; TEXT(AE35, "0,0") &amp; " - " &amp; TEXT(AG35, "0,0") &amp; ")"</f>
        <v>AUD 104,488 (61,213 - 142,574)</v>
      </c>
      <c r="AH41" s="28" t="str">
        <f t="shared" ref="AH41:AH44" si="156">"AUD " &amp; TEXT(AI35, "0,0") &amp; " (" &amp; TEXT(AH35, "0,0") &amp; " - " &amp; TEXT(AJ35, "0,0") &amp; ")"</f>
        <v>AUD 261,010 (157,562 - 366,983)</v>
      </c>
      <c r="AK41" s="28" t="str">
        <f t="shared" ref="AK41:AK44" si="157">"AUD " &amp; TEXT(AL35, "0,0") &amp; " (" &amp; TEXT(AK35, "0,0") &amp; " - " &amp; TEXT(AM35, "0,0") &amp; ")"</f>
        <v>AUD 134 (80 - 186)</v>
      </c>
      <c r="AN41" s="34" t="s">
        <v>98</v>
      </c>
      <c r="AQ41" s="28" t="str">
        <f t="shared" ref="AQ41:AQ44" si="158">"AUD " &amp; TEXT(AR35, "0,0") &amp; " (" &amp; TEXT(AQ35, "0,0") &amp; " - " &amp; TEXT(AS35, "0,0") &amp; ")"</f>
        <v>AUD 261,049 (157,585 - 367,038)</v>
      </c>
      <c r="AT41" s="28" t="str">
        <f t="shared" ref="AT41:AT44" si="159">"AUD " &amp; TEXT(AU35, "0,0") &amp; " (" &amp; TEXT(AT35, "0,0") &amp; " - " &amp; TEXT(AV35, "0,0") &amp; ")"</f>
        <v>AUD 134 (80 - 186)</v>
      </c>
      <c r="AW41" s="34" t="s">
        <v>98</v>
      </c>
      <c r="AZ41" s="28" t="str">
        <f t="shared" ref="AZ41:AZ44" si="160">"AUD " &amp; TEXT(BA35, "0,0") &amp; " (" &amp; TEXT(AZ35, "0,0") &amp; " - " &amp; TEXT(BB35, "0,0") &amp; ")"</f>
        <v>AUD 261,088 (157,609 - 367,093)</v>
      </c>
      <c r="BC41" s="28" t="str">
        <f t="shared" ref="BC41:BC44" si="161">"AUD " &amp; TEXT(BD35, "0,0") &amp; " (" &amp; TEXT(BC35, "0,0") &amp; " - " &amp; TEXT(BE35, "0,0") &amp; ")"</f>
        <v>AUD 134 (80 - 186)</v>
      </c>
      <c r="BF41" s="34" t="s">
        <v>98</v>
      </c>
      <c r="BI41" s="28" t="str">
        <f t="shared" ref="BI41:BI44" si="162">"AUD " &amp; TEXT(BJ35, "0,0") &amp; " (" &amp; TEXT(BI35, "0,0") &amp; " - " &amp; TEXT(BK35, "0,0") &amp; ")"</f>
        <v>AUD 261,128 (157,632 - 367,148)</v>
      </c>
      <c r="BL41" s="28" t="str">
        <f t="shared" ref="BL41:BL44" si="163">"AUD " &amp; TEXT(BM35, "0,0") &amp; " (" &amp; TEXT(BL35, "0,0") &amp; " - " &amp; TEXT(BN35, "0,0") &amp; ")"</f>
        <v>AUD 134 (80 - 186)</v>
      </c>
    </row>
    <row r="42" spans="1:66" x14ac:dyDescent="0.2">
      <c r="A42" s="4" t="s">
        <v>96</v>
      </c>
      <c r="B42" s="19" t="s">
        <v>47</v>
      </c>
      <c r="J42" s="28" t="str">
        <f t="shared" si="147"/>
        <v>11.0% (10.5% - 12.8%)</v>
      </c>
      <c r="K42" s="28" t="str">
        <f t="shared" si="148"/>
        <v>38.0 (36.3 - 40.0)</v>
      </c>
      <c r="L42" s="28" t="str">
        <f t="shared" si="146"/>
        <v>100.0% (100.0% - 100.0%)</v>
      </c>
      <c r="M42" s="28" t="str">
        <f t="shared" si="146"/>
        <v>10.0% (10.0% - 10.0%)</v>
      </c>
      <c r="N42" s="28" t="str">
        <f t="shared" si="146"/>
        <v>3.5% (3.5% - 3.5%)</v>
      </c>
      <c r="O42" s="28" t="str">
        <f t="shared" si="146"/>
        <v>0.0% (0.0% - 0.0%)</v>
      </c>
      <c r="P42" s="28" t="str">
        <f t="shared" si="146"/>
        <v>0.0% (0.0% - 0.0%)</v>
      </c>
      <c r="Q42" s="28" t="str">
        <f t="shared" si="146"/>
        <v>4.6% (4.6% - 4.6%)</v>
      </c>
      <c r="R42" s="28" t="str">
        <f t="shared" si="149"/>
        <v>$365.2 ($0.0 - $1826.0)</v>
      </c>
      <c r="S42" s="28" t="str">
        <f t="shared" si="150"/>
        <v>4.0 (4.0 - 4.0)</v>
      </c>
      <c r="T42" s="28" t="str">
        <f t="shared" si="151"/>
        <v>7.5% (0.0% - 20.0%)</v>
      </c>
      <c r="U42" s="28" t="str">
        <f t="shared" si="151"/>
        <v>1.5% (1.5% - 1.5%)</v>
      </c>
      <c r="V42" s="28" t="str">
        <f t="shared" si="152"/>
        <v>AUD 65,203 (47,704 - 91,460)</v>
      </c>
      <c r="Y42" s="28" t="str">
        <f t="shared" si="153"/>
        <v>AUD 160,373 (113,848 - 233,350)</v>
      </c>
      <c r="AB42" s="28" t="str">
        <f t="shared" si="154"/>
        <v>AUD 81 (55 - 118)</v>
      </c>
      <c r="AE42" s="28" t="str">
        <f t="shared" si="155"/>
        <v>AUD 65,213 (47,711 - 91,474)</v>
      </c>
      <c r="AH42" s="28" t="str">
        <f t="shared" si="156"/>
        <v>AUD 160,397 (113,865 - 233,385)</v>
      </c>
      <c r="AK42" s="28" t="str">
        <f t="shared" si="157"/>
        <v>AUD 81 (55 - 118)</v>
      </c>
      <c r="AN42" s="34" t="s">
        <v>99</v>
      </c>
      <c r="AQ42" s="28" t="str">
        <f t="shared" si="158"/>
        <v>AUD 160,421 (113,882 - 233,420)</v>
      </c>
      <c r="AT42" s="28" t="str">
        <f t="shared" si="159"/>
        <v>AUD 81 (55 - 118)</v>
      </c>
      <c r="AW42" s="34" t="s">
        <v>99</v>
      </c>
      <c r="AZ42" s="28" t="str">
        <f t="shared" si="160"/>
        <v>AUD 160,445 (113,900 - 233,455)</v>
      </c>
      <c r="BC42" s="28" t="str">
        <f t="shared" si="161"/>
        <v>AUD 81 (55 - 118)</v>
      </c>
      <c r="BF42" s="34" t="s">
        <v>99</v>
      </c>
      <c r="BI42" s="28" t="str">
        <f t="shared" si="162"/>
        <v>AUD 160,469 (113,917 - 233,490)</v>
      </c>
      <c r="BL42" s="28" t="str">
        <f t="shared" si="163"/>
        <v>AUD 81 (55 - 118)</v>
      </c>
    </row>
    <row r="43" spans="1:66" x14ac:dyDescent="0.2">
      <c r="A43" s="4" t="s">
        <v>96</v>
      </c>
      <c r="B43" s="19" t="s">
        <v>50</v>
      </c>
      <c r="J43" s="28" t="str">
        <f t="shared" si="147"/>
        <v>11.0% (10.5% - 12.8%)</v>
      </c>
      <c r="K43" s="28" t="str">
        <f t="shared" si="148"/>
        <v>38.0 (36.3 - 40.0)</v>
      </c>
      <c r="L43" s="28" t="str">
        <f t="shared" si="146"/>
        <v>100.0% (100.0% - 100.0%)</v>
      </c>
      <c r="M43" s="28" t="str">
        <f t="shared" si="146"/>
        <v>10.0% (10.0% - 10.0%)</v>
      </c>
      <c r="N43" s="28" t="str">
        <f t="shared" si="146"/>
        <v>3.5% (3.5% - 3.5%)</v>
      </c>
      <c r="O43" s="28" t="str">
        <f t="shared" si="146"/>
        <v>0.0% (0.0% - 0.0%)</v>
      </c>
      <c r="P43" s="28" t="str">
        <f t="shared" si="146"/>
        <v>0.0% (0.0% - 0.0%)</v>
      </c>
      <c r="Q43" s="28" t="str">
        <f t="shared" si="146"/>
        <v>4.6% (4.6% - 4.6%)</v>
      </c>
      <c r="R43" s="28" t="str">
        <f t="shared" si="149"/>
        <v>$365.2 ($0.0 - $1826.0)</v>
      </c>
      <c r="S43" s="28" t="str">
        <f t="shared" si="150"/>
        <v>4.0 (4.0 - 4.0)</v>
      </c>
      <c r="T43" s="28" t="str">
        <f t="shared" si="151"/>
        <v>11.0% (0.0% - 20.0%)</v>
      </c>
      <c r="U43" s="28" t="str">
        <f t="shared" si="151"/>
        <v>1.5% (1.5% - 1.5%)</v>
      </c>
      <c r="V43" s="28" t="str">
        <f t="shared" si="152"/>
        <v>AUD 94,994 (66,106 - 139,576)</v>
      </c>
      <c r="Y43" s="28" t="str">
        <f t="shared" si="153"/>
        <v>AUD 236,283 (156,865 - 334,774)</v>
      </c>
      <c r="AB43" s="28" t="str">
        <f t="shared" si="154"/>
        <v>AUD 120 (80 - 178)</v>
      </c>
      <c r="AE43" s="28" t="str">
        <f t="shared" si="155"/>
        <v>AUD 95,008 (66,116 - 139,597)</v>
      </c>
      <c r="AH43" s="28" t="str">
        <f t="shared" si="156"/>
        <v>AUD 236,319 (156,889 - 334,824)</v>
      </c>
      <c r="AK43" s="28" t="str">
        <f t="shared" si="157"/>
        <v>AUD 120 (80 - 178)</v>
      </c>
      <c r="AN43" s="34" t="s">
        <v>100</v>
      </c>
      <c r="AQ43" s="28" t="str">
        <f t="shared" si="158"/>
        <v>AUD 236,354 (156,912 - 334,874)</v>
      </c>
      <c r="AT43" s="28" t="str">
        <f t="shared" si="159"/>
        <v>AUD 120 (80 - 178)</v>
      </c>
      <c r="AW43" s="34" t="s">
        <v>100</v>
      </c>
      <c r="AZ43" s="28" t="str">
        <f t="shared" si="160"/>
        <v>AUD 236,389 (156,936 - 334,924)</v>
      </c>
      <c r="BC43" s="28" t="str">
        <f t="shared" si="161"/>
        <v>AUD 120 (80 - 178)</v>
      </c>
      <c r="BF43" s="34" t="s">
        <v>100</v>
      </c>
      <c r="BI43" s="28" t="str">
        <f t="shared" si="162"/>
        <v>AUD 236,425 (156,959 - 334,974)</v>
      </c>
      <c r="BL43" s="28" t="str">
        <f t="shared" si="163"/>
        <v>AUD 120 (80 - 178)</v>
      </c>
    </row>
    <row r="44" spans="1:66" x14ac:dyDescent="0.2">
      <c r="A44" s="4" t="s">
        <v>96</v>
      </c>
      <c r="B44" s="19" t="s">
        <v>55</v>
      </c>
      <c r="J44" s="28" t="str">
        <f t="shared" si="147"/>
        <v>11.0% (10.5% - 12.8%)</v>
      </c>
      <c r="K44" s="28" t="str">
        <f t="shared" si="148"/>
        <v>38.8 (38.0 - 40.0)</v>
      </c>
      <c r="L44" s="28" t="str">
        <f t="shared" si="146"/>
        <v>100.0% (100.0% - 100.0%)</v>
      </c>
      <c r="M44" s="28" t="str">
        <f t="shared" si="146"/>
        <v>0.0% (0.0% - 0.0%)</v>
      </c>
      <c r="N44" s="28" t="str">
        <f t="shared" si="146"/>
        <v>3.5% (3.5% - 3.5%)</v>
      </c>
      <c r="O44" s="28" t="str">
        <f t="shared" si="146"/>
        <v>4.0% (0.0% - 20.0%)</v>
      </c>
      <c r="P44" s="28" t="str">
        <f t="shared" si="146"/>
        <v>25.5% (0.0% - 60.0%)</v>
      </c>
      <c r="Q44" s="28" t="str">
        <f t="shared" si="146"/>
        <v>4.6% (4.6% - 4.6%)</v>
      </c>
      <c r="R44" s="28" t="str">
        <f t="shared" si="149"/>
        <v>$28681.8 ($21500.0 - $38000.0)</v>
      </c>
      <c r="S44" s="28" t="str">
        <f t="shared" si="150"/>
        <v>4.4 (4.0 - 5.0)</v>
      </c>
      <c r="T44" s="28" t="str">
        <f>TEXT(T38, "0.0%") &amp; " (" &amp; TEXT(MIN(T32,T26,T20,T14,T8), "0.0%") &amp; " - " &amp; TEXT(MAX(T32,T26,T20,T14,T8), "0.0%") &amp; ")"</f>
        <v>10.5% (0.0% - 17.5%)</v>
      </c>
      <c r="U44" s="28" t="str">
        <f t="shared" si="151"/>
        <v>1.5% (1.5% - 1.5%)</v>
      </c>
      <c r="V44" s="28" t="str">
        <f t="shared" si="152"/>
        <v>AUD 266,292 (179,078 - 386,515)</v>
      </c>
      <c r="Y44" s="28" t="str">
        <f t="shared" si="153"/>
        <v>AUD 732,329 (548,011 - 923,661)</v>
      </c>
      <c r="AB44" s="28" t="str">
        <f t="shared" si="154"/>
        <v>AUD 363 (263 - 467)</v>
      </c>
      <c r="AE44" s="28" t="str">
        <f t="shared" si="155"/>
        <v>AUD 266,332 (179,105 - 386,573)</v>
      </c>
      <c r="AH44" s="28" t="str">
        <f t="shared" si="156"/>
        <v>AUD 732,434 (548,087 - 923,795)</v>
      </c>
      <c r="AK44" s="28" t="str">
        <f t="shared" si="157"/>
        <v>AUD 363 (264 - 468)</v>
      </c>
      <c r="AN44" s="34" t="s">
        <v>101</v>
      </c>
      <c r="AQ44" s="28" t="str">
        <f t="shared" si="158"/>
        <v>AUD 732,540 (548,164 - 923,930)</v>
      </c>
      <c r="AT44" s="28" t="str">
        <f t="shared" si="159"/>
        <v>AUD 363 (264 - 468)</v>
      </c>
      <c r="AW44" s="34" t="s">
        <v>101</v>
      </c>
      <c r="AZ44" s="28" t="str">
        <f t="shared" si="160"/>
        <v>AUD 732,646 (548,240 - 924,065)</v>
      </c>
      <c r="BC44" s="28" t="str">
        <f t="shared" si="161"/>
        <v>AUD 363 (264 - 468)</v>
      </c>
      <c r="BF44" s="34" t="s">
        <v>101</v>
      </c>
      <c r="BI44" s="28" t="str">
        <f t="shared" si="162"/>
        <v>AUD 732,751 (548,317 - 924,199)</v>
      </c>
      <c r="BL44" s="28" t="str">
        <f t="shared" si="163"/>
        <v>AUD 364 (264 - 468)</v>
      </c>
    </row>
    <row r="45" spans="1:66" x14ac:dyDescent="0.2">
      <c r="J45" s="28"/>
      <c r="K45" s="28"/>
      <c r="L45" s="28"/>
      <c r="M45" s="28"/>
      <c r="N45" s="28"/>
      <c r="O45" s="28"/>
      <c r="P45" s="28"/>
      <c r="Q45" s="28"/>
      <c r="R45" s="28"/>
      <c r="S45" s="28"/>
      <c r="T45" s="28"/>
      <c r="U45" s="28"/>
      <c r="V45" s="28"/>
      <c r="Y45" s="28"/>
      <c r="AB45" s="28"/>
      <c r="AE45" s="28"/>
      <c r="AH45" s="28"/>
      <c r="AK45" s="28"/>
      <c r="AN45" s="34"/>
      <c r="AQ45" s="28"/>
      <c r="AT45" s="28"/>
      <c r="AW45" s="34"/>
      <c r="AZ45" s="28"/>
      <c r="BC45" s="28"/>
      <c r="BF45" s="34"/>
      <c r="BI45" s="28"/>
      <c r="BL45" s="28"/>
    </row>
    <row r="46" spans="1:66" x14ac:dyDescent="0.2">
      <c r="A46" s="4" t="s">
        <v>429</v>
      </c>
      <c r="B46" s="19" t="s">
        <v>33</v>
      </c>
      <c r="J46" s="28"/>
      <c r="K46" s="28"/>
      <c r="L46" s="28"/>
      <c r="M46" s="28"/>
      <c r="N46" s="28"/>
      <c r="O46" s="28"/>
      <c r="P46" s="28"/>
      <c r="Q46" s="28"/>
      <c r="R46" s="28"/>
      <c r="S46" s="28"/>
      <c r="T46" s="28"/>
      <c r="U46" s="28"/>
      <c r="V46" s="28"/>
      <c r="Y46" s="36">
        <f>MIN(Y40,Y34,Y28,Y22,Y16)</f>
        <v>117643.06123076922</v>
      </c>
      <c r="Z46" s="23">
        <f>(Z4*Weightings!$H$2)+(Z10*Weightings!$H$3)+(Z16*Weightings!$H$4)+(Z22*Weightings!$H$5)+(Z28*Weightings!$H$6)</f>
        <v>196080.06468752402</v>
      </c>
      <c r="AA46" s="36">
        <f>MAX(AA40,AA34,AA28,AA22,AA16)</f>
        <v>281453.44246153842</v>
      </c>
      <c r="AB46" s="36">
        <f>MIN(AB40,AB34,AB28,AB22,AB16)</f>
        <v>62.410112058763517</v>
      </c>
      <c r="AC46" s="23">
        <f>(AC4*Weightings!$H$2)+(AC10*Weightings!$H$3)+(AC16*Weightings!$H$4)+(AC22*Weightings!$H$5)+(AC28*Weightings!$H$6)</f>
        <v>98.692805812913107</v>
      </c>
      <c r="AD46" s="36">
        <f>MAX(AD40,AD34,AD28,AD22,AD16)</f>
        <v>142.43595266272186</v>
      </c>
      <c r="AE46" s="28"/>
      <c r="AH46" s="28"/>
      <c r="AK46" s="28"/>
      <c r="AN46" s="34"/>
      <c r="AQ46" s="28"/>
      <c r="AT46" s="28"/>
      <c r="AW46" s="34"/>
      <c r="AZ46" s="28"/>
      <c r="BC46" s="28"/>
      <c r="BF46" s="34"/>
      <c r="BI46" s="28"/>
      <c r="BL46" s="28"/>
    </row>
    <row r="47" spans="1:66" x14ac:dyDescent="0.2">
      <c r="A47" s="4" t="s">
        <v>429</v>
      </c>
      <c r="B47" s="19" t="s">
        <v>40</v>
      </c>
      <c r="J47" s="28"/>
      <c r="K47" s="28"/>
      <c r="L47" s="28"/>
      <c r="M47" s="28"/>
      <c r="N47" s="28"/>
      <c r="O47" s="28"/>
      <c r="P47" s="28"/>
      <c r="Q47" s="28"/>
      <c r="R47" s="28"/>
      <c r="S47" s="28"/>
      <c r="T47" s="28"/>
      <c r="U47" s="28"/>
      <c r="V47" s="28"/>
      <c r="Y47" s="36">
        <f t="shared" ref="Y47:Y50" si="164">MIN(Y41,Y35,Y29,Y23,Y17)</f>
        <v>157537.91899999999</v>
      </c>
      <c r="Z47" s="23">
        <f>(Z5*Weightings!H$2)+(Z11*Weightings!H$3)+(Z17*Weightings!H$4)+(Z23*Weightings!H$5)+(Z29*Weightings!H$6)</f>
        <v>260924.58261546763</v>
      </c>
      <c r="AA47" s="36">
        <f t="shared" ref="AA47:AD50" si="165">MAX(AA41,AA35,AA29,AA23,AA17)</f>
        <v>366928.16580000008</v>
      </c>
      <c r="AB47" s="36">
        <f t="shared" ref="AB47:AB50" si="166">MIN(AB41,AB35,AB29,AB23,AB17)</f>
        <v>79.725667510121454</v>
      </c>
      <c r="AC47" s="23">
        <f>(AC5*Weightings!$H$2)+(AC11*Weightings!$H$3)+(AC17*Weightings!$H$4)+(AC23*Weightings!$H$5)+(AC29*Weightings!$H$6)</f>
        <v>133.50699036713524</v>
      </c>
      <c r="AD47" s="36">
        <f t="shared" ref="AD47:AD50" si="167">MAX(AD41,AD35,AD29,AD23,AD17)</f>
        <v>185.69239159919033</v>
      </c>
      <c r="AE47" s="28"/>
      <c r="AH47" s="28"/>
      <c r="AK47" s="28"/>
      <c r="AN47" s="34"/>
      <c r="AQ47" s="28"/>
      <c r="AT47" s="28"/>
      <c r="AW47" s="34"/>
      <c r="AZ47" s="28"/>
      <c r="BC47" s="28"/>
      <c r="BF47" s="34"/>
      <c r="BI47" s="28"/>
      <c r="BL47" s="28"/>
    </row>
    <row r="48" spans="1:66" x14ac:dyDescent="0.2">
      <c r="A48" s="4" t="s">
        <v>429</v>
      </c>
      <c r="B48" s="19" t="s">
        <v>47</v>
      </c>
      <c r="J48" s="28"/>
      <c r="K48" s="28"/>
      <c r="L48" s="28"/>
      <c r="M48" s="28"/>
      <c r="N48" s="28"/>
      <c r="O48" s="28"/>
      <c r="P48" s="28"/>
      <c r="Q48" s="28"/>
      <c r="R48" s="28"/>
      <c r="S48" s="28"/>
      <c r="T48" s="28"/>
      <c r="U48" s="28"/>
      <c r="V48" s="28"/>
      <c r="Y48" s="36">
        <f t="shared" si="164"/>
        <v>113848.28031999999</v>
      </c>
      <c r="Z48" s="23">
        <f>(Z6*Weightings!H$2)+(Z12*Weightings!H$3)+(Z18*Weightings!H$4)+(Z24*Weightings!H$5)+(Z30*Weightings!H$6)</f>
        <v>160794.18705159606</v>
      </c>
      <c r="AA48" s="36">
        <f t="shared" si="165"/>
        <v>233349.63692307693</v>
      </c>
      <c r="AB48" s="36">
        <f t="shared" si="166"/>
        <v>54.73475015384615</v>
      </c>
      <c r="AC48" s="23">
        <f>(AC6*Weightings!$H$2)+(AC12*Weightings!$H$3)+(AC18*Weightings!$H$4)+(AC24*Weightings!$H$5)+(AC30*Weightings!$H$6)</f>
        <v>81.126206065752768</v>
      </c>
      <c r="AD48" s="36">
        <f t="shared" si="167"/>
        <v>118.09192151977578</v>
      </c>
      <c r="AE48" s="28"/>
      <c r="AH48" s="28"/>
      <c r="AK48" s="28"/>
      <c r="AN48" s="34"/>
      <c r="AQ48" s="28"/>
      <c r="AT48" s="28"/>
      <c r="AW48" s="34"/>
      <c r="AZ48" s="28"/>
      <c r="BC48" s="28"/>
      <c r="BF48" s="34"/>
      <c r="BI48" s="28"/>
      <c r="BL48" s="28"/>
    </row>
    <row r="49" spans="1:66" x14ac:dyDescent="0.2">
      <c r="A49" s="4" t="s">
        <v>429</v>
      </c>
      <c r="B49" s="19" t="s">
        <v>50</v>
      </c>
      <c r="J49" s="28"/>
      <c r="K49" s="28"/>
      <c r="L49" s="28"/>
      <c r="M49" s="28"/>
      <c r="N49" s="28"/>
      <c r="O49" s="28"/>
      <c r="P49" s="28"/>
      <c r="Q49" s="28"/>
      <c r="R49" s="28"/>
      <c r="S49" s="28"/>
      <c r="T49" s="28"/>
      <c r="U49" s="28"/>
      <c r="V49" s="28"/>
      <c r="Y49" s="36">
        <f t="shared" si="164"/>
        <v>156865.01138461538</v>
      </c>
      <c r="Z49" s="23">
        <f>(Z7*Weightings!H$2)+(Z13*Weightings!H$3)+(Z19*Weightings!H$4)+(Z25*Weightings!H$5)+(Z31*Weightings!H$6)</f>
        <v>241017.81953539944</v>
      </c>
      <c r="AA49" s="36">
        <f t="shared" si="165"/>
        <v>334773.81138461537</v>
      </c>
      <c r="AB49" s="36">
        <f t="shared" si="166"/>
        <v>80.443595581854055</v>
      </c>
      <c r="AC49" s="23">
        <f>(AC7*Weightings!$H$2)+(AC13*Weightings!$H$3)+(AC19*Weightings!$H$4)+(AC25*Weightings!$H$5)+(AC31*Weightings!$H$6)</f>
        <v>121.49046279479323</v>
      </c>
      <c r="AD49" s="36">
        <f t="shared" si="167"/>
        <v>177.59883893083045</v>
      </c>
      <c r="AE49" s="28"/>
      <c r="AH49" s="28"/>
      <c r="AK49" s="28"/>
      <c r="AN49" s="34"/>
      <c r="AQ49" s="28"/>
      <c r="AT49" s="28"/>
      <c r="AW49" s="34"/>
      <c r="AZ49" s="28"/>
      <c r="BC49" s="28"/>
      <c r="BF49" s="34"/>
      <c r="BI49" s="28"/>
      <c r="BL49" s="28"/>
    </row>
    <row r="50" spans="1:66" x14ac:dyDescent="0.2">
      <c r="A50" s="4" t="s">
        <v>429</v>
      </c>
      <c r="B50" s="19" t="s">
        <v>55</v>
      </c>
      <c r="J50" s="28"/>
      <c r="K50" s="28"/>
      <c r="L50" s="28"/>
      <c r="M50" s="28"/>
      <c r="N50" s="28"/>
      <c r="O50" s="28"/>
      <c r="P50" s="28"/>
      <c r="Q50" s="28"/>
      <c r="R50" s="28"/>
      <c r="S50" s="28"/>
      <c r="T50" s="28"/>
      <c r="U50" s="28"/>
      <c r="V50" s="28"/>
      <c r="Y50" s="36">
        <f t="shared" si="164"/>
        <v>548010.7001923077</v>
      </c>
      <c r="Z50" s="23">
        <f>(Z8*Weightings!H$2)+(Z14*Weightings!H$3)+(Z20*Weightings!H$4)+(Z26*Weightings!H$5)+(Z32*Weightings!H$6)</f>
        <v>703206.28670203453</v>
      </c>
      <c r="AA50" s="36">
        <f t="shared" si="165"/>
        <v>923660.79024999996</v>
      </c>
      <c r="AB50" s="36">
        <f t="shared" si="166"/>
        <v>263.46668278476329</v>
      </c>
      <c r="AC50" s="23">
        <f>(AC8*Weightings!$H$2)+(AC14*Weightings!$H$3)+(AC20*Weightings!$H$4)+(AC26*Weightings!$H$5)+(AC32*Weightings!$H$6)</f>
        <v>348.25570904119246</v>
      </c>
      <c r="AD50" s="36">
        <f t="shared" si="167"/>
        <v>467.4396711791498</v>
      </c>
      <c r="AE50" s="28"/>
      <c r="AH50" s="28"/>
      <c r="AK50" s="28"/>
      <c r="AN50" s="34"/>
      <c r="AQ50" s="28"/>
      <c r="AT50" s="28"/>
      <c r="AW50" s="34"/>
      <c r="AZ50" s="28"/>
      <c r="BC50" s="28"/>
      <c r="BF50" s="34"/>
      <c r="BI50" s="28"/>
      <c r="BL50" s="28"/>
    </row>
    <row r="51" spans="1:66" x14ac:dyDescent="0.2">
      <c r="J51" s="28"/>
      <c r="K51" s="28"/>
      <c r="L51" s="28"/>
      <c r="M51" s="28"/>
      <c r="N51" s="28"/>
      <c r="O51" s="28"/>
      <c r="P51" s="28"/>
      <c r="Q51" s="28"/>
      <c r="R51" s="28"/>
      <c r="S51" s="28"/>
      <c r="T51" s="28"/>
      <c r="U51" s="28"/>
      <c r="V51" s="28"/>
      <c r="Y51" s="28"/>
      <c r="AB51" s="28"/>
      <c r="AE51" s="28"/>
      <c r="AH51" s="28"/>
      <c r="AK51" s="28"/>
      <c r="AN51" s="34"/>
      <c r="AQ51" s="28"/>
      <c r="AT51" s="28"/>
      <c r="AW51" s="34"/>
      <c r="AZ51" s="28"/>
      <c r="BC51" s="28"/>
      <c r="BF51" s="34"/>
      <c r="BI51" s="28"/>
      <c r="BL51" s="28"/>
    </row>
    <row r="52" spans="1:66" x14ac:dyDescent="0.2">
      <c r="A52" s="4" t="s">
        <v>429</v>
      </c>
      <c r="B52" s="19" t="s">
        <v>33</v>
      </c>
      <c r="J52" s="28"/>
      <c r="K52" s="28"/>
      <c r="L52" s="28"/>
      <c r="M52" s="28"/>
      <c r="N52" s="28"/>
      <c r="O52" s="28"/>
      <c r="P52" s="28"/>
      <c r="Q52" s="28"/>
      <c r="R52" s="28"/>
      <c r="S52" s="28"/>
      <c r="T52" s="28"/>
      <c r="U52" s="28"/>
      <c r="V52" s="28"/>
      <c r="Y52" s="28" t="str">
        <f>TEXT(Z46, "0,0") &amp; " (" &amp; TEXT(Y46, "0,0") &amp; " - " &amp; TEXT(AA46, "0,0") &amp; ")"</f>
        <v>196,080 (117,643 - 281,453)</v>
      </c>
      <c r="AB52" s="28" t="str">
        <f>TEXT(AC46, "0,0") &amp; " (" &amp; TEXT(AB46, "0,0") &amp; " - " &amp; TEXT(AD46, "0,0") &amp; ")"</f>
        <v>99 (62 - 142)</v>
      </c>
      <c r="AE52" s="28"/>
      <c r="AH52" s="28"/>
      <c r="AK52" s="28"/>
      <c r="AN52" s="34"/>
      <c r="AQ52" s="28"/>
      <c r="AT52" s="28"/>
      <c r="AW52" s="34"/>
      <c r="AZ52" s="28"/>
      <c r="BC52" s="28"/>
      <c r="BF52" s="34"/>
      <c r="BI52" s="28"/>
      <c r="BL52" s="28"/>
    </row>
    <row r="53" spans="1:66" x14ac:dyDescent="0.2">
      <c r="A53" s="4" t="s">
        <v>429</v>
      </c>
      <c r="B53" s="19" t="s">
        <v>40</v>
      </c>
      <c r="J53" s="28"/>
      <c r="K53" s="28"/>
      <c r="L53" s="28"/>
      <c r="M53" s="28"/>
      <c r="N53" s="28"/>
      <c r="O53" s="28"/>
      <c r="P53" s="28"/>
      <c r="Q53" s="28"/>
      <c r="R53" s="28"/>
      <c r="S53" s="28"/>
      <c r="T53" s="28"/>
      <c r="U53" s="28"/>
      <c r="V53" s="28"/>
      <c r="Y53" s="28" t="str">
        <f t="shared" ref="Y53:Y56" si="168">TEXT(Z47, "0,0") &amp; " (" &amp; TEXT(Y47, "0,0") &amp; " - " &amp; TEXT(AA47, "0,0") &amp; ")"</f>
        <v>260,925 (157,538 - 366,928)</v>
      </c>
      <c r="AB53" s="28" t="str">
        <f t="shared" ref="AB53:AB56" si="169">TEXT(AC47, "0,0") &amp; " (" &amp; TEXT(AB47, "0,0") &amp; " - " &amp; TEXT(AD47, "0,0") &amp; ")"</f>
        <v>134 (80 - 186)</v>
      </c>
      <c r="AE53" s="28"/>
      <c r="AH53" s="28"/>
      <c r="AK53" s="28"/>
      <c r="AN53" s="34"/>
      <c r="AQ53" s="28"/>
      <c r="AT53" s="28"/>
      <c r="AW53" s="34"/>
      <c r="AZ53" s="28"/>
      <c r="BC53" s="28"/>
      <c r="BF53" s="34"/>
      <c r="BI53" s="28"/>
      <c r="BL53" s="28"/>
    </row>
    <row r="54" spans="1:66" x14ac:dyDescent="0.2">
      <c r="A54" s="4" t="s">
        <v>429</v>
      </c>
      <c r="B54" s="19" t="s">
        <v>47</v>
      </c>
      <c r="J54" s="28"/>
      <c r="K54" s="28"/>
      <c r="L54" s="28"/>
      <c r="M54" s="28"/>
      <c r="N54" s="28"/>
      <c r="O54" s="28"/>
      <c r="P54" s="28"/>
      <c r="Q54" s="28"/>
      <c r="R54" s="28"/>
      <c r="S54" s="28"/>
      <c r="T54" s="28"/>
      <c r="U54" s="28"/>
      <c r="V54" s="28"/>
      <c r="Y54" s="28" t="str">
        <f t="shared" si="168"/>
        <v>160,794 (113,848 - 233,350)</v>
      </c>
      <c r="AB54" s="28" t="str">
        <f t="shared" si="169"/>
        <v>81 (55 - 118)</v>
      </c>
      <c r="AE54" s="28"/>
      <c r="AH54" s="28"/>
      <c r="AK54" s="28"/>
      <c r="AN54" s="34"/>
      <c r="AQ54" s="28"/>
      <c r="AT54" s="28"/>
      <c r="AW54" s="34"/>
      <c r="AZ54" s="28"/>
      <c r="BC54" s="28"/>
      <c r="BF54" s="34"/>
      <c r="BI54" s="28"/>
      <c r="BL54" s="28"/>
    </row>
    <row r="55" spans="1:66" x14ac:dyDescent="0.2">
      <c r="A55" s="4" t="s">
        <v>429</v>
      </c>
      <c r="B55" s="19" t="s">
        <v>50</v>
      </c>
      <c r="J55" s="28"/>
      <c r="K55" s="28"/>
      <c r="L55" s="28"/>
      <c r="M55" s="28"/>
      <c r="N55" s="28"/>
      <c r="O55" s="28"/>
      <c r="P55" s="28"/>
      <c r="Q55" s="28"/>
      <c r="R55" s="28"/>
      <c r="S55" s="28"/>
      <c r="T55" s="28"/>
      <c r="U55" s="28"/>
      <c r="V55" s="28"/>
      <c r="Y55" s="28" t="str">
        <f t="shared" si="168"/>
        <v>241,018 (156,865 - 334,774)</v>
      </c>
      <c r="AB55" s="28" t="str">
        <f t="shared" si="169"/>
        <v>121 (80 - 178)</v>
      </c>
      <c r="AE55" s="28"/>
      <c r="AH55" s="28"/>
      <c r="AK55" s="28"/>
      <c r="AN55" s="34"/>
      <c r="AQ55" s="28"/>
      <c r="AT55" s="28"/>
      <c r="AW55" s="34"/>
      <c r="AZ55" s="28"/>
      <c r="BC55" s="28"/>
      <c r="BF55" s="34"/>
      <c r="BI55" s="28"/>
      <c r="BL55" s="28"/>
    </row>
    <row r="56" spans="1:66" x14ac:dyDescent="0.2">
      <c r="A56" s="4" t="s">
        <v>429</v>
      </c>
      <c r="B56" s="19" t="s">
        <v>55</v>
      </c>
      <c r="J56" s="28"/>
      <c r="K56" s="28"/>
      <c r="L56" s="28"/>
      <c r="M56" s="28"/>
      <c r="N56" s="28"/>
      <c r="O56" s="28"/>
      <c r="P56" s="28"/>
      <c r="Q56" s="28"/>
      <c r="R56" s="28"/>
      <c r="S56" s="28"/>
      <c r="T56" s="28"/>
      <c r="U56" s="28"/>
      <c r="V56" s="28"/>
      <c r="Y56" s="28" t="str">
        <f t="shared" si="168"/>
        <v>703,206 (548,011 - 923,661)</v>
      </c>
      <c r="AB56" s="28" t="str">
        <f t="shared" si="169"/>
        <v>348 (263 - 467)</v>
      </c>
      <c r="AE56" s="28"/>
      <c r="AH56" s="28"/>
      <c r="AK56" s="28"/>
      <c r="AN56" s="34"/>
      <c r="AQ56" s="28"/>
      <c r="AT56" s="28"/>
      <c r="AW56" s="34"/>
      <c r="AZ56" s="28"/>
      <c r="BC56" s="28"/>
      <c r="BF56" s="34"/>
      <c r="BI56" s="28"/>
      <c r="BL56" s="28"/>
    </row>
    <row r="57" spans="1:66" x14ac:dyDescent="0.2">
      <c r="J57" s="28"/>
      <c r="K57" s="28"/>
      <c r="L57" s="28"/>
      <c r="M57" s="28"/>
      <c r="N57" s="28"/>
      <c r="O57" s="28"/>
      <c r="P57" s="28"/>
      <c r="Q57" s="28"/>
      <c r="R57" s="28"/>
      <c r="S57" s="28"/>
      <c r="T57" s="28"/>
      <c r="U57" s="28"/>
      <c r="V57" s="28"/>
      <c r="Y57" s="28"/>
      <c r="AB57" s="28"/>
      <c r="AE57" s="28"/>
      <c r="AH57" s="28"/>
      <c r="AK57" s="28"/>
      <c r="AN57" s="34"/>
      <c r="AQ57" s="28"/>
      <c r="AT57" s="28"/>
      <c r="AW57" s="34"/>
      <c r="AZ57" s="28"/>
      <c r="BC57" s="28"/>
      <c r="BF57" s="34"/>
      <c r="BI57" s="28"/>
      <c r="BL57" s="28"/>
    </row>
    <row r="58" spans="1:66" x14ac:dyDescent="0.2">
      <c r="A58" s="4" t="s">
        <v>102</v>
      </c>
    </row>
    <row r="59" spans="1:66" x14ac:dyDescent="0.2">
      <c r="A59" s="4" t="s">
        <v>32</v>
      </c>
      <c r="B59" s="19" t="s">
        <v>33</v>
      </c>
      <c r="J59" s="36">
        <f>(J4*$W4)</f>
        <v>9971.744999999999</v>
      </c>
      <c r="K59" s="7"/>
      <c r="L59" s="37"/>
      <c r="M59" s="36">
        <f>(M4*$W4)</f>
        <v>9496.9</v>
      </c>
      <c r="N59" s="36">
        <f>(N4*$W4)</f>
        <v>3323.9150000000004</v>
      </c>
      <c r="O59" s="36">
        <f>(O4*$W4)</f>
        <v>0</v>
      </c>
      <c r="P59" s="36">
        <f>(P4*$W4)</f>
        <v>0</v>
      </c>
      <c r="Q59" s="36">
        <f>(Q4*$W4)</f>
        <v>4368.5739999999996</v>
      </c>
      <c r="R59" s="36">
        <f>R4</f>
        <v>0</v>
      </c>
      <c r="S59" s="36">
        <f>(S4/52*$W4)</f>
        <v>7305.3076923076924</v>
      </c>
      <c r="T59" s="36">
        <f>(T4*$W4)</f>
        <v>16619.575000000001</v>
      </c>
      <c r="U59" s="5"/>
      <c r="V59" s="36">
        <f>V4</f>
        <v>79624</v>
      </c>
      <c r="W59" s="36">
        <f t="shared" ref="W59:X59" si="170">W4</f>
        <v>94969</v>
      </c>
      <c r="X59" s="36">
        <f t="shared" si="170"/>
        <v>110314</v>
      </c>
    </row>
    <row r="60" spans="1:66" x14ac:dyDescent="0.2">
      <c r="A60" s="4" t="s">
        <v>32</v>
      </c>
      <c r="B60" s="19" t="s">
        <v>40</v>
      </c>
      <c r="J60" s="36">
        <f>(J5*$W5)</f>
        <v>10697.232</v>
      </c>
      <c r="K60" s="7"/>
      <c r="L60" s="37"/>
      <c r="M60" s="36">
        <f t="shared" ref="M60:Q63" si="171">(M5*$W5)</f>
        <v>10187.840000000002</v>
      </c>
      <c r="N60" s="36">
        <f t="shared" si="171"/>
        <v>3565.7440000000006</v>
      </c>
      <c r="O60" s="36">
        <f t="shared" si="171"/>
        <v>0</v>
      </c>
      <c r="P60" s="36">
        <f t="shared" si="171"/>
        <v>0</v>
      </c>
      <c r="Q60" s="36">
        <f t="shared" si="171"/>
        <v>4686.4064000000008</v>
      </c>
      <c r="R60" s="36">
        <f t="shared" ref="R60:R63" si="172">R5</f>
        <v>0</v>
      </c>
      <c r="S60" s="36">
        <f t="shared" ref="S60:S63" si="173">(S5/52*$W5)</f>
        <v>9796.0000000000018</v>
      </c>
      <c r="T60" s="36">
        <f t="shared" ref="T60:T63" si="174">(T5*$W5)</f>
        <v>17828.72</v>
      </c>
      <c r="U60" s="5"/>
      <c r="V60" s="36">
        <f t="shared" ref="V60:X63" si="175">V5</f>
        <v>61204</v>
      </c>
      <c r="W60" s="36">
        <f t="shared" si="175"/>
        <v>101878.40000000001</v>
      </c>
      <c r="X60" s="36">
        <f t="shared" si="175"/>
        <v>142552.80000000002</v>
      </c>
    </row>
    <row r="61" spans="1:66" s="23" customFormat="1" x14ac:dyDescent="0.2">
      <c r="A61" s="4" t="s">
        <v>32</v>
      </c>
      <c r="B61" s="19" t="s">
        <v>47</v>
      </c>
      <c r="C61" s="20"/>
      <c r="D61" s="4"/>
      <c r="E61" s="21"/>
      <c r="F61" s="4"/>
      <c r="G61" s="4"/>
      <c r="H61" s="5"/>
      <c r="I61" s="5"/>
      <c r="J61" s="36">
        <f t="shared" ref="J61:J63" si="176">(J6*$W6)</f>
        <v>8145.9524999999994</v>
      </c>
      <c r="K61" s="7"/>
      <c r="L61" s="37"/>
      <c r="M61" s="36">
        <f t="shared" si="171"/>
        <v>7758.05</v>
      </c>
      <c r="N61" s="36">
        <f t="shared" si="171"/>
        <v>2715.3175000000001</v>
      </c>
      <c r="O61" s="36">
        <f t="shared" si="171"/>
        <v>0</v>
      </c>
      <c r="P61" s="36">
        <f t="shared" si="171"/>
        <v>0</v>
      </c>
      <c r="Q61" s="36">
        <f t="shared" si="171"/>
        <v>3568.703</v>
      </c>
      <c r="R61" s="36">
        <f t="shared" si="172"/>
        <v>0</v>
      </c>
      <c r="S61" s="36">
        <f t="shared" si="173"/>
        <v>5967.7307692307695</v>
      </c>
      <c r="T61" s="36">
        <f t="shared" si="174"/>
        <v>13576.5875</v>
      </c>
      <c r="U61" s="5"/>
      <c r="V61" s="36">
        <f t="shared" si="175"/>
        <v>63701</v>
      </c>
      <c r="W61" s="36">
        <f t="shared" si="175"/>
        <v>77580.5</v>
      </c>
      <c r="X61" s="36">
        <f t="shared" si="175"/>
        <v>91460</v>
      </c>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row>
    <row r="62" spans="1:66" s="23" customFormat="1" x14ac:dyDescent="0.2">
      <c r="A62" s="4" t="s">
        <v>32</v>
      </c>
      <c r="B62" s="19" t="s">
        <v>50</v>
      </c>
      <c r="C62" s="20"/>
      <c r="D62" s="4"/>
      <c r="E62" s="21"/>
      <c r="F62" s="4"/>
      <c r="G62" s="4"/>
      <c r="H62" s="5"/>
      <c r="I62" s="5"/>
      <c r="J62" s="36">
        <f t="shared" si="176"/>
        <v>10695.404999999999</v>
      </c>
      <c r="K62" s="7"/>
      <c r="L62" s="37"/>
      <c r="M62" s="36">
        <f t="shared" si="171"/>
        <v>10186.1</v>
      </c>
      <c r="N62" s="36">
        <f t="shared" si="171"/>
        <v>3565.1350000000002</v>
      </c>
      <c r="O62" s="36">
        <f t="shared" si="171"/>
        <v>0</v>
      </c>
      <c r="P62" s="36">
        <f t="shared" si="171"/>
        <v>0</v>
      </c>
      <c r="Q62" s="36">
        <f t="shared" si="171"/>
        <v>4685.6059999999998</v>
      </c>
      <c r="R62" s="36">
        <f t="shared" si="172"/>
        <v>0</v>
      </c>
      <c r="S62" s="36">
        <f t="shared" si="173"/>
        <v>7835.461538461539</v>
      </c>
      <c r="T62" s="36">
        <f t="shared" si="174"/>
        <v>17825.674999999999</v>
      </c>
      <c r="U62" s="5"/>
      <c r="V62" s="36">
        <f t="shared" si="175"/>
        <v>79624</v>
      </c>
      <c r="W62" s="36">
        <f t="shared" si="175"/>
        <v>101861</v>
      </c>
      <c r="X62" s="36">
        <f t="shared" si="175"/>
        <v>124098</v>
      </c>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pans="1:66" s="23" customFormat="1" x14ac:dyDescent="0.2">
      <c r="A63" s="4" t="s">
        <v>32</v>
      </c>
      <c r="B63" s="19" t="s">
        <v>55</v>
      </c>
      <c r="C63" s="20"/>
      <c r="D63" s="4"/>
      <c r="E63" s="21"/>
      <c r="F63" s="4"/>
      <c r="G63" s="4"/>
      <c r="H63" s="5"/>
      <c r="I63" s="5"/>
      <c r="J63" s="36">
        <f t="shared" si="176"/>
        <v>31106.029500000001</v>
      </c>
      <c r="K63" s="7"/>
      <c r="L63" s="37"/>
      <c r="M63" s="36">
        <f t="shared" si="171"/>
        <v>0</v>
      </c>
      <c r="N63" s="36">
        <f t="shared" si="171"/>
        <v>10368.676500000001</v>
      </c>
      <c r="O63" s="36">
        <f t="shared" si="171"/>
        <v>0</v>
      </c>
      <c r="P63" s="36">
        <f t="shared" si="171"/>
        <v>0</v>
      </c>
      <c r="Q63" s="36">
        <f t="shared" si="171"/>
        <v>13627.403400000001</v>
      </c>
      <c r="R63" s="36">
        <f t="shared" si="172"/>
        <v>29000.16</v>
      </c>
      <c r="S63" s="36">
        <f t="shared" si="173"/>
        <v>22788.300000000003</v>
      </c>
      <c r="T63" s="36">
        <f t="shared" si="174"/>
        <v>51843.3825</v>
      </c>
      <c r="U63" s="5"/>
      <c r="V63" s="36">
        <f t="shared" si="175"/>
        <v>249470</v>
      </c>
      <c r="W63" s="36">
        <f t="shared" si="175"/>
        <v>296247.90000000002</v>
      </c>
      <c r="X63" s="36">
        <f t="shared" si="175"/>
        <v>343025.8</v>
      </c>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pans="1:66" s="23" customFormat="1" x14ac:dyDescent="0.2">
      <c r="A64" s="4"/>
      <c r="B64" s="19"/>
      <c r="C64" s="20"/>
      <c r="D64" s="4"/>
      <c r="E64" s="21"/>
      <c r="F64" s="4"/>
      <c r="G64" s="4"/>
      <c r="H64" s="5"/>
      <c r="I64" s="5"/>
      <c r="J64" s="6"/>
      <c r="K64" s="7"/>
      <c r="L64" s="37"/>
      <c r="M64" s="37"/>
      <c r="N64" s="37"/>
      <c r="O64" s="38"/>
      <c r="P64" s="37"/>
      <c r="Q64" s="37"/>
      <c r="R64" s="26"/>
      <c r="S64" s="5"/>
      <c r="T64" s="37"/>
      <c r="U64" s="5"/>
      <c r="V64" s="36"/>
      <c r="W64" s="36"/>
      <c r="X64" s="36"/>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pans="1:66" s="23" customFormat="1" x14ac:dyDescent="0.2">
      <c r="A65" s="4" t="s">
        <v>62</v>
      </c>
      <c r="B65" s="19" t="s">
        <v>33</v>
      </c>
      <c r="C65" s="20"/>
      <c r="D65" s="4"/>
      <c r="E65" s="21"/>
      <c r="F65" s="4"/>
      <c r="G65" s="4"/>
      <c r="H65" s="5"/>
      <c r="I65" s="5"/>
      <c r="J65" s="36">
        <f>(J10*$W10)</f>
        <v>8155.665</v>
      </c>
      <c r="K65" s="7"/>
      <c r="L65" s="37"/>
      <c r="M65" s="36">
        <f>(M10*$W10)</f>
        <v>7767.3</v>
      </c>
      <c r="N65" s="36">
        <f>(N10*$W10)</f>
        <v>2718.5550000000003</v>
      </c>
      <c r="O65" s="36">
        <f>(O10*$W10)</f>
        <v>0</v>
      </c>
      <c r="P65" s="36">
        <f>(P10*$W10)</f>
        <v>0</v>
      </c>
      <c r="Q65" s="36">
        <f>(Q10*$W10)</f>
        <v>3572.9580000000001</v>
      </c>
      <c r="R65" s="36">
        <f>R10</f>
        <v>0</v>
      </c>
      <c r="S65" s="36">
        <f>(S10/52*$W10)</f>
        <v>5974.8461538461543</v>
      </c>
      <c r="T65" s="36">
        <f>(T10*$W10)</f>
        <v>0</v>
      </c>
      <c r="U65" s="5"/>
      <c r="V65" s="36">
        <f>V10</f>
        <v>54364</v>
      </c>
      <c r="W65" s="36">
        <f t="shared" ref="W65:X65" si="177">W10</f>
        <v>77673</v>
      </c>
      <c r="X65" s="36">
        <f t="shared" si="177"/>
        <v>100982</v>
      </c>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pans="1:66" s="23" customFormat="1" x14ac:dyDescent="0.2">
      <c r="A66" s="4" t="s">
        <v>62</v>
      </c>
      <c r="B66" s="19" t="s">
        <v>40</v>
      </c>
      <c r="C66" s="20"/>
      <c r="D66" s="4"/>
      <c r="E66" s="21"/>
      <c r="F66" s="4"/>
      <c r="G66" s="4"/>
      <c r="H66" s="5"/>
      <c r="I66" s="5"/>
      <c r="J66" s="36">
        <f t="shared" ref="J66:J69" si="178">(J11*$W11)</f>
        <v>10944.99</v>
      </c>
      <c r="K66" s="7"/>
      <c r="L66" s="37"/>
      <c r="M66" s="36">
        <f t="shared" ref="M66:Q69" si="179">(M11*$W11)</f>
        <v>10423.800000000001</v>
      </c>
      <c r="N66" s="36">
        <f t="shared" si="179"/>
        <v>3648.3300000000004</v>
      </c>
      <c r="O66" s="36">
        <f t="shared" si="179"/>
        <v>0</v>
      </c>
      <c r="P66" s="36">
        <f t="shared" si="179"/>
        <v>0</v>
      </c>
      <c r="Q66" s="36">
        <f t="shared" si="179"/>
        <v>4794.9480000000003</v>
      </c>
      <c r="R66" s="36">
        <f t="shared" ref="R66:R69" si="180">R11</f>
        <v>0</v>
      </c>
      <c r="S66" s="36">
        <f t="shared" ref="S66:S69" si="181">(S11/52*$W11)</f>
        <v>10022.884615384615</v>
      </c>
      <c r="T66" s="36">
        <f t="shared" ref="T66:T69" si="182">(T11*$W11)</f>
        <v>0</v>
      </c>
      <c r="U66" s="5"/>
      <c r="V66" s="36">
        <f t="shared" ref="V66:X69" si="183">V11</f>
        <v>66386</v>
      </c>
      <c r="W66" s="36">
        <f t="shared" si="183"/>
        <v>104238</v>
      </c>
      <c r="X66" s="36">
        <f t="shared" si="183"/>
        <v>142090</v>
      </c>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pans="1:66" s="23" customFormat="1" x14ac:dyDescent="0.2">
      <c r="A67" s="4" t="s">
        <v>62</v>
      </c>
      <c r="B67" s="19" t="s">
        <v>47</v>
      </c>
      <c r="C67" s="20"/>
      <c r="D67" s="4"/>
      <c r="E67" s="21"/>
      <c r="F67" s="4"/>
      <c r="G67" s="4"/>
      <c r="H67" s="5"/>
      <c r="I67" s="5"/>
      <c r="J67" s="36">
        <f t="shared" si="178"/>
        <v>6654.2699999999995</v>
      </c>
      <c r="K67" s="7"/>
      <c r="L67" s="37"/>
      <c r="M67" s="36">
        <f t="shared" si="179"/>
        <v>6337.4000000000005</v>
      </c>
      <c r="N67" s="36">
        <f t="shared" si="179"/>
        <v>2218.09</v>
      </c>
      <c r="O67" s="36">
        <f t="shared" si="179"/>
        <v>0</v>
      </c>
      <c r="P67" s="36">
        <f t="shared" si="179"/>
        <v>0</v>
      </c>
      <c r="Q67" s="36">
        <f t="shared" si="179"/>
        <v>2915.2039999999997</v>
      </c>
      <c r="R67" s="36">
        <f t="shared" si="180"/>
        <v>0</v>
      </c>
      <c r="S67" s="36">
        <f t="shared" si="181"/>
        <v>4874.9230769230771</v>
      </c>
      <c r="T67" s="36">
        <f t="shared" si="182"/>
        <v>0</v>
      </c>
      <c r="U67" s="5"/>
      <c r="V67" s="36">
        <f t="shared" si="183"/>
        <v>56916</v>
      </c>
      <c r="W67" s="36">
        <f t="shared" si="183"/>
        <v>63374</v>
      </c>
      <c r="X67" s="36">
        <f t="shared" si="183"/>
        <v>69832</v>
      </c>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pans="1:66" s="23" customFormat="1" x14ac:dyDescent="0.2">
      <c r="A68" s="4" t="s">
        <v>62</v>
      </c>
      <c r="B68" s="19" t="s">
        <v>50</v>
      </c>
      <c r="C68" s="20"/>
      <c r="D68" s="4"/>
      <c r="E68" s="21"/>
      <c r="F68" s="4"/>
      <c r="G68" s="4"/>
      <c r="H68" s="5"/>
      <c r="I68" s="5"/>
      <c r="J68" s="36">
        <f t="shared" si="178"/>
        <v>9616.6875</v>
      </c>
      <c r="K68" s="7"/>
      <c r="L68" s="37"/>
      <c r="M68" s="36">
        <f t="shared" si="179"/>
        <v>9158.75</v>
      </c>
      <c r="N68" s="36">
        <f t="shared" si="179"/>
        <v>3205.5625000000005</v>
      </c>
      <c r="O68" s="36">
        <f t="shared" si="179"/>
        <v>0</v>
      </c>
      <c r="P68" s="36">
        <f t="shared" si="179"/>
        <v>0</v>
      </c>
      <c r="Q68" s="36">
        <f t="shared" si="179"/>
        <v>4213.0249999999996</v>
      </c>
      <c r="R68" s="36">
        <f t="shared" si="180"/>
        <v>0</v>
      </c>
      <c r="S68" s="36">
        <f t="shared" si="181"/>
        <v>7045.1923076923085</v>
      </c>
      <c r="T68" s="36">
        <f t="shared" si="182"/>
        <v>0</v>
      </c>
      <c r="U68" s="5"/>
      <c r="V68" s="36">
        <f t="shared" si="183"/>
        <v>66386</v>
      </c>
      <c r="W68" s="36">
        <f t="shared" si="183"/>
        <v>91587.5</v>
      </c>
      <c r="X68" s="36">
        <f t="shared" si="183"/>
        <v>116789</v>
      </c>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pans="1:66" s="23" customFormat="1" x14ac:dyDescent="0.2">
      <c r="A69" s="4" t="s">
        <v>62</v>
      </c>
      <c r="B69" s="19" t="s">
        <v>55</v>
      </c>
      <c r="C69" s="20"/>
      <c r="D69" s="4"/>
      <c r="E69" s="21"/>
      <c r="F69" s="4"/>
      <c r="G69" s="4"/>
      <c r="H69" s="5"/>
      <c r="I69" s="5"/>
      <c r="J69" s="36">
        <f t="shared" si="178"/>
        <v>26966.1525</v>
      </c>
      <c r="K69" s="7"/>
      <c r="L69" s="37"/>
      <c r="M69" s="36">
        <f t="shared" si="179"/>
        <v>0</v>
      </c>
      <c r="N69" s="36">
        <f t="shared" si="179"/>
        <v>8988.7175000000007</v>
      </c>
      <c r="O69" s="36">
        <f t="shared" si="179"/>
        <v>0</v>
      </c>
      <c r="P69" s="36">
        <f t="shared" si="179"/>
        <v>154092.29999999999</v>
      </c>
      <c r="Q69" s="36">
        <f t="shared" si="179"/>
        <v>11813.743</v>
      </c>
      <c r="R69" s="36">
        <f t="shared" si="180"/>
        <v>26000</v>
      </c>
      <c r="S69" s="36">
        <f t="shared" si="181"/>
        <v>24694.278846153848</v>
      </c>
      <c r="T69" s="36">
        <f t="shared" si="182"/>
        <v>44943.587499999994</v>
      </c>
      <c r="U69" s="5"/>
      <c r="V69" s="36">
        <f t="shared" si="183"/>
        <v>221622</v>
      </c>
      <c r="W69" s="36">
        <f t="shared" si="183"/>
        <v>256820.5</v>
      </c>
      <c r="X69" s="36">
        <f t="shared" si="183"/>
        <v>292019</v>
      </c>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pans="1:66" s="23" customFormat="1" x14ac:dyDescent="0.2">
      <c r="A70" s="4"/>
      <c r="B70" s="19"/>
      <c r="C70" s="20"/>
      <c r="D70" s="4"/>
      <c r="E70" s="21"/>
      <c r="F70" s="4"/>
      <c r="G70" s="4"/>
      <c r="H70" s="5"/>
      <c r="I70" s="5"/>
      <c r="J70" s="6"/>
      <c r="K70" s="7"/>
      <c r="L70" s="37"/>
      <c r="M70" s="37"/>
      <c r="N70" s="37"/>
      <c r="O70" s="38"/>
      <c r="P70" s="37"/>
      <c r="Q70" s="37"/>
      <c r="R70" s="26"/>
      <c r="S70" s="5"/>
      <c r="T70" s="37"/>
      <c r="U70" s="5"/>
      <c r="V70" s="36"/>
      <c r="W70" s="36"/>
      <c r="X70" s="36"/>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pans="1:66" s="23" customFormat="1" x14ac:dyDescent="0.2">
      <c r="A71" s="4" t="s">
        <v>74</v>
      </c>
      <c r="B71" s="19" t="s">
        <v>33</v>
      </c>
      <c r="C71" s="20"/>
      <c r="D71" s="4"/>
      <c r="E71" s="21"/>
      <c r="F71" s="4"/>
      <c r="G71" s="4"/>
      <c r="H71" s="5"/>
      <c r="I71" s="5"/>
      <c r="J71" s="36">
        <f>(J16*$W16)</f>
        <v>8151.9437999999991</v>
      </c>
      <c r="K71" s="7"/>
      <c r="L71" s="37"/>
      <c r="M71" s="36">
        <f>(M16*$W16)</f>
        <v>7763.7560000000003</v>
      </c>
      <c r="N71" s="36">
        <f>(N16*$W16)</f>
        <v>2717.3146000000002</v>
      </c>
      <c r="O71" s="36">
        <f>(O16*$W16)</f>
        <v>0</v>
      </c>
      <c r="P71" s="36">
        <f>(P16*$W16)</f>
        <v>0</v>
      </c>
      <c r="Q71" s="36">
        <f>(Q16*$W16)</f>
        <v>3571.3277599999997</v>
      </c>
      <c r="R71" s="36">
        <f>R16</f>
        <v>0</v>
      </c>
      <c r="S71" s="36">
        <f>(S16/52*$W16)</f>
        <v>5972.12</v>
      </c>
      <c r="T71" s="36">
        <f>(T16*$W16)</f>
        <v>0</v>
      </c>
      <c r="U71" s="5"/>
      <c r="V71" s="36">
        <f>V16</f>
        <v>60017.880000000005</v>
      </c>
      <c r="W71" s="36">
        <f t="shared" ref="W71:X71" si="184">W16</f>
        <v>77637.56</v>
      </c>
      <c r="X71" s="36">
        <f t="shared" si="184"/>
        <v>95257.239999999991</v>
      </c>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s="23" customFormat="1" x14ac:dyDescent="0.2">
      <c r="A72" s="4" t="s">
        <v>74</v>
      </c>
      <c r="B72" s="19" t="s">
        <v>40</v>
      </c>
      <c r="C72" s="20"/>
      <c r="D72" s="4"/>
      <c r="E72" s="21"/>
      <c r="F72" s="4"/>
      <c r="G72" s="4"/>
      <c r="H72" s="5"/>
      <c r="I72" s="5"/>
      <c r="J72" s="36">
        <f t="shared" ref="J72:J75" si="185">(J17*$W17)</f>
        <v>10804.466399999999</v>
      </c>
      <c r="K72" s="7"/>
      <c r="L72" s="37"/>
      <c r="M72" s="36">
        <f t="shared" ref="M72:Q75" si="186">(M17*$W17)</f>
        <v>10289.968000000001</v>
      </c>
      <c r="N72" s="36">
        <f t="shared" si="186"/>
        <v>3601.4888000000001</v>
      </c>
      <c r="O72" s="36">
        <f t="shared" si="186"/>
        <v>0</v>
      </c>
      <c r="P72" s="36">
        <f t="shared" si="186"/>
        <v>0</v>
      </c>
      <c r="Q72" s="36">
        <f t="shared" si="186"/>
        <v>4733.3852799999995</v>
      </c>
      <c r="R72" s="36">
        <f t="shared" ref="R72:R75" si="187">R17</f>
        <v>0</v>
      </c>
      <c r="S72" s="36">
        <f t="shared" ref="S72:S75" si="188">(S17/52*$W17)</f>
        <v>7915.36</v>
      </c>
      <c r="T72" s="36">
        <f t="shared" ref="T72:T75" si="189">(T17*$W17)</f>
        <v>18007.443999999996</v>
      </c>
      <c r="U72" s="5"/>
      <c r="V72" s="36">
        <f t="shared" ref="V72:X75" si="190">V17</f>
        <v>67224.039999999994</v>
      </c>
      <c r="W72" s="36">
        <f t="shared" si="190"/>
        <v>102899.68</v>
      </c>
      <c r="X72" s="36">
        <f t="shared" si="190"/>
        <v>138575.32</v>
      </c>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s="23" customFormat="1" x14ac:dyDescent="0.2">
      <c r="A73" s="4" t="s">
        <v>74</v>
      </c>
      <c r="B73" s="19" t="s">
        <v>47</v>
      </c>
      <c r="C73" s="20"/>
      <c r="D73" s="4"/>
      <c r="E73" s="21"/>
      <c r="F73" s="4"/>
      <c r="G73" s="4"/>
      <c r="H73" s="5"/>
      <c r="I73" s="5"/>
      <c r="J73" s="36">
        <f t="shared" si="185"/>
        <v>6084.0233999999991</v>
      </c>
      <c r="K73" s="7"/>
      <c r="L73" s="37"/>
      <c r="M73" s="36">
        <f t="shared" si="186"/>
        <v>5794.308</v>
      </c>
      <c r="N73" s="36">
        <f t="shared" si="186"/>
        <v>2028.0078000000001</v>
      </c>
      <c r="O73" s="36">
        <f t="shared" si="186"/>
        <v>0</v>
      </c>
      <c r="P73" s="36">
        <f t="shared" si="186"/>
        <v>0</v>
      </c>
      <c r="Q73" s="36">
        <f t="shared" si="186"/>
        <v>2665.3816799999995</v>
      </c>
      <c r="R73" s="36">
        <f t="shared" si="187"/>
        <v>0</v>
      </c>
      <c r="S73" s="36">
        <f t="shared" si="188"/>
        <v>4457.16</v>
      </c>
      <c r="T73" s="36">
        <f t="shared" si="189"/>
        <v>0</v>
      </c>
      <c r="U73" s="5"/>
      <c r="V73" s="36">
        <f t="shared" si="190"/>
        <v>48181.119999999995</v>
      </c>
      <c r="W73" s="36">
        <f t="shared" si="190"/>
        <v>57943.079999999994</v>
      </c>
      <c r="X73" s="36">
        <f t="shared" si="190"/>
        <v>67705.039999999994</v>
      </c>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s="23" customFormat="1" x14ac:dyDescent="0.2">
      <c r="A74" s="4" t="s">
        <v>74</v>
      </c>
      <c r="B74" s="19" t="s">
        <v>50</v>
      </c>
      <c r="C74" s="20"/>
      <c r="D74" s="4"/>
      <c r="E74" s="21"/>
      <c r="F74" s="4"/>
      <c r="G74" s="4"/>
      <c r="H74" s="5"/>
      <c r="I74" s="5"/>
      <c r="J74" s="36">
        <f t="shared" si="185"/>
        <v>9495.6224999999995</v>
      </c>
      <c r="K74" s="7"/>
      <c r="L74" s="37"/>
      <c r="M74" s="36">
        <f t="shared" si="186"/>
        <v>9043.4500000000007</v>
      </c>
      <c r="N74" s="36">
        <f t="shared" si="186"/>
        <v>3165.2075000000004</v>
      </c>
      <c r="O74" s="36">
        <f t="shared" si="186"/>
        <v>0</v>
      </c>
      <c r="P74" s="36">
        <f t="shared" si="186"/>
        <v>0</v>
      </c>
      <c r="Q74" s="36">
        <f t="shared" si="186"/>
        <v>4159.9870000000001</v>
      </c>
      <c r="R74" s="36">
        <f t="shared" si="187"/>
        <v>0</v>
      </c>
      <c r="S74" s="36">
        <f t="shared" si="188"/>
        <v>6956.5</v>
      </c>
      <c r="T74" s="36">
        <f t="shared" si="189"/>
        <v>15826.037499999999</v>
      </c>
      <c r="U74" s="5"/>
      <c r="V74" s="36">
        <f t="shared" si="190"/>
        <v>66106</v>
      </c>
      <c r="W74" s="36">
        <f t="shared" si="190"/>
        <v>90434.5</v>
      </c>
      <c r="X74" s="36">
        <f t="shared" si="190"/>
        <v>114763</v>
      </c>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pans="1:66" s="23" customFormat="1" x14ac:dyDescent="0.2">
      <c r="A75" s="4" t="s">
        <v>74</v>
      </c>
      <c r="B75" s="19" t="s">
        <v>55</v>
      </c>
      <c r="C75" s="20"/>
      <c r="D75" s="4"/>
      <c r="E75" s="21"/>
      <c r="F75" s="4"/>
      <c r="G75" s="4"/>
      <c r="H75" s="5"/>
      <c r="I75" s="5"/>
      <c r="J75" s="36">
        <f t="shared" si="185"/>
        <v>22103.445</v>
      </c>
      <c r="K75" s="7"/>
      <c r="L75" s="37"/>
      <c r="M75" s="36">
        <f t="shared" si="186"/>
        <v>0</v>
      </c>
      <c r="N75" s="36">
        <f t="shared" si="186"/>
        <v>7367.8150000000005</v>
      </c>
      <c r="O75" s="36">
        <f t="shared" si="186"/>
        <v>42101.8</v>
      </c>
      <c r="P75" s="36">
        <f t="shared" si="186"/>
        <v>36628.565999999999</v>
      </c>
      <c r="Q75" s="36">
        <f t="shared" si="186"/>
        <v>9683.4140000000007</v>
      </c>
      <c r="R75" s="36">
        <f t="shared" si="187"/>
        <v>38000</v>
      </c>
      <c r="S75" s="36">
        <f t="shared" si="188"/>
        <v>20241.25</v>
      </c>
      <c r="T75" s="36">
        <f t="shared" si="189"/>
        <v>36839.074999999997</v>
      </c>
      <c r="U75" s="5"/>
      <c r="V75" s="36">
        <f t="shared" si="190"/>
        <v>179078</v>
      </c>
      <c r="W75" s="36">
        <f t="shared" si="190"/>
        <v>210509</v>
      </c>
      <c r="X75" s="36">
        <f t="shared" si="190"/>
        <v>241940</v>
      </c>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pans="1:66" s="23" customFormat="1" x14ac:dyDescent="0.2">
      <c r="A76" s="4"/>
      <c r="B76" s="19"/>
      <c r="C76" s="20"/>
      <c r="D76" s="4"/>
      <c r="E76" s="21"/>
      <c r="F76" s="4"/>
      <c r="G76" s="4"/>
      <c r="H76" s="5"/>
      <c r="I76" s="5"/>
      <c r="J76" s="6"/>
      <c r="K76" s="7"/>
      <c r="L76" s="37"/>
      <c r="M76" s="37"/>
      <c r="N76" s="37"/>
      <c r="O76" s="38"/>
      <c r="P76" s="37"/>
      <c r="Q76" s="37"/>
      <c r="R76" s="26"/>
      <c r="S76" s="5"/>
      <c r="T76" s="37"/>
      <c r="U76" s="5"/>
      <c r="V76" s="36"/>
      <c r="W76" s="36"/>
      <c r="X76" s="36"/>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row>
    <row r="77" spans="1:66" s="23" customFormat="1" x14ac:dyDescent="0.2">
      <c r="A77" s="4" t="s">
        <v>82</v>
      </c>
      <c r="B77" s="19" t="s">
        <v>33</v>
      </c>
      <c r="C77" s="20"/>
      <c r="D77" s="4"/>
      <c r="E77" s="21"/>
      <c r="F77" s="4"/>
      <c r="G77" s="4"/>
      <c r="H77" s="5"/>
      <c r="I77" s="5"/>
      <c r="J77" s="36">
        <f>(J22*$W22)</f>
        <v>8949.99</v>
      </c>
      <c r="K77" s="7"/>
      <c r="L77" s="37"/>
      <c r="M77" s="36">
        <f>(M22*$W22)</f>
        <v>7019.6</v>
      </c>
      <c r="N77" s="36">
        <f>(N22*$W22)</f>
        <v>2456.86</v>
      </c>
      <c r="O77" s="36">
        <f>(O22*$W22)</f>
        <v>0</v>
      </c>
      <c r="P77" s="36">
        <f>(P22*$W22)</f>
        <v>0</v>
      </c>
      <c r="Q77" s="36">
        <f>(Q22*$W22)</f>
        <v>3229.0160000000001</v>
      </c>
      <c r="R77" s="36">
        <f>R22</f>
        <v>1826</v>
      </c>
      <c r="S77" s="36">
        <f>(S22/52*$W22)</f>
        <v>5399.6923076923076</v>
      </c>
      <c r="T77" s="36">
        <f>(T22*$W22)</f>
        <v>0</v>
      </c>
      <c r="U77" s="5"/>
      <c r="V77" s="36">
        <f>V22</f>
        <v>48552</v>
      </c>
      <c r="W77" s="36">
        <f t="shared" ref="W77:X77" si="191">W22</f>
        <v>70196</v>
      </c>
      <c r="X77" s="36">
        <f t="shared" si="191"/>
        <v>91840</v>
      </c>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pans="1:66" s="23" customFormat="1" x14ac:dyDescent="0.2">
      <c r="A78" s="4" t="s">
        <v>82</v>
      </c>
      <c r="B78" s="19" t="s">
        <v>40</v>
      </c>
      <c r="C78" s="20"/>
      <c r="D78" s="4"/>
      <c r="E78" s="21"/>
      <c r="F78" s="4"/>
      <c r="G78" s="4"/>
      <c r="H78" s="5"/>
      <c r="I78" s="5"/>
      <c r="J78" s="36">
        <f t="shared" ref="J78:J81" si="192">(J23*$W23)</f>
        <v>13298.696250000001</v>
      </c>
      <c r="K78" s="7"/>
      <c r="L78" s="37"/>
      <c r="M78" s="36">
        <f t="shared" ref="M78:Q81" si="193">(M23*$W23)</f>
        <v>10430.35</v>
      </c>
      <c r="N78" s="36">
        <f t="shared" si="193"/>
        <v>3650.6225000000004</v>
      </c>
      <c r="O78" s="36">
        <f t="shared" si="193"/>
        <v>0</v>
      </c>
      <c r="P78" s="36">
        <f t="shared" si="193"/>
        <v>0</v>
      </c>
      <c r="Q78" s="36">
        <f t="shared" si="193"/>
        <v>4797.9610000000002</v>
      </c>
      <c r="R78" s="36">
        <f t="shared" ref="R78:R81" si="194">R23</f>
        <v>1826</v>
      </c>
      <c r="S78" s="36">
        <f t="shared" ref="S78:S81" si="195">(S23/52*$W23)</f>
        <v>8023.3461538461543</v>
      </c>
      <c r="T78" s="36">
        <f t="shared" ref="T78:T81" si="196">(T23*$W23)</f>
        <v>0</v>
      </c>
      <c r="U78" s="5"/>
      <c r="V78" s="36">
        <f t="shared" ref="V78:X81" si="197">V23</f>
        <v>69031</v>
      </c>
      <c r="W78" s="36">
        <f t="shared" si="197"/>
        <v>104303.5</v>
      </c>
      <c r="X78" s="36">
        <f t="shared" si="197"/>
        <v>139576</v>
      </c>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pans="1:66" s="23" customFormat="1" x14ac:dyDescent="0.2">
      <c r="A79" s="4" t="s">
        <v>82</v>
      </c>
      <c r="B79" s="19" t="s">
        <v>47</v>
      </c>
      <c r="C79" s="20"/>
      <c r="D79" s="4"/>
      <c r="E79" s="21"/>
      <c r="F79" s="4"/>
      <c r="G79" s="4"/>
      <c r="H79" s="5"/>
      <c r="I79" s="5"/>
      <c r="J79" s="36">
        <f t="shared" si="192"/>
        <v>8134.8187500000004</v>
      </c>
      <c r="K79" s="7"/>
      <c r="L79" s="37"/>
      <c r="M79" s="36">
        <f t="shared" si="193"/>
        <v>6380.25</v>
      </c>
      <c r="N79" s="36">
        <f t="shared" si="193"/>
        <v>2233.0875000000001</v>
      </c>
      <c r="O79" s="36">
        <f t="shared" si="193"/>
        <v>0</v>
      </c>
      <c r="P79" s="36">
        <f t="shared" si="193"/>
        <v>0</v>
      </c>
      <c r="Q79" s="36">
        <f t="shared" si="193"/>
        <v>2934.915</v>
      </c>
      <c r="R79" s="36">
        <f t="shared" si="194"/>
        <v>1826</v>
      </c>
      <c r="S79" s="36">
        <f t="shared" si="195"/>
        <v>4907.8846153846152</v>
      </c>
      <c r="T79" s="36">
        <f t="shared" si="196"/>
        <v>0</v>
      </c>
      <c r="U79" s="5"/>
      <c r="V79" s="36">
        <f t="shared" si="197"/>
        <v>47704</v>
      </c>
      <c r="W79" s="36">
        <f t="shared" si="197"/>
        <v>63802.5</v>
      </c>
      <c r="X79" s="36">
        <f t="shared" si="197"/>
        <v>79901</v>
      </c>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pans="1:66" s="23" customFormat="1" x14ac:dyDescent="0.2">
      <c r="A80" s="4" t="s">
        <v>82</v>
      </c>
      <c r="B80" s="19" t="s">
        <v>50</v>
      </c>
      <c r="C80" s="20"/>
      <c r="D80" s="4"/>
      <c r="E80" s="21"/>
      <c r="F80" s="4"/>
      <c r="G80" s="4"/>
      <c r="H80" s="5"/>
      <c r="I80" s="5"/>
      <c r="J80" s="36">
        <f t="shared" si="192"/>
        <v>13298.696250000001</v>
      </c>
      <c r="K80" s="7"/>
      <c r="L80" s="37"/>
      <c r="M80" s="36">
        <f t="shared" si="193"/>
        <v>10430.35</v>
      </c>
      <c r="N80" s="36">
        <f t="shared" si="193"/>
        <v>3650.6225000000004</v>
      </c>
      <c r="O80" s="36">
        <f t="shared" si="193"/>
        <v>0</v>
      </c>
      <c r="P80" s="36">
        <f t="shared" si="193"/>
        <v>0</v>
      </c>
      <c r="Q80" s="36">
        <f t="shared" si="193"/>
        <v>4797.9610000000002</v>
      </c>
      <c r="R80" s="36">
        <f t="shared" si="194"/>
        <v>1826</v>
      </c>
      <c r="S80" s="36">
        <f t="shared" si="195"/>
        <v>8023.3461538461543</v>
      </c>
      <c r="T80" s="36">
        <f t="shared" si="196"/>
        <v>0</v>
      </c>
      <c r="U80" s="5"/>
      <c r="V80" s="36">
        <f t="shared" si="197"/>
        <v>69031</v>
      </c>
      <c r="W80" s="36">
        <f t="shared" si="197"/>
        <v>104303.5</v>
      </c>
      <c r="X80" s="36">
        <f t="shared" si="197"/>
        <v>139576</v>
      </c>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pans="1:66" s="23" customFormat="1" x14ac:dyDescent="0.2">
      <c r="A81" s="4" t="s">
        <v>82</v>
      </c>
      <c r="B81" s="19" t="s">
        <v>55</v>
      </c>
      <c r="C81" s="20"/>
      <c r="D81" s="4"/>
      <c r="E81" s="21"/>
      <c r="F81" s="4"/>
      <c r="G81" s="4"/>
      <c r="H81" s="5"/>
      <c r="I81" s="5"/>
      <c r="J81" s="36">
        <f t="shared" si="192"/>
        <v>28782.87</v>
      </c>
      <c r="K81" s="7"/>
      <c r="L81" s="37"/>
      <c r="M81" s="36">
        <f t="shared" si="193"/>
        <v>0</v>
      </c>
      <c r="N81" s="36">
        <f t="shared" si="193"/>
        <v>7901.1800000000012</v>
      </c>
      <c r="O81" s="36">
        <f t="shared" si="193"/>
        <v>0</v>
      </c>
      <c r="P81" s="36">
        <f t="shared" si="193"/>
        <v>112874</v>
      </c>
      <c r="Q81" s="36">
        <f t="shared" si="193"/>
        <v>10384.407999999999</v>
      </c>
      <c r="R81" s="36">
        <f t="shared" si="194"/>
        <v>21500</v>
      </c>
      <c r="S81" s="36">
        <f t="shared" si="195"/>
        <v>17365.23076923077</v>
      </c>
      <c r="T81" s="36">
        <f t="shared" si="196"/>
        <v>0</v>
      </c>
      <c r="U81" s="5"/>
      <c r="V81" s="36">
        <f t="shared" si="197"/>
        <v>189406</v>
      </c>
      <c r="W81" s="36">
        <f t="shared" si="197"/>
        <v>225748</v>
      </c>
      <c r="X81" s="36">
        <f t="shared" si="197"/>
        <v>262090</v>
      </c>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pans="1:66" s="23" customFormat="1" x14ac:dyDescent="0.2">
      <c r="A82" s="4"/>
      <c r="B82" s="19"/>
      <c r="C82" s="20"/>
      <c r="D82" s="4"/>
      <c r="E82" s="21"/>
      <c r="F82" s="4"/>
      <c r="G82" s="4"/>
      <c r="H82" s="5"/>
      <c r="I82" s="5"/>
      <c r="J82" s="6"/>
      <c r="K82" s="7"/>
      <c r="L82" s="37"/>
      <c r="M82" s="37"/>
      <c r="N82" s="37"/>
      <c r="O82" s="38"/>
      <c r="P82" s="37"/>
      <c r="Q82" s="37"/>
      <c r="R82" s="26"/>
      <c r="S82" s="5"/>
      <c r="T82" s="37"/>
      <c r="U82" s="5"/>
      <c r="V82" s="36"/>
      <c r="W82" s="36"/>
      <c r="X82" s="36"/>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pans="1:66" s="23" customFormat="1" x14ac:dyDescent="0.2">
      <c r="A83" s="4" t="s">
        <v>88</v>
      </c>
      <c r="B83" s="19" t="s">
        <v>33</v>
      </c>
      <c r="C83" s="20"/>
      <c r="D83" s="4"/>
      <c r="E83" s="21"/>
      <c r="F83" s="4"/>
      <c r="G83" s="4"/>
      <c r="H83" s="5"/>
      <c r="I83" s="5"/>
      <c r="J83" s="36">
        <f>(J28*$W28)</f>
        <v>7493.6399999999994</v>
      </c>
      <c r="K83" s="7"/>
      <c r="L83" s="37"/>
      <c r="M83" s="36">
        <f>(M28*$W28)</f>
        <v>7136.8</v>
      </c>
      <c r="N83" s="36">
        <f>(N28*$W28)</f>
        <v>2497.88</v>
      </c>
      <c r="O83" s="36">
        <f>(O28*$W28)</f>
        <v>0</v>
      </c>
      <c r="P83" s="36">
        <f>(P28*$W28)</f>
        <v>0</v>
      </c>
      <c r="Q83" s="36">
        <f>(Q28*$W28)</f>
        <v>3282.9279999999999</v>
      </c>
      <c r="R83" s="36">
        <f>R28</f>
        <v>0</v>
      </c>
      <c r="S83" s="36">
        <f>(S28/52*$W28)</f>
        <v>5489.8461538461543</v>
      </c>
      <c r="T83" s="36">
        <f>(T28*$W28)</f>
        <v>14273.6</v>
      </c>
      <c r="U83" s="5"/>
      <c r="V83" s="36">
        <f>V28</f>
        <v>57579</v>
      </c>
      <c r="W83" s="36">
        <f t="shared" ref="W83:X83" si="198">W28</f>
        <v>71368</v>
      </c>
      <c r="X83" s="36">
        <f t="shared" si="198"/>
        <v>85157</v>
      </c>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pans="1:66" s="23" customFormat="1" x14ac:dyDescent="0.2">
      <c r="A84" s="4" t="s">
        <v>88</v>
      </c>
      <c r="B84" s="19" t="s">
        <v>40</v>
      </c>
      <c r="C84" s="20"/>
      <c r="D84" s="4"/>
      <c r="E84" s="21"/>
      <c r="F84" s="4"/>
      <c r="G84" s="4"/>
      <c r="H84" s="5"/>
      <c r="I84" s="5"/>
      <c r="J84" s="36">
        <f t="shared" ref="J84:J87" si="199">(J29*$W29)</f>
        <v>11449.305</v>
      </c>
      <c r="K84" s="7"/>
      <c r="L84" s="37"/>
      <c r="M84" s="36">
        <f t="shared" ref="M84:Q87" si="200">(M29*$W29)</f>
        <v>10904.1</v>
      </c>
      <c r="N84" s="36">
        <f t="shared" si="200"/>
        <v>3816.4350000000004</v>
      </c>
      <c r="O84" s="36">
        <f t="shared" si="200"/>
        <v>0</v>
      </c>
      <c r="P84" s="36">
        <f t="shared" si="200"/>
        <v>0</v>
      </c>
      <c r="Q84" s="36">
        <f t="shared" si="200"/>
        <v>5015.8859999999995</v>
      </c>
      <c r="R84" s="36">
        <f t="shared" ref="R84:R87" si="201">R29</f>
        <v>0</v>
      </c>
      <c r="S84" s="36">
        <f t="shared" ref="S84:S87" si="202">(S29/52*$W29)</f>
        <v>8387.7692307692305</v>
      </c>
      <c r="T84" s="36">
        <f t="shared" ref="T84:T87" si="203">(T29*$W29)</f>
        <v>21808.2</v>
      </c>
      <c r="U84" s="5"/>
      <c r="V84" s="36">
        <f t="shared" ref="V84:X87" si="204">V29</f>
        <v>77833</v>
      </c>
      <c r="W84" s="36">
        <f t="shared" si="204"/>
        <v>109041</v>
      </c>
      <c r="X84" s="36">
        <f t="shared" si="204"/>
        <v>140249</v>
      </c>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s="23" customFormat="1" x14ac:dyDescent="0.2">
      <c r="A85" s="4" t="s">
        <v>88</v>
      </c>
      <c r="B85" s="19" t="s">
        <v>47</v>
      </c>
      <c r="C85" s="20"/>
      <c r="D85" s="4"/>
      <c r="E85" s="21"/>
      <c r="F85" s="4"/>
      <c r="G85" s="4"/>
      <c r="H85" s="5"/>
      <c r="I85" s="5"/>
      <c r="J85" s="36">
        <f t="shared" si="199"/>
        <v>6647.9699999999993</v>
      </c>
      <c r="K85" s="7"/>
      <c r="L85" s="37"/>
      <c r="M85" s="36">
        <f t="shared" si="200"/>
        <v>6331.4000000000005</v>
      </c>
      <c r="N85" s="36">
        <f t="shared" si="200"/>
        <v>2215.9900000000002</v>
      </c>
      <c r="O85" s="36">
        <f t="shared" si="200"/>
        <v>0</v>
      </c>
      <c r="P85" s="36">
        <f t="shared" si="200"/>
        <v>0</v>
      </c>
      <c r="Q85" s="36">
        <f t="shared" si="200"/>
        <v>2912.444</v>
      </c>
      <c r="R85" s="36">
        <f t="shared" si="201"/>
        <v>0</v>
      </c>
      <c r="S85" s="36">
        <f t="shared" si="202"/>
        <v>4870.3076923076924</v>
      </c>
      <c r="T85" s="36">
        <f t="shared" si="203"/>
        <v>12662.800000000001</v>
      </c>
      <c r="U85" s="5"/>
      <c r="V85" s="36">
        <f t="shared" si="204"/>
        <v>57579</v>
      </c>
      <c r="W85" s="36">
        <f t="shared" si="204"/>
        <v>63314</v>
      </c>
      <c r="X85" s="36">
        <f t="shared" si="204"/>
        <v>69049</v>
      </c>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s="23" customFormat="1" x14ac:dyDescent="0.2">
      <c r="A86" s="4" t="s">
        <v>88</v>
      </c>
      <c r="B86" s="19" t="s">
        <v>50</v>
      </c>
      <c r="C86" s="20"/>
      <c r="D86" s="4"/>
      <c r="E86" s="21"/>
      <c r="F86" s="4"/>
      <c r="G86" s="4"/>
      <c r="H86" s="5"/>
      <c r="I86" s="5"/>
      <c r="J86" s="36">
        <f t="shared" si="199"/>
        <v>9112.0049999999992</v>
      </c>
      <c r="K86" s="7"/>
      <c r="L86" s="37"/>
      <c r="M86" s="36">
        <f t="shared" si="200"/>
        <v>8678.1</v>
      </c>
      <c r="N86" s="36">
        <f t="shared" si="200"/>
        <v>3037.3350000000005</v>
      </c>
      <c r="O86" s="36">
        <f t="shared" si="200"/>
        <v>0</v>
      </c>
      <c r="P86" s="36">
        <f t="shared" si="200"/>
        <v>0</v>
      </c>
      <c r="Q86" s="36">
        <f t="shared" si="200"/>
        <v>3991.9259999999999</v>
      </c>
      <c r="R86" s="36">
        <f t="shared" si="201"/>
        <v>0</v>
      </c>
      <c r="S86" s="36">
        <f t="shared" si="202"/>
        <v>6675.461538461539</v>
      </c>
      <c r="T86" s="36">
        <f t="shared" si="203"/>
        <v>17356.2</v>
      </c>
      <c r="U86" s="5"/>
      <c r="V86" s="36">
        <f t="shared" si="204"/>
        <v>79898</v>
      </c>
      <c r="W86" s="36">
        <f t="shared" si="204"/>
        <v>86781</v>
      </c>
      <c r="X86" s="36">
        <f t="shared" si="204"/>
        <v>93664</v>
      </c>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23" customFormat="1" x14ac:dyDescent="0.2">
      <c r="A87" s="4" t="s">
        <v>88</v>
      </c>
      <c r="B87" s="19" t="s">
        <v>55</v>
      </c>
      <c r="C87" s="20"/>
      <c r="D87" s="4"/>
      <c r="E87" s="21"/>
      <c r="F87" s="4"/>
      <c r="G87" s="4"/>
      <c r="H87" s="5"/>
      <c r="I87" s="5"/>
      <c r="J87" s="36">
        <f t="shared" si="199"/>
        <v>35924.28</v>
      </c>
      <c r="K87" s="7"/>
      <c r="L87" s="37"/>
      <c r="M87" s="36">
        <f t="shared" si="200"/>
        <v>0</v>
      </c>
      <c r="N87" s="36">
        <f t="shared" si="200"/>
        <v>11974.760000000002</v>
      </c>
      <c r="O87" s="36">
        <f t="shared" si="200"/>
        <v>0</v>
      </c>
      <c r="P87" s="36">
        <f t="shared" si="200"/>
        <v>0</v>
      </c>
      <c r="Q87" s="36">
        <f t="shared" si="200"/>
        <v>15738.255999999999</v>
      </c>
      <c r="R87" s="36">
        <f t="shared" si="201"/>
        <v>28909</v>
      </c>
      <c r="S87" s="36">
        <f t="shared" si="202"/>
        <v>26318.153846153848</v>
      </c>
      <c r="T87" s="36">
        <f t="shared" si="203"/>
        <v>0</v>
      </c>
      <c r="U87" s="5"/>
      <c r="V87" s="36">
        <f t="shared" si="204"/>
        <v>297757</v>
      </c>
      <c r="W87" s="36">
        <f t="shared" si="204"/>
        <v>342136</v>
      </c>
      <c r="X87" s="36">
        <f t="shared" si="204"/>
        <v>386515</v>
      </c>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23" customFormat="1" x14ac:dyDescent="0.2">
      <c r="A88" s="4"/>
      <c r="B88" s="19"/>
      <c r="C88" s="20"/>
      <c r="D88" s="4"/>
      <c r="E88" s="21"/>
      <c r="F88" s="4"/>
      <c r="G88" s="4"/>
      <c r="H88" s="5"/>
      <c r="I88" s="5"/>
      <c r="J88" s="36"/>
      <c r="K88" s="7"/>
      <c r="L88" s="37"/>
      <c r="M88" s="36"/>
      <c r="N88" s="36"/>
      <c r="O88" s="36"/>
      <c r="P88" s="36"/>
      <c r="Q88" s="36"/>
      <c r="R88" s="36"/>
      <c r="S88" s="36"/>
      <c r="T88" s="36"/>
      <c r="U88" s="5"/>
      <c r="V88" s="36"/>
      <c r="W88" s="36"/>
      <c r="X88" s="36"/>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s="23" customFormat="1" x14ac:dyDescent="0.2">
      <c r="A89" s="4" t="s">
        <v>96</v>
      </c>
      <c r="B89" s="19" t="s">
        <v>33</v>
      </c>
      <c r="C89" s="20"/>
      <c r="D89" s="4"/>
      <c r="E89" s="21"/>
      <c r="F89" s="4"/>
      <c r="G89" s="4"/>
      <c r="H89" s="5"/>
      <c r="I89" s="5"/>
      <c r="J89" s="36">
        <f>AVERAGE(J28,J22,J16,J10,J4)*$W4</f>
        <v>10399.1055</v>
      </c>
      <c r="K89" s="7"/>
      <c r="L89" s="37"/>
      <c r="M89" s="36">
        <f>AVERAGE(M28,M22,M16,M10,M4)*$W4</f>
        <v>9496.9</v>
      </c>
      <c r="N89" s="36">
        <f>AVERAGE(N28,N22,N16,N10,N4)*$W4</f>
        <v>3323.9150000000004</v>
      </c>
      <c r="O89" s="36">
        <f>AVERAGE(O28,O22,O16,O10,O4)*$W4</f>
        <v>0</v>
      </c>
      <c r="P89" s="36">
        <f>AVERAGE(P28,P22,P16,P10,P4)*$W4</f>
        <v>0</v>
      </c>
      <c r="Q89" s="36">
        <f>AVERAGE(Q28,Q22,Q16,Q10,Q4)*$W4</f>
        <v>4368.5739999999996</v>
      </c>
      <c r="R89" s="36">
        <f>AVERAGE(R28,R22,R16,R10,R4)</f>
        <v>365.2</v>
      </c>
      <c r="S89" s="36">
        <f>AVERAGE(S28,S22,S16,S10,S4)/52*$W4</f>
        <v>7305.3076923076924</v>
      </c>
      <c r="T89" s="36">
        <f>AVERAGE(T28,T22,T16,T10,T4)*$W4</f>
        <v>7122.6750000000002</v>
      </c>
      <c r="U89" s="5"/>
      <c r="V89" s="36">
        <f>AVERAGE(V28,V22,V16,V10,V4)</f>
        <v>60027.376000000004</v>
      </c>
      <c r="W89" s="36">
        <f>AVERAGE(W28,W22,W16,W10,W4)</f>
        <v>78368.712</v>
      </c>
      <c r="X89" s="36">
        <f>AVERAGE(X28,X22,X16,X10,X4)</f>
        <v>96710.047999999995</v>
      </c>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s="23" customFormat="1" x14ac:dyDescent="0.2">
      <c r="A90" s="4" t="s">
        <v>96</v>
      </c>
      <c r="B90" s="19" t="s">
        <v>40</v>
      </c>
      <c r="C90" s="20"/>
      <c r="D90" s="4"/>
      <c r="E90" s="21"/>
      <c r="F90" s="4"/>
      <c r="G90" s="4"/>
      <c r="H90" s="5"/>
      <c r="I90" s="5"/>
      <c r="J90" s="36">
        <f t="shared" ref="J90:J93" si="205">AVERAGE(J29,J23,J17,J11,J5)*$W5</f>
        <v>11155.684800000001</v>
      </c>
      <c r="K90" s="7"/>
      <c r="L90" s="37"/>
      <c r="M90" s="36">
        <f t="shared" ref="M90:Q93" si="206">AVERAGE(M29,M23,M17,M11,M5)*$W5</f>
        <v>10187.840000000002</v>
      </c>
      <c r="N90" s="36">
        <f t="shared" si="206"/>
        <v>3565.7440000000006</v>
      </c>
      <c r="O90" s="36">
        <f t="shared" si="206"/>
        <v>0</v>
      </c>
      <c r="P90" s="36">
        <f t="shared" si="206"/>
        <v>0</v>
      </c>
      <c r="Q90" s="36">
        <f t="shared" si="206"/>
        <v>4686.4064000000008</v>
      </c>
      <c r="R90" s="36">
        <f t="shared" ref="R90:R93" si="207">AVERAGE(R29,R23,R17,R11,R5)</f>
        <v>365.2</v>
      </c>
      <c r="S90" s="36">
        <f t="shared" ref="S90:S93" si="208">AVERAGE(S29,S23,S17,S11,S5)/52*$W5</f>
        <v>8620.4800000000014</v>
      </c>
      <c r="T90" s="36">
        <f t="shared" ref="T90:T93" si="209">AVERAGE(T29,T23,T17,T11,T5)*$W5</f>
        <v>11206.624000000002</v>
      </c>
      <c r="U90" s="5"/>
      <c r="V90" s="36">
        <f t="shared" ref="V90:X93" si="210">AVERAGE(V29,V23,V17,V11,V5)</f>
        <v>68335.607999999993</v>
      </c>
      <c r="W90" s="36">
        <f t="shared" si="210"/>
        <v>104472.11600000001</v>
      </c>
      <c r="X90" s="36">
        <f t="shared" si="210"/>
        <v>140608.62400000001</v>
      </c>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s="23" customFormat="1" x14ac:dyDescent="0.2">
      <c r="A91" s="4" t="s">
        <v>96</v>
      </c>
      <c r="B91" s="19" t="s">
        <v>47</v>
      </c>
      <c r="C91" s="20"/>
      <c r="D91" s="4"/>
      <c r="E91" s="21"/>
      <c r="F91" s="4"/>
      <c r="G91" s="4"/>
      <c r="H91" s="5"/>
      <c r="I91" s="5"/>
      <c r="J91" s="36">
        <f t="shared" si="205"/>
        <v>8495.0647499999995</v>
      </c>
      <c r="K91" s="7"/>
      <c r="L91" s="37"/>
      <c r="M91" s="36">
        <f t="shared" si="206"/>
        <v>7758.05</v>
      </c>
      <c r="N91" s="36">
        <f t="shared" si="206"/>
        <v>2715.3175000000001</v>
      </c>
      <c r="O91" s="36">
        <f t="shared" si="206"/>
        <v>0</v>
      </c>
      <c r="P91" s="36">
        <f t="shared" si="206"/>
        <v>0</v>
      </c>
      <c r="Q91" s="36">
        <f t="shared" si="206"/>
        <v>3568.703</v>
      </c>
      <c r="R91" s="36">
        <f t="shared" si="207"/>
        <v>365.2</v>
      </c>
      <c r="S91" s="36">
        <f t="shared" si="208"/>
        <v>5967.7307692307695</v>
      </c>
      <c r="T91" s="36">
        <f t="shared" si="209"/>
        <v>5818.5374999999995</v>
      </c>
      <c r="U91" s="5"/>
      <c r="V91" s="36">
        <f t="shared" si="210"/>
        <v>54816.224000000002</v>
      </c>
      <c r="W91" s="36">
        <f t="shared" si="210"/>
        <v>65202.815999999992</v>
      </c>
      <c r="X91" s="36">
        <f t="shared" si="210"/>
        <v>75589.407999999996</v>
      </c>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s="23" customFormat="1" x14ac:dyDescent="0.2">
      <c r="A92" s="4" t="s">
        <v>96</v>
      </c>
      <c r="B92" s="19" t="s">
        <v>50</v>
      </c>
      <c r="C92" s="20"/>
      <c r="D92" s="4"/>
      <c r="E92" s="21"/>
      <c r="F92" s="4"/>
      <c r="G92" s="4"/>
      <c r="H92" s="5"/>
      <c r="I92" s="5"/>
      <c r="J92" s="36">
        <f t="shared" si="205"/>
        <v>11153.779500000001</v>
      </c>
      <c r="K92" s="7"/>
      <c r="L92" s="37"/>
      <c r="M92" s="36">
        <f t="shared" si="206"/>
        <v>10186.1</v>
      </c>
      <c r="N92" s="36">
        <f t="shared" si="206"/>
        <v>3565.1350000000002</v>
      </c>
      <c r="O92" s="36">
        <f t="shared" si="206"/>
        <v>0</v>
      </c>
      <c r="P92" s="36">
        <f t="shared" si="206"/>
        <v>0</v>
      </c>
      <c r="Q92" s="36">
        <f t="shared" si="206"/>
        <v>4685.6059999999998</v>
      </c>
      <c r="R92" s="36">
        <f t="shared" si="207"/>
        <v>365.2</v>
      </c>
      <c r="S92" s="36">
        <f t="shared" si="208"/>
        <v>7835.461538461539</v>
      </c>
      <c r="T92" s="36">
        <f t="shared" si="209"/>
        <v>11204.710000000001</v>
      </c>
      <c r="U92" s="5"/>
      <c r="V92" s="36">
        <f t="shared" si="210"/>
        <v>72209</v>
      </c>
      <c r="W92" s="36">
        <f t="shared" si="210"/>
        <v>94993.5</v>
      </c>
      <c r="X92" s="36">
        <f t="shared" si="210"/>
        <v>117778</v>
      </c>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s="23" customFormat="1" x14ac:dyDescent="0.2">
      <c r="A93" s="4" t="s">
        <v>96</v>
      </c>
      <c r="B93" s="19" t="s">
        <v>55</v>
      </c>
      <c r="C93" s="20"/>
      <c r="D93" s="4"/>
      <c r="E93" s="21"/>
      <c r="F93" s="4"/>
      <c r="G93" s="4"/>
      <c r="H93" s="5"/>
      <c r="I93" s="5"/>
      <c r="J93" s="36">
        <f t="shared" si="205"/>
        <v>32439.145050000003</v>
      </c>
      <c r="K93" s="7"/>
      <c r="L93" s="37"/>
      <c r="M93" s="36">
        <f t="shared" si="206"/>
        <v>0</v>
      </c>
      <c r="N93" s="36">
        <f t="shared" si="206"/>
        <v>10368.676500000001</v>
      </c>
      <c r="O93" s="36">
        <f t="shared" si="206"/>
        <v>11849.916000000001</v>
      </c>
      <c r="P93" s="36">
        <f t="shared" si="206"/>
        <v>75483.964920000013</v>
      </c>
      <c r="Q93" s="36">
        <f t="shared" si="206"/>
        <v>13627.403400000001</v>
      </c>
      <c r="R93" s="36">
        <f t="shared" si="207"/>
        <v>28681.832000000002</v>
      </c>
      <c r="S93" s="36">
        <f t="shared" si="208"/>
        <v>25067.130000000005</v>
      </c>
      <c r="T93" s="36">
        <f t="shared" si="209"/>
        <v>31106.029499999997</v>
      </c>
      <c r="U93" s="5"/>
      <c r="V93" s="36">
        <f t="shared" si="210"/>
        <v>227466.6</v>
      </c>
      <c r="W93" s="36">
        <f t="shared" si="210"/>
        <v>266292.27999999997</v>
      </c>
      <c r="X93" s="36">
        <f t="shared" si="210"/>
        <v>305117.96000000002</v>
      </c>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s="23" customFormat="1" x14ac:dyDescent="0.2">
      <c r="A94" s="4"/>
      <c r="B94" s="19"/>
      <c r="C94" s="20"/>
      <c r="D94" s="4"/>
      <c r="E94" s="21"/>
      <c r="F94" s="4"/>
      <c r="G94" s="4"/>
      <c r="H94" s="5"/>
      <c r="I94" s="5"/>
      <c r="K94" s="32"/>
      <c r="L94" s="8"/>
      <c r="U94" s="9"/>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s="23" customFormat="1" x14ac:dyDescent="0.2">
      <c r="A95" s="4" t="s">
        <v>96</v>
      </c>
      <c r="B95" s="19" t="s">
        <v>33</v>
      </c>
      <c r="C95" s="20"/>
      <c r="D95" s="4"/>
      <c r="E95" s="21"/>
      <c r="F95" s="4"/>
      <c r="G95" s="4"/>
      <c r="H95" s="5"/>
      <c r="I95" s="5"/>
      <c r="J95" s="28" t="str">
        <f>TEXT((AVERAGE(J28,J22,J16,J10,J4)*$W4), "$0,0") &amp; " (" &amp; TEXT((MIN(J28,J22,J16,J10,J4)*$W4), "0,0") &amp; " - " &amp; TEXT((MAX(J28,J22,J16,J10,J4)*$W4), "0,0") &amp; ")"</f>
        <v>$10,399 (9,972 - 12,109)</v>
      </c>
      <c r="K95" s="32"/>
      <c r="L95" s="8"/>
      <c r="M95" s="28" t="str">
        <f t="shared" ref="M95:Q99" si="211">TEXT((AVERAGE(M28,M22,M16,M10,M4)*$W4), "$0,0") &amp; " (" &amp; TEXT((MIN(M28,M22,M16,M10,M4)*$W4), "0,0") &amp; " - " &amp; TEXT((MAX(M28,M22,M16,M10,M4)*$W4), "0,0") &amp; ")"</f>
        <v>$9,497 (9,497 - 9,497)</v>
      </c>
      <c r="N95" s="28" t="str">
        <f t="shared" si="211"/>
        <v>$3,324 (3,324 - 3,324)</v>
      </c>
      <c r="O95" s="28" t="str">
        <f>TEXT((AVERAGE(O28,O22,O16,O10,O4)*$W4), "$0") &amp; " (" &amp; TEXT((MIN(O28,O22,O16,O10,O4)*$W4), "0") &amp; " - " &amp; TEXT((MAX(O28,O22,O16,O10,O4)*$W4), "0") &amp; ")"</f>
        <v>$0 (0 - 0)</v>
      </c>
      <c r="P95" s="28" t="str">
        <f>TEXT((AVERAGE(P28,P22,P16,P10,P4)*$W4), "$0") &amp; " (" &amp; TEXT((MIN(P28,P22,P16,P10,P4)*$W4), "0") &amp; " - " &amp; TEXT((MAX(P28,P22,P16,P10,P4)*$W4), "0") &amp; ")"</f>
        <v>$0 (0 - 0)</v>
      </c>
      <c r="Q95" s="28" t="str">
        <f>TEXT((AVERAGE(Q28,Q22,Q16,Q10,Q4)*$W4), "$0,0") &amp; " (" &amp; TEXT((MIN(Q28,Q22,Q16,Q10,Q4)*$W4), "0,0") &amp; " - " &amp; TEXT((MAX(Q28,Q22,Q16,Q10,Q4)*$W4), "0,0") &amp; ")"</f>
        <v>$4,369 (4,369 - 4,369)</v>
      </c>
      <c r="R95" s="28" t="str">
        <f>TEXT((AVERAGE(R28,R22,R16,R10,R4)), "$0,0") &amp; " (" &amp; TEXT((MIN(R28,R22,R16,R10,R4)), "0,0") &amp; " - " &amp; TEXT((MAX(R28,R22,R16,R10,R4)), "0,0") &amp; ")"</f>
        <v>$365 (00 - 1,826)</v>
      </c>
      <c r="S95" s="28" t="str">
        <f>TEXT((AVERAGE(S28,S22,S16,S10,S4)/52*$W4), "$0,0") &amp; " (" &amp; TEXT((MIN(S28,S22,S16,S10,S4)/52*$W4), "0,0") &amp; " - " &amp; TEXT((MAX(S28,S22,S16,S10,S4)*$W4)/52, "0,0") &amp; ")"</f>
        <v>$7,305 (7,305 - 7,305)</v>
      </c>
      <c r="T95" s="28" t="str">
        <f>TEXT((AVERAGE(T28,T22,T16,T10,T4)*$W4), "$0,0") &amp; " (" &amp; TEXT((MIN(T28,T22,T16,T10,T4)*$W4), "0,0") &amp; " - " &amp; TEXT((MAX(T28,T22,T16,T10,T4)*$W4), "0,0") &amp; ")"</f>
        <v>$7,123 (00 - 18,994)</v>
      </c>
      <c r="U95" s="9"/>
      <c r="V95" s="28" t="str">
        <f>TEXT((AVERAGE(V28,V22,V16,V10,V4)), "$0,0") &amp; " (" &amp; TEXT((MIN(V28,V22,V16,V10,V4)), "0,0") &amp; " - " &amp; TEXT((MAX(V28,V22,V16,V10,V4)), "0,0") &amp; ")"</f>
        <v>$60,027 (48,552 - 79,624)</v>
      </c>
      <c r="W95" s="28" t="str">
        <f t="shared" ref="W95:X95" si="212">TEXT((AVERAGE(W28,W22,W16,W10,W4)), "$0,0") &amp; " (" &amp; TEXT((MIN(W28,W22,W16,W10,W4)), "0,0") &amp; " - " &amp; TEXT((MAX(W28,W22,W16,W10,W4)), "0,0") &amp; ")"</f>
        <v>$78,369 (70,196 - 94,969)</v>
      </c>
      <c r="X95" s="28" t="str">
        <f t="shared" si="212"/>
        <v>$96,710 (85,157 - 110,314)</v>
      </c>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s="23" customFormat="1" x14ac:dyDescent="0.2">
      <c r="A96" s="4" t="s">
        <v>96</v>
      </c>
      <c r="B96" s="19" t="s">
        <v>40</v>
      </c>
      <c r="C96" s="20"/>
      <c r="D96" s="4"/>
      <c r="E96" s="21"/>
      <c r="F96" s="4"/>
      <c r="G96" s="4"/>
      <c r="H96" s="5"/>
      <c r="I96" s="5"/>
      <c r="J96" s="28" t="str">
        <f>TEXT((AVERAGE(J29,J23,J17,J11,J5)*$W5), "$0,0") &amp; " (" &amp; TEXT((MIN(J29,J23,J17,J11,J5)*$W5), "0,0") &amp; " - " &amp; TEXT((MAX(J29,J23,J17,J11,J5)*$W5), "0,0") &amp; ")"</f>
        <v>$11,156 (10,697 - 12,989)</v>
      </c>
      <c r="K96" s="32"/>
      <c r="L96" s="8"/>
      <c r="M96" s="28" t="str">
        <f t="shared" si="211"/>
        <v>$10,188 (10,188 - 10,188)</v>
      </c>
      <c r="N96" s="28" t="str">
        <f t="shared" si="211"/>
        <v>$3,566 (3,566 - 3,566)</v>
      </c>
      <c r="O96" s="28" t="str">
        <f t="shared" ref="O96:P98" si="213">TEXT((AVERAGE(O29,O23,O17,O11,O5)*$W5), "$0") &amp; " (" &amp; TEXT((MIN(O29,O23,O17,O11,O5)*$W5), "0") &amp; " - " &amp; TEXT((MAX(O29,O23,O17,O11,O5)*$W5), "0") &amp; ")"</f>
        <v>$0 (0 - 0)</v>
      </c>
      <c r="P96" s="28" t="str">
        <f t="shared" si="213"/>
        <v>$0 (0 - 0)</v>
      </c>
      <c r="Q96" s="28" t="str">
        <f>TEXT((AVERAGE(Q29,Q23,Q17,Q11,Q5)*$W5), "$0,0") &amp; " (" &amp; TEXT((MIN(Q29,Q23,Q17,Q11,Q5)*$W5), "0,0") &amp; " - " &amp; TEXT((MAX(Q29,Q23,Q17,Q11,Q5)*$W5), "0,0") &amp; ")"</f>
        <v>$4,686 (4,686 - 4,686)</v>
      </c>
      <c r="R96" s="28" t="str">
        <f>TEXT((AVERAGE(R29,R23,R17,R11,R5)), "$0,0") &amp; " (" &amp; TEXT((MIN(R29,R23,R17,R11,R5)), "0,0") &amp; " - " &amp; TEXT((MAX(R29,R23,R17,R11,R5)), "0,0") &amp; ")"</f>
        <v>$365 (00 - 1,826)</v>
      </c>
      <c r="S96" s="28" t="str">
        <f>TEXT((AVERAGE(S29,S23,S17,S11,S5)/52*$W5), "$0,0") &amp; " (" &amp; TEXT((MIN(S29,S23,S17,S11,S5)/52*$W5), "0,0") &amp; " - " &amp; TEXT((MAX(S29,S23,S17,S11,S5)*$W5)/52, "0,0") &amp; ")"</f>
        <v>$8,620 (7,837 - 9,796)</v>
      </c>
      <c r="T96" s="28" t="str">
        <f>TEXT((AVERAGE(T29,T23,T17,T11,T5)*$W5), "$0,0") &amp; " (" &amp; TEXT((MIN(T29,T23,T17,T11,T5)*$W5), "0,0") &amp; " - " &amp; TEXT((MAX(T29,T23,T17,T11,T5)*$W5), "0,0") &amp; ")"</f>
        <v>$11,207 (00 - 20,376)</v>
      </c>
      <c r="U96" s="9"/>
      <c r="V96" s="28" t="str">
        <f t="shared" ref="V96:X99" si="214">TEXT((AVERAGE(V29,V23,V17,V11,V5)), "$0,0") &amp; " (" &amp; TEXT((MIN(V29,V23,V17,V11,V5)), "0,0") &amp; " - " &amp; TEXT((MAX(V29,V23,V17,V11,V5)), "0,0") &amp; ")"</f>
        <v>$68,336 (61,204 - 77,833)</v>
      </c>
      <c r="W96" s="28" t="str">
        <f t="shared" si="214"/>
        <v>$104,472 (101,878 - 109,041)</v>
      </c>
      <c r="X96" s="28" t="str">
        <f t="shared" si="214"/>
        <v>$140,609 (138,575 - 142,553)</v>
      </c>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s="23" customFormat="1" x14ac:dyDescent="0.2">
      <c r="A97" s="4" t="s">
        <v>96</v>
      </c>
      <c r="B97" s="19" t="s">
        <v>47</v>
      </c>
      <c r="C97" s="20"/>
      <c r="D97" s="4"/>
      <c r="E97" s="21"/>
      <c r="F97" s="4"/>
      <c r="G97" s="4"/>
      <c r="H97" s="5"/>
      <c r="I97" s="5"/>
      <c r="J97" s="28" t="str">
        <f>TEXT((AVERAGE(J30,J24,J18,J12,J6)*$W6), "$0,0") &amp; " (" &amp; TEXT((MIN(J30,J24,J18,J12,J6)*$W6), "0,0") &amp; " - " &amp; TEXT((MAX(J30,J24,J18,J12,J6)*$W6), "0,0") &amp; ")"</f>
        <v>$8,495 (8,146 - 9,892)</v>
      </c>
      <c r="K97" s="32"/>
      <c r="L97" s="8"/>
      <c r="M97" s="28" t="str">
        <f t="shared" si="211"/>
        <v>$7,758 (7,758 - 7,758)</v>
      </c>
      <c r="N97" s="28" t="str">
        <f t="shared" si="211"/>
        <v>$2,715 (2,715 - 2,715)</v>
      </c>
      <c r="O97" s="28" t="str">
        <f t="shared" si="213"/>
        <v>$0 (0 - 0)</v>
      </c>
      <c r="P97" s="28" t="str">
        <f t="shared" si="213"/>
        <v>$0 (0 - 0)</v>
      </c>
      <c r="Q97" s="28" t="str">
        <f>TEXT((AVERAGE(Q30,Q24,Q18,Q12,Q6)*$W6), "$0,0") &amp; " (" &amp; TEXT((MIN(Q30,Q24,Q18,Q12,Q6)*$W6), "0,0") &amp; " - " &amp; TEXT((MAX(Q30,Q24,Q18,Q12,Q6)*$W6), "0,0") &amp; ")"</f>
        <v>$3,569 (3,569 - 3,569)</v>
      </c>
      <c r="R97" s="28" t="str">
        <f>TEXT((AVERAGE(R30,R24,R18,R12,R6)), "$0,0") &amp; " (" &amp; TEXT((MIN(R30,R24,R18,R12,R6)), "0,0") &amp; " - " &amp; TEXT((MAX(R30,R24,R18,R12,R6)), "0,0") &amp; ")"</f>
        <v>$365 (00 - 1,826)</v>
      </c>
      <c r="S97" s="28" t="str">
        <f>TEXT((AVERAGE(S30,S24,S18,S12,S6)/52*$W6), "$0,0") &amp; " (" &amp; TEXT((MIN(S30,S24,S18,S12,S6)/52*$W6), "0,0") &amp; " - " &amp; TEXT((MAX(S30,S24,S18,S12,S6)*$W6)/52, "0,0") &amp; ")"</f>
        <v>$5,968 (5,968 - 5,968)</v>
      </c>
      <c r="T97" s="28" t="str">
        <f>TEXT((AVERAGE(T30,T24,T18,T12,T6)*$W6), "$0,0") &amp; " (" &amp; TEXT((MIN(T30,T24,T18,T12,T6)*$W6), "0,0") &amp; " - " &amp; TEXT((MAX(T30,T24,T18,T12,T6)*$W6), "0,0") &amp; ")"</f>
        <v>$5,819 (00 - 15,516)</v>
      </c>
      <c r="U97" s="9"/>
      <c r="V97" s="28" t="str">
        <f t="shared" si="214"/>
        <v>$54,816 (47,704 - 63,701)</v>
      </c>
      <c r="W97" s="28" t="str">
        <f t="shared" si="214"/>
        <v>$65,203 (57,943 - 77,581)</v>
      </c>
      <c r="X97" s="28" t="str">
        <f t="shared" si="214"/>
        <v>$75,589 (67,705 - 91,460)</v>
      </c>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s="23" customFormat="1" x14ac:dyDescent="0.2">
      <c r="A98" s="4" t="s">
        <v>96</v>
      </c>
      <c r="B98" s="19" t="s">
        <v>50</v>
      </c>
      <c r="C98" s="20"/>
      <c r="D98" s="4"/>
      <c r="E98" s="21"/>
      <c r="F98" s="4"/>
      <c r="G98" s="4"/>
      <c r="H98" s="5"/>
      <c r="I98" s="5"/>
      <c r="J98" s="28" t="str">
        <f>TEXT((AVERAGE(J31,J25,J19,J13,J7)*$W7), "$0,0") &amp; " (" &amp; TEXT((MIN(J31,J25,J19,J13,J7)*$W7), "0,0") &amp; " - " &amp; TEXT((MAX(J31,J25,J19,J13,J7)*$W7), "0,0") &amp; ")"</f>
        <v>$11,154 (10,695 - 12,987)</v>
      </c>
      <c r="K98" s="32"/>
      <c r="L98" s="8"/>
      <c r="M98" s="28" t="str">
        <f t="shared" si="211"/>
        <v>$10,186 (10,186 - 10,186)</v>
      </c>
      <c r="N98" s="28" t="str">
        <f t="shared" si="211"/>
        <v>$3,565 (3,565 - 3,565)</v>
      </c>
      <c r="O98" s="28" t="str">
        <f t="shared" si="213"/>
        <v>$0 (0 - 0)</v>
      </c>
      <c r="P98" s="28" t="str">
        <f t="shared" si="213"/>
        <v>$0 (0 - 0)</v>
      </c>
      <c r="Q98" s="28" t="str">
        <f>TEXT((AVERAGE(Q31,Q25,Q19,Q13,Q7)*$W7), "$0,0") &amp; " (" &amp; TEXT((MIN(Q31,Q25,Q19,Q13,Q7)*$W7), "0,0") &amp; " - " &amp; TEXT((MAX(Q31,Q25,Q19,Q13,Q7)*$W7), "0,0") &amp; ")"</f>
        <v>$4,686 (4,686 - 4,686)</v>
      </c>
      <c r="R98" s="28" t="str">
        <f>TEXT((AVERAGE(R31,R25,R19,R13,R7)), "$0,0") &amp; " (" &amp; TEXT((MIN(R31,R25,R19,R13,R7)), "0,0") &amp; " - " &amp; TEXT((MAX(R31,R25,R19,R13,R7)), "0,0") &amp; ")"</f>
        <v>$365 (00 - 1,826)</v>
      </c>
      <c r="S98" s="28" t="str">
        <f>TEXT((AVERAGE(S31,S25,S19,S13,S7)/52*$W7), "$0,0") &amp; " (" &amp; TEXT((MIN(S31,S25,S19,S13,S7)/52*$W7), "0,0") &amp; " - " &amp; TEXT((MAX(S31,S25,S19,S13,S7)*$W7)/52, "0,0") &amp; ")"</f>
        <v>$7,835 (7,835 - 7,835)</v>
      </c>
      <c r="T98" s="28" t="str">
        <f>TEXT((AVERAGE(T31,T25,T19,T13,T7)*$W7), "$0,0") &amp; " (" &amp; TEXT((MIN(T31,T25,T19,T13,T7)*$W7), "0,0") &amp; " - " &amp; TEXT((MAX(T31,T25,T19,T13,T7)*$W7), "0,0") &amp; ")"</f>
        <v>$11,205 (00 - 20,372)</v>
      </c>
      <c r="U98" s="9"/>
      <c r="V98" s="28" t="str">
        <f t="shared" si="214"/>
        <v>$72,209 (66,106 - 79,898)</v>
      </c>
      <c r="W98" s="28" t="str">
        <f t="shared" si="214"/>
        <v>$94,994 (86,781 - 104,304)</v>
      </c>
      <c r="X98" s="28" t="str">
        <f t="shared" si="214"/>
        <v>$117,778 (93,664 - 139,576)</v>
      </c>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s="23" customFormat="1" x14ac:dyDescent="0.2">
      <c r="A99" s="4" t="s">
        <v>96</v>
      </c>
      <c r="B99" s="19" t="s">
        <v>55</v>
      </c>
      <c r="C99" s="20"/>
      <c r="D99" s="4"/>
      <c r="E99" s="21"/>
      <c r="F99" s="4"/>
      <c r="G99" s="4"/>
      <c r="H99" s="5"/>
      <c r="I99" s="5"/>
      <c r="J99" s="28" t="str">
        <f>TEXT((AVERAGE(J32,J26,J20,J14,J8)*$W8), "$0,0") &amp; " (" &amp; TEXT((MIN(J32,J26,J20,J14,J8)*$W8), "0,0") &amp; " - " &amp; TEXT((MAX(J32,J26,J20,J14,J8)*$W8), "0,0") &amp; ")"</f>
        <v>$32,439 (31,106 - 37,772)</v>
      </c>
      <c r="K99" s="32"/>
      <c r="L99" s="8"/>
      <c r="M99" s="28" t="str">
        <f t="shared" si="211"/>
        <v>$00 (00 - 00)</v>
      </c>
      <c r="N99" s="28" t="str">
        <f t="shared" si="211"/>
        <v>$10,369 (10,369 - 10,369)</v>
      </c>
      <c r="O99" s="28" t="str">
        <f t="shared" si="211"/>
        <v>$11,850 (00 - 59,250)</v>
      </c>
      <c r="P99" s="28" t="str">
        <f t="shared" si="211"/>
        <v>$75,484 (00 - 177,749)</v>
      </c>
      <c r="Q99" s="28" t="str">
        <f t="shared" si="211"/>
        <v>$13,627 (13,627 - 13,627)</v>
      </c>
      <c r="R99" s="28" t="str">
        <f>TEXT((AVERAGE(R32,R26,R20,R14,R8)), "$0,0") &amp; " (" &amp; TEXT((MIN(R32,R26,R20,R14,R8)), "0,0") &amp; " - " &amp; TEXT((MAX(R32,R26,R20,R14,R8)), "0,0") &amp; ")"</f>
        <v>$28,682 (21,500 - 38,000)</v>
      </c>
      <c r="S99" s="28" t="str">
        <f>TEXT((AVERAGE(S32,S26,S20,S14,S8)/52*$W8), "$0,0") &amp; " (" &amp; TEXT((MIN(S32,S26,S20,S14,S8)/52*$W8), "0,0") &amp; " - " &amp; TEXT((MAX(S32,S26,S20,S14,S8)*$W8)/52, "0,0") &amp; ")"</f>
        <v>$25,067 (22,788 - 28,485)</v>
      </c>
      <c r="T99" s="28" t="str">
        <f>TEXT((AVERAGE(T32,T26,T20,T14,T8)*$W8), "$0,0") &amp; " (" &amp; TEXT((MIN(T32,T26,T20,T14,T8)*$W8), "0,0") &amp; " - " &amp; TEXT((MAX(T32,T26,T20,T14,T8)*$W8), "0,0") &amp; ")"</f>
        <v>$31,106 (00 - 51,843)</v>
      </c>
      <c r="U99" s="9"/>
      <c r="V99" s="28" t="str">
        <f t="shared" si="214"/>
        <v>$227,467 (179,078 - 297,757)</v>
      </c>
      <c r="W99" s="28" t="str">
        <f t="shared" si="214"/>
        <v>$266,292 (210,509 - 342,136)</v>
      </c>
      <c r="X99" s="28" t="str">
        <f t="shared" si="214"/>
        <v>$305,118 (241,940 - 386,515)</v>
      </c>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s="23" customFormat="1" x14ac:dyDescent="0.2">
      <c r="A100" s="4"/>
      <c r="B100" s="19"/>
      <c r="C100" s="20"/>
      <c r="D100" s="4"/>
      <c r="E100" s="21"/>
      <c r="F100" s="4"/>
      <c r="G100" s="4"/>
      <c r="H100" s="5"/>
      <c r="I100" s="5"/>
      <c r="J100" s="28"/>
      <c r="K100" s="32"/>
      <c r="L100" s="8"/>
      <c r="M100" s="28"/>
      <c r="N100" s="28"/>
      <c r="O100" s="28"/>
      <c r="P100" s="28"/>
      <c r="Q100" s="28"/>
      <c r="R100" s="28"/>
      <c r="S100" s="28"/>
      <c r="T100" s="28"/>
      <c r="U100" s="9"/>
      <c r="V100" s="28"/>
      <c r="W100" s="28"/>
      <c r="X100" s="28"/>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s="23" customFormat="1" x14ac:dyDescent="0.2">
      <c r="A101" s="4" t="s">
        <v>429</v>
      </c>
      <c r="B101" s="19" t="s">
        <v>33</v>
      </c>
      <c r="C101" s="20"/>
      <c r="D101" s="4"/>
      <c r="E101" s="21"/>
      <c r="F101" s="4"/>
      <c r="G101" s="4"/>
      <c r="H101" s="5"/>
      <c r="I101" s="5"/>
      <c r="J101" s="28"/>
      <c r="K101" s="32"/>
      <c r="L101" s="8"/>
      <c r="M101" s="28"/>
      <c r="N101" s="28"/>
      <c r="O101" s="28"/>
      <c r="P101" s="28"/>
      <c r="Q101" s="28"/>
      <c r="R101" s="28"/>
      <c r="S101" s="28"/>
      <c r="T101" s="28"/>
      <c r="U101" s="9"/>
      <c r="V101" s="28"/>
      <c r="W101" s="28"/>
      <c r="X101" s="28"/>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23" customFormat="1" x14ac:dyDescent="0.2">
      <c r="A102" s="4" t="s">
        <v>429</v>
      </c>
      <c r="B102" s="19" t="s">
        <v>40</v>
      </c>
      <c r="C102" s="20"/>
      <c r="D102" s="4"/>
      <c r="E102" s="21"/>
      <c r="F102" s="4"/>
      <c r="G102" s="4"/>
      <c r="H102" s="5"/>
      <c r="I102" s="5"/>
      <c r="J102" s="28"/>
      <c r="K102" s="32"/>
      <c r="L102" s="8"/>
      <c r="M102" s="28"/>
      <c r="N102" s="28"/>
      <c r="O102" s="28"/>
      <c r="P102" s="28"/>
      <c r="Q102" s="28"/>
      <c r="R102" s="28"/>
      <c r="S102" s="28"/>
      <c r="T102" s="28"/>
      <c r="U102" s="9"/>
      <c r="V102" s="28"/>
      <c r="W102" s="28"/>
      <c r="X102" s="28"/>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s="23" customFormat="1" x14ac:dyDescent="0.2">
      <c r="A103" s="4" t="s">
        <v>429</v>
      </c>
      <c r="B103" s="19" t="s">
        <v>47</v>
      </c>
      <c r="C103" s="20"/>
      <c r="D103" s="4"/>
      <c r="E103" s="21"/>
      <c r="F103" s="4"/>
      <c r="G103" s="4"/>
      <c r="H103" s="5"/>
      <c r="I103" s="5"/>
      <c r="J103" s="28"/>
      <c r="K103" s="32"/>
      <c r="L103" s="8"/>
      <c r="M103" s="28"/>
      <c r="N103" s="28"/>
      <c r="O103" s="28"/>
      <c r="P103" s="28"/>
      <c r="Q103" s="28"/>
      <c r="R103" s="28"/>
      <c r="S103" s="28"/>
      <c r="T103" s="28"/>
      <c r="U103" s="9"/>
      <c r="V103" s="28"/>
      <c r="W103" s="28"/>
      <c r="X103" s="28"/>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s="23" customFormat="1" x14ac:dyDescent="0.2">
      <c r="A104" s="4" t="s">
        <v>429</v>
      </c>
      <c r="B104" s="19" t="s">
        <v>50</v>
      </c>
      <c r="C104" s="20"/>
      <c r="D104" s="4"/>
      <c r="E104" s="21"/>
      <c r="F104" s="4"/>
      <c r="G104" s="4"/>
      <c r="H104" s="5"/>
      <c r="I104" s="5"/>
      <c r="J104" s="28"/>
      <c r="K104" s="32"/>
      <c r="L104" s="8"/>
      <c r="M104" s="28"/>
      <c r="N104" s="28"/>
      <c r="O104" s="28"/>
      <c r="P104" s="28"/>
      <c r="Q104" s="28"/>
      <c r="R104" s="28"/>
      <c r="S104" s="28"/>
      <c r="T104" s="28"/>
      <c r="U104" s="9"/>
      <c r="V104" s="28"/>
      <c r="W104" s="28"/>
      <c r="X104" s="28"/>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s="23" customFormat="1" x14ac:dyDescent="0.2">
      <c r="A105" s="4" t="s">
        <v>429</v>
      </c>
      <c r="B105" s="19" t="s">
        <v>55</v>
      </c>
      <c r="C105" s="20"/>
      <c r="D105" s="4"/>
      <c r="E105" s="21"/>
      <c r="F105" s="4"/>
      <c r="G105" s="4"/>
      <c r="H105" s="5"/>
      <c r="I105" s="5"/>
      <c r="J105" s="28"/>
      <c r="K105" s="32"/>
      <c r="L105" s="8"/>
      <c r="M105" s="28"/>
      <c r="N105" s="28"/>
      <c r="O105" s="28"/>
      <c r="P105" s="28"/>
      <c r="Q105" s="28"/>
      <c r="R105" s="28"/>
      <c r="S105" s="28"/>
      <c r="T105" s="28"/>
      <c r="U105" s="9"/>
      <c r="V105" s="28"/>
      <c r="W105" s="28"/>
      <c r="X105" s="28"/>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s="23" customFormat="1" x14ac:dyDescent="0.2">
      <c r="A106" s="4"/>
      <c r="B106" s="19"/>
      <c r="C106" s="20"/>
      <c r="D106" s="4"/>
      <c r="E106" s="21"/>
      <c r="F106" s="4"/>
      <c r="G106" s="4"/>
      <c r="H106" s="5"/>
      <c r="I106" s="5"/>
      <c r="J106" s="28"/>
      <c r="K106" s="32"/>
      <c r="L106" s="8"/>
      <c r="M106" s="28"/>
      <c r="N106" s="28"/>
      <c r="O106" s="28"/>
      <c r="P106" s="28"/>
      <c r="Q106" s="28"/>
      <c r="R106" s="28"/>
      <c r="S106" s="28"/>
      <c r="T106" s="28"/>
      <c r="U106" s="9"/>
      <c r="V106" s="28"/>
      <c r="W106" s="28"/>
      <c r="X106" s="28"/>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s="23" customFormat="1" x14ac:dyDescent="0.2">
      <c r="A107" s="4" t="s">
        <v>429</v>
      </c>
      <c r="B107" s="19" t="s">
        <v>33</v>
      </c>
      <c r="C107" s="20"/>
      <c r="D107" s="4"/>
      <c r="E107" s="21"/>
      <c r="F107" s="4"/>
      <c r="G107" s="4"/>
      <c r="H107" s="5"/>
      <c r="I107" s="5"/>
      <c r="J107" s="28"/>
      <c r="K107" s="32"/>
      <c r="L107" s="8"/>
      <c r="M107" s="28"/>
      <c r="N107" s="28"/>
      <c r="O107" s="28"/>
      <c r="P107" s="28"/>
      <c r="Q107" s="28"/>
      <c r="R107" s="28"/>
      <c r="S107" s="28"/>
      <c r="T107" s="28"/>
      <c r="U107" s="9"/>
      <c r="V107" s="28"/>
      <c r="W107" s="28"/>
      <c r="X107" s="28"/>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s="23" customFormat="1" x14ac:dyDescent="0.2">
      <c r="A108" s="4" t="s">
        <v>429</v>
      </c>
      <c r="B108" s="19" t="s">
        <v>40</v>
      </c>
      <c r="C108" s="20"/>
      <c r="D108" s="4"/>
      <c r="E108" s="21"/>
      <c r="F108" s="4"/>
      <c r="G108" s="4"/>
      <c r="H108" s="5"/>
      <c r="I108" s="5"/>
      <c r="J108" s="28"/>
      <c r="K108" s="32"/>
      <c r="L108" s="8"/>
      <c r="M108" s="28"/>
      <c r="N108" s="28"/>
      <c r="O108" s="28"/>
      <c r="P108" s="28"/>
      <c r="Q108" s="28"/>
      <c r="R108" s="28"/>
      <c r="S108" s="28"/>
      <c r="T108" s="28"/>
      <c r="U108" s="9"/>
      <c r="V108" s="28"/>
      <c r="W108" s="28"/>
      <c r="X108" s="28"/>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s="23" customFormat="1" x14ac:dyDescent="0.2">
      <c r="A109" s="4" t="s">
        <v>429</v>
      </c>
      <c r="B109" s="19" t="s">
        <v>47</v>
      </c>
      <c r="C109" s="20"/>
      <c r="D109" s="4"/>
      <c r="E109" s="21"/>
      <c r="F109" s="4"/>
      <c r="G109" s="4"/>
      <c r="H109" s="5"/>
      <c r="I109" s="5"/>
      <c r="J109" s="28"/>
      <c r="K109" s="32"/>
      <c r="L109" s="8"/>
      <c r="M109" s="28"/>
      <c r="N109" s="28"/>
      <c r="O109" s="28"/>
      <c r="P109" s="28"/>
      <c r="Q109" s="28"/>
      <c r="R109" s="28"/>
      <c r="S109" s="28"/>
      <c r="T109" s="28"/>
      <c r="U109" s="9"/>
      <c r="V109" s="28"/>
      <c r="W109" s="28"/>
      <c r="X109" s="28"/>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23" customFormat="1" x14ac:dyDescent="0.2">
      <c r="A110" s="4" t="s">
        <v>429</v>
      </c>
      <c r="B110" s="19" t="s">
        <v>50</v>
      </c>
      <c r="C110" s="20"/>
      <c r="D110" s="4"/>
      <c r="E110" s="21"/>
      <c r="F110" s="4"/>
      <c r="G110" s="4"/>
      <c r="H110" s="5"/>
      <c r="I110" s="5"/>
      <c r="J110" s="28"/>
      <c r="K110" s="32"/>
      <c r="L110" s="8"/>
      <c r="M110" s="28"/>
      <c r="N110" s="28"/>
      <c r="O110" s="28"/>
      <c r="P110" s="28"/>
      <c r="Q110" s="28"/>
      <c r="R110" s="28"/>
      <c r="S110" s="28"/>
      <c r="T110" s="28"/>
      <c r="U110" s="9"/>
      <c r="V110" s="28"/>
      <c r="W110" s="28"/>
      <c r="X110" s="28"/>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s="23" customFormat="1" x14ac:dyDescent="0.2">
      <c r="A111" s="4" t="s">
        <v>429</v>
      </c>
      <c r="B111" s="19" t="s">
        <v>55</v>
      </c>
      <c r="C111" s="20"/>
      <c r="D111" s="4"/>
      <c r="E111" s="21"/>
      <c r="F111" s="4"/>
      <c r="G111" s="4"/>
      <c r="H111" s="5"/>
      <c r="I111" s="5"/>
      <c r="J111" s="28"/>
      <c r="K111" s="32"/>
      <c r="L111" s="8"/>
      <c r="M111" s="28"/>
      <c r="N111" s="28"/>
      <c r="O111" s="28"/>
      <c r="P111" s="28"/>
      <c r="Q111" s="28"/>
      <c r="R111" s="28"/>
      <c r="S111" s="28"/>
      <c r="T111" s="28"/>
      <c r="U111" s="9"/>
      <c r="V111" s="28"/>
      <c r="W111" s="28"/>
      <c r="X111" s="28"/>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s="23" customFormat="1" x14ac:dyDescent="0.2">
      <c r="A112" s="4"/>
      <c r="B112" s="19"/>
      <c r="C112" s="20"/>
      <c r="D112" s="4"/>
      <c r="E112" s="21"/>
      <c r="F112" s="4"/>
      <c r="G112" s="4"/>
      <c r="H112" s="5"/>
      <c r="I112" s="5"/>
      <c r="J112" s="28"/>
      <c r="K112" s="32"/>
      <c r="L112" s="8"/>
      <c r="M112" s="28"/>
      <c r="N112" s="28"/>
      <c r="O112" s="28"/>
      <c r="P112" s="28"/>
      <c r="Q112" s="28"/>
      <c r="R112" s="28"/>
      <c r="S112" s="28"/>
      <c r="T112" s="28"/>
      <c r="U112" s="9"/>
      <c r="V112" s="28"/>
      <c r="W112" s="28"/>
      <c r="X112" s="28"/>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s="23" customFormat="1" x14ac:dyDescent="0.2">
      <c r="A113" s="4" t="s">
        <v>103</v>
      </c>
      <c r="B113" s="19"/>
      <c r="C113" s="20"/>
      <c r="D113" s="4"/>
      <c r="E113" s="21"/>
      <c r="F113" s="4"/>
      <c r="G113" s="4"/>
      <c r="H113" s="5"/>
      <c r="I113" s="5"/>
      <c r="J113" s="11"/>
      <c r="K113" s="32"/>
      <c r="L113" s="8"/>
      <c r="M113" s="8"/>
      <c r="N113" s="8"/>
      <c r="O113" s="27"/>
      <c r="P113" s="8"/>
      <c r="Q113" s="8"/>
      <c r="R113" s="29"/>
      <c r="S113" s="9"/>
      <c r="T113" s="8"/>
      <c r="U113" s="9"/>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s="23" customFormat="1" x14ac:dyDescent="0.2">
      <c r="A114" s="4" t="s">
        <v>32</v>
      </c>
      <c r="B114" s="19" t="s">
        <v>33</v>
      </c>
      <c r="C114" s="20"/>
      <c r="D114" s="4"/>
      <c r="E114" s="21"/>
      <c r="F114" s="4"/>
      <c r="G114" s="4"/>
      <c r="H114" s="5"/>
      <c r="I114" s="5"/>
      <c r="J114" s="8">
        <f>(J4*$W4)/$Z4</f>
        <v>4.1154124457308254E-2</v>
      </c>
      <c r="K114" s="32"/>
      <c r="L114" s="8"/>
      <c r="M114" s="8">
        <f>(M4*$W4)/$Z4</f>
        <v>3.9194404245055478E-2</v>
      </c>
      <c r="N114" s="8">
        <f>(N4*$W4)/$Z4</f>
        <v>1.371804148576942E-2</v>
      </c>
      <c r="O114" s="8">
        <f>(O4*$W4)/$Z4</f>
        <v>0</v>
      </c>
      <c r="P114" s="8">
        <f>(P4*$W4)/$Z4</f>
        <v>0</v>
      </c>
      <c r="Q114" s="8">
        <f>(Q4*$W4)/$Z4</f>
        <v>1.8029425952725518E-2</v>
      </c>
      <c r="R114" s="8">
        <f>(R4)/$Z4</f>
        <v>0</v>
      </c>
      <c r="S114" s="8">
        <f>(S4/52*$W4)/$Z4</f>
        <v>3.0149541726965757E-2</v>
      </c>
      <c r="T114" s="8">
        <f>(T4*$W4)/$Z4</f>
        <v>6.8590207428847097E-2</v>
      </c>
      <c r="U114" s="9"/>
      <c r="V114" s="8">
        <f t="shared" ref="V114:X117" si="215">(V4)/$Z4</f>
        <v>0.3286140997176234</v>
      </c>
      <c r="W114" s="8">
        <f t="shared" si="215"/>
        <v>0.39194404245055481</v>
      </c>
      <c r="X114" s="8">
        <f t="shared" si="215"/>
        <v>0.45527398518348622</v>
      </c>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spans="1:66" s="23" customFormat="1" x14ac:dyDescent="0.2">
      <c r="A115" s="4" t="s">
        <v>32</v>
      </c>
      <c r="B115" s="19" t="s">
        <v>40</v>
      </c>
      <c r="C115" s="20"/>
      <c r="D115" s="4"/>
      <c r="E115" s="21"/>
      <c r="F115" s="4"/>
      <c r="G115" s="4"/>
      <c r="H115" s="5"/>
      <c r="I115" s="5"/>
      <c r="J115" s="8">
        <f t="shared" ref="J115:J118" si="216">(J5*$W5)/$Z5</f>
        <v>4.0792845562470578E-2</v>
      </c>
      <c r="K115" s="32"/>
      <c r="L115" s="8"/>
      <c r="M115" s="8">
        <f t="shared" ref="M115:Q118" si="217">(M5*$W5)/$Z5</f>
        <v>3.8850329107114841E-2</v>
      </c>
      <c r="N115" s="8">
        <f t="shared" si="217"/>
        <v>1.3597615187490194E-2</v>
      </c>
      <c r="O115" s="8">
        <f t="shared" si="217"/>
        <v>0</v>
      </c>
      <c r="P115" s="8">
        <f t="shared" si="217"/>
        <v>0</v>
      </c>
      <c r="Q115" s="8">
        <f t="shared" si="217"/>
        <v>1.7871151389272828E-2</v>
      </c>
      <c r="R115" s="8">
        <f t="shared" ref="R115:R118" si="218">(R5)/$Z5</f>
        <v>0</v>
      </c>
      <c r="S115" s="8">
        <f t="shared" ref="S115:S118" si="219">(S5/52*$W5)/$Z5</f>
        <v>3.7356085679918119E-2</v>
      </c>
      <c r="T115" s="8">
        <f t="shared" ref="T115:T118" si="220">(T5*$W5)/$Z5</f>
        <v>6.7988075937450959E-2</v>
      </c>
      <c r="U115" s="9"/>
      <c r="V115" s="8">
        <f t="shared" si="215"/>
        <v>0.2333954540581572</v>
      </c>
      <c r="W115" s="8">
        <f t="shared" si="215"/>
        <v>0.38850329107114839</v>
      </c>
      <c r="X115" s="8">
        <f t="shared" si="215"/>
        <v>0.54361112808413958</v>
      </c>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row r="116" spans="1:66" s="23" customFormat="1" x14ac:dyDescent="0.2">
      <c r="A116" s="4" t="s">
        <v>32</v>
      </c>
      <c r="B116" s="19" t="s">
        <v>47</v>
      </c>
      <c r="C116" s="20"/>
      <c r="D116" s="4"/>
      <c r="E116" s="21"/>
      <c r="F116" s="4"/>
      <c r="G116" s="4"/>
      <c r="H116" s="5"/>
      <c r="I116" s="5"/>
      <c r="J116" s="8">
        <f t="shared" si="216"/>
        <v>4.1154124457308247E-2</v>
      </c>
      <c r="K116" s="32"/>
      <c r="L116" s="8"/>
      <c r="M116" s="8">
        <f t="shared" si="217"/>
        <v>3.9194404245055478E-2</v>
      </c>
      <c r="N116" s="8">
        <f t="shared" si="217"/>
        <v>1.3718041485769416E-2</v>
      </c>
      <c r="O116" s="8">
        <f t="shared" si="217"/>
        <v>0</v>
      </c>
      <c r="P116" s="8">
        <f t="shared" si="217"/>
        <v>0</v>
      </c>
      <c r="Q116" s="8">
        <f t="shared" si="217"/>
        <v>1.8029425952725518E-2</v>
      </c>
      <c r="R116" s="8">
        <f t="shared" si="218"/>
        <v>0</v>
      </c>
      <c r="S116" s="8">
        <f t="shared" si="219"/>
        <v>3.014954172696575E-2</v>
      </c>
      <c r="T116" s="8">
        <f t="shared" si="220"/>
        <v>6.8590207428847083E-2</v>
      </c>
      <c r="U116" s="9"/>
      <c r="V116" s="8">
        <f t="shared" si="215"/>
        <v>0.32182349234849977</v>
      </c>
      <c r="W116" s="8">
        <f t="shared" si="215"/>
        <v>0.39194404245055475</v>
      </c>
      <c r="X116" s="8">
        <f t="shared" si="215"/>
        <v>0.46206459255260973</v>
      </c>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row>
    <row r="117" spans="1:66" s="23" customFormat="1" x14ac:dyDescent="0.2">
      <c r="A117" s="4" t="s">
        <v>32</v>
      </c>
      <c r="B117" s="19" t="s">
        <v>50</v>
      </c>
      <c r="C117" s="20"/>
      <c r="D117" s="4"/>
      <c r="E117" s="21"/>
      <c r="F117" s="4"/>
      <c r="G117" s="4"/>
      <c r="H117" s="5"/>
      <c r="I117" s="5"/>
      <c r="J117" s="8">
        <f t="shared" si="216"/>
        <v>4.115412445730824E-2</v>
      </c>
      <c r="K117" s="32"/>
      <c r="L117" s="8"/>
      <c r="M117" s="8">
        <f t="shared" si="217"/>
        <v>3.9194404245055478E-2</v>
      </c>
      <c r="N117" s="8">
        <f t="shared" si="217"/>
        <v>1.3718041485769416E-2</v>
      </c>
      <c r="O117" s="8">
        <f t="shared" si="217"/>
        <v>0</v>
      </c>
      <c r="P117" s="8">
        <f t="shared" si="217"/>
        <v>0</v>
      </c>
      <c r="Q117" s="8">
        <f t="shared" si="217"/>
        <v>1.8029425952725518E-2</v>
      </c>
      <c r="R117" s="8">
        <f t="shared" si="218"/>
        <v>0</v>
      </c>
      <c r="S117" s="8">
        <f t="shared" si="219"/>
        <v>3.014954172696575E-2</v>
      </c>
      <c r="T117" s="8">
        <f t="shared" si="220"/>
        <v>6.8590207428847069E-2</v>
      </c>
      <c r="U117" s="9"/>
      <c r="V117" s="8">
        <f t="shared" si="215"/>
        <v>0.30637979635074236</v>
      </c>
      <c r="W117" s="8">
        <f t="shared" si="215"/>
        <v>0.39194404245055475</v>
      </c>
      <c r="X117" s="8">
        <f t="shared" si="215"/>
        <v>0.47750828855036709</v>
      </c>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row>
    <row r="118" spans="1:66" s="23" customFormat="1" x14ac:dyDescent="0.2">
      <c r="A118" s="4" t="s">
        <v>32</v>
      </c>
      <c r="B118" s="19" t="s">
        <v>55</v>
      </c>
      <c r="C118" s="20"/>
      <c r="D118" s="4"/>
      <c r="E118" s="21"/>
      <c r="F118" s="4"/>
      <c r="G118" s="4"/>
      <c r="H118" s="5"/>
      <c r="I118" s="5"/>
      <c r="J118" s="8">
        <f t="shared" si="216"/>
        <v>4.1188162458019831E-2</v>
      </c>
      <c r="K118" s="32"/>
      <c r="L118" s="8"/>
      <c r="M118" s="8">
        <f t="shared" si="217"/>
        <v>0</v>
      </c>
      <c r="N118" s="8">
        <f t="shared" si="217"/>
        <v>1.3729387486006613E-2</v>
      </c>
      <c r="O118" s="8">
        <f t="shared" si="217"/>
        <v>0</v>
      </c>
      <c r="P118" s="8">
        <f t="shared" si="217"/>
        <v>0</v>
      </c>
      <c r="Q118" s="8">
        <f t="shared" si="217"/>
        <v>1.8044337838751548E-2</v>
      </c>
      <c r="R118" s="8">
        <f t="shared" si="218"/>
        <v>3.8399735375695195E-2</v>
      </c>
      <c r="S118" s="8">
        <f t="shared" si="219"/>
        <v>3.0174477991223324E-2</v>
      </c>
      <c r="T118" s="8">
        <f t="shared" si="220"/>
        <v>6.8646937430033056E-2</v>
      </c>
      <c r="U118" s="9"/>
      <c r="V118" s="8">
        <f>(V8)/$Z8</f>
        <v>0.33032859074483317</v>
      </c>
      <c r="W118" s="8">
        <f>(W8)/$Z8</f>
        <v>0.39226821388590316</v>
      </c>
      <c r="X118" s="8">
        <f>(X8)/$Z8</f>
        <v>0.45420783702697315</v>
      </c>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s="23" customFormat="1" x14ac:dyDescent="0.2">
      <c r="A119" s="4"/>
      <c r="B119" s="19"/>
      <c r="C119" s="20"/>
      <c r="D119" s="4"/>
      <c r="E119" s="21"/>
      <c r="F119" s="4"/>
      <c r="G119" s="4"/>
      <c r="H119" s="5"/>
      <c r="I119" s="5"/>
      <c r="J119" s="11"/>
      <c r="K119" s="32"/>
      <c r="L119" s="8"/>
      <c r="M119" s="11"/>
      <c r="N119" s="11"/>
      <c r="O119" s="11"/>
      <c r="P119" s="11"/>
      <c r="Q119" s="11"/>
      <c r="R119" s="29"/>
      <c r="S119" s="8"/>
      <c r="T119" s="11"/>
      <c r="U119" s="9"/>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s="23" customFormat="1" x14ac:dyDescent="0.2">
      <c r="A120" s="4" t="s">
        <v>62</v>
      </c>
      <c r="B120" s="19" t="s">
        <v>33</v>
      </c>
      <c r="C120" s="20"/>
      <c r="D120" s="4"/>
      <c r="E120" s="21"/>
      <c r="F120" s="4"/>
      <c r="G120" s="4"/>
      <c r="H120" s="5"/>
      <c r="I120" s="5"/>
      <c r="J120" s="8">
        <f>(J10*$W10)/$Z10</f>
        <v>4.4436486750439486E-2</v>
      </c>
      <c r="K120" s="32"/>
      <c r="L120" s="8"/>
      <c r="M120" s="8">
        <f>(M10*$W10)/$Z10</f>
        <v>4.2320463571847135E-2</v>
      </c>
      <c r="N120" s="8">
        <f>(N10*$W10)/$Z10</f>
        <v>1.4812162250146498E-2</v>
      </c>
      <c r="O120" s="8">
        <f>(O10*$W10)/$Z10</f>
        <v>0</v>
      </c>
      <c r="P120" s="8">
        <f>(P10*$W10)/$Z10</f>
        <v>0</v>
      </c>
      <c r="Q120" s="8">
        <f>(Q10*$W10)/$Z10</f>
        <v>1.946741324304968E-2</v>
      </c>
      <c r="R120" s="8">
        <f>(R10)/$Z10</f>
        <v>0</v>
      </c>
      <c r="S120" s="8">
        <f>(S10/52*$W10)/$Z10</f>
        <v>3.2554202747574722E-2</v>
      </c>
      <c r="T120" s="8">
        <f>(T10*$W10)/$Z10</f>
        <v>0</v>
      </c>
      <c r="U120" s="9"/>
      <c r="V120" s="8">
        <f>(V10)/$Z10</f>
        <v>0.29620456035171777</v>
      </c>
      <c r="W120" s="8">
        <f>(W10)/$Z10</f>
        <v>0.42320463571847133</v>
      </c>
      <c r="X120" s="8">
        <f>(X10)/$Z10</f>
        <v>0.55020471108522484</v>
      </c>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s="23" customFormat="1" x14ac:dyDescent="0.2">
      <c r="A121" s="4" t="s">
        <v>62</v>
      </c>
      <c r="B121" s="19" t="s">
        <v>40</v>
      </c>
      <c r="C121" s="20"/>
      <c r="D121" s="4"/>
      <c r="E121" s="21"/>
      <c r="F121" s="4"/>
      <c r="G121" s="4"/>
      <c r="H121" s="5"/>
      <c r="I121" s="5"/>
      <c r="J121" s="8">
        <f t="shared" ref="J121:J124" si="221">(J11*$W11)/$Z11</f>
        <v>4.4077757685352617E-2</v>
      </c>
      <c r="K121" s="32"/>
      <c r="L121" s="8"/>
      <c r="M121" s="8">
        <f t="shared" ref="M121:Q124" si="222">(M11*$W11)/$Z11</f>
        <v>4.1978816843192976E-2</v>
      </c>
      <c r="N121" s="8">
        <f t="shared" si="222"/>
        <v>1.4692585895117542E-2</v>
      </c>
      <c r="O121" s="8">
        <f t="shared" si="222"/>
        <v>0</v>
      </c>
      <c r="P121" s="8">
        <f t="shared" si="222"/>
        <v>0</v>
      </c>
      <c r="Q121" s="8">
        <f t="shared" si="222"/>
        <v>1.9310255747868769E-2</v>
      </c>
      <c r="R121" s="8">
        <f t="shared" ref="R121:R124" si="223">(R11)/$Z11</f>
        <v>0</v>
      </c>
      <c r="S121" s="8">
        <f t="shared" ref="S121:S124" si="224">(S11/52*$W11)/$Z11</f>
        <v>4.0364246964608629E-2</v>
      </c>
      <c r="T121" s="8">
        <f t="shared" ref="T121:T124" si="225">(T11*$W11)/$Z11</f>
        <v>0</v>
      </c>
      <c r="U121" s="9"/>
      <c r="V121" s="8">
        <f t="shared" ref="V121:X124" si="226">(V11)/$Z11</f>
        <v>0.2673502690911384</v>
      </c>
      <c r="W121" s="8">
        <f t="shared" si="226"/>
        <v>0.41978816843192973</v>
      </c>
      <c r="X121" s="8">
        <f t="shared" si="226"/>
        <v>0.572226067772721</v>
      </c>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s="23" customFormat="1" x14ac:dyDescent="0.2">
      <c r="A122" s="4" t="s">
        <v>62</v>
      </c>
      <c r="B122" s="19" t="s">
        <v>47</v>
      </c>
      <c r="C122" s="20"/>
      <c r="D122" s="4"/>
      <c r="E122" s="21"/>
      <c r="F122" s="4"/>
      <c r="G122" s="4"/>
      <c r="H122" s="5"/>
      <c r="I122" s="5"/>
      <c r="J122" s="8">
        <f t="shared" si="221"/>
        <v>4.4436486750439479E-2</v>
      </c>
      <c r="K122" s="32"/>
      <c r="L122" s="8"/>
      <c r="M122" s="8">
        <f t="shared" si="222"/>
        <v>4.2320463571847128E-2</v>
      </c>
      <c r="N122" s="8">
        <f t="shared" si="222"/>
        <v>1.4812162250146496E-2</v>
      </c>
      <c r="O122" s="8">
        <f t="shared" si="222"/>
        <v>0</v>
      </c>
      <c r="P122" s="8">
        <f t="shared" si="222"/>
        <v>0</v>
      </c>
      <c r="Q122" s="8">
        <f t="shared" si="222"/>
        <v>1.9467413243049677E-2</v>
      </c>
      <c r="R122" s="8">
        <f t="shared" si="223"/>
        <v>0</v>
      </c>
      <c r="S122" s="8">
        <f t="shared" si="224"/>
        <v>3.2554202747574715E-2</v>
      </c>
      <c r="T122" s="8">
        <f t="shared" si="225"/>
        <v>0</v>
      </c>
      <c r="U122" s="9"/>
      <c r="V122" s="8">
        <f t="shared" si="226"/>
        <v>0.38007881854628889</v>
      </c>
      <c r="W122" s="8">
        <f t="shared" si="226"/>
        <v>0.42320463571847128</v>
      </c>
      <c r="X122" s="8">
        <f t="shared" si="226"/>
        <v>0.46633045289065367</v>
      </c>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s="23" customFormat="1" x14ac:dyDescent="0.2">
      <c r="A123" s="4" t="s">
        <v>62</v>
      </c>
      <c r="B123" s="19" t="s">
        <v>50</v>
      </c>
      <c r="C123" s="20"/>
      <c r="D123" s="4"/>
      <c r="E123" s="21"/>
      <c r="F123" s="4"/>
      <c r="G123" s="4"/>
      <c r="H123" s="5"/>
      <c r="I123" s="5"/>
      <c r="J123" s="8">
        <f t="shared" si="221"/>
        <v>4.4436486750439486E-2</v>
      </c>
      <c r="K123" s="32"/>
      <c r="L123" s="8"/>
      <c r="M123" s="8">
        <f t="shared" si="222"/>
        <v>4.2320463571847135E-2</v>
      </c>
      <c r="N123" s="8">
        <f t="shared" si="222"/>
        <v>1.4812162250146498E-2</v>
      </c>
      <c r="O123" s="8">
        <f t="shared" si="222"/>
        <v>0</v>
      </c>
      <c r="P123" s="8">
        <f t="shared" si="222"/>
        <v>0</v>
      </c>
      <c r="Q123" s="8">
        <f t="shared" si="222"/>
        <v>1.946741324304968E-2</v>
      </c>
      <c r="R123" s="8">
        <f t="shared" si="223"/>
        <v>0</v>
      </c>
      <c r="S123" s="8">
        <f t="shared" si="224"/>
        <v>3.2554202747574722E-2</v>
      </c>
      <c r="T123" s="8">
        <f t="shared" si="225"/>
        <v>0</v>
      </c>
      <c r="U123" s="9"/>
      <c r="V123" s="8">
        <f t="shared" si="226"/>
        <v>0.30675433816630476</v>
      </c>
      <c r="W123" s="8">
        <f t="shared" si="226"/>
        <v>0.42320463571847133</v>
      </c>
      <c r="X123" s="8">
        <f t="shared" si="226"/>
        <v>0.53965493327063785</v>
      </c>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s="23" customFormat="1" x14ac:dyDescent="0.2">
      <c r="A124" s="4" t="s">
        <v>62</v>
      </c>
      <c r="B124" s="19" t="s">
        <v>55</v>
      </c>
      <c r="C124" s="20"/>
      <c r="D124" s="4"/>
      <c r="E124" s="21"/>
      <c r="F124" s="4"/>
      <c r="G124" s="4"/>
      <c r="H124" s="5"/>
      <c r="I124" s="5"/>
      <c r="J124" s="8">
        <f t="shared" si="221"/>
        <v>3.3068587341593542E-2</v>
      </c>
      <c r="K124" s="32"/>
      <c r="L124" s="8"/>
      <c r="M124" s="8">
        <f t="shared" si="222"/>
        <v>0</v>
      </c>
      <c r="N124" s="8">
        <f t="shared" si="222"/>
        <v>1.1022862447197848E-2</v>
      </c>
      <c r="O124" s="8">
        <f t="shared" si="222"/>
        <v>0</v>
      </c>
      <c r="P124" s="8">
        <f t="shared" si="222"/>
        <v>0.18896335623767735</v>
      </c>
      <c r="Q124" s="8">
        <f t="shared" si="222"/>
        <v>1.4487190644888598E-2</v>
      </c>
      <c r="R124" s="8">
        <f t="shared" si="223"/>
        <v>3.188379472679434E-2</v>
      </c>
      <c r="S124" s="8">
        <f t="shared" si="224"/>
        <v>3.0282589140653425E-2</v>
      </c>
      <c r="T124" s="8">
        <f t="shared" si="225"/>
        <v>5.5114312235989227E-2</v>
      </c>
      <c r="U124" s="9"/>
      <c r="V124" s="8">
        <f t="shared" si="226"/>
        <v>0.27177501365160062</v>
      </c>
      <c r="W124" s="8">
        <f t="shared" si="226"/>
        <v>0.31493892706279564</v>
      </c>
      <c r="X124" s="8">
        <f t="shared" si="226"/>
        <v>0.35810284047399066</v>
      </c>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s="23" customFormat="1" x14ac:dyDescent="0.2">
      <c r="A125" s="4"/>
      <c r="B125" s="19"/>
      <c r="C125" s="20"/>
      <c r="D125" s="4"/>
      <c r="E125" s="21"/>
      <c r="F125" s="4"/>
      <c r="G125" s="4"/>
      <c r="H125" s="5"/>
      <c r="I125" s="5"/>
      <c r="J125" s="11"/>
      <c r="K125" s="32"/>
      <c r="L125" s="8"/>
      <c r="M125" s="11"/>
      <c r="N125" s="11"/>
      <c r="O125" s="11"/>
      <c r="P125" s="11"/>
      <c r="Q125" s="11"/>
      <c r="R125" s="29"/>
      <c r="S125" s="8"/>
      <c r="T125" s="11"/>
      <c r="U125" s="9"/>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s="23" customFormat="1" x14ac:dyDescent="0.2">
      <c r="A126" s="4" t="s">
        <v>74</v>
      </c>
      <c r="B126" s="19" t="s">
        <v>33</v>
      </c>
      <c r="C126" s="20"/>
      <c r="D126" s="4"/>
      <c r="E126" s="21"/>
      <c r="F126" s="4"/>
      <c r="G126" s="4"/>
      <c r="H126" s="5"/>
      <c r="I126" s="5"/>
      <c r="J126" s="8">
        <f>(J16*$W16)/$Z16</f>
        <v>4.4436486750439479E-2</v>
      </c>
      <c r="K126" s="32"/>
      <c r="L126" s="8"/>
      <c r="M126" s="8">
        <f>(M16*$W16)/$Z16</f>
        <v>4.2320463571847128E-2</v>
      </c>
      <c r="N126" s="8">
        <f>(N16*$W16)/$Z16</f>
        <v>1.4812162250146496E-2</v>
      </c>
      <c r="O126" s="8">
        <f>(O16*$W16)/$Z16</f>
        <v>0</v>
      </c>
      <c r="P126" s="8">
        <f>(P16*$W16)/$Z16</f>
        <v>0</v>
      </c>
      <c r="Q126" s="8">
        <f>(Q16*$W16)/$Z16</f>
        <v>1.9467413243049677E-2</v>
      </c>
      <c r="R126" s="8">
        <f>(R16)/$Z16</f>
        <v>0</v>
      </c>
      <c r="S126" s="8">
        <f>(S16/52*$W16)/$Z16</f>
        <v>3.2554202747574715E-2</v>
      </c>
      <c r="T126" s="8">
        <f>(T16*$W16)/$Z16</f>
        <v>0</v>
      </c>
      <c r="U126" s="9"/>
      <c r="V126" s="8">
        <f>(V16)/$Z16</f>
        <v>0.32715923893016374</v>
      </c>
      <c r="W126" s="8">
        <f>(W16)/$Z16</f>
        <v>0.42320463571847128</v>
      </c>
      <c r="X126" s="8">
        <f>(X16)/$Z16</f>
        <v>0.51925003250677881</v>
      </c>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s="23" customFormat="1" x14ac:dyDescent="0.2">
      <c r="A127" s="4" t="s">
        <v>74</v>
      </c>
      <c r="B127" s="19" t="s">
        <v>40</v>
      </c>
      <c r="C127" s="20"/>
      <c r="D127" s="4"/>
      <c r="E127" s="21"/>
      <c r="F127" s="4"/>
      <c r="G127" s="4"/>
      <c r="H127" s="5"/>
      <c r="I127" s="5"/>
      <c r="J127" s="8">
        <f t="shared" ref="J127:J130" si="227">(J17*$W17)/$Z17</f>
        <v>4.1154124457308254E-2</v>
      </c>
      <c r="K127" s="32"/>
      <c r="L127" s="8"/>
      <c r="M127" s="8">
        <f t="shared" ref="M127:Q130" si="228">(M17*$W17)/$Z17</f>
        <v>3.9194404245055485E-2</v>
      </c>
      <c r="N127" s="8">
        <f t="shared" si="228"/>
        <v>1.3718041485769418E-2</v>
      </c>
      <c r="O127" s="8">
        <f t="shared" si="228"/>
        <v>0</v>
      </c>
      <c r="P127" s="8">
        <f t="shared" si="228"/>
        <v>0</v>
      </c>
      <c r="Q127" s="8">
        <f t="shared" si="228"/>
        <v>1.8029425952725518E-2</v>
      </c>
      <c r="R127" s="8">
        <f t="shared" ref="R127:R130" si="229">(R17)/$Z17</f>
        <v>0</v>
      </c>
      <c r="S127" s="8">
        <f t="shared" ref="S127:S130" si="230">(S17/52*$W17)/$Z17</f>
        <v>3.0149541726965753E-2</v>
      </c>
      <c r="T127" s="8">
        <f t="shared" ref="T127:T130" si="231">(T17*$W17)/$Z17</f>
        <v>6.8590207428847069E-2</v>
      </c>
      <c r="U127" s="9"/>
      <c r="V127" s="8">
        <f t="shared" ref="V127:X130" si="232">(V17)/$Z17</f>
        <v>0.25605582045986724</v>
      </c>
      <c r="W127" s="8">
        <f t="shared" si="232"/>
        <v>0.39194404245055481</v>
      </c>
      <c r="X127" s="8">
        <f t="shared" si="232"/>
        <v>0.52783226444124243</v>
      </c>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s="23" customFormat="1" x14ac:dyDescent="0.2">
      <c r="A128" s="4" t="s">
        <v>74</v>
      </c>
      <c r="B128" s="19" t="s">
        <v>47</v>
      </c>
      <c r="C128" s="20"/>
      <c r="D128" s="4"/>
      <c r="E128" s="21"/>
      <c r="F128" s="4"/>
      <c r="G128" s="4"/>
      <c r="H128" s="5"/>
      <c r="I128" s="5"/>
      <c r="J128" s="8">
        <f t="shared" si="227"/>
        <v>4.4436486750439479E-2</v>
      </c>
      <c r="K128" s="32"/>
      <c r="L128" s="8"/>
      <c r="M128" s="8">
        <f t="shared" si="228"/>
        <v>4.2320463571847128E-2</v>
      </c>
      <c r="N128" s="8">
        <f t="shared" si="228"/>
        <v>1.4812162250146496E-2</v>
      </c>
      <c r="O128" s="8">
        <f t="shared" si="228"/>
        <v>0</v>
      </c>
      <c r="P128" s="8">
        <f t="shared" si="228"/>
        <v>0</v>
      </c>
      <c r="Q128" s="8">
        <f t="shared" si="228"/>
        <v>1.9467413243049677E-2</v>
      </c>
      <c r="R128" s="8">
        <f t="shared" si="229"/>
        <v>0</v>
      </c>
      <c r="S128" s="8">
        <f t="shared" si="230"/>
        <v>3.2554202747574715E-2</v>
      </c>
      <c r="T128" s="8">
        <f t="shared" si="231"/>
        <v>0</v>
      </c>
      <c r="U128" s="9"/>
      <c r="V128" s="8">
        <f t="shared" si="232"/>
        <v>0.35190523765923298</v>
      </c>
      <c r="W128" s="8">
        <f t="shared" si="232"/>
        <v>0.42320463571847128</v>
      </c>
      <c r="X128" s="8">
        <f t="shared" si="232"/>
        <v>0.49450403377770952</v>
      </c>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s="23" customFormat="1" x14ac:dyDescent="0.2">
      <c r="A129" s="4" t="s">
        <v>74</v>
      </c>
      <c r="B129" s="19" t="s">
        <v>50</v>
      </c>
      <c r="C129" s="20"/>
      <c r="D129" s="4"/>
      <c r="E129" s="21"/>
      <c r="F129" s="4"/>
      <c r="G129" s="4"/>
      <c r="H129" s="5"/>
      <c r="I129" s="5"/>
      <c r="J129" s="8">
        <f t="shared" si="227"/>
        <v>4.1154124457308247E-2</v>
      </c>
      <c r="K129" s="32"/>
      <c r="L129" s="8"/>
      <c r="M129" s="8">
        <f t="shared" si="228"/>
        <v>3.9194404245055485E-2</v>
      </c>
      <c r="N129" s="8">
        <f t="shared" si="228"/>
        <v>1.371804148576942E-2</v>
      </c>
      <c r="O129" s="8">
        <f t="shared" si="228"/>
        <v>0</v>
      </c>
      <c r="P129" s="8">
        <f t="shared" si="228"/>
        <v>0</v>
      </c>
      <c r="Q129" s="8">
        <f t="shared" si="228"/>
        <v>1.8029425952725522E-2</v>
      </c>
      <c r="R129" s="8">
        <f t="shared" si="229"/>
        <v>0</v>
      </c>
      <c r="S129" s="8">
        <f t="shared" si="230"/>
        <v>3.0149541726965753E-2</v>
      </c>
      <c r="T129" s="8">
        <f t="shared" si="231"/>
        <v>6.8590207428847083E-2</v>
      </c>
      <c r="U129" s="9"/>
      <c r="V129" s="8">
        <f t="shared" si="232"/>
        <v>0.28650407610189005</v>
      </c>
      <c r="W129" s="8">
        <f t="shared" si="232"/>
        <v>0.39194404245055481</v>
      </c>
      <c r="X129" s="8">
        <f t="shared" si="232"/>
        <v>0.49738400879921951</v>
      </c>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s="23" customFormat="1" x14ac:dyDescent="0.2">
      <c r="A130" s="4" t="s">
        <v>74</v>
      </c>
      <c r="B130" s="19" t="s">
        <v>55</v>
      </c>
      <c r="C130" s="20"/>
      <c r="D130" s="4"/>
      <c r="E130" s="21"/>
      <c r="F130" s="4"/>
      <c r="G130" s="4"/>
      <c r="H130" s="5"/>
      <c r="I130" s="5"/>
      <c r="J130" s="8">
        <f t="shared" si="227"/>
        <v>3.4670679206291542E-2</v>
      </c>
      <c r="K130" s="32"/>
      <c r="L130" s="8"/>
      <c r="M130" s="8">
        <f t="shared" si="228"/>
        <v>0</v>
      </c>
      <c r="N130" s="8">
        <f t="shared" si="228"/>
        <v>1.1556893068763847E-2</v>
      </c>
      <c r="O130" s="8">
        <f>(O20*$W20)/$Z20</f>
        <v>6.6039388964364842E-2</v>
      </c>
      <c r="P130" s="8">
        <f t="shared" si="228"/>
        <v>5.7454268398997407E-2</v>
      </c>
      <c r="Q130" s="8">
        <f t="shared" si="228"/>
        <v>1.5189059461803914E-2</v>
      </c>
      <c r="R130" s="8">
        <f t="shared" si="229"/>
        <v>5.9605451088691308E-2</v>
      </c>
      <c r="S130" s="8">
        <f t="shared" si="230"/>
        <v>3.1749706232867707E-2</v>
      </c>
      <c r="T130" s="8">
        <f t="shared" si="231"/>
        <v>5.778446534381923E-2</v>
      </c>
      <c r="U130" s="9"/>
      <c r="V130" s="8">
        <f t="shared" si="232"/>
        <v>0.28089539394896479</v>
      </c>
      <c r="W130" s="8">
        <f t="shared" si="232"/>
        <v>0.33019694482182421</v>
      </c>
      <c r="X130" s="8">
        <f t="shared" si="232"/>
        <v>0.37949849569468358</v>
      </c>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s="23" customFormat="1" x14ac:dyDescent="0.2">
      <c r="A131" s="4"/>
      <c r="B131" s="19"/>
      <c r="C131" s="20"/>
      <c r="D131" s="4"/>
      <c r="E131" s="21"/>
      <c r="F131" s="4"/>
      <c r="G131" s="4"/>
      <c r="H131" s="5"/>
      <c r="I131" s="5"/>
      <c r="J131" s="11"/>
      <c r="K131" s="32"/>
      <c r="L131" s="8"/>
      <c r="M131" s="11"/>
      <c r="N131" s="11"/>
      <c r="O131" s="11"/>
      <c r="P131" s="11"/>
      <c r="Q131" s="11"/>
      <c r="R131" s="29"/>
      <c r="S131" s="8"/>
      <c r="T131" s="11"/>
      <c r="U131" s="9"/>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s="23" customFormat="1" x14ac:dyDescent="0.2">
      <c r="A132" s="4" t="s">
        <v>82</v>
      </c>
      <c r="B132" s="19" t="s">
        <v>33</v>
      </c>
      <c r="C132" s="20"/>
      <c r="D132" s="4"/>
      <c r="E132" s="21"/>
      <c r="F132" s="4"/>
      <c r="G132" s="4"/>
      <c r="H132" s="5"/>
      <c r="I132" s="5"/>
      <c r="J132" s="8">
        <f>(J22*$W22)/$Z22</f>
        <v>5.2873060853105634E-2</v>
      </c>
      <c r="K132" s="32"/>
      <c r="L132" s="8"/>
      <c r="M132" s="8">
        <f>(M22*$W22)/$Z22</f>
        <v>4.1469067335769126E-2</v>
      </c>
      <c r="N132" s="8">
        <f>(N22*$W22)/$Z22</f>
        <v>1.4514173567519195E-2</v>
      </c>
      <c r="O132" s="8">
        <f>(O22*$W22)/$Z22</f>
        <v>0</v>
      </c>
      <c r="P132" s="8">
        <f>(P22*$W22)/$Z22</f>
        <v>0</v>
      </c>
      <c r="Q132" s="8">
        <f>(Q22*$W22)/$Z22</f>
        <v>1.9075770974453798E-2</v>
      </c>
      <c r="R132" s="8">
        <f>(R22)/$Z22</f>
        <v>1.0787297987793381E-2</v>
      </c>
      <c r="S132" s="8">
        <f>(S22/52*$W22)/$Z22</f>
        <v>3.1899282565976253E-2</v>
      </c>
      <c r="T132" s="8">
        <f>(T22*$W22)/$Z22</f>
        <v>0</v>
      </c>
      <c r="U132" s="9"/>
      <c r="V132" s="8">
        <f>(V22)/$Z22</f>
        <v>0.28682633729646456</v>
      </c>
      <c r="W132" s="8">
        <f>(W22)/$Z22</f>
        <v>0.41469067335769128</v>
      </c>
      <c r="X132" s="8">
        <f>(X22)/$Z22</f>
        <v>0.54255500941891799</v>
      </c>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s="23" customFormat="1" x14ac:dyDescent="0.2">
      <c r="A133" s="4" t="s">
        <v>82</v>
      </c>
      <c r="B133" s="19" t="s">
        <v>40</v>
      </c>
      <c r="C133" s="20"/>
      <c r="D133" s="4"/>
      <c r="E133" s="21"/>
      <c r="F133" s="4"/>
      <c r="G133" s="4"/>
      <c r="H133" s="5"/>
      <c r="I133" s="5"/>
      <c r="J133" s="8">
        <f t="shared" ref="J133:J136" si="233">(J23*$W23)/$Z23</f>
        <v>5.3060229372501141E-2</v>
      </c>
      <c r="K133" s="32"/>
      <c r="L133" s="8"/>
      <c r="M133" s="8">
        <f t="shared" ref="M133:Q136" si="234">(M23*$W23)/$Z23</f>
        <v>4.1615866174510699E-2</v>
      </c>
      <c r="N133" s="8">
        <f t="shared" si="234"/>
        <v>1.4565553161078746E-2</v>
      </c>
      <c r="O133" s="8">
        <f t="shared" si="234"/>
        <v>0</v>
      </c>
      <c r="P133" s="8">
        <f t="shared" si="234"/>
        <v>0</v>
      </c>
      <c r="Q133" s="8">
        <f t="shared" si="234"/>
        <v>1.914329844027492E-2</v>
      </c>
      <c r="R133" s="8">
        <f t="shared" ref="R133:R136" si="235">(R23)/$Z23</f>
        <v>7.2855246117969705E-3</v>
      </c>
      <c r="S133" s="8">
        <f t="shared" ref="S133:S136" si="236">(S23/52*$W23)/$Z23</f>
        <v>3.2012204749623616E-2</v>
      </c>
      <c r="T133" s="8">
        <f t="shared" ref="T133:T136" si="237">(T23*$W23)/$Z23</f>
        <v>0</v>
      </c>
      <c r="U133" s="9"/>
      <c r="V133" s="8">
        <f t="shared" ref="V133:X136" si="238">(V23)/$Z23</f>
        <v>0.27542554735868385</v>
      </c>
      <c r="W133" s="8">
        <f t="shared" si="238"/>
        <v>0.41615866174510696</v>
      </c>
      <c r="X133" s="8">
        <f t="shared" si="238"/>
        <v>0.55689177613153007</v>
      </c>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s="23" customFormat="1" x14ac:dyDescent="0.2">
      <c r="A134" s="4" t="s">
        <v>82</v>
      </c>
      <c r="B134" s="19" t="s">
        <v>47</v>
      </c>
      <c r="C134" s="20"/>
      <c r="D134" s="4"/>
      <c r="E134" s="21"/>
      <c r="F134" s="4"/>
      <c r="G134" s="4"/>
      <c r="H134" s="5"/>
      <c r="I134" s="5"/>
      <c r="J134" s="8">
        <f t="shared" si="233"/>
        <v>5.2815968374728621E-2</v>
      </c>
      <c r="K134" s="32"/>
      <c r="L134" s="8"/>
      <c r="M134" s="8">
        <f t="shared" si="234"/>
        <v>4.142428892135578E-2</v>
      </c>
      <c r="N134" s="8">
        <f t="shared" si="234"/>
        <v>1.4498501122474522E-2</v>
      </c>
      <c r="O134" s="8">
        <f t="shared" si="234"/>
        <v>0</v>
      </c>
      <c r="P134" s="8">
        <f t="shared" si="234"/>
        <v>0</v>
      </c>
      <c r="Q134" s="8">
        <f t="shared" si="234"/>
        <v>1.9055172903823657E-2</v>
      </c>
      <c r="R134" s="8">
        <f t="shared" si="235"/>
        <v>1.1855452618689808E-2</v>
      </c>
      <c r="S134" s="8">
        <f t="shared" si="236"/>
        <v>3.1864837631812137E-2</v>
      </c>
      <c r="T134" s="8">
        <f t="shared" si="237"/>
        <v>0</v>
      </c>
      <c r="U134" s="9"/>
      <c r="V134" s="8">
        <f t="shared" si="238"/>
        <v>0.30972207651806061</v>
      </c>
      <c r="W134" s="8">
        <f t="shared" si="238"/>
        <v>0.41424288921355779</v>
      </c>
      <c r="X134" s="8">
        <f t="shared" si="238"/>
        <v>0.51876370190905496</v>
      </c>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s="23" customFormat="1" x14ac:dyDescent="0.2">
      <c r="A135" s="4" t="s">
        <v>82</v>
      </c>
      <c r="B135" s="19" t="s">
        <v>50</v>
      </c>
      <c r="C135" s="20"/>
      <c r="D135" s="4"/>
      <c r="E135" s="21"/>
      <c r="F135" s="4"/>
      <c r="G135" s="4"/>
      <c r="H135" s="5"/>
      <c r="I135" s="5"/>
      <c r="J135" s="8">
        <f t="shared" si="233"/>
        <v>5.3060229372501141E-2</v>
      </c>
      <c r="K135" s="32"/>
      <c r="L135" s="8"/>
      <c r="M135" s="8">
        <f t="shared" si="234"/>
        <v>4.1615866174510699E-2</v>
      </c>
      <c r="N135" s="8">
        <f t="shared" si="234"/>
        <v>1.4565553161078746E-2</v>
      </c>
      <c r="O135" s="8">
        <f t="shared" si="234"/>
        <v>0</v>
      </c>
      <c r="P135" s="8">
        <f t="shared" si="234"/>
        <v>0</v>
      </c>
      <c r="Q135" s="8">
        <f t="shared" si="234"/>
        <v>1.914329844027492E-2</v>
      </c>
      <c r="R135" s="8">
        <f t="shared" si="235"/>
        <v>7.2855246117969705E-3</v>
      </c>
      <c r="S135" s="8">
        <f t="shared" si="236"/>
        <v>3.2012204749623616E-2</v>
      </c>
      <c r="T135" s="8">
        <f t="shared" si="237"/>
        <v>0</v>
      </c>
      <c r="U135" s="9"/>
      <c r="V135" s="8">
        <f t="shared" si="238"/>
        <v>0.27542554735868385</v>
      </c>
      <c r="W135" s="8">
        <f t="shared" si="238"/>
        <v>0.41615866174510696</v>
      </c>
      <c r="X135" s="8">
        <f t="shared" si="238"/>
        <v>0.55689177613153007</v>
      </c>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s="23" customFormat="1" x14ac:dyDescent="0.2">
      <c r="A136" s="4" t="s">
        <v>82</v>
      </c>
      <c r="B136" s="19" t="s">
        <v>55</v>
      </c>
      <c r="C136" s="20"/>
      <c r="D136" s="4"/>
      <c r="E136" s="21"/>
      <c r="F136" s="4"/>
      <c r="G136" s="4"/>
      <c r="H136" s="5"/>
      <c r="I136" s="5"/>
      <c r="J136" s="8">
        <f t="shared" si="233"/>
        <v>4.4260659284394738E-2</v>
      </c>
      <c r="K136" s="32"/>
      <c r="L136" s="8"/>
      <c r="M136" s="8">
        <f t="shared" si="234"/>
        <v>0</v>
      </c>
      <c r="N136" s="8">
        <f t="shared" si="234"/>
        <v>1.2149984901598559E-2</v>
      </c>
      <c r="O136" s="8">
        <f t="shared" si="234"/>
        <v>0</v>
      </c>
      <c r="P136" s="8">
        <f t="shared" si="234"/>
        <v>0.17357121287997937</v>
      </c>
      <c r="Q136" s="8">
        <f t="shared" si="234"/>
        <v>1.59685515849581E-2</v>
      </c>
      <c r="R136" s="8">
        <f t="shared" si="235"/>
        <v>3.3061476309154958E-2</v>
      </c>
      <c r="S136" s="8">
        <f t="shared" si="236"/>
        <v>2.6703263519996828E-2</v>
      </c>
      <c r="T136" s="8">
        <f t="shared" si="237"/>
        <v>0</v>
      </c>
      <c r="U136" s="9"/>
      <c r="V136" s="8">
        <f t="shared" si="238"/>
        <v>0.29125776659589786</v>
      </c>
      <c r="W136" s="8">
        <f t="shared" si="238"/>
        <v>0.34714242575995874</v>
      </c>
      <c r="X136" s="8">
        <f t="shared" si="238"/>
        <v>0.40302708492401967</v>
      </c>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s="23" customFormat="1" x14ac:dyDescent="0.2">
      <c r="A137" s="4"/>
      <c r="B137" s="19"/>
      <c r="C137" s="20"/>
      <c r="D137" s="4"/>
      <c r="E137" s="21"/>
      <c r="F137" s="4"/>
      <c r="G137" s="4"/>
      <c r="H137" s="5"/>
      <c r="I137" s="5"/>
      <c r="J137" s="11"/>
      <c r="K137" s="32"/>
      <c r="L137" s="8"/>
      <c r="M137" s="11"/>
      <c r="N137" s="11"/>
      <c r="O137" s="11"/>
      <c r="P137" s="11"/>
      <c r="Q137" s="11"/>
      <c r="R137" s="29"/>
      <c r="S137" s="8"/>
      <c r="T137" s="11"/>
      <c r="U137" s="9"/>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s="23" customFormat="1" x14ac:dyDescent="0.2">
      <c r="A138" s="4" t="s">
        <v>88</v>
      </c>
      <c r="B138" s="19" t="s">
        <v>33</v>
      </c>
      <c r="C138" s="20"/>
      <c r="D138" s="4"/>
      <c r="E138" s="21"/>
      <c r="F138" s="4"/>
      <c r="G138" s="4"/>
      <c r="H138" s="5"/>
      <c r="I138" s="5"/>
      <c r="J138" s="8">
        <f>(J28*$W28)/$Z28</f>
        <v>4.0724386896592871E-2</v>
      </c>
      <c r="K138" s="32"/>
      <c r="L138" s="8"/>
      <c r="M138" s="8">
        <f>(M28*$W28)/$Z28</f>
        <v>3.8785130377707498E-2</v>
      </c>
      <c r="N138" s="8">
        <f>(N28*$W28)/$Z28</f>
        <v>1.3574795632197626E-2</v>
      </c>
      <c r="O138" s="8">
        <f>(O28*$W28)/$Z28</f>
        <v>0</v>
      </c>
      <c r="P138" s="8">
        <f>(P28*$W28)/$Z28</f>
        <v>0</v>
      </c>
      <c r="Q138" s="8">
        <f>(Q28*$W28)/$Z28</f>
        <v>1.7841159973745451E-2</v>
      </c>
      <c r="R138" s="8">
        <f>(R28)/$Z28</f>
        <v>0</v>
      </c>
      <c r="S138" s="8">
        <f>(S28/52*$W28)/$Z28</f>
        <v>2.9834715675159617E-2</v>
      </c>
      <c r="T138" s="8">
        <f>(T28*$W28)/$Z28</f>
        <v>7.7570260755414996E-2</v>
      </c>
      <c r="U138" s="9"/>
      <c r="V138" s="8">
        <f>(V28)/$Z28</f>
        <v>0.31291461467576787</v>
      </c>
      <c r="W138" s="8">
        <f>(W28)/$Z28</f>
        <v>0.387851303777075</v>
      </c>
      <c r="X138" s="8">
        <f>(X28)/$Z28</f>
        <v>0.46278799287838213</v>
      </c>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s="23" customFormat="1" x14ac:dyDescent="0.2">
      <c r="A139" s="4" t="s">
        <v>88</v>
      </c>
      <c r="B139" s="19" t="s">
        <v>40</v>
      </c>
      <c r="C139" s="20"/>
      <c r="D139" s="4"/>
      <c r="E139" s="21"/>
      <c r="F139" s="4"/>
      <c r="G139" s="4"/>
      <c r="H139" s="5"/>
      <c r="I139" s="5"/>
      <c r="J139" s="8">
        <f t="shared" ref="J139:J142" si="239">(J29*$W29)/$Z29</f>
        <v>4.0724386896592878E-2</v>
      </c>
      <c r="K139" s="32"/>
      <c r="L139" s="8"/>
      <c r="M139" s="8">
        <f t="shared" ref="M139:Q142" si="240">(M29*$W29)/$Z29</f>
        <v>3.8785130377707505E-2</v>
      </c>
      <c r="N139" s="8">
        <f t="shared" si="240"/>
        <v>1.3574795632197626E-2</v>
      </c>
      <c r="O139" s="8">
        <f t="shared" si="240"/>
        <v>0</v>
      </c>
      <c r="P139" s="8">
        <f t="shared" si="240"/>
        <v>0</v>
      </c>
      <c r="Q139" s="8">
        <f t="shared" si="240"/>
        <v>1.7841159973745448E-2</v>
      </c>
      <c r="R139" s="8">
        <f t="shared" ref="R139:R142" si="241">(R29)/$Z29</f>
        <v>0</v>
      </c>
      <c r="S139" s="8">
        <f t="shared" ref="S139:S142" si="242">(S29/52*$W29)/$Z29</f>
        <v>2.9834715675159617E-2</v>
      </c>
      <c r="T139" s="8">
        <f t="shared" ref="T139:T142" si="243">(T29*$W29)/$Z29</f>
        <v>7.757026075541501E-2</v>
      </c>
      <c r="U139" s="9"/>
      <c r="V139" s="8">
        <f t="shared" ref="V139:X142" si="244">(V29)/$Z29</f>
        <v>0.27684660381765647</v>
      </c>
      <c r="W139" s="8">
        <f t="shared" si="244"/>
        <v>0.387851303777075</v>
      </c>
      <c r="X139" s="8">
        <f t="shared" si="244"/>
        <v>0.49885600373649358</v>
      </c>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s="23" customFormat="1" x14ac:dyDescent="0.2">
      <c r="A140" s="4" t="s">
        <v>88</v>
      </c>
      <c r="B140" s="19" t="s">
        <v>47</v>
      </c>
      <c r="C140" s="20"/>
      <c r="D140" s="4"/>
      <c r="E140" s="21"/>
      <c r="F140" s="4"/>
      <c r="G140" s="4"/>
      <c r="H140" s="5"/>
      <c r="I140" s="5"/>
      <c r="J140" s="8">
        <f t="shared" si="239"/>
        <v>4.0724386896592878E-2</v>
      </c>
      <c r="K140" s="32"/>
      <c r="L140" s="8"/>
      <c r="M140" s="8">
        <f t="shared" si="240"/>
        <v>3.8785130377707505E-2</v>
      </c>
      <c r="N140" s="8">
        <f t="shared" si="240"/>
        <v>1.3574795632197628E-2</v>
      </c>
      <c r="O140" s="8">
        <f t="shared" si="240"/>
        <v>0</v>
      </c>
      <c r="P140" s="8">
        <f t="shared" si="240"/>
        <v>0</v>
      </c>
      <c r="Q140" s="8">
        <f t="shared" si="240"/>
        <v>1.7841159973745451E-2</v>
      </c>
      <c r="R140" s="8">
        <f t="shared" si="241"/>
        <v>0</v>
      </c>
      <c r="S140" s="8">
        <f t="shared" si="242"/>
        <v>2.9834715675159617E-2</v>
      </c>
      <c r="T140" s="8">
        <f t="shared" si="243"/>
        <v>7.757026075541501E-2</v>
      </c>
      <c r="U140" s="9"/>
      <c r="V140" s="8">
        <f t="shared" si="244"/>
        <v>0.35271962315096511</v>
      </c>
      <c r="W140" s="8">
        <f t="shared" si="244"/>
        <v>0.38785130377707505</v>
      </c>
      <c r="X140" s="8">
        <f t="shared" si="244"/>
        <v>0.42298298440318499</v>
      </c>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s="23" customFormat="1" x14ac:dyDescent="0.2">
      <c r="A141" s="4" t="s">
        <v>88</v>
      </c>
      <c r="B141" s="19" t="s">
        <v>50</v>
      </c>
      <c r="C141" s="20"/>
      <c r="D141" s="4"/>
      <c r="E141" s="21"/>
      <c r="F141" s="4"/>
      <c r="G141" s="4"/>
      <c r="H141" s="5"/>
      <c r="I141" s="5"/>
      <c r="J141" s="8">
        <f t="shared" si="239"/>
        <v>4.0724386896592871E-2</v>
      </c>
      <c r="K141" s="32"/>
      <c r="L141" s="8"/>
      <c r="M141" s="8">
        <f t="shared" si="240"/>
        <v>3.8785130377707498E-2</v>
      </c>
      <c r="N141" s="8">
        <f t="shared" si="240"/>
        <v>1.3574795632197626E-2</v>
      </c>
      <c r="O141" s="8">
        <f t="shared" si="240"/>
        <v>0</v>
      </c>
      <c r="P141" s="8">
        <f t="shared" si="240"/>
        <v>0</v>
      </c>
      <c r="Q141" s="8">
        <f t="shared" si="240"/>
        <v>1.7841159973745448E-2</v>
      </c>
      <c r="R141" s="8">
        <f t="shared" si="241"/>
        <v>0</v>
      </c>
      <c r="S141" s="8">
        <f t="shared" si="242"/>
        <v>2.9834715675159617E-2</v>
      </c>
      <c r="T141" s="8">
        <f t="shared" si="243"/>
        <v>7.7570260755414996E-2</v>
      </c>
      <c r="U141" s="9"/>
      <c r="V141" s="8">
        <f t="shared" si="244"/>
        <v>0.3570890341109314</v>
      </c>
      <c r="W141" s="8">
        <f t="shared" si="244"/>
        <v>0.387851303777075</v>
      </c>
      <c r="X141" s="8">
        <f t="shared" si="244"/>
        <v>0.41861357344321859</v>
      </c>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s="23" customFormat="1" x14ac:dyDescent="0.2">
      <c r="A142" s="4" t="s">
        <v>88</v>
      </c>
      <c r="B142" s="19" t="s">
        <v>55</v>
      </c>
      <c r="C142" s="20"/>
      <c r="D142" s="4"/>
      <c r="E142" s="21"/>
      <c r="F142" s="4"/>
      <c r="G142" s="4"/>
      <c r="H142" s="5"/>
      <c r="I142" s="5"/>
      <c r="J142" s="8">
        <f t="shared" si="239"/>
        <v>4.4729983313397788E-2</v>
      </c>
      <c r="K142" s="32"/>
      <c r="L142" s="8"/>
      <c r="M142" s="8">
        <f t="shared" si="240"/>
        <v>0</v>
      </c>
      <c r="N142" s="8">
        <f t="shared" si="240"/>
        <v>1.4909994437799265E-2</v>
      </c>
      <c r="O142" s="8">
        <f t="shared" si="240"/>
        <v>0</v>
      </c>
      <c r="P142" s="8">
        <f t="shared" si="240"/>
        <v>0</v>
      </c>
      <c r="Q142" s="8">
        <f t="shared" si="240"/>
        <v>1.9595992689679029E-2</v>
      </c>
      <c r="R142" s="8">
        <f t="shared" si="241"/>
        <v>3.5995128854552312E-2</v>
      </c>
      <c r="S142" s="8">
        <f t="shared" si="242"/>
        <v>3.2769218544613767E-2</v>
      </c>
      <c r="T142" s="8">
        <f t="shared" si="243"/>
        <v>0</v>
      </c>
      <c r="U142" s="9"/>
      <c r="V142" s="8">
        <f t="shared" si="244"/>
        <v>0.37074273002680597</v>
      </c>
      <c r="W142" s="8">
        <f t="shared" si="244"/>
        <v>0.4259998410799789</v>
      </c>
      <c r="X142" s="8">
        <f t="shared" si="244"/>
        <v>0.48125695213315189</v>
      </c>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4" spans="1:66" s="23" customFormat="1" x14ac:dyDescent="0.2">
      <c r="A144" s="4" t="s">
        <v>96</v>
      </c>
      <c r="B144" s="19" t="s">
        <v>33</v>
      </c>
      <c r="C144" s="20"/>
      <c r="D144" s="4"/>
      <c r="E144" s="21"/>
      <c r="F144" s="4"/>
      <c r="G144" s="4"/>
      <c r="H144" s="5"/>
      <c r="I144" s="5"/>
      <c r="J144" s="35" t="str">
        <f>TEXT((AVERAGE(J28,J22,J16,J10,J4)*$W4/$Z4), "0.0%") &amp; " (" &amp; TEXT((MIN(J28,J22,J16,J10,J4)*$W4/$Z4), "0.0%") &amp; " - " &amp; TEXT((MAX(J28,J22,J16,J10,J4)*$W4/$Z4), "0.0%") &amp; ")"</f>
        <v>4.3% (4.1% - 5.0%)</v>
      </c>
      <c r="K144" s="32"/>
      <c r="L144" s="8"/>
      <c r="M144" s="35" t="str">
        <f>TEXT((AVERAGE(M28,M22,M16,M10,M4)*$W4/$Z4), "0.0%") &amp; " (" &amp; TEXT((MIN(M28,M22,M16,M10,M4)*$W4/$Z4), "0.0%") &amp; " - " &amp; TEXT((MAX(M28,M22,M16,M10,M4)*$W4/$Z4), "0.0%") &amp; ")"</f>
        <v>3.9% (3.9% - 3.9%)</v>
      </c>
      <c r="N144" s="35" t="str">
        <f>TEXT((AVERAGE(N28,N22,N16,N10,N4)*$W4/$Z4), "0.0%") &amp; " (" &amp; TEXT((MIN(N28,N22,N16,N10,N4)*$W4/$Z4), "0.0%") &amp; " - " &amp; TEXT((MAX(N28,N22,N16,N10,N4)*$W4/$Z4), "0.0%") &amp; ")"</f>
        <v>1.4% (1.4% - 1.4%)</v>
      </c>
      <c r="O144" s="35" t="str">
        <f>TEXT((AVERAGE(O28,O22,O16,O10,O4)*$W4/$Z4), "0.0%") &amp; " (" &amp; TEXT((MIN(O28,O22,O16,O10,O4)*$W4/$Z4), "0.0%") &amp; " - " &amp; TEXT((MAX(O28,O22,O16,O10,O4)*$W4/$Z4), "0.0%") &amp; ")"</f>
        <v>0.0% (0.0% - 0.0%)</v>
      </c>
      <c r="P144" s="35" t="str">
        <f>TEXT((AVERAGE(P28,P22,P16,P10,P4)*$W4/$Z4), "0.0%") &amp; " (" &amp; TEXT((MIN(P28,P22,P16,P10,P4)*$W4/$Z4), "0.0%") &amp; " - " &amp; TEXT((MAX(P28,P22,P16,P10,P4)*$W4/$Z4), "0.0%") &amp; ")"</f>
        <v>0.0% (0.0% - 0.0%)</v>
      </c>
      <c r="Q144" s="35" t="str">
        <f>TEXT((AVERAGE(Q28,Q22,Q16,Q10,Q4)*$W4/$Z4), "0.0%") &amp; " (" &amp; TEXT((MIN(Q28,Q22,Q16,Q10,Q4)*$W4/$Z4), "0.0%") &amp; " - " &amp; TEXT((MAX(Q28,Q22,Q16,Q10,Q4)*$W4/$Z4), "0.0%") &amp; ")"</f>
        <v>1.8% (1.8% - 1.8%)</v>
      </c>
      <c r="R144" s="35" t="str">
        <f>TEXT((AVERAGE(R28,R22,R16,R10,R4)/$Z4), "0.0%") &amp; " (" &amp; TEXT((MIN(R28,R22,R16,R10,R4)/$Z4), "0.0%") &amp; " - " &amp; TEXT((MAX(R28,R22,R16,R10,R4)/$Z4), "0.0%") &amp; ")"</f>
        <v>0.2% (0.0% - 0.8%)</v>
      </c>
      <c r="S144" s="35" t="str">
        <f>TEXT((AVERAGE(S28,S22,S16,S10,S4)/52*$W4/$Z4), "0.0%") &amp; " (" &amp; TEXT((MIN(S28,S22,S16,S10,S4)/52*$W4/$Z4), "0.0%") &amp; " - " &amp; TEXT((MAX(S28,S22,S16,S10,S4)/52*$W4/$Z4), "0.0%") &amp; ")"</f>
        <v>3.0% (3.0% - 3.0%)</v>
      </c>
      <c r="T144" s="35" t="str">
        <f>TEXT((AVERAGE(T28,T22,T16,T10,T4)*$W4/$Z4), "0.0%") &amp; " (" &amp; TEXT((MIN(T28,T22,T16,T10,T4)*$W4/$Z4), "0.0%") &amp; " - " &amp; TEXT((MAX(T28,T22,T16,T10,T4)*$W4/$Z4), "0.0%") &amp; ")"</f>
        <v>2.9% (0.0% - 7.8%)</v>
      </c>
      <c r="U144" s="9"/>
      <c r="V144" s="35" t="str">
        <f>TEXT((AVERAGE(V28,V22,V16,V10,V4)/$Z4), "0.0%") &amp; " (" &amp; TEXT((MIN(V28,V22,V16,V10,V4)/$Z4), "0.0%") &amp; " - " &amp; TEXT((MAX(V28,V22,V16,V10,V4)/$Z4), "0.0%") &amp; ")"</f>
        <v>24.8% (20.0% - 32.9%)</v>
      </c>
      <c r="W144" s="35" t="str">
        <f>TEXT((AVERAGE(W28,W22,W16,W10,W4)/$Z4), "0.0%") &amp; " (" &amp; TEXT((MIN(W28,W22,W16,W10,W4)/$Z4), "0.0%") &amp; " - " &amp; TEXT((MAX(W28,W22,W16,W10,W4)/$Z4), "0.0%") &amp; ")"</f>
        <v>32.3% (29.0% - 39.2%)</v>
      </c>
      <c r="X144" s="35" t="str">
        <f>TEXT((AVERAGE(X28,X22,X16,X10,X4)/$Z4), "0.0%") &amp; " (" &amp; TEXT((MIN(X28,X22,X16,X10,X4)/$Z4), "0.0%") &amp; " - " &amp; TEXT((MAX(X28,X22,X16,X10,X4)/$Z4), "0.0%") &amp; ")"</f>
        <v>39.9% (35.1% - 45.5%)</v>
      </c>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s="23" customFormat="1" x14ac:dyDescent="0.2">
      <c r="A145" s="4" t="s">
        <v>96</v>
      </c>
      <c r="B145" s="19" t="s">
        <v>40</v>
      </c>
      <c r="C145" s="20"/>
      <c r="D145" s="4"/>
      <c r="E145" s="21"/>
      <c r="F145" s="4"/>
      <c r="G145" s="4"/>
      <c r="H145" s="5"/>
      <c r="I145" s="5"/>
      <c r="J145" s="35" t="str">
        <f>TEXT((AVERAGE(J29,J23,J17,J11,J5)*$W5/$Z5), "0.0%") &amp; " (" &amp; TEXT((MIN(J29,J23,J17,J11,J5)*$W5/$Z5), "0.0%") &amp; " - " &amp; TEXT((MAX(J29,J23,J17,J11,J5)*$W5/$Z5), "0.0%") &amp; ")"</f>
        <v>4.3% (4.1% - 5.0%)</v>
      </c>
      <c r="K145" s="32"/>
      <c r="L145" s="8"/>
      <c r="M145" s="35" t="str">
        <f t="shared" ref="M145:Q148" si="245">TEXT((AVERAGE(M29,M23,M17,M11,M5)*$W5/$Z5), "0.0%") &amp; " (" &amp; TEXT((MIN(M29,M23,M17,M11,M5)*$W5/$Z5), "0.0%") &amp; " - " &amp; TEXT((MAX(M29,M23,M17,M11,M5)*$W5/$Z5), "0.0%") &amp; ")"</f>
        <v>3.9% (3.9% - 3.9%)</v>
      </c>
      <c r="N145" s="35" t="str">
        <f t="shared" si="245"/>
        <v>1.4% (1.4% - 1.4%)</v>
      </c>
      <c r="O145" s="35" t="str">
        <f t="shared" si="245"/>
        <v>0.0% (0.0% - 0.0%)</v>
      </c>
      <c r="P145" s="35" t="str">
        <f t="shared" si="245"/>
        <v>0.0% (0.0% - 0.0%)</v>
      </c>
      <c r="Q145" s="35" t="str">
        <f t="shared" si="245"/>
        <v>1.8% (1.8% - 1.8%)</v>
      </c>
      <c r="R145" s="35" t="str">
        <f t="shared" ref="R145:R148" si="246">TEXT((AVERAGE(R29,R23,R17,R11,R5)/$Z5), "0.0%") &amp; " (" &amp; TEXT((MIN(R29,R23,R17,R11,R5)/$Z5), "0.0%") &amp; " - " &amp; TEXT((MAX(R29,R23,R17,R11,R5)/$Z5), "0.0%") &amp; ")"</f>
        <v>0.1% (0.0% - 0.7%)</v>
      </c>
      <c r="S145" s="35" t="str">
        <f t="shared" ref="S145:S148" si="247">TEXT((AVERAGE(S29,S23,S17,S11,S5)/52*$W5/$Z5), "0.0%") &amp; " (" &amp; TEXT((MIN(S29,S23,S17,S11,S5)/52*$W5/$Z5), "0.0%") &amp; " - " &amp; TEXT((MAX(S29,S23,S17,S11,S5)/52*$W5/$Z5), "0.0%") &amp; ")"</f>
        <v>3.3% (3.0% - 3.7%)</v>
      </c>
      <c r="T145" s="35" t="str">
        <f t="shared" ref="T145:T148" si="248">TEXT((AVERAGE(T29,T23,T17,T11,T5)*$W5/$Z5), "0.0%") &amp; " (" &amp; TEXT((MIN(T29,T23,T17,T11,T5)*$W5/$Z5), "0.0%") &amp; " - " &amp; TEXT((MAX(T29,T23,T17,T11,T5)*$W5/$Z5), "0.0%") &amp; ")"</f>
        <v>4.3% (0.0% - 7.8%)</v>
      </c>
      <c r="U145" s="9"/>
      <c r="V145" s="35" t="str">
        <f t="shared" ref="V145:X148" si="249">TEXT((AVERAGE(V29,V23,V17,V11,V5)/$Z5), "0.0%") &amp; " (" &amp; TEXT((MIN(V29,V23,V17,V11,V5)/$Z5), "0.0%") &amp; " - " &amp; TEXT((MAX(V29,V23,V17,V11,V5)/$Z5), "0.0%") &amp; ")"</f>
        <v>26.1% (23.3% - 29.7%)</v>
      </c>
      <c r="W145" s="35" t="str">
        <f t="shared" si="249"/>
        <v>39.8% (38.9% - 41.6%)</v>
      </c>
      <c r="X145" s="35" t="str">
        <f t="shared" si="249"/>
        <v>53.6% (52.8% - 54.4%)</v>
      </c>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s="23" customFormat="1" x14ac:dyDescent="0.2">
      <c r="A146" s="4" t="s">
        <v>96</v>
      </c>
      <c r="B146" s="19" t="s">
        <v>47</v>
      </c>
      <c r="C146" s="20"/>
      <c r="D146" s="4"/>
      <c r="E146" s="21"/>
      <c r="F146" s="4"/>
      <c r="G146" s="4"/>
      <c r="H146" s="5"/>
      <c r="I146" s="5"/>
      <c r="J146" s="35" t="str">
        <f>TEXT((AVERAGE(J30,J24,J18,J12,J6)*$W6/$Z6), "0.0%") &amp; " (" &amp; TEXT((MIN(J30,J24,J18,J12,J6)*$W6/$Z6), "0.0%") &amp; " - " &amp; TEXT((MAX(J30,J24,J18,J12,J6)*$W6/$Z6), "0.0%") &amp; ")"</f>
        <v>4.3% (4.1% - 5.0%)</v>
      </c>
      <c r="K146" s="32"/>
      <c r="L146" s="8"/>
      <c r="M146" s="35" t="str">
        <f t="shared" si="245"/>
        <v>3.9% (3.9% - 3.9%)</v>
      </c>
      <c r="N146" s="35" t="str">
        <f t="shared" si="245"/>
        <v>1.4% (1.4% - 1.4%)</v>
      </c>
      <c r="O146" s="35" t="str">
        <f t="shared" si="245"/>
        <v>0.0% (0.0% - 0.0%)</v>
      </c>
      <c r="P146" s="35" t="str">
        <f t="shared" si="245"/>
        <v>0.0% (0.0% - 0.0%)</v>
      </c>
      <c r="Q146" s="35" t="str">
        <f t="shared" si="245"/>
        <v>1.8% (1.8% - 1.8%)</v>
      </c>
      <c r="R146" s="35" t="str">
        <f t="shared" si="246"/>
        <v>0.2% (0.0% - 0.9%)</v>
      </c>
      <c r="S146" s="35" t="str">
        <f t="shared" si="247"/>
        <v>3.0% (3.0% - 3.0%)</v>
      </c>
      <c r="T146" s="35" t="str">
        <f t="shared" si="248"/>
        <v>2.9% (0.0% - 7.8%)</v>
      </c>
      <c r="U146" s="9"/>
      <c r="V146" s="35" t="str">
        <f t="shared" si="249"/>
        <v>27.7% (24.1% - 32.2%)</v>
      </c>
      <c r="W146" s="35" t="str">
        <f t="shared" si="249"/>
        <v>32.9% (29.3% - 39.2%)</v>
      </c>
      <c r="X146" s="35" t="str">
        <f t="shared" si="249"/>
        <v>38.2% (34.2% - 46.2%)</v>
      </c>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s="23" customFormat="1" x14ac:dyDescent="0.2">
      <c r="A147" s="4" t="s">
        <v>96</v>
      </c>
      <c r="B147" s="19" t="s">
        <v>50</v>
      </c>
      <c r="C147" s="20"/>
      <c r="D147" s="4"/>
      <c r="E147" s="21"/>
      <c r="F147" s="4"/>
      <c r="G147" s="4"/>
      <c r="H147" s="5"/>
      <c r="I147" s="5"/>
      <c r="J147" s="35" t="str">
        <f>TEXT((AVERAGE(J31,J25,J19,J13,J7)*$W7/$Z7), "0.0%") &amp; " (" &amp; TEXT((MIN(J31,J25,J19,J13,J7)*$W7/$Z7), "0.0%") &amp; " - " &amp; TEXT((MAX(J31,J25,J19,J13,J7)*$W7/$Z7), "0.0%") &amp; ")"</f>
        <v>4.3% (4.1% - 5.0%)</v>
      </c>
      <c r="K147" s="32"/>
      <c r="L147" s="8"/>
      <c r="M147" s="35" t="str">
        <f t="shared" si="245"/>
        <v>3.9% (3.9% - 3.9%)</v>
      </c>
      <c r="N147" s="35" t="str">
        <f t="shared" si="245"/>
        <v>1.4% (1.4% - 1.4%)</v>
      </c>
      <c r="O147" s="35" t="str">
        <f t="shared" si="245"/>
        <v>0.0% (0.0% - 0.0%)</v>
      </c>
      <c r="P147" s="35" t="str">
        <f t="shared" si="245"/>
        <v>0.0% (0.0% - 0.0%)</v>
      </c>
      <c r="Q147" s="35" t="str">
        <f t="shared" si="245"/>
        <v>1.8% (1.8% - 1.8%)</v>
      </c>
      <c r="R147" s="35" t="str">
        <f t="shared" si="246"/>
        <v>0.1% (0.0% - 0.7%)</v>
      </c>
      <c r="S147" s="35" t="str">
        <f t="shared" si="247"/>
        <v>3.0% (3.0% - 3.0%)</v>
      </c>
      <c r="T147" s="35" t="str">
        <f t="shared" si="248"/>
        <v>4.3% (0.0% - 7.8%)</v>
      </c>
      <c r="U147" s="9"/>
      <c r="V147" s="35" t="str">
        <f t="shared" si="249"/>
        <v>27.8% (25.4% - 30.7%)</v>
      </c>
      <c r="W147" s="35" t="str">
        <f t="shared" si="249"/>
        <v>36.6% (33.4% - 40.1%)</v>
      </c>
      <c r="X147" s="35" t="str">
        <f t="shared" si="249"/>
        <v>45.3% (36.0% - 53.7%)</v>
      </c>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s="23" customFormat="1" x14ac:dyDescent="0.2">
      <c r="A148" s="4" t="s">
        <v>96</v>
      </c>
      <c r="B148" s="19" t="s">
        <v>55</v>
      </c>
      <c r="C148" s="20"/>
      <c r="D148" s="4"/>
      <c r="E148" s="21"/>
      <c r="F148" s="4"/>
      <c r="G148" s="4"/>
      <c r="H148" s="5"/>
      <c r="I148" s="5"/>
      <c r="J148" s="35" t="str">
        <f>TEXT((AVERAGE(J32,J26,J20,J14,J8)*$W8/$Z8), "0.0%") &amp; " (" &amp; TEXT((MIN(J32,J26,J20,J14,J8)*$W8/$Z8), "0.0%") &amp; " - " &amp; TEXT((MAX(J32,J26,J20,J14,J8)*$W8/$Z8), "0.0%") &amp; ")"</f>
        <v>4.3% (4.1% - 5.0%)</v>
      </c>
      <c r="K148" s="32"/>
      <c r="L148" s="8"/>
      <c r="M148" s="35" t="str">
        <f t="shared" si="245"/>
        <v>0.0% (0.0% - 0.0%)</v>
      </c>
      <c r="N148" s="35" t="str">
        <f t="shared" si="245"/>
        <v>1.4% (1.4% - 1.4%)</v>
      </c>
      <c r="O148" s="35" t="str">
        <f t="shared" si="245"/>
        <v>1.6% (0.0% - 7.8%)</v>
      </c>
      <c r="P148" s="35" t="str">
        <f t="shared" si="245"/>
        <v>10.0% (0.0% - 23.5%)</v>
      </c>
      <c r="Q148" s="35" t="str">
        <f t="shared" si="245"/>
        <v>1.8% (1.8% - 1.8%)</v>
      </c>
      <c r="R148" s="35" t="str">
        <f t="shared" si="246"/>
        <v>3.8% (2.8% - 5.0%)</v>
      </c>
      <c r="S148" s="35" t="str">
        <f t="shared" si="247"/>
        <v>3.3% (3.0% - 3.8%)</v>
      </c>
      <c r="T148" s="35" t="str">
        <f t="shared" si="248"/>
        <v>4.1% (0.0% - 6.9%)</v>
      </c>
      <c r="U148" s="9"/>
      <c r="V148" s="35" t="str">
        <f t="shared" si="249"/>
        <v>30.1% (23.7% - 39.4%)</v>
      </c>
      <c r="W148" s="35" t="str">
        <f t="shared" si="249"/>
        <v>35.3% (27.9% - 45.3%)</v>
      </c>
      <c r="X148" s="35" t="str">
        <f t="shared" si="249"/>
        <v>40.4% (32.0% - 51.2%)</v>
      </c>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50" spans="1:66" s="23" customFormat="1" x14ac:dyDescent="0.2">
      <c r="A150" s="4" t="s">
        <v>429</v>
      </c>
      <c r="B150" s="19" t="s">
        <v>33</v>
      </c>
      <c r="C150" s="20"/>
      <c r="D150" s="4"/>
      <c r="E150" s="21"/>
      <c r="F150" s="4"/>
      <c r="G150" s="4"/>
      <c r="H150" s="5"/>
      <c r="I150" s="5"/>
      <c r="J150" s="28"/>
      <c r="K150" s="32"/>
      <c r="L150" s="8"/>
      <c r="M150" s="28"/>
      <c r="N150" s="28"/>
      <c r="O150" s="28"/>
      <c r="P150" s="28"/>
      <c r="Q150" s="28"/>
      <c r="R150" s="28"/>
      <c r="S150" s="28"/>
      <c r="T150" s="28"/>
      <c r="U150" s="9"/>
      <c r="V150" s="28"/>
      <c r="W150" s="28"/>
      <c r="X150" s="28"/>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s="23" customFormat="1" x14ac:dyDescent="0.2">
      <c r="A151" s="4" t="s">
        <v>429</v>
      </c>
      <c r="B151" s="19" t="s">
        <v>40</v>
      </c>
      <c r="C151" s="20"/>
      <c r="D151" s="4"/>
      <c r="E151" s="21"/>
      <c r="F151" s="4"/>
      <c r="G151" s="4"/>
      <c r="H151" s="5"/>
      <c r="I151" s="5"/>
      <c r="J151" s="28"/>
      <c r="K151" s="32"/>
      <c r="L151" s="8"/>
      <c r="M151" s="28"/>
      <c r="N151" s="28"/>
      <c r="O151" s="28"/>
      <c r="P151" s="28"/>
      <c r="Q151" s="28"/>
      <c r="R151" s="28"/>
      <c r="S151" s="28"/>
      <c r="T151" s="28"/>
      <c r="U151" s="9"/>
      <c r="V151" s="28"/>
      <c r="W151" s="28"/>
      <c r="X151" s="28"/>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s="23" customFormat="1" x14ac:dyDescent="0.2">
      <c r="A152" s="4" t="s">
        <v>429</v>
      </c>
      <c r="B152" s="19" t="s">
        <v>47</v>
      </c>
      <c r="C152" s="20"/>
      <c r="D152" s="4"/>
      <c r="E152" s="21"/>
      <c r="F152" s="4"/>
      <c r="G152" s="4"/>
      <c r="H152" s="5"/>
      <c r="I152" s="5"/>
      <c r="J152" s="28"/>
      <c r="K152" s="32"/>
      <c r="L152" s="8"/>
      <c r="M152" s="28"/>
      <c r="N152" s="28"/>
      <c r="O152" s="28"/>
      <c r="P152" s="28"/>
      <c r="Q152" s="28"/>
      <c r="R152" s="28"/>
      <c r="S152" s="28"/>
      <c r="T152" s="28"/>
      <c r="U152" s="9"/>
      <c r="V152" s="28"/>
      <c r="W152" s="28"/>
      <c r="X152" s="28"/>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s="23" customFormat="1" x14ac:dyDescent="0.2">
      <c r="A153" s="4" t="s">
        <v>429</v>
      </c>
      <c r="B153" s="19" t="s">
        <v>50</v>
      </c>
      <c r="C153" s="20"/>
      <c r="D153" s="4"/>
      <c r="E153" s="21"/>
      <c r="F153" s="4"/>
      <c r="G153" s="4"/>
      <c r="H153" s="5"/>
      <c r="I153" s="5"/>
      <c r="J153" s="28"/>
      <c r="K153" s="32"/>
      <c r="L153" s="8"/>
      <c r="M153" s="28"/>
      <c r="N153" s="28"/>
      <c r="O153" s="28"/>
      <c r="P153" s="28"/>
      <c r="Q153" s="28"/>
      <c r="R153" s="28"/>
      <c r="S153" s="28"/>
      <c r="T153" s="28"/>
      <c r="U153" s="9"/>
      <c r="V153" s="28"/>
      <c r="W153" s="28"/>
      <c r="X153" s="28"/>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s="23" customFormat="1" x14ac:dyDescent="0.2">
      <c r="A154" s="4" t="s">
        <v>429</v>
      </c>
      <c r="B154" s="19" t="s">
        <v>55</v>
      </c>
      <c r="C154" s="20"/>
      <c r="D154" s="4"/>
      <c r="E154" s="21"/>
      <c r="F154" s="4"/>
      <c r="G154" s="4"/>
      <c r="H154" s="5"/>
      <c r="I154" s="5"/>
      <c r="J154" s="28"/>
      <c r="K154" s="32"/>
      <c r="L154" s="8"/>
      <c r="M154" s="28"/>
      <c r="N154" s="28"/>
      <c r="O154" s="28"/>
      <c r="P154" s="28"/>
      <c r="Q154" s="28"/>
      <c r="R154" s="28"/>
      <c r="S154" s="28"/>
      <c r="T154" s="28"/>
      <c r="U154" s="9"/>
      <c r="V154" s="28"/>
      <c r="W154" s="28"/>
      <c r="X154" s="28"/>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s="23" customFormat="1" x14ac:dyDescent="0.2">
      <c r="A155" s="4"/>
      <c r="B155" s="19"/>
      <c r="C155" s="20"/>
      <c r="D155" s="4"/>
      <c r="E155" s="21"/>
      <c r="F155" s="4"/>
      <c r="G155" s="4"/>
      <c r="H155" s="5"/>
      <c r="I155" s="5"/>
      <c r="J155" s="28"/>
      <c r="K155" s="32"/>
      <c r="L155" s="8"/>
      <c r="M155" s="28"/>
      <c r="N155" s="28"/>
      <c r="O155" s="28"/>
      <c r="P155" s="28"/>
      <c r="Q155" s="28"/>
      <c r="R155" s="28"/>
      <c r="S155" s="28"/>
      <c r="T155" s="28"/>
      <c r="U155" s="9"/>
      <c r="V155" s="28"/>
      <c r="W155" s="28"/>
      <c r="X155" s="28"/>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s="23" customFormat="1" x14ac:dyDescent="0.2">
      <c r="A156" s="4" t="s">
        <v>429</v>
      </c>
      <c r="B156" s="19" t="s">
        <v>33</v>
      </c>
      <c r="C156" s="20"/>
      <c r="D156" s="4"/>
      <c r="E156" s="21"/>
      <c r="F156" s="4"/>
      <c r="G156" s="4"/>
      <c r="H156" s="5"/>
      <c r="I156" s="5"/>
      <c r="J156" s="28"/>
      <c r="K156" s="32"/>
      <c r="L156" s="8"/>
      <c r="M156" s="28"/>
      <c r="N156" s="28"/>
      <c r="O156" s="28"/>
      <c r="P156" s="28"/>
      <c r="Q156" s="28"/>
      <c r="R156" s="28"/>
      <c r="S156" s="28"/>
      <c r="T156" s="28"/>
      <c r="U156" s="9"/>
      <c r="V156" s="28"/>
      <c r="W156" s="28"/>
      <c r="X156" s="28"/>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s="23" customFormat="1" x14ac:dyDescent="0.2">
      <c r="A157" s="4" t="s">
        <v>429</v>
      </c>
      <c r="B157" s="19" t="s">
        <v>40</v>
      </c>
      <c r="C157" s="20"/>
      <c r="D157" s="4"/>
      <c r="E157" s="21"/>
      <c r="F157" s="4"/>
      <c r="G157" s="4"/>
      <c r="H157" s="5"/>
      <c r="I157" s="5"/>
      <c r="J157" s="28"/>
      <c r="K157" s="32"/>
      <c r="L157" s="8"/>
      <c r="M157" s="28"/>
      <c r="N157" s="28"/>
      <c r="O157" s="28"/>
      <c r="P157" s="28"/>
      <c r="Q157" s="28"/>
      <c r="R157" s="28"/>
      <c r="S157" s="28"/>
      <c r="T157" s="28"/>
      <c r="U157" s="9"/>
      <c r="V157" s="28"/>
      <c r="W157" s="28"/>
      <c r="X157" s="28"/>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s="23" customFormat="1" x14ac:dyDescent="0.2">
      <c r="A158" s="4" t="s">
        <v>429</v>
      </c>
      <c r="B158" s="19" t="s">
        <v>47</v>
      </c>
      <c r="C158" s="20"/>
      <c r="D158" s="4"/>
      <c r="E158" s="21"/>
      <c r="F158" s="4"/>
      <c r="G158" s="4"/>
      <c r="H158" s="5"/>
      <c r="I158" s="5"/>
      <c r="J158" s="28"/>
      <c r="K158" s="32"/>
      <c r="L158" s="8"/>
      <c r="M158" s="28"/>
      <c r="N158" s="28"/>
      <c r="O158" s="28"/>
      <c r="P158" s="28"/>
      <c r="Q158" s="28"/>
      <c r="R158" s="28"/>
      <c r="S158" s="28"/>
      <c r="T158" s="28"/>
      <c r="U158" s="9"/>
      <c r="V158" s="28"/>
      <c r="W158" s="28"/>
      <c r="X158" s="28"/>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s="23" customFormat="1" x14ac:dyDescent="0.2">
      <c r="A159" s="4" t="s">
        <v>429</v>
      </c>
      <c r="B159" s="19" t="s">
        <v>50</v>
      </c>
      <c r="C159" s="20"/>
      <c r="D159" s="4"/>
      <c r="E159" s="21"/>
      <c r="F159" s="4"/>
      <c r="G159" s="4"/>
      <c r="H159" s="5"/>
      <c r="I159" s="5"/>
      <c r="J159" s="28"/>
      <c r="K159" s="32"/>
      <c r="L159" s="8"/>
      <c r="M159" s="28"/>
      <c r="N159" s="28"/>
      <c r="O159" s="28"/>
      <c r="P159" s="28"/>
      <c r="Q159" s="28"/>
      <c r="R159" s="28"/>
      <c r="S159" s="28"/>
      <c r="T159" s="28"/>
      <c r="U159" s="9"/>
      <c r="V159" s="28"/>
      <c r="W159" s="28"/>
      <c r="X159" s="28"/>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s="23" customFormat="1" x14ac:dyDescent="0.2">
      <c r="A160" s="4" t="s">
        <v>429</v>
      </c>
      <c r="B160" s="19" t="s">
        <v>55</v>
      </c>
      <c r="C160" s="20"/>
      <c r="D160" s="4"/>
      <c r="E160" s="21"/>
      <c r="F160" s="4"/>
      <c r="G160" s="4"/>
      <c r="H160" s="5"/>
      <c r="I160" s="5"/>
      <c r="J160" s="28"/>
      <c r="K160" s="32"/>
      <c r="L160" s="8"/>
      <c r="M160" s="28"/>
      <c r="N160" s="28"/>
      <c r="O160" s="28"/>
      <c r="P160" s="28"/>
      <c r="Q160" s="28"/>
      <c r="R160" s="28"/>
      <c r="S160" s="28"/>
      <c r="T160" s="28"/>
      <c r="U160" s="9"/>
      <c r="V160" s="28"/>
      <c r="W160" s="28"/>
      <c r="X160" s="28"/>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sheetData>
  <mergeCells count="20">
    <mergeCell ref="BC2:BE2"/>
    <mergeCell ref="BF2:BH2"/>
    <mergeCell ref="BI2:BK2"/>
    <mergeCell ref="BL2:BN2"/>
    <mergeCell ref="AK2:AM2"/>
    <mergeCell ref="AN2:AP2"/>
    <mergeCell ref="AQ2:AS2"/>
    <mergeCell ref="AT2:AV2"/>
    <mergeCell ref="AW2:AY2"/>
    <mergeCell ref="AZ2:BB2"/>
    <mergeCell ref="V1:AD1"/>
    <mergeCell ref="AE1:AM1"/>
    <mergeCell ref="AN1:AV1"/>
    <mergeCell ref="AW1:BE1"/>
    <mergeCell ref="BF1:BN1"/>
    <mergeCell ref="V2:X2"/>
    <mergeCell ref="Y2:AA2"/>
    <mergeCell ref="AB2:AD2"/>
    <mergeCell ref="AE2:AG2"/>
    <mergeCell ref="AH2:AJ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BA006-730F-8343-8A48-FACEAEDB610B}">
  <dimension ref="A1:J41"/>
  <sheetViews>
    <sheetView workbookViewId="0">
      <selection activeCell="A19" activeCellId="1" sqref="A5:XFD5 A19:XFD19"/>
    </sheetView>
  </sheetViews>
  <sheetFormatPr baseColWidth="10" defaultRowHeight="16" x14ac:dyDescent="0.2"/>
  <cols>
    <col min="1" max="1" width="26.33203125" customWidth="1"/>
  </cols>
  <sheetData>
    <row r="1" spans="1:10" x14ac:dyDescent="0.2">
      <c r="A1" t="s">
        <v>426</v>
      </c>
    </row>
    <row r="2" spans="1:10" x14ac:dyDescent="0.2">
      <c r="A2" s="92" t="s">
        <v>382</v>
      </c>
    </row>
    <row r="3" spans="1:10" ht="24" x14ac:dyDescent="0.25">
      <c r="A3" s="93" t="s">
        <v>383</v>
      </c>
    </row>
    <row r="4" spans="1:10" ht="17" x14ac:dyDescent="0.2">
      <c r="A4" s="94"/>
    </row>
    <row r="5" spans="1:10" x14ac:dyDescent="0.2">
      <c r="A5" s="95" t="s">
        <v>384</v>
      </c>
      <c r="B5" s="95" t="s">
        <v>74</v>
      </c>
      <c r="C5" s="95" t="s">
        <v>32</v>
      </c>
      <c r="D5" s="95" t="s">
        <v>82</v>
      </c>
      <c r="E5" s="95" t="s">
        <v>62</v>
      </c>
      <c r="F5" s="95" t="s">
        <v>88</v>
      </c>
      <c r="G5" s="95" t="s">
        <v>385</v>
      </c>
      <c r="H5" s="95" t="s">
        <v>386</v>
      </c>
      <c r="I5" s="95" t="s">
        <v>387</v>
      </c>
      <c r="J5" s="95" t="s">
        <v>388</v>
      </c>
    </row>
    <row r="6" spans="1:10" x14ac:dyDescent="0.2">
      <c r="A6" s="95" t="s">
        <v>389</v>
      </c>
      <c r="B6" s="96">
        <v>2900030</v>
      </c>
      <c r="C6" s="96">
        <v>2230522</v>
      </c>
      <c r="D6" s="96">
        <v>1858974</v>
      </c>
      <c r="E6" s="96">
        <v>638134</v>
      </c>
      <c r="F6" s="96">
        <v>919257</v>
      </c>
      <c r="G6" s="96">
        <v>197419</v>
      </c>
      <c r="H6" s="96">
        <v>157708</v>
      </c>
      <c r="I6" s="96">
        <v>102003</v>
      </c>
      <c r="J6" s="96">
        <v>9004047</v>
      </c>
    </row>
    <row r="7" spans="1:10" x14ac:dyDescent="0.2">
      <c r="A7" s="95" t="s">
        <v>390</v>
      </c>
      <c r="B7" s="96">
        <v>892075</v>
      </c>
      <c r="C7" s="96">
        <v>729776</v>
      </c>
      <c r="D7" s="96">
        <v>604533</v>
      </c>
      <c r="E7" s="96">
        <v>215109</v>
      </c>
      <c r="F7" s="96">
        <v>310053</v>
      </c>
      <c r="G7" s="96">
        <v>73062</v>
      </c>
      <c r="H7" s="96">
        <v>44428</v>
      </c>
      <c r="I7" s="96">
        <v>22851</v>
      </c>
      <c r="J7" s="96">
        <v>2891887</v>
      </c>
    </row>
    <row r="8" spans="1:10" x14ac:dyDescent="0.2">
      <c r="A8" s="95" t="s">
        <v>391</v>
      </c>
      <c r="B8" s="96">
        <v>511001</v>
      </c>
      <c r="C8" s="96">
        <v>410300</v>
      </c>
      <c r="D8" s="96">
        <v>355835</v>
      </c>
      <c r="E8" s="96">
        <v>109927</v>
      </c>
      <c r="F8" s="96">
        <v>180262</v>
      </c>
      <c r="G8" s="96">
        <v>33717</v>
      </c>
      <c r="H8" s="96">
        <v>29835</v>
      </c>
      <c r="I8" s="96">
        <v>14112</v>
      </c>
      <c r="J8" s="96">
        <v>1644989</v>
      </c>
    </row>
    <row r="9" spans="1:10" x14ac:dyDescent="0.2">
      <c r="A9" s="95" t="s">
        <v>392</v>
      </c>
      <c r="B9" s="96">
        <v>412437</v>
      </c>
      <c r="C9" s="96">
        <v>342244</v>
      </c>
      <c r="D9" s="96">
        <v>280954</v>
      </c>
      <c r="E9" s="96">
        <v>84561</v>
      </c>
      <c r="F9" s="96">
        <v>147580</v>
      </c>
      <c r="G9" s="96">
        <v>23876</v>
      </c>
      <c r="H9" s="96">
        <v>26155</v>
      </c>
      <c r="I9" s="96">
        <v>10191</v>
      </c>
      <c r="J9" s="96">
        <v>1327998</v>
      </c>
    </row>
    <row r="10" spans="1:10" x14ac:dyDescent="0.2">
      <c r="A10" s="95" t="s">
        <v>393</v>
      </c>
      <c r="B10" s="96">
        <v>154141</v>
      </c>
      <c r="C10" s="96">
        <v>118655</v>
      </c>
      <c r="D10" s="96">
        <v>105316</v>
      </c>
      <c r="E10" s="96">
        <v>28963</v>
      </c>
      <c r="F10" s="96">
        <v>53792</v>
      </c>
      <c r="G10" s="96">
        <v>8613</v>
      </c>
      <c r="H10" s="96">
        <v>8302</v>
      </c>
      <c r="I10" s="96">
        <v>4164</v>
      </c>
      <c r="J10" s="96">
        <v>481946</v>
      </c>
    </row>
    <row r="11" spans="1:10" x14ac:dyDescent="0.2">
      <c r="A11" s="95" t="s">
        <v>394</v>
      </c>
      <c r="B11" s="96">
        <v>39370</v>
      </c>
      <c r="C11" s="96">
        <v>27642</v>
      </c>
      <c r="D11" s="96">
        <v>28801</v>
      </c>
      <c r="E11" s="96">
        <v>6919</v>
      </c>
      <c r="F11" s="96">
        <v>13279</v>
      </c>
      <c r="G11" s="96">
        <v>2270</v>
      </c>
      <c r="H11" s="96">
        <v>1679</v>
      </c>
      <c r="I11" s="96">
        <v>1235</v>
      </c>
      <c r="J11" s="96">
        <v>121195</v>
      </c>
    </row>
    <row r="12" spans="1:10" x14ac:dyDescent="0.2">
      <c r="A12" s="95" t="s">
        <v>395</v>
      </c>
      <c r="B12" s="96">
        <v>9845</v>
      </c>
      <c r="C12" s="96">
        <v>7028</v>
      </c>
      <c r="D12" s="96">
        <v>8204</v>
      </c>
      <c r="E12" s="96">
        <v>1805</v>
      </c>
      <c r="F12" s="96">
        <v>3479</v>
      </c>
      <c r="G12" s="97">
        <v>628</v>
      </c>
      <c r="H12" s="97">
        <v>400</v>
      </c>
      <c r="I12" s="97">
        <v>349</v>
      </c>
      <c r="J12" s="96">
        <v>31738</v>
      </c>
    </row>
    <row r="13" spans="1:10" x14ac:dyDescent="0.2">
      <c r="A13" s="95" t="s">
        <v>396</v>
      </c>
      <c r="B13" s="96">
        <v>3068</v>
      </c>
      <c r="C13" s="96">
        <v>2443</v>
      </c>
      <c r="D13" s="96">
        <v>2763</v>
      </c>
      <c r="E13" s="97">
        <v>585</v>
      </c>
      <c r="F13" s="96">
        <v>1087</v>
      </c>
      <c r="G13" s="97">
        <v>159</v>
      </c>
      <c r="H13" s="97">
        <v>108</v>
      </c>
      <c r="I13" s="97">
        <v>104</v>
      </c>
      <c r="J13" s="96">
        <v>10317</v>
      </c>
    </row>
    <row r="14" spans="1:10" x14ac:dyDescent="0.2">
      <c r="A14" s="95" t="s">
        <v>397</v>
      </c>
      <c r="B14" s="97">
        <v>998</v>
      </c>
      <c r="C14" s="97">
        <v>900</v>
      </c>
      <c r="D14" s="97">
        <v>982</v>
      </c>
      <c r="E14" s="97">
        <v>256</v>
      </c>
      <c r="F14" s="97">
        <v>318</v>
      </c>
      <c r="G14" s="97">
        <v>59</v>
      </c>
      <c r="H14" s="97">
        <v>41</v>
      </c>
      <c r="I14" s="97">
        <v>28</v>
      </c>
      <c r="J14" s="96">
        <v>3582</v>
      </c>
    </row>
    <row r="15" spans="1:10" x14ac:dyDescent="0.2">
      <c r="A15" s="95" t="s">
        <v>398</v>
      </c>
      <c r="B15" s="97">
        <v>0</v>
      </c>
      <c r="C15" s="97">
        <v>0</v>
      </c>
      <c r="D15" s="97">
        <v>0</v>
      </c>
      <c r="E15" s="97">
        <v>0</v>
      </c>
      <c r="F15" s="97">
        <v>0</v>
      </c>
      <c r="G15" s="97">
        <v>0</v>
      </c>
      <c r="H15" s="97">
        <v>0</v>
      </c>
      <c r="I15" s="97">
        <v>0</v>
      </c>
      <c r="J15" s="97">
        <v>0</v>
      </c>
    </row>
    <row r="16" spans="1:10" x14ac:dyDescent="0.2">
      <c r="A16" s="95" t="s">
        <v>399</v>
      </c>
      <c r="B16" s="97">
        <v>0</v>
      </c>
      <c r="C16" s="97">
        <v>0</v>
      </c>
      <c r="D16" s="97">
        <v>0</v>
      </c>
      <c r="E16" s="97">
        <v>0</v>
      </c>
      <c r="F16" s="97">
        <v>0</v>
      </c>
      <c r="G16" s="97">
        <v>0</v>
      </c>
      <c r="H16" s="97">
        <v>0</v>
      </c>
      <c r="I16" s="97">
        <v>0</v>
      </c>
      <c r="J16" s="97">
        <v>0</v>
      </c>
    </row>
    <row r="17" spans="1:10" x14ac:dyDescent="0.2">
      <c r="A17" s="95" t="s">
        <v>400</v>
      </c>
      <c r="B17" s="97">
        <v>0</v>
      </c>
      <c r="C17" s="97">
        <v>0</v>
      </c>
      <c r="D17" s="97">
        <v>0</v>
      </c>
      <c r="E17" s="97">
        <v>0</v>
      </c>
      <c r="F17" s="97">
        <v>0</v>
      </c>
      <c r="G17" s="97">
        <v>0</v>
      </c>
      <c r="H17" s="97">
        <v>0</v>
      </c>
      <c r="I17" s="97">
        <v>0</v>
      </c>
      <c r="J17" s="97">
        <v>0</v>
      </c>
    </row>
    <row r="18" spans="1:10" x14ac:dyDescent="0.2">
      <c r="A18" s="95" t="s">
        <v>401</v>
      </c>
      <c r="B18" s="96">
        <v>4922965</v>
      </c>
      <c r="C18" s="96">
        <v>3869510</v>
      </c>
      <c r="D18" s="96">
        <v>3246362</v>
      </c>
      <c r="E18" s="96">
        <v>1086259</v>
      </c>
      <c r="F18" s="96">
        <v>1629107</v>
      </c>
      <c r="G18" s="96">
        <v>339803</v>
      </c>
      <c r="H18" s="96">
        <v>268656</v>
      </c>
      <c r="I18" s="96">
        <v>155037</v>
      </c>
      <c r="J18" s="96">
        <v>15517699</v>
      </c>
    </row>
    <row r="19" spans="1:10" x14ac:dyDescent="0.2">
      <c r="A19" s="95" t="s">
        <v>402</v>
      </c>
      <c r="B19" s="96">
        <v>8429163</v>
      </c>
      <c r="C19" s="96">
        <v>6796743</v>
      </c>
      <c r="D19" s="96">
        <v>5585238</v>
      </c>
      <c r="E19" s="96">
        <v>1847762</v>
      </c>
      <c r="F19" s="96">
        <v>2883796</v>
      </c>
      <c r="G19" s="96">
        <v>572259</v>
      </c>
      <c r="H19" s="96">
        <v>460136</v>
      </c>
      <c r="I19" s="96">
        <v>245861</v>
      </c>
      <c r="J19" s="96">
        <v>26820958</v>
      </c>
    </row>
    <row r="20" spans="1:10" x14ac:dyDescent="0.2">
      <c r="A20" s="95" t="s">
        <v>403</v>
      </c>
      <c r="B20" s="96">
        <v>8976297</v>
      </c>
      <c r="C20" s="96">
        <v>7125917</v>
      </c>
      <c r="D20" s="96">
        <v>6047117</v>
      </c>
      <c r="E20" s="96">
        <v>1942325</v>
      </c>
      <c r="F20" s="96">
        <v>3055014</v>
      </c>
      <c r="G20" s="96">
        <v>603082</v>
      </c>
      <c r="H20" s="96">
        <v>496306</v>
      </c>
      <c r="I20" s="96">
        <v>262562</v>
      </c>
      <c r="J20" s="96">
        <v>28508620</v>
      </c>
    </row>
    <row r="21" spans="1:10" x14ac:dyDescent="0.2">
      <c r="A21" s="95" t="s">
        <v>404</v>
      </c>
      <c r="B21" s="96">
        <v>532417</v>
      </c>
      <c r="C21" s="96">
        <v>336031</v>
      </c>
      <c r="D21" s="96">
        <v>454470</v>
      </c>
      <c r="E21" s="96">
        <v>93249</v>
      </c>
      <c r="F21" s="96">
        <v>168972</v>
      </c>
      <c r="G21" s="96">
        <v>29456</v>
      </c>
      <c r="H21" s="96">
        <v>39755</v>
      </c>
      <c r="I21" s="96">
        <v>16682</v>
      </c>
      <c r="J21" s="96">
        <v>1671032</v>
      </c>
    </row>
    <row r="22" spans="1:10" x14ac:dyDescent="0.2">
      <c r="A22" s="95" t="s">
        <v>405</v>
      </c>
      <c r="B22" s="97">
        <v>1.82</v>
      </c>
      <c r="C22" s="97">
        <v>1.84</v>
      </c>
      <c r="D22" s="97">
        <v>1.86</v>
      </c>
      <c r="E22" s="97">
        <v>1.79</v>
      </c>
      <c r="F22" s="97">
        <v>1.88</v>
      </c>
      <c r="G22" s="97">
        <v>1.77</v>
      </c>
      <c r="H22" s="97">
        <v>1.85</v>
      </c>
      <c r="I22" s="97">
        <v>1.69</v>
      </c>
      <c r="J22" s="97">
        <v>1.84</v>
      </c>
    </row>
    <row r="23" spans="1:10" ht="20" x14ac:dyDescent="0.2">
      <c r="A23" s="98" t="s">
        <v>406</v>
      </c>
    </row>
    <row r="24" spans="1:10" ht="17" x14ac:dyDescent="0.2">
      <c r="A24" s="99" t="s">
        <v>407</v>
      </c>
    </row>
    <row r="25" spans="1:10" ht="17" x14ac:dyDescent="0.2">
      <c r="A25" s="99" t="s">
        <v>408</v>
      </c>
    </row>
    <row r="26" spans="1:10" ht="17" x14ac:dyDescent="0.2">
      <c r="A26" s="99" t="s">
        <v>409</v>
      </c>
    </row>
    <row r="27" spans="1:10" ht="17" x14ac:dyDescent="0.2">
      <c r="A27" s="99" t="s">
        <v>410</v>
      </c>
    </row>
    <row r="28" spans="1:10" ht="17" x14ac:dyDescent="0.2">
      <c r="A28" s="99" t="s">
        <v>411</v>
      </c>
    </row>
    <row r="29" spans="1:10" ht="17" x14ac:dyDescent="0.2">
      <c r="A29" s="100" t="s">
        <v>412</v>
      </c>
      <c r="B29" s="100" t="s">
        <v>413</v>
      </c>
    </row>
    <row r="30" spans="1:10" ht="17" x14ac:dyDescent="0.2">
      <c r="A30" s="94" t="s">
        <v>414</v>
      </c>
      <c r="B30" s="94">
        <v>-4981</v>
      </c>
    </row>
    <row r="31" spans="1:10" ht="17" x14ac:dyDescent="0.2">
      <c r="A31" s="94" t="s">
        <v>415</v>
      </c>
      <c r="B31" s="94">
        <v>797</v>
      </c>
    </row>
    <row r="32" spans="1:10" ht="17" x14ac:dyDescent="0.2">
      <c r="A32" s="94" t="s">
        <v>416</v>
      </c>
      <c r="B32" s="94">
        <v>2091</v>
      </c>
    </row>
    <row r="33" spans="1:2" ht="17" x14ac:dyDescent="0.2">
      <c r="A33" s="94" t="s">
        <v>417</v>
      </c>
      <c r="B33" s="94">
        <v>596</v>
      </c>
    </row>
    <row r="34" spans="1:2" ht="17" x14ac:dyDescent="0.2">
      <c r="A34" s="94" t="s">
        <v>418</v>
      </c>
      <c r="B34" s="94">
        <v>133</v>
      </c>
    </row>
    <row r="35" spans="1:2" ht="17" x14ac:dyDescent="0.2">
      <c r="A35" s="94" t="s">
        <v>419</v>
      </c>
      <c r="B35" s="94">
        <v>286</v>
      </c>
    </row>
    <row r="36" spans="1:2" ht="17" x14ac:dyDescent="0.2">
      <c r="A36" s="94" t="s">
        <v>420</v>
      </c>
      <c r="B36" s="94">
        <v>1375</v>
      </c>
    </row>
    <row r="37" spans="1:2" ht="17" x14ac:dyDescent="0.2">
      <c r="A37" s="94" t="s">
        <v>421</v>
      </c>
      <c r="B37" s="94">
        <v>-301</v>
      </c>
    </row>
    <row r="38" spans="1:2" ht="17" x14ac:dyDescent="0.2">
      <c r="A38" s="99" t="s">
        <v>422</v>
      </c>
    </row>
    <row r="39" spans="1:2" x14ac:dyDescent="0.2">
      <c r="A39" s="101" t="s">
        <v>423</v>
      </c>
    </row>
    <row r="40" spans="1:2" ht="20" x14ac:dyDescent="0.2">
      <c r="A40" s="98" t="s">
        <v>424</v>
      </c>
    </row>
    <row r="41" spans="1:2" ht="17" x14ac:dyDescent="0.2">
      <c r="A41" s="99" t="s">
        <v>425</v>
      </c>
    </row>
  </sheetData>
  <hyperlinks>
    <hyperlink ref="A39" r:id="rId1" display="http://medicarestatistics.humanservices.gov.au/statistics/download.jsp" xr:uid="{AECA2865-6663-9342-BD78-FCB6B32BDCE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71150-230D-8E4C-8056-4FFE338E5BBD}">
  <dimension ref="A1:H10"/>
  <sheetViews>
    <sheetView workbookViewId="0">
      <selection activeCell="H7" sqref="H7"/>
    </sheetView>
  </sheetViews>
  <sheetFormatPr baseColWidth="10" defaultRowHeight="16" x14ac:dyDescent="0.2"/>
  <cols>
    <col min="4" max="4" width="10.83203125" style="102"/>
    <col min="7" max="7" width="14.83203125" bestFit="1" customWidth="1"/>
  </cols>
  <sheetData>
    <row r="1" spans="1:8" x14ac:dyDescent="0.2">
      <c r="A1" s="95" t="s">
        <v>384</v>
      </c>
      <c r="B1" s="95" t="s">
        <v>402</v>
      </c>
      <c r="C1" t="s">
        <v>427</v>
      </c>
      <c r="D1" s="102" t="s">
        <v>428</v>
      </c>
      <c r="F1" s="95" t="s">
        <v>384</v>
      </c>
      <c r="G1" t="s">
        <v>427</v>
      </c>
      <c r="H1" t="s">
        <v>428</v>
      </c>
    </row>
    <row r="2" spans="1:8" x14ac:dyDescent="0.2">
      <c r="A2" s="95" t="s">
        <v>74</v>
      </c>
      <c r="B2" s="96">
        <v>8429163</v>
      </c>
      <c r="C2" s="43">
        <f>B2</f>
        <v>8429163</v>
      </c>
      <c r="D2" s="102">
        <f>C2/C$10</f>
        <v>0.33000279296998414</v>
      </c>
      <c r="F2" s="95" t="s">
        <v>32</v>
      </c>
      <c r="G2" s="96">
        <v>6796743</v>
      </c>
      <c r="H2">
        <f>G2/SUM(G$2:G$6)</f>
        <v>0.26609334439246091</v>
      </c>
    </row>
    <row r="3" spans="1:8" x14ac:dyDescent="0.2">
      <c r="A3" s="95" t="s">
        <v>32</v>
      </c>
      <c r="B3" s="96">
        <v>6796743</v>
      </c>
      <c r="C3" s="43">
        <f t="shared" ref="C3:C6" si="0">B3</f>
        <v>6796743</v>
      </c>
      <c r="D3" s="102">
        <f t="shared" ref="D3:D6" si="1">C3/C$10</f>
        <v>0.26609334439246091</v>
      </c>
      <c r="F3" s="95" t="s">
        <v>62</v>
      </c>
      <c r="G3" s="96">
        <v>1847762</v>
      </c>
      <c r="H3">
        <f t="shared" ref="H3:H6" si="2">G3/SUM(G$2:G$6)</f>
        <v>7.2340114996447907E-2</v>
      </c>
    </row>
    <row r="4" spans="1:8" x14ac:dyDescent="0.2">
      <c r="A4" s="95" t="s">
        <v>82</v>
      </c>
      <c r="B4" s="96">
        <v>5585238</v>
      </c>
      <c r="C4" s="43">
        <f t="shared" si="0"/>
        <v>5585238</v>
      </c>
      <c r="D4" s="102">
        <f t="shared" si="1"/>
        <v>0.21866277107253571</v>
      </c>
      <c r="F4" s="95" t="s">
        <v>74</v>
      </c>
      <c r="G4" s="96">
        <v>8429163</v>
      </c>
      <c r="H4">
        <f t="shared" si="2"/>
        <v>0.33000279296998414</v>
      </c>
    </row>
    <row r="5" spans="1:8" x14ac:dyDescent="0.2">
      <c r="A5" s="95" t="s">
        <v>62</v>
      </c>
      <c r="B5" s="96">
        <v>1847762</v>
      </c>
      <c r="C5" s="43">
        <f t="shared" si="0"/>
        <v>1847762</v>
      </c>
      <c r="D5" s="102">
        <f t="shared" si="1"/>
        <v>7.2340114996447907E-2</v>
      </c>
      <c r="F5" s="95" t="s">
        <v>82</v>
      </c>
      <c r="G5" s="96">
        <v>5585238</v>
      </c>
      <c r="H5">
        <f t="shared" si="2"/>
        <v>0.21866277107253571</v>
      </c>
    </row>
    <row r="6" spans="1:8" x14ac:dyDescent="0.2">
      <c r="A6" s="95" t="s">
        <v>88</v>
      </c>
      <c r="B6" s="96">
        <v>2883796</v>
      </c>
      <c r="C6" s="43">
        <f t="shared" si="0"/>
        <v>2883796</v>
      </c>
      <c r="D6" s="102">
        <f t="shared" si="1"/>
        <v>0.11290097656857133</v>
      </c>
      <c r="F6" s="95" t="s">
        <v>88</v>
      </c>
      <c r="G6" s="96">
        <v>2883796</v>
      </c>
      <c r="H6">
        <f t="shared" si="2"/>
        <v>0.11290097656857133</v>
      </c>
    </row>
    <row r="7" spans="1:8" x14ac:dyDescent="0.2">
      <c r="A7" s="95" t="s">
        <v>385</v>
      </c>
      <c r="B7" s="96">
        <v>572259</v>
      </c>
      <c r="H7">
        <f>SUM(H2:H6)</f>
        <v>1</v>
      </c>
    </row>
    <row r="8" spans="1:8" x14ac:dyDescent="0.2">
      <c r="A8" s="95" t="s">
        <v>386</v>
      </c>
      <c r="B8" s="96">
        <v>460136</v>
      </c>
    </row>
    <row r="9" spans="1:8" x14ac:dyDescent="0.2">
      <c r="A9" s="95" t="s">
        <v>387</v>
      </c>
      <c r="B9" s="96">
        <v>245861</v>
      </c>
    </row>
    <row r="10" spans="1:8" x14ac:dyDescent="0.2">
      <c r="A10" s="95" t="s">
        <v>388</v>
      </c>
      <c r="B10" s="96">
        <v>26820958</v>
      </c>
      <c r="C10" s="43">
        <f>SUM(C2:C6)</f>
        <v>25542702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2103-CC23-5C49-AEEE-D319320BBC70}">
  <dimension ref="A1:N64"/>
  <sheetViews>
    <sheetView workbookViewId="0">
      <selection activeCell="O35" sqref="O35"/>
    </sheetView>
  </sheetViews>
  <sheetFormatPr baseColWidth="10" defaultColWidth="11" defaultRowHeight="16" x14ac:dyDescent="0.2"/>
  <sheetData>
    <row r="1" spans="1:14" x14ac:dyDescent="0.2">
      <c r="L1" t="s">
        <v>10</v>
      </c>
    </row>
    <row r="2" spans="1:14" x14ac:dyDescent="0.2">
      <c r="A2" t="s">
        <v>5</v>
      </c>
      <c r="B2" t="s">
        <v>6</v>
      </c>
      <c r="C2" t="s">
        <v>17</v>
      </c>
      <c r="D2" t="s">
        <v>20</v>
      </c>
      <c r="E2" t="s">
        <v>21</v>
      </c>
      <c r="F2" t="s">
        <v>22</v>
      </c>
      <c r="G2" t="s">
        <v>23</v>
      </c>
      <c r="H2" t="s">
        <v>24</v>
      </c>
      <c r="I2" t="s">
        <v>25</v>
      </c>
      <c r="J2" t="s">
        <v>26</v>
      </c>
      <c r="K2" t="s">
        <v>27</v>
      </c>
      <c r="L2" t="s">
        <v>29</v>
      </c>
      <c r="M2" t="s">
        <v>30</v>
      </c>
      <c r="N2" t="s">
        <v>31</v>
      </c>
    </row>
    <row r="3" spans="1:14" x14ac:dyDescent="0.2">
      <c r="A3" t="s">
        <v>74</v>
      </c>
      <c r="B3" t="s">
        <v>33</v>
      </c>
      <c r="C3" s="44">
        <v>8151.9437999999991</v>
      </c>
      <c r="D3" s="44">
        <v>7763.7560000000003</v>
      </c>
      <c r="E3" s="44">
        <v>2717.3146000000002</v>
      </c>
      <c r="F3" s="44">
        <v>0</v>
      </c>
      <c r="G3" s="44">
        <v>0</v>
      </c>
      <c r="H3" s="44">
        <v>3571.3277599999997</v>
      </c>
      <c r="I3" s="44">
        <v>0</v>
      </c>
      <c r="J3" s="44">
        <v>5972.12</v>
      </c>
      <c r="K3" s="44">
        <v>0</v>
      </c>
      <c r="L3" s="44">
        <v>60017.880000000005</v>
      </c>
      <c r="M3" s="44">
        <v>77637.56</v>
      </c>
      <c r="N3" s="44">
        <v>95257.239999999991</v>
      </c>
    </row>
    <row r="4" spans="1:14" x14ac:dyDescent="0.2">
      <c r="A4" t="s">
        <v>74</v>
      </c>
      <c r="B4" t="s">
        <v>40</v>
      </c>
      <c r="C4" s="44">
        <v>10804.466399999999</v>
      </c>
      <c r="D4" s="44">
        <v>10289.968000000001</v>
      </c>
      <c r="E4" s="44">
        <v>3601.4888000000001</v>
      </c>
      <c r="F4" s="44">
        <v>0</v>
      </c>
      <c r="G4" s="44">
        <v>0</v>
      </c>
      <c r="H4" s="44">
        <v>4733.3852799999995</v>
      </c>
      <c r="I4" s="44">
        <v>0</v>
      </c>
      <c r="J4" s="44">
        <v>7915.36</v>
      </c>
      <c r="K4" s="44">
        <v>18007.443999999996</v>
      </c>
      <c r="L4" s="44">
        <v>67224.039999999994</v>
      </c>
      <c r="M4" s="44">
        <v>102899.68</v>
      </c>
      <c r="N4" s="44">
        <v>138575.32</v>
      </c>
    </row>
    <row r="5" spans="1:14" x14ac:dyDescent="0.2">
      <c r="A5" t="s">
        <v>74</v>
      </c>
      <c r="B5" t="s">
        <v>47</v>
      </c>
      <c r="C5" s="44">
        <v>6084.0233999999991</v>
      </c>
      <c r="D5" s="44">
        <v>5794.308</v>
      </c>
      <c r="E5" s="44">
        <v>2028.0078000000001</v>
      </c>
      <c r="F5" s="44">
        <v>0</v>
      </c>
      <c r="G5" s="44">
        <v>0</v>
      </c>
      <c r="H5" s="44">
        <v>2665.3816799999995</v>
      </c>
      <c r="I5" s="44">
        <v>0</v>
      </c>
      <c r="J5" s="44">
        <v>4457.16</v>
      </c>
      <c r="K5" s="44">
        <v>0</v>
      </c>
      <c r="L5" s="44">
        <v>48181.119999999995</v>
      </c>
      <c r="M5" s="44">
        <v>57943.079999999994</v>
      </c>
      <c r="N5" s="44">
        <v>67705.039999999994</v>
      </c>
    </row>
    <row r="6" spans="1:14" x14ac:dyDescent="0.2">
      <c r="A6" t="s">
        <v>74</v>
      </c>
      <c r="B6" t="s">
        <v>50</v>
      </c>
      <c r="C6" s="44">
        <v>9495.6224999999995</v>
      </c>
      <c r="D6" s="44">
        <v>9043.4500000000007</v>
      </c>
      <c r="E6" s="44">
        <v>3165.2075000000004</v>
      </c>
      <c r="F6" s="44">
        <v>0</v>
      </c>
      <c r="G6" s="44">
        <v>0</v>
      </c>
      <c r="H6" s="44">
        <v>4159.9870000000001</v>
      </c>
      <c r="I6" s="44">
        <v>0</v>
      </c>
      <c r="J6" s="44">
        <v>6956.5</v>
      </c>
      <c r="K6" s="44">
        <v>15826.037499999999</v>
      </c>
      <c r="L6" s="44">
        <v>66106</v>
      </c>
      <c r="M6" s="44">
        <v>90434.5</v>
      </c>
      <c r="N6" s="44">
        <v>114763</v>
      </c>
    </row>
    <row r="7" spans="1:14" x14ac:dyDescent="0.2">
      <c r="A7" t="s">
        <v>74</v>
      </c>
      <c r="B7" t="s">
        <v>55</v>
      </c>
      <c r="C7" s="44">
        <v>22103.445</v>
      </c>
      <c r="D7" s="44">
        <v>0</v>
      </c>
      <c r="E7" s="44">
        <v>7367.8150000000005</v>
      </c>
      <c r="F7" s="44">
        <v>42101.8</v>
      </c>
      <c r="G7" s="44">
        <v>36628.565999999999</v>
      </c>
      <c r="H7" s="44">
        <v>9683.4140000000007</v>
      </c>
      <c r="I7" s="44">
        <v>38000</v>
      </c>
      <c r="J7" s="44">
        <v>20241.25</v>
      </c>
      <c r="K7" s="44">
        <v>36839.074999999997</v>
      </c>
      <c r="L7" s="44">
        <v>179078</v>
      </c>
      <c r="M7" s="44">
        <v>210509</v>
      </c>
      <c r="N7" s="44">
        <v>241940</v>
      </c>
    </row>
    <row r="8" spans="1:14" x14ac:dyDescent="0.2">
      <c r="A8" t="s">
        <v>82</v>
      </c>
      <c r="B8" t="s">
        <v>33</v>
      </c>
      <c r="C8" s="44">
        <v>8949.99</v>
      </c>
      <c r="D8" s="44">
        <v>7019.6</v>
      </c>
      <c r="E8" s="44">
        <v>2456.86</v>
      </c>
      <c r="F8" s="44">
        <v>0</v>
      </c>
      <c r="G8" s="44">
        <v>0</v>
      </c>
      <c r="H8" s="44">
        <v>3229.0160000000001</v>
      </c>
      <c r="I8" s="44">
        <v>1826</v>
      </c>
      <c r="J8" s="44">
        <v>5399.6923076923076</v>
      </c>
      <c r="K8" s="44">
        <v>0</v>
      </c>
      <c r="L8" s="44">
        <v>48552</v>
      </c>
      <c r="M8" s="44">
        <v>70196</v>
      </c>
      <c r="N8" s="44">
        <v>91840</v>
      </c>
    </row>
    <row r="9" spans="1:14" x14ac:dyDescent="0.2">
      <c r="A9" t="s">
        <v>82</v>
      </c>
      <c r="B9" t="s">
        <v>40</v>
      </c>
      <c r="C9" s="44">
        <v>13298.696250000001</v>
      </c>
      <c r="D9" s="44">
        <v>10430.35</v>
      </c>
      <c r="E9" s="44">
        <v>3650.6225000000004</v>
      </c>
      <c r="F9" s="44">
        <v>0</v>
      </c>
      <c r="G9" s="44">
        <v>0</v>
      </c>
      <c r="H9" s="44">
        <v>4797.9610000000002</v>
      </c>
      <c r="I9" s="44">
        <v>1826</v>
      </c>
      <c r="J9" s="44">
        <v>8023.3461538461543</v>
      </c>
      <c r="K9" s="44">
        <v>0</v>
      </c>
      <c r="L9" s="44">
        <v>69031</v>
      </c>
      <c r="M9" s="44">
        <v>104303.5</v>
      </c>
      <c r="N9" s="44">
        <v>139576</v>
      </c>
    </row>
    <row r="10" spans="1:14" x14ac:dyDescent="0.2">
      <c r="A10" t="s">
        <v>82</v>
      </c>
      <c r="B10" t="s">
        <v>47</v>
      </c>
      <c r="C10" s="44">
        <v>8134.8187500000004</v>
      </c>
      <c r="D10" s="44">
        <v>6380.25</v>
      </c>
      <c r="E10" s="44">
        <v>2233.0875000000001</v>
      </c>
      <c r="F10" s="44">
        <v>0</v>
      </c>
      <c r="G10" s="44">
        <v>0</v>
      </c>
      <c r="H10" s="44">
        <v>2934.915</v>
      </c>
      <c r="I10" s="44">
        <v>1826</v>
      </c>
      <c r="J10" s="44">
        <v>4907.8846153846152</v>
      </c>
      <c r="K10" s="44">
        <v>0</v>
      </c>
      <c r="L10" s="44">
        <v>47704</v>
      </c>
      <c r="M10" s="44">
        <v>63802.5</v>
      </c>
      <c r="N10" s="44">
        <v>79901</v>
      </c>
    </row>
    <row r="11" spans="1:14" x14ac:dyDescent="0.2">
      <c r="A11" t="s">
        <v>82</v>
      </c>
      <c r="B11" t="s">
        <v>50</v>
      </c>
      <c r="C11" s="44">
        <v>13298.696250000001</v>
      </c>
      <c r="D11" s="44">
        <v>10430.35</v>
      </c>
      <c r="E11" s="44">
        <v>3650.6225000000004</v>
      </c>
      <c r="F11" s="44">
        <v>0</v>
      </c>
      <c r="G11" s="44">
        <v>0</v>
      </c>
      <c r="H11" s="44">
        <v>4797.9610000000002</v>
      </c>
      <c r="I11" s="44">
        <v>1826</v>
      </c>
      <c r="J11" s="44">
        <v>8023.3461538461543</v>
      </c>
      <c r="K11" s="44">
        <v>0</v>
      </c>
      <c r="L11" s="44">
        <v>69031</v>
      </c>
      <c r="M11" s="44">
        <v>104303.5</v>
      </c>
      <c r="N11" s="44">
        <v>139576</v>
      </c>
    </row>
    <row r="12" spans="1:14" x14ac:dyDescent="0.2">
      <c r="A12" t="s">
        <v>82</v>
      </c>
      <c r="B12" t="s">
        <v>55</v>
      </c>
      <c r="C12" s="44">
        <v>28782.87</v>
      </c>
      <c r="D12" s="44">
        <v>0</v>
      </c>
      <c r="E12" s="44">
        <v>7901.1800000000012</v>
      </c>
      <c r="F12" s="44">
        <v>0</v>
      </c>
      <c r="G12" s="44">
        <v>112874</v>
      </c>
      <c r="H12" s="44">
        <v>10384.407999999999</v>
      </c>
      <c r="I12" s="44">
        <v>21500</v>
      </c>
      <c r="J12" s="44">
        <v>17365.23076923077</v>
      </c>
      <c r="K12" s="44">
        <v>0</v>
      </c>
      <c r="L12" s="44">
        <v>189406</v>
      </c>
      <c r="M12" s="44">
        <v>225748</v>
      </c>
      <c r="N12" s="44">
        <v>262090</v>
      </c>
    </row>
    <row r="13" spans="1:14" x14ac:dyDescent="0.2">
      <c r="A13" t="s">
        <v>62</v>
      </c>
      <c r="B13" t="s">
        <v>33</v>
      </c>
      <c r="C13" s="44">
        <v>8155.665</v>
      </c>
      <c r="D13" s="44">
        <v>7767.3</v>
      </c>
      <c r="E13" s="44">
        <v>2718.5550000000003</v>
      </c>
      <c r="F13" s="44">
        <v>0</v>
      </c>
      <c r="G13" s="44">
        <v>0</v>
      </c>
      <c r="H13" s="44">
        <v>3572.9580000000001</v>
      </c>
      <c r="I13" s="44">
        <v>0</v>
      </c>
      <c r="J13" s="44">
        <v>5974.8461538461543</v>
      </c>
      <c r="K13" s="44">
        <v>0</v>
      </c>
      <c r="L13" s="44">
        <v>54364</v>
      </c>
      <c r="M13" s="44">
        <v>77673</v>
      </c>
      <c r="N13" s="44">
        <v>100982</v>
      </c>
    </row>
    <row r="14" spans="1:14" x14ac:dyDescent="0.2">
      <c r="A14" t="s">
        <v>62</v>
      </c>
      <c r="B14" t="s">
        <v>40</v>
      </c>
      <c r="C14" s="44">
        <v>10944.99</v>
      </c>
      <c r="D14" s="44">
        <v>10423.800000000001</v>
      </c>
      <c r="E14" s="44">
        <v>3648.3300000000004</v>
      </c>
      <c r="F14" s="44">
        <v>0</v>
      </c>
      <c r="G14" s="44">
        <v>0</v>
      </c>
      <c r="H14" s="44">
        <v>4794.9480000000003</v>
      </c>
      <c r="I14" s="44">
        <v>0</v>
      </c>
      <c r="J14" s="44">
        <v>10022.884615384615</v>
      </c>
      <c r="K14" s="44">
        <v>0</v>
      </c>
      <c r="L14" s="44">
        <v>66386</v>
      </c>
      <c r="M14" s="44">
        <v>104238</v>
      </c>
      <c r="N14" s="44">
        <v>142090</v>
      </c>
    </row>
    <row r="15" spans="1:14" x14ac:dyDescent="0.2">
      <c r="A15" t="s">
        <v>62</v>
      </c>
      <c r="B15" t="s">
        <v>47</v>
      </c>
      <c r="C15" s="44">
        <v>6654.2699999999995</v>
      </c>
      <c r="D15" s="44">
        <v>6337.4000000000005</v>
      </c>
      <c r="E15" s="44">
        <v>2218.09</v>
      </c>
      <c r="F15" s="44">
        <v>0</v>
      </c>
      <c r="G15" s="44">
        <v>0</v>
      </c>
      <c r="H15" s="44">
        <v>2915.2039999999997</v>
      </c>
      <c r="I15" s="44">
        <v>0</v>
      </c>
      <c r="J15" s="44">
        <v>4874.9230769230771</v>
      </c>
      <c r="K15" s="44">
        <v>0</v>
      </c>
      <c r="L15" s="44">
        <v>56916</v>
      </c>
      <c r="M15" s="44">
        <v>63374</v>
      </c>
      <c r="N15" s="44">
        <v>69832</v>
      </c>
    </row>
    <row r="16" spans="1:14" x14ac:dyDescent="0.2">
      <c r="A16" t="s">
        <v>62</v>
      </c>
      <c r="B16" t="s">
        <v>50</v>
      </c>
      <c r="C16" s="44">
        <v>9616.6875</v>
      </c>
      <c r="D16" s="44">
        <v>9158.75</v>
      </c>
      <c r="E16" s="44">
        <v>3205.5625000000005</v>
      </c>
      <c r="F16" s="44">
        <v>0</v>
      </c>
      <c r="G16" s="44">
        <v>0</v>
      </c>
      <c r="H16" s="44">
        <v>4213.0249999999996</v>
      </c>
      <c r="I16" s="44">
        <v>0</v>
      </c>
      <c r="J16" s="44">
        <v>7045.1923076923085</v>
      </c>
      <c r="K16" s="44">
        <v>0</v>
      </c>
      <c r="L16" s="44">
        <v>66386</v>
      </c>
      <c r="M16" s="44">
        <v>91587.5</v>
      </c>
      <c r="N16" s="44">
        <v>116789</v>
      </c>
    </row>
    <row r="17" spans="1:14" x14ac:dyDescent="0.2">
      <c r="A17" t="s">
        <v>62</v>
      </c>
      <c r="B17" t="s">
        <v>55</v>
      </c>
      <c r="C17" s="44">
        <v>26966.1525</v>
      </c>
      <c r="D17" s="44">
        <v>0</v>
      </c>
      <c r="E17" s="44">
        <v>8988.7175000000007</v>
      </c>
      <c r="F17" s="44">
        <v>0</v>
      </c>
      <c r="G17" s="44">
        <v>154092.29999999999</v>
      </c>
      <c r="H17" s="44">
        <v>11813.743</v>
      </c>
      <c r="I17" s="44">
        <v>26000</v>
      </c>
      <c r="J17" s="44">
        <v>24694.278846153848</v>
      </c>
      <c r="K17" s="44">
        <v>44943.587499999994</v>
      </c>
      <c r="L17" s="44">
        <v>221622</v>
      </c>
      <c r="M17" s="44">
        <v>256820.5</v>
      </c>
      <c r="N17" s="44">
        <v>292019</v>
      </c>
    </row>
    <row r="18" spans="1:14" x14ac:dyDescent="0.2">
      <c r="A18" t="s">
        <v>32</v>
      </c>
      <c r="B18" t="s">
        <v>33</v>
      </c>
      <c r="C18" s="44">
        <v>9971.744999999999</v>
      </c>
      <c r="D18" s="44">
        <v>9496.9</v>
      </c>
      <c r="E18" s="44">
        <v>3323.9150000000004</v>
      </c>
      <c r="F18" s="44">
        <v>0</v>
      </c>
      <c r="G18" s="44">
        <v>0</v>
      </c>
      <c r="H18" s="44">
        <v>4368.5739999999996</v>
      </c>
      <c r="I18" s="44">
        <v>0</v>
      </c>
      <c r="J18" s="44">
        <v>7305.3076923076924</v>
      </c>
      <c r="K18" s="44">
        <v>16619.575000000001</v>
      </c>
      <c r="L18" s="44">
        <v>79624</v>
      </c>
      <c r="M18" s="44">
        <v>94969</v>
      </c>
      <c r="N18" s="44">
        <v>110314</v>
      </c>
    </row>
    <row r="19" spans="1:14" x14ac:dyDescent="0.2">
      <c r="A19" t="s">
        <v>32</v>
      </c>
      <c r="B19" t="s">
        <v>40</v>
      </c>
      <c r="C19" s="44">
        <v>10697.232</v>
      </c>
      <c r="D19" s="44">
        <v>10187.840000000002</v>
      </c>
      <c r="E19" s="44">
        <v>3565.7440000000006</v>
      </c>
      <c r="F19" s="44">
        <v>0</v>
      </c>
      <c r="G19" s="44">
        <v>0</v>
      </c>
      <c r="H19" s="44">
        <v>4686.4064000000008</v>
      </c>
      <c r="I19" s="44">
        <v>0</v>
      </c>
      <c r="J19" s="44">
        <v>9796.0000000000018</v>
      </c>
      <c r="K19" s="44">
        <v>17828.72</v>
      </c>
      <c r="L19" s="44">
        <v>61204</v>
      </c>
      <c r="M19" s="44">
        <v>101878.40000000001</v>
      </c>
      <c r="N19" s="44">
        <v>142552.80000000002</v>
      </c>
    </row>
    <row r="20" spans="1:14" x14ac:dyDescent="0.2">
      <c r="A20" t="s">
        <v>32</v>
      </c>
      <c r="B20" t="s">
        <v>47</v>
      </c>
      <c r="C20" s="44">
        <v>8145.9524999999994</v>
      </c>
      <c r="D20" s="44">
        <v>7758.05</v>
      </c>
      <c r="E20" s="44">
        <v>2715.3175000000001</v>
      </c>
      <c r="F20" s="44">
        <v>0</v>
      </c>
      <c r="G20" s="44">
        <v>0</v>
      </c>
      <c r="H20" s="44">
        <v>3568.703</v>
      </c>
      <c r="I20" s="44">
        <v>0</v>
      </c>
      <c r="J20" s="44">
        <v>5967.7307692307695</v>
      </c>
      <c r="K20" s="44">
        <v>13576.5875</v>
      </c>
      <c r="L20" s="44">
        <v>63701</v>
      </c>
      <c r="M20" s="44">
        <v>77580.5</v>
      </c>
      <c r="N20" s="44">
        <v>91460</v>
      </c>
    </row>
    <row r="21" spans="1:14" x14ac:dyDescent="0.2">
      <c r="A21" t="s">
        <v>32</v>
      </c>
      <c r="B21" t="s">
        <v>50</v>
      </c>
      <c r="C21" s="44">
        <v>10695.404999999999</v>
      </c>
      <c r="D21" s="44">
        <v>10186.1</v>
      </c>
      <c r="E21" s="44">
        <v>3565.1350000000002</v>
      </c>
      <c r="F21" s="44">
        <v>0</v>
      </c>
      <c r="G21" s="44">
        <v>0</v>
      </c>
      <c r="H21" s="44">
        <v>4685.6059999999998</v>
      </c>
      <c r="I21" s="44">
        <v>0</v>
      </c>
      <c r="J21" s="44">
        <v>7835.461538461539</v>
      </c>
      <c r="K21" s="44">
        <v>17825.674999999999</v>
      </c>
      <c r="L21" s="44">
        <v>79624</v>
      </c>
      <c r="M21" s="44">
        <v>101861</v>
      </c>
      <c r="N21" s="44">
        <v>124098</v>
      </c>
    </row>
    <row r="22" spans="1:14" x14ac:dyDescent="0.2">
      <c r="A22" t="s">
        <v>32</v>
      </c>
      <c r="B22" t="s">
        <v>55</v>
      </c>
      <c r="C22" s="44">
        <v>31106.029500000001</v>
      </c>
      <c r="D22" s="44">
        <v>0</v>
      </c>
      <c r="E22" s="44">
        <v>10368.676500000001</v>
      </c>
      <c r="F22" s="44">
        <v>0</v>
      </c>
      <c r="G22" s="44">
        <v>0</v>
      </c>
      <c r="H22" s="44">
        <v>13627.403400000001</v>
      </c>
      <c r="I22" s="44">
        <v>29000.16</v>
      </c>
      <c r="J22" s="44">
        <v>22788.300000000003</v>
      </c>
      <c r="K22" s="44">
        <v>51843.3825</v>
      </c>
      <c r="L22" s="44">
        <v>249470</v>
      </c>
      <c r="M22" s="44">
        <v>296247.90000000002</v>
      </c>
      <c r="N22" s="44">
        <v>343025.8</v>
      </c>
    </row>
    <row r="23" spans="1:14" x14ac:dyDescent="0.2">
      <c r="A23" t="s">
        <v>88</v>
      </c>
      <c r="B23" t="s">
        <v>33</v>
      </c>
      <c r="C23" s="44">
        <v>7493.6399999999994</v>
      </c>
      <c r="D23" s="44">
        <v>7136.8</v>
      </c>
      <c r="E23" s="44">
        <v>2497.88</v>
      </c>
      <c r="F23" s="44">
        <v>0</v>
      </c>
      <c r="G23" s="44">
        <v>0</v>
      </c>
      <c r="H23" s="44">
        <v>3282.9279999999999</v>
      </c>
      <c r="I23" s="44">
        <v>0</v>
      </c>
      <c r="J23" s="44">
        <v>5489.8461538461543</v>
      </c>
      <c r="K23" s="44">
        <v>14273.6</v>
      </c>
      <c r="L23" s="44">
        <v>57579</v>
      </c>
      <c r="M23" s="44">
        <v>71368</v>
      </c>
      <c r="N23" s="44">
        <v>85157</v>
      </c>
    </row>
    <row r="24" spans="1:14" x14ac:dyDescent="0.2">
      <c r="A24" t="s">
        <v>88</v>
      </c>
      <c r="B24" t="s">
        <v>40</v>
      </c>
      <c r="C24" s="44">
        <v>11449.305</v>
      </c>
      <c r="D24" s="44">
        <v>10904.1</v>
      </c>
      <c r="E24" s="44">
        <v>3816.4350000000004</v>
      </c>
      <c r="F24" s="44">
        <v>0</v>
      </c>
      <c r="G24" s="44">
        <v>0</v>
      </c>
      <c r="H24" s="44">
        <v>5015.8859999999995</v>
      </c>
      <c r="I24" s="44">
        <v>0</v>
      </c>
      <c r="J24" s="44">
        <v>8387.7692307692305</v>
      </c>
      <c r="K24" s="44">
        <v>21808.2</v>
      </c>
      <c r="L24" s="44">
        <v>77833</v>
      </c>
      <c r="M24" s="44">
        <v>109041</v>
      </c>
      <c r="N24" s="44">
        <v>140249</v>
      </c>
    </row>
    <row r="25" spans="1:14" x14ac:dyDescent="0.2">
      <c r="A25" t="s">
        <v>88</v>
      </c>
      <c r="B25" t="s">
        <v>47</v>
      </c>
      <c r="C25" s="44">
        <v>6647.9699999999993</v>
      </c>
      <c r="D25" s="44">
        <v>6331.4000000000005</v>
      </c>
      <c r="E25" s="44">
        <v>2215.9900000000002</v>
      </c>
      <c r="F25" s="44">
        <v>0</v>
      </c>
      <c r="G25" s="44">
        <v>0</v>
      </c>
      <c r="H25" s="44">
        <v>2912.444</v>
      </c>
      <c r="I25" s="44">
        <v>0</v>
      </c>
      <c r="J25" s="44">
        <v>4870.3076923076924</v>
      </c>
      <c r="K25" s="44">
        <v>12662.800000000001</v>
      </c>
      <c r="L25" s="44">
        <v>57579</v>
      </c>
      <c r="M25" s="44">
        <v>63314</v>
      </c>
      <c r="N25" s="44">
        <v>69049</v>
      </c>
    </row>
    <row r="26" spans="1:14" x14ac:dyDescent="0.2">
      <c r="A26" t="s">
        <v>88</v>
      </c>
      <c r="B26" t="s">
        <v>50</v>
      </c>
      <c r="C26" s="44">
        <v>9112.0049999999992</v>
      </c>
      <c r="D26" s="44">
        <v>8678.1</v>
      </c>
      <c r="E26" s="44">
        <v>3037.3350000000005</v>
      </c>
      <c r="F26" s="44">
        <v>0</v>
      </c>
      <c r="G26" s="44">
        <v>0</v>
      </c>
      <c r="H26" s="44">
        <v>3991.9259999999999</v>
      </c>
      <c r="I26" s="44">
        <v>0</v>
      </c>
      <c r="J26" s="44">
        <v>6675.461538461539</v>
      </c>
      <c r="K26" s="44">
        <v>17356.2</v>
      </c>
      <c r="L26" s="44">
        <v>79898</v>
      </c>
      <c r="M26" s="44">
        <v>86781</v>
      </c>
      <c r="N26" s="44">
        <v>93664</v>
      </c>
    </row>
    <row r="27" spans="1:14" x14ac:dyDescent="0.2">
      <c r="A27" t="s">
        <v>88</v>
      </c>
      <c r="B27" t="s">
        <v>55</v>
      </c>
      <c r="C27" s="44">
        <v>35924.28</v>
      </c>
      <c r="D27" s="44">
        <v>0</v>
      </c>
      <c r="E27" s="44">
        <v>11974.760000000002</v>
      </c>
      <c r="F27" s="44">
        <v>0</v>
      </c>
      <c r="G27" s="44">
        <v>0</v>
      </c>
      <c r="H27" s="44">
        <v>15738.255999999999</v>
      </c>
      <c r="I27" s="44">
        <v>28909</v>
      </c>
      <c r="J27" s="44">
        <v>26318.153846153848</v>
      </c>
      <c r="K27" s="44">
        <v>0</v>
      </c>
      <c r="L27" s="44">
        <v>297757</v>
      </c>
      <c r="M27" s="44">
        <v>342136</v>
      </c>
      <c r="N27" s="44">
        <v>386515</v>
      </c>
    </row>
    <row r="28" spans="1:14" x14ac:dyDescent="0.2">
      <c r="A28" t="s">
        <v>96</v>
      </c>
      <c r="B28" t="s">
        <v>33</v>
      </c>
      <c r="C28" t="s">
        <v>104</v>
      </c>
      <c r="D28" t="s">
        <v>105</v>
      </c>
      <c r="E28" t="s">
        <v>106</v>
      </c>
      <c r="F28" t="s">
        <v>107</v>
      </c>
      <c r="G28" t="s">
        <v>107</v>
      </c>
      <c r="H28" t="s">
        <v>108</v>
      </c>
      <c r="I28" t="s">
        <v>109</v>
      </c>
      <c r="J28" t="s">
        <v>110</v>
      </c>
      <c r="K28" t="s">
        <v>111</v>
      </c>
      <c r="L28" t="s">
        <v>112</v>
      </c>
      <c r="M28" t="s">
        <v>113</v>
      </c>
      <c r="N28" t="s">
        <v>114</v>
      </c>
    </row>
    <row r="29" spans="1:14" x14ac:dyDescent="0.2">
      <c r="A29" t="s">
        <v>96</v>
      </c>
      <c r="B29" t="s">
        <v>40</v>
      </c>
      <c r="C29" t="s">
        <v>115</v>
      </c>
      <c r="D29" t="s">
        <v>116</v>
      </c>
      <c r="E29" t="s">
        <v>117</v>
      </c>
      <c r="F29" t="s">
        <v>107</v>
      </c>
      <c r="G29" t="s">
        <v>107</v>
      </c>
      <c r="H29" t="s">
        <v>118</v>
      </c>
      <c r="I29" t="s">
        <v>109</v>
      </c>
      <c r="J29" t="s">
        <v>119</v>
      </c>
      <c r="K29" t="s">
        <v>120</v>
      </c>
      <c r="L29" t="s">
        <v>121</v>
      </c>
      <c r="M29" t="s">
        <v>122</v>
      </c>
      <c r="N29" t="s">
        <v>123</v>
      </c>
    </row>
    <row r="30" spans="1:14" x14ac:dyDescent="0.2">
      <c r="A30" t="s">
        <v>96</v>
      </c>
      <c r="B30" t="s">
        <v>47</v>
      </c>
      <c r="C30" t="s">
        <v>124</v>
      </c>
      <c r="D30" t="s">
        <v>125</v>
      </c>
      <c r="E30" t="s">
        <v>126</v>
      </c>
      <c r="F30" t="s">
        <v>107</v>
      </c>
      <c r="G30" t="s">
        <v>107</v>
      </c>
      <c r="H30" t="s">
        <v>127</v>
      </c>
      <c r="I30" t="s">
        <v>109</v>
      </c>
      <c r="J30" t="s">
        <v>128</v>
      </c>
      <c r="K30" t="s">
        <v>129</v>
      </c>
      <c r="L30" t="s">
        <v>130</v>
      </c>
      <c r="M30" t="s">
        <v>131</v>
      </c>
      <c r="N30" t="s">
        <v>132</v>
      </c>
    </row>
    <row r="31" spans="1:14" x14ac:dyDescent="0.2">
      <c r="A31" t="s">
        <v>96</v>
      </c>
      <c r="B31" t="s">
        <v>50</v>
      </c>
      <c r="C31" t="s">
        <v>133</v>
      </c>
      <c r="D31" t="s">
        <v>134</v>
      </c>
      <c r="E31" t="s">
        <v>135</v>
      </c>
      <c r="F31" t="s">
        <v>107</v>
      </c>
      <c r="G31" t="s">
        <v>107</v>
      </c>
      <c r="H31" t="s">
        <v>118</v>
      </c>
      <c r="I31" t="s">
        <v>109</v>
      </c>
      <c r="J31" t="s">
        <v>136</v>
      </c>
      <c r="K31" t="s">
        <v>137</v>
      </c>
      <c r="L31" t="s">
        <v>138</v>
      </c>
      <c r="M31" t="s">
        <v>139</v>
      </c>
      <c r="N31" t="s">
        <v>140</v>
      </c>
    </row>
    <row r="32" spans="1:14" x14ac:dyDescent="0.2">
      <c r="A32" t="s">
        <v>96</v>
      </c>
      <c r="B32" t="s">
        <v>55</v>
      </c>
      <c r="C32" t="s">
        <v>141</v>
      </c>
      <c r="D32" t="s">
        <v>142</v>
      </c>
      <c r="E32" t="s">
        <v>143</v>
      </c>
      <c r="F32" t="s">
        <v>144</v>
      </c>
      <c r="G32" t="s">
        <v>145</v>
      </c>
      <c r="H32" t="s">
        <v>146</v>
      </c>
      <c r="I32" t="s">
        <v>147</v>
      </c>
      <c r="J32" t="s">
        <v>148</v>
      </c>
      <c r="K32" t="s">
        <v>149</v>
      </c>
      <c r="L32" t="s">
        <v>150</v>
      </c>
      <c r="M32" t="s">
        <v>151</v>
      </c>
      <c r="N32" t="s">
        <v>152</v>
      </c>
    </row>
    <row r="33" spans="1:14" x14ac:dyDescent="0.2">
      <c r="L33" t="s">
        <v>10</v>
      </c>
    </row>
    <row r="34" spans="1:14" x14ac:dyDescent="0.2">
      <c r="A34" t="s">
        <v>5</v>
      </c>
      <c r="B34" t="s">
        <v>6</v>
      </c>
      <c r="C34" t="s">
        <v>17</v>
      </c>
      <c r="D34" t="s">
        <v>20</v>
      </c>
      <c r="E34" t="s">
        <v>21</v>
      </c>
      <c r="F34" t="s">
        <v>22</v>
      </c>
      <c r="G34" t="s">
        <v>23</v>
      </c>
      <c r="H34" t="s">
        <v>24</v>
      </c>
      <c r="I34" t="s">
        <v>25</v>
      </c>
      <c r="J34" t="s">
        <v>26</v>
      </c>
      <c r="K34" t="s">
        <v>27</v>
      </c>
      <c r="L34" t="s">
        <v>29</v>
      </c>
      <c r="M34" t="s">
        <v>30</v>
      </c>
      <c r="N34" t="s">
        <v>31</v>
      </c>
    </row>
    <row r="35" spans="1:14" x14ac:dyDescent="0.2">
      <c r="A35" t="s">
        <v>74</v>
      </c>
      <c r="B35" t="s">
        <v>33</v>
      </c>
      <c r="C35" s="41">
        <v>4.4436486750439479E-2</v>
      </c>
      <c r="D35" s="41">
        <v>4.2320463571847128E-2</v>
      </c>
      <c r="E35" s="41">
        <v>1.4812162250146496E-2</v>
      </c>
      <c r="F35" s="41">
        <v>0</v>
      </c>
      <c r="G35" s="41">
        <v>0</v>
      </c>
      <c r="H35" s="41">
        <v>1.9467413243049677E-2</v>
      </c>
      <c r="I35" s="41">
        <v>0</v>
      </c>
      <c r="J35" s="41">
        <v>3.2554202747574715E-2</v>
      </c>
      <c r="K35" s="41">
        <v>0</v>
      </c>
      <c r="L35" s="41">
        <v>0.32715923893016374</v>
      </c>
      <c r="M35" s="41">
        <v>0.42320463571847128</v>
      </c>
      <c r="N35" s="41">
        <v>0.51925003250677881</v>
      </c>
    </row>
    <row r="36" spans="1:14" x14ac:dyDescent="0.2">
      <c r="A36" t="s">
        <v>74</v>
      </c>
      <c r="B36" t="s">
        <v>40</v>
      </c>
      <c r="C36" s="41">
        <v>4.1154124457308254E-2</v>
      </c>
      <c r="D36" s="41">
        <v>3.9194404245055485E-2</v>
      </c>
      <c r="E36" s="41">
        <v>1.3718041485769418E-2</v>
      </c>
      <c r="F36" s="41">
        <v>0</v>
      </c>
      <c r="G36" s="41">
        <v>0</v>
      </c>
      <c r="H36" s="41">
        <v>1.8029425952725518E-2</v>
      </c>
      <c r="I36" s="41">
        <v>0</v>
      </c>
      <c r="J36" s="41">
        <v>3.0149541726965753E-2</v>
      </c>
      <c r="K36" s="41">
        <v>6.8590207428847069E-2</v>
      </c>
      <c r="L36" s="41">
        <v>0.25605582045986724</v>
      </c>
      <c r="M36" s="41">
        <v>0.39194404245055481</v>
      </c>
      <c r="N36" s="41">
        <v>0.52783226444124243</v>
      </c>
    </row>
    <row r="37" spans="1:14" x14ac:dyDescent="0.2">
      <c r="A37" t="s">
        <v>74</v>
      </c>
      <c r="B37" t="s">
        <v>47</v>
      </c>
      <c r="C37" s="41">
        <v>4.4436486750439479E-2</v>
      </c>
      <c r="D37" s="41">
        <v>4.2320463571847128E-2</v>
      </c>
      <c r="E37" s="41">
        <v>1.4812162250146496E-2</v>
      </c>
      <c r="F37" s="41">
        <v>0</v>
      </c>
      <c r="G37" s="41">
        <v>0</v>
      </c>
      <c r="H37" s="41">
        <v>1.9467413243049677E-2</v>
      </c>
      <c r="I37" s="41">
        <v>0</v>
      </c>
      <c r="J37" s="41">
        <v>3.2554202747574715E-2</v>
      </c>
      <c r="K37" s="41">
        <v>0</v>
      </c>
      <c r="L37" s="41">
        <v>0.35190523765923298</v>
      </c>
      <c r="M37" s="41">
        <v>0.42320463571847128</v>
      </c>
      <c r="N37" s="41">
        <v>0.49450403377770952</v>
      </c>
    </row>
    <row r="38" spans="1:14" x14ac:dyDescent="0.2">
      <c r="A38" t="s">
        <v>74</v>
      </c>
      <c r="B38" t="s">
        <v>50</v>
      </c>
      <c r="C38" s="41">
        <v>4.1154124457308247E-2</v>
      </c>
      <c r="D38" s="41">
        <v>3.9194404245055485E-2</v>
      </c>
      <c r="E38" s="41">
        <v>1.371804148576942E-2</v>
      </c>
      <c r="F38" s="41">
        <v>0</v>
      </c>
      <c r="G38" s="41">
        <v>0</v>
      </c>
      <c r="H38" s="41">
        <v>1.8029425952725522E-2</v>
      </c>
      <c r="I38" s="41">
        <v>0</v>
      </c>
      <c r="J38" s="41">
        <v>3.0149541726965753E-2</v>
      </c>
      <c r="K38" s="41">
        <v>6.8590207428847083E-2</v>
      </c>
      <c r="L38" s="41">
        <v>0.28650407610189005</v>
      </c>
      <c r="M38" s="41">
        <v>0.39194404245055481</v>
      </c>
      <c r="N38" s="41">
        <v>0.49738400879921951</v>
      </c>
    </row>
    <row r="39" spans="1:14" x14ac:dyDescent="0.2">
      <c r="A39" t="s">
        <v>74</v>
      </c>
      <c r="B39" t="s">
        <v>55</v>
      </c>
      <c r="C39" s="41">
        <v>3.4670679206291542E-2</v>
      </c>
      <c r="D39" s="41">
        <v>0</v>
      </c>
      <c r="E39" s="41">
        <v>1.1556893068763847E-2</v>
      </c>
      <c r="F39" s="41">
        <v>6.6039388964364842E-2</v>
      </c>
      <c r="G39" s="41">
        <v>5.7454268398997407E-2</v>
      </c>
      <c r="H39" s="41">
        <v>1.5189059461803914E-2</v>
      </c>
      <c r="I39" s="41">
        <v>5.9605451088691308E-2</v>
      </c>
      <c r="J39" s="41">
        <v>3.1749706232867707E-2</v>
      </c>
      <c r="K39" s="41">
        <v>5.778446534381923E-2</v>
      </c>
      <c r="L39" s="41">
        <v>0.28089539394896479</v>
      </c>
      <c r="M39" s="41">
        <v>0.33019694482182421</v>
      </c>
      <c r="N39" s="41">
        <v>0.37949849569468358</v>
      </c>
    </row>
    <row r="40" spans="1:14" x14ac:dyDescent="0.2">
      <c r="A40" t="s">
        <v>82</v>
      </c>
      <c r="B40" t="s">
        <v>33</v>
      </c>
      <c r="C40" s="41">
        <v>5.2873060853105634E-2</v>
      </c>
      <c r="D40" s="41">
        <v>4.1469067335769126E-2</v>
      </c>
      <c r="E40" s="41">
        <v>1.4514173567519195E-2</v>
      </c>
      <c r="F40" s="41">
        <v>0</v>
      </c>
      <c r="G40" s="41">
        <v>0</v>
      </c>
      <c r="H40" s="41">
        <v>1.9075770974453798E-2</v>
      </c>
      <c r="I40" s="41">
        <v>1.0787297987793381E-2</v>
      </c>
      <c r="J40" s="41">
        <v>3.1899282565976253E-2</v>
      </c>
      <c r="K40" s="41">
        <v>0</v>
      </c>
      <c r="L40" s="41">
        <v>0.28682633729646456</v>
      </c>
      <c r="M40" s="41">
        <v>0.41469067335769128</v>
      </c>
      <c r="N40" s="41">
        <v>0.54255500941891799</v>
      </c>
    </row>
    <row r="41" spans="1:14" x14ac:dyDescent="0.2">
      <c r="A41" t="s">
        <v>82</v>
      </c>
      <c r="B41" t="s">
        <v>40</v>
      </c>
      <c r="C41" s="41">
        <v>5.3060229372501141E-2</v>
      </c>
      <c r="D41" s="41">
        <v>4.1615866174510699E-2</v>
      </c>
      <c r="E41" s="41">
        <v>1.4565553161078746E-2</v>
      </c>
      <c r="F41" s="41">
        <v>0</v>
      </c>
      <c r="G41" s="41">
        <v>0</v>
      </c>
      <c r="H41" s="41">
        <v>1.914329844027492E-2</v>
      </c>
      <c r="I41" s="41">
        <v>7.2855246117969705E-3</v>
      </c>
      <c r="J41" s="41">
        <v>3.2012204749623616E-2</v>
      </c>
      <c r="K41" s="41">
        <v>0</v>
      </c>
      <c r="L41" s="41">
        <v>0.27542554735868385</v>
      </c>
      <c r="M41" s="41">
        <v>0.41615866174510696</v>
      </c>
      <c r="N41" s="41">
        <v>0.55689177613153007</v>
      </c>
    </row>
    <row r="42" spans="1:14" x14ac:dyDescent="0.2">
      <c r="A42" t="s">
        <v>82</v>
      </c>
      <c r="B42" t="s">
        <v>47</v>
      </c>
      <c r="C42" s="41">
        <v>5.2815968374728621E-2</v>
      </c>
      <c r="D42" s="41">
        <v>4.142428892135578E-2</v>
      </c>
      <c r="E42" s="41">
        <v>1.4498501122474522E-2</v>
      </c>
      <c r="F42" s="41">
        <v>0</v>
      </c>
      <c r="G42" s="41">
        <v>0</v>
      </c>
      <c r="H42" s="41">
        <v>1.9055172903823657E-2</v>
      </c>
      <c r="I42" s="41">
        <v>1.1855452618689808E-2</v>
      </c>
      <c r="J42" s="41">
        <v>3.1864837631812137E-2</v>
      </c>
      <c r="K42" s="41">
        <v>0</v>
      </c>
      <c r="L42" s="41">
        <v>0.30972207651806061</v>
      </c>
      <c r="M42" s="41">
        <v>0.41424288921355779</v>
      </c>
      <c r="N42" s="41">
        <v>0.51876370190905496</v>
      </c>
    </row>
    <row r="43" spans="1:14" x14ac:dyDescent="0.2">
      <c r="A43" t="s">
        <v>82</v>
      </c>
      <c r="B43" t="s">
        <v>50</v>
      </c>
      <c r="C43" s="41">
        <v>5.3060229372501141E-2</v>
      </c>
      <c r="D43" s="41">
        <v>4.1615866174510699E-2</v>
      </c>
      <c r="E43" s="41">
        <v>1.4565553161078746E-2</v>
      </c>
      <c r="F43" s="41">
        <v>0</v>
      </c>
      <c r="G43" s="41">
        <v>0</v>
      </c>
      <c r="H43" s="41">
        <v>1.914329844027492E-2</v>
      </c>
      <c r="I43" s="41">
        <v>7.2855246117969705E-3</v>
      </c>
      <c r="J43" s="41">
        <v>3.2012204749623616E-2</v>
      </c>
      <c r="K43" s="41">
        <v>0</v>
      </c>
      <c r="L43" s="41">
        <v>0.27542554735868385</v>
      </c>
      <c r="M43" s="41">
        <v>0.41615866174510696</v>
      </c>
      <c r="N43" s="41">
        <v>0.55689177613153007</v>
      </c>
    </row>
    <row r="44" spans="1:14" x14ac:dyDescent="0.2">
      <c r="A44" t="s">
        <v>82</v>
      </c>
      <c r="B44" t="s">
        <v>55</v>
      </c>
      <c r="C44" s="41">
        <v>4.4260659284394738E-2</v>
      </c>
      <c r="D44" s="41">
        <v>0</v>
      </c>
      <c r="E44" s="41">
        <v>1.2149984901598559E-2</v>
      </c>
      <c r="F44" s="41">
        <v>0</v>
      </c>
      <c r="G44" s="41">
        <v>0.17357121287997937</v>
      </c>
      <c r="H44" s="41">
        <v>1.59685515849581E-2</v>
      </c>
      <c r="I44" s="41">
        <v>3.3061476309154958E-2</v>
      </c>
      <c r="J44" s="41">
        <v>2.6703263519996828E-2</v>
      </c>
      <c r="K44" s="41">
        <v>0</v>
      </c>
      <c r="L44" s="41">
        <v>0.29125776659589786</v>
      </c>
      <c r="M44" s="41">
        <v>0.34714242575995874</v>
      </c>
      <c r="N44" s="41">
        <v>0.40302708492401967</v>
      </c>
    </row>
    <row r="45" spans="1:14" x14ac:dyDescent="0.2">
      <c r="A45" t="s">
        <v>62</v>
      </c>
      <c r="B45" t="s">
        <v>33</v>
      </c>
      <c r="C45" s="41">
        <v>4.4436486750439486E-2</v>
      </c>
      <c r="D45" s="41">
        <v>4.2320463571847135E-2</v>
      </c>
      <c r="E45" s="41">
        <v>1.4812162250146498E-2</v>
      </c>
      <c r="F45" s="41">
        <v>0</v>
      </c>
      <c r="G45" s="41">
        <v>0</v>
      </c>
      <c r="H45" s="41">
        <v>1.946741324304968E-2</v>
      </c>
      <c r="I45" s="41">
        <v>0</v>
      </c>
      <c r="J45" s="41">
        <v>3.2554202747574722E-2</v>
      </c>
      <c r="K45" s="41">
        <v>0</v>
      </c>
      <c r="L45" s="41">
        <v>0.29620456035171777</v>
      </c>
      <c r="M45" s="41">
        <v>0.42320463571847133</v>
      </c>
      <c r="N45" s="41">
        <v>0.55020471108522484</v>
      </c>
    </row>
    <row r="46" spans="1:14" x14ac:dyDescent="0.2">
      <c r="A46" t="s">
        <v>62</v>
      </c>
      <c r="B46" t="s">
        <v>40</v>
      </c>
      <c r="C46" s="41">
        <v>4.4077757685352617E-2</v>
      </c>
      <c r="D46" s="41">
        <v>4.1978816843192976E-2</v>
      </c>
      <c r="E46" s="41">
        <v>1.4692585895117542E-2</v>
      </c>
      <c r="F46" s="41">
        <v>0</v>
      </c>
      <c r="G46" s="41">
        <v>0</v>
      </c>
      <c r="H46" s="41">
        <v>1.9310255747868769E-2</v>
      </c>
      <c r="I46" s="41">
        <v>0</v>
      </c>
      <c r="J46" s="41">
        <v>4.0364246964608629E-2</v>
      </c>
      <c r="K46" s="41">
        <v>0</v>
      </c>
      <c r="L46" s="41">
        <v>0.2673502690911384</v>
      </c>
      <c r="M46" s="41">
        <v>0.41978816843192973</v>
      </c>
      <c r="N46" s="41">
        <v>0.572226067772721</v>
      </c>
    </row>
    <row r="47" spans="1:14" x14ac:dyDescent="0.2">
      <c r="A47" t="s">
        <v>62</v>
      </c>
      <c r="B47" t="s">
        <v>47</v>
      </c>
      <c r="C47" s="41">
        <v>4.4436486750439479E-2</v>
      </c>
      <c r="D47" s="41">
        <v>4.2320463571847128E-2</v>
      </c>
      <c r="E47" s="41">
        <v>1.4812162250146496E-2</v>
      </c>
      <c r="F47" s="41">
        <v>0</v>
      </c>
      <c r="G47" s="41">
        <v>0</v>
      </c>
      <c r="H47" s="41">
        <v>1.9467413243049677E-2</v>
      </c>
      <c r="I47" s="41">
        <v>0</v>
      </c>
      <c r="J47" s="41">
        <v>3.2554202747574715E-2</v>
      </c>
      <c r="K47" s="41">
        <v>0</v>
      </c>
      <c r="L47" s="41">
        <v>0.38007881854628889</v>
      </c>
      <c r="M47" s="41">
        <v>0.42320463571847128</v>
      </c>
      <c r="N47" s="41">
        <v>0.46633045289065367</v>
      </c>
    </row>
    <row r="48" spans="1:14" x14ac:dyDescent="0.2">
      <c r="A48" t="s">
        <v>62</v>
      </c>
      <c r="B48" t="s">
        <v>50</v>
      </c>
      <c r="C48" s="41">
        <v>4.4436486750439486E-2</v>
      </c>
      <c r="D48" s="41">
        <v>4.2320463571847135E-2</v>
      </c>
      <c r="E48" s="41">
        <v>1.4812162250146498E-2</v>
      </c>
      <c r="F48" s="41">
        <v>0</v>
      </c>
      <c r="G48" s="41">
        <v>0</v>
      </c>
      <c r="H48" s="41">
        <v>1.946741324304968E-2</v>
      </c>
      <c r="I48" s="41">
        <v>0</v>
      </c>
      <c r="J48" s="41">
        <v>3.2554202747574722E-2</v>
      </c>
      <c r="K48" s="41">
        <v>0</v>
      </c>
      <c r="L48" s="41">
        <v>0.30675433816630476</v>
      </c>
      <c r="M48" s="41">
        <v>0.42320463571847133</v>
      </c>
      <c r="N48" s="41">
        <v>0.53965493327063785</v>
      </c>
    </row>
    <row r="49" spans="1:14" x14ac:dyDescent="0.2">
      <c r="A49" t="s">
        <v>62</v>
      </c>
      <c r="B49" t="s">
        <v>55</v>
      </c>
      <c r="C49" s="41">
        <v>3.3068587341593542E-2</v>
      </c>
      <c r="D49" s="41">
        <v>0</v>
      </c>
      <c r="E49" s="41">
        <v>1.1022862447197848E-2</v>
      </c>
      <c r="F49" s="41">
        <v>0</v>
      </c>
      <c r="G49" s="41">
        <v>0.18896335623767735</v>
      </c>
      <c r="H49" s="41">
        <v>1.4487190644888598E-2</v>
      </c>
      <c r="I49" s="41">
        <v>3.188379472679434E-2</v>
      </c>
      <c r="J49" s="41">
        <v>3.0282589140653425E-2</v>
      </c>
      <c r="K49" s="41">
        <v>5.5114312235989227E-2</v>
      </c>
      <c r="L49" s="41">
        <v>0.27177501365160062</v>
      </c>
      <c r="M49" s="41">
        <v>0.31493892706279564</v>
      </c>
      <c r="N49" s="41">
        <v>0.35810284047399066</v>
      </c>
    </row>
    <row r="50" spans="1:14" x14ac:dyDescent="0.2">
      <c r="A50" t="s">
        <v>32</v>
      </c>
      <c r="B50" t="s">
        <v>33</v>
      </c>
      <c r="C50" s="41">
        <v>4.1154124457308254E-2</v>
      </c>
      <c r="D50" s="41">
        <v>3.9194404245055478E-2</v>
      </c>
      <c r="E50" s="41">
        <v>1.371804148576942E-2</v>
      </c>
      <c r="F50" s="41">
        <v>0</v>
      </c>
      <c r="G50" s="41">
        <v>0</v>
      </c>
      <c r="H50" s="41">
        <v>1.8029425952725518E-2</v>
      </c>
      <c r="I50" s="41">
        <v>0</v>
      </c>
      <c r="J50" s="41">
        <v>3.0149541726965757E-2</v>
      </c>
      <c r="K50" s="41">
        <v>6.8590207428847097E-2</v>
      </c>
      <c r="L50" s="41">
        <v>0.3286140997176234</v>
      </c>
      <c r="M50" s="41">
        <v>0.39194404245055481</v>
      </c>
      <c r="N50" s="41">
        <v>0.45527398518348622</v>
      </c>
    </row>
    <row r="51" spans="1:14" x14ac:dyDescent="0.2">
      <c r="A51" t="s">
        <v>32</v>
      </c>
      <c r="B51" t="s">
        <v>40</v>
      </c>
      <c r="C51" s="41">
        <v>4.0792845562470578E-2</v>
      </c>
      <c r="D51" s="41">
        <v>3.8850329107114841E-2</v>
      </c>
      <c r="E51" s="41">
        <v>1.3597615187490194E-2</v>
      </c>
      <c r="F51" s="41">
        <v>0</v>
      </c>
      <c r="G51" s="41">
        <v>0</v>
      </c>
      <c r="H51" s="41">
        <v>1.7871151389272828E-2</v>
      </c>
      <c r="I51" s="41">
        <v>0</v>
      </c>
      <c r="J51" s="41">
        <v>3.7356085679918119E-2</v>
      </c>
      <c r="K51" s="41">
        <v>6.7988075937450959E-2</v>
      </c>
      <c r="L51" s="41">
        <v>0.2333954540581572</v>
      </c>
      <c r="M51" s="41">
        <v>0.38850329107114839</v>
      </c>
      <c r="N51" s="41">
        <v>0.54361112808413958</v>
      </c>
    </row>
    <row r="52" spans="1:14" x14ac:dyDescent="0.2">
      <c r="A52" t="s">
        <v>32</v>
      </c>
      <c r="B52" t="s">
        <v>47</v>
      </c>
      <c r="C52" s="41">
        <v>4.1154124457308247E-2</v>
      </c>
      <c r="D52" s="41">
        <v>3.9194404245055478E-2</v>
      </c>
      <c r="E52" s="41">
        <v>1.3718041485769416E-2</v>
      </c>
      <c r="F52" s="41">
        <v>0</v>
      </c>
      <c r="G52" s="41">
        <v>0</v>
      </c>
      <c r="H52" s="41">
        <v>1.8029425952725518E-2</v>
      </c>
      <c r="I52" s="41">
        <v>0</v>
      </c>
      <c r="J52" s="41">
        <v>3.014954172696575E-2</v>
      </c>
      <c r="K52" s="41">
        <v>6.8590207428847083E-2</v>
      </c>
      <c r="L52" s="41">
        <v>0.32182349234849977</v>
      </c>
      <c r="M52" s="41">
        <v>0.39194404245055475</v>
      </c>
      <c r="N52" s="41">
        <v>0.46206459255260973</v>
      </c>
    </row>
    <row r="53" spans="1:14" x14ac:dyDescent="0.2">
      <c r="A53" t="s">
        <v>32</v>
      </c>
      <c r="B53" t="s">
        <v>50</v>
      </c>
      <c r="C53" s="41">
        <v>4.115412445730824E-2</v>
      </c>
      <c r="D53" s="41">
        <v>3.9194404245055478E-2</v>
      </c>
      <c r="E53" s="41">
        <v>1.3718041485769416E-2</v>
      </c>
      <c r="F53" s="41">
        <v>0</v>
      </c>
      <c r="G53" s="41">
        <v>0</v>
      </c>
      <c r="H53" s="41">
        <v>1.8029425952725518E-2</v>
      </c>
      <c r="I53" s="41">
        <v>0</v>
      </c>
      <c r="J53" s="41">
        <v>3.014954172696575E-2</v>
      </c>
      <c r="K53" s="41">
        <v>6.8590207428847069E-2</v>
      </c>
      <c r="L53" s="41">
        <v>0.30637979635074236</v>
      </c>
      <c r="M53" s="41">
        <v>0.39194404245055475</v>
      </c>
      <c r="N53" s="41">
        <v>0.47750828855036709</v>
      </c>
    </row>
    <row r="54" spans="1:14" x14ac:dyDescent="0.2">
      <c r="A54" t="s">
        <v>32</v>
      </c>
      <c r="B54" t="s">
        <v>55</v>
      </c>
      <c r="C54" s="41">
        <v>4.1188162458019831E-2</v>
      </c>
      <c r="D54" s="41">
        <v>0</v>
      </c>
      <c r="E54" s="41">
        <v>1.3729387486006613E-2</v>
      </c>
      <c r="F54" s="41">
        <v>0</v>
      </c>
      <c r="G54" s="41">
        <v>0</v>
      </c>
      <c r="H54" s="41">
        <v>1.8044337838751548E-2</v>
      </c>
      <c r="I54" s="41">
        <v>3.8399735375695195E-2</v>
      </c>
      <c r="J54" s="41">
        <v>3.0174477991223324E-2</v>
      </c>
      <c r="K54" s="41">
        <v>6.8646937430033056E-2</v>
      </c>
      <c r="L54" s="41">
        <v>0.33032859074483317</v>
      </c>
      <c r="M54" s="41">
        <v>0.39226821388590316</v>
      </c>
      <c r="N54" s="41">
        <v>0.45420783702697315</v>
      </c>
    </row>
    <row r="55" spans="1:14" x14ac:dyDescent="0.2">
      <c r="A55" t="s">
        <v>88</v>
      </c>
      <c r="B55" t="s">
        <v>33</v>
      </c>
      <c r="C55" s="41">
        <v>4.0724386896592871E-2</v>
      </c>
      <c r="D55" s="41">
        <v>3.8785130377707498E-2</v>
      </c>
      <c r="E55" s="41">
        <v>1.3574795632197626E-2</v>
      </c>
      <c r="F55" s="41">
        <v>0</v>
      </c>
      <c r="G55" s="41">
        <v>0</v>
      </c>
      <c r="H55" s="41">
        <v>1.7841159973745451E-2</v>
      </c>
      <c r="I55" s="41">
        <v>0</v>
      </c>
      <c r="J55" s="41">
        <v>2.9834715675159617E-2</v>
      </c>
      <c r="K55" s="41">
        <v>7.7570260755414996E-2</v>
      </c>
      <c r="L55" s="41">
        <v>0.31291461467576787</v>
      </c>
      <c r="M55" s="41">
        <v>0.387851303777075</v>
      </c>
      <c r="N55" s="41">
        <v>0.46278799287838213</v>
      </c>
    </row>
    <row r="56" spans="1:14" x14ac:dyDescent="0.2">
      <c r="A56" t="s">
        <v>88</v>
      </c>
      <c r="B56" t="s">
        <v>40</v>
      </c>
      <c r="C56" s="41">
        <v>4.0724386896592878E-2</v>
      </c>
      <c r="D56" s="41">
        <v>3.8785130377707505E-2</v>
      </c>
      <c r="E56" s="41">
        <v>1.3574795632197626E-2</v>
      </c>
      <c r="F56" s="41">
        <v>0</v>
      </c>
      <c r="G56" s="41">
        <v>0</v>
      </c>
      <c r="H56" s="41">
        <v>1.7841159973745448E-2</v>
      </c>
      <c r="I56" s="41">
        <v>0</v>
      </c>
      <c r="J56" s="41">
        <v>2.9834715675159617E-2</v>
      </c>
      <c r="K56" s="41">
        <v>7.757026075541501E-2</v>
      </c>
      <c r="L56" s="41">
        <v>0.27684660381765647</v>
      </c>
      <c r="M56" s="41">
        <v>0.387851303777075</v>
      </c>
      <c r="N56" s="41">
        <v>0.49885600373649358</v>
      </c>
    </row>
    <row r="57" spans="1:14" x14ac:dyDescent="0.2">
      <c r="A57" t="s">
        <v>88</v>
      </c>
      <c r="B57" t="s">
        <v>47</v>
      </c>
      <c r="C57" s="41">
        <v>4.0724386896592878E-2</v>
      </c>
      <c r="D57" s="41">
        <v>3.8785130377707505E-2</v>
      </c>
      <c r="E57" s="41">
        <v>1.3574795632197628E-2</v>
      </c>
      <c r="F57" s="41">
        <v>0</v>
      </c>
      <c r="G57" s="41">
        <v>0</v>
      </c>
      <c r="H57" s="41">
        <v>1.7841159973745451E-2</v>
      </c>
      <c r="I57" s="41">
        <v>0</v>
      </c>
      <c r="J57" s="41">
        <v>2.9834715675159617E-2</v>
      </c>
      <c r="K57" s="41">
        <v>7.757026075541501E-2</v>
      </c>
      <c r="L57" s="41">
        <v>0.35271962315096511</v>
      </c>
      <c r="M57" s="41">
        <v>0.38785130377707505</v>
      </c>
      <c r="N57" s="41">
        <v>0.42298298440318499</v>
      </c>
    </row>
    <row r="58" spans="1:14" x14ac:dyDescent="0.2">
      <c r="A58" t="s">
        <v>88</v>
      </c>
      <c r="B58" t="s">
        <v>50</v>
      </c>
      <c r="C58" s="41">
        <v>4.0724386896592871E-2</v>
      </c>
      <c r="D58" s="41">
        <v>3.8785130377707498E-2</v>
      </c>
      <c r="E58" s="41">
        <v>1.3574795632197626E-2</v>
      </c>
      <c r="F58" s="41">
        <v>0</v>
      </c>
      <c r="G58" s="41">
        <v>0</v>
      </c>
      <c r="H58" s="41">
        <v>1.7841159973745448E-2</v>
      </c>
      <c r="I58" s="41">
        <v>0</v>
      </c>
      <c r="J58" s="41">
        <v>2.9834715675159617E-2</v>
      </c>
      <c r="K58" s="41">
        <v>7.7570260755414996E-2</v>
      </c>
      <c r="L58" s="41">
        <v>0.3570890341109314</v>
      </c>
      <c r="M58" s="41">
        <v>0.387851303777075</v>
      </c>
      <c r="N58" s="41">
        <v>0.41861357344321859</v>
      </c>
    </row>
    <row r="59" spans="1:14" x14ac:dyDescent="0.2">
      <c r="A59" t="s">
        <v>88</v>
      </c>
      <c r="B59" t="s">
        <v>55</v>
      </c>
      <c r="C59" s="41">
        <v>4.4729983313397788E-2</v>
      </c>
      <c r="D59" s="41">
        <v>0</v>
      </c>
      <c r="E59" s="41">
        <v>1.4909994437799265E-2</v>
      </c>
      <c r="F59" s="41">
        <v>0</v>
      </c>
      <c r="G59" s="41">
        <v>0</v>
      </c>
      <c r="H59" s="41">
        <v>1.9595992689679029E-2</v>
      </c>
      <c r="I59" s="41">
        <v>3.5995128854552312E-2</v>
      </c>
      <c r="J59" s="41">
        <v>3.2769218544613767E-2</v>
      </c>
      <c r="K59" s="41">
        <v>0</v>
      </c>
      <c r="L59" s="41">
        <v>0.37074273002680597</v>
      </c>
      <c r="M59" s="41">
        <v>0.4259998410799789</v>
      </c>
      <c r="N59" s="41">
        <v>0.48125695213315189</v>
      </c>
    </row>
    <row r="60" spans="1:14" x14ac:dyDescent="0.2">
      <c r="A60" t="s">
        <v>96</v>
      </c>
      <c r="B60" t="s">
        <v>33</v>
      </c>
      <c r="C60" t="s">
        <v>153</v>
      </c>
      <c r="D60" t="s">
        <v>154</v>
      </c>
      <c r="E60" t="s">
        <v>155</v>
      </c>
      <c r="F60" t="s">
        <v>156</v>
      </c>
      <c r="G60" t="s">
        <v>156</v>
      </c>
      <c r="H60" t="s">
        <v>157</v>
      </c>
      <c r="I60" t="s">
        <v>158</v>
      </c>
      <c r="J60" t="s">
        <v>159</v>
      </c>
      <c r="K60" t="s">
        <v>160</v>
      </c>
      <c r="L60" t="s">
        <v>161</v>
      </c>
      <c r="M60" t="s">
        <v>162</v>
      </c>
      <c r="N60" t="s">
        <v>163</v>
      </c>
    </row>
    <row r="61" spans="1:14" x14ac:dyDescent="0.2">
      <c r="A61" t="s">
        <v>96</v>
      </c>
      <c r="B61" t="s">
        <v>40</v>
      </c>
      <c r="C61" t="s">
        <v>153</v>
      </c>
      <c r="D61" t="s">
        <v>154</v>
      </c>
      <c r="E61" t="s">
        <v>155</v>
      </c>
      <c r="F61" t="s">
        <v>156</v>
      </c>
      <c r="G61" t="s">
        <v>156</v>
      </c>
      <c r="H61" t="s">
        <v>157</v>
      </c>
      <c r="I61" t="s">
        <v>164</v>
      </c>
      <c r="J61" t="s">
        <v>165</v>
      </c>
      <c r="K61" t="s">
        <v>166</v>
      </c>
      <c r="L61" t="s">
        <v>167</v>
      </c>
      <c r="M61" t="s">
        <v>168</v>
      </c>
      <c r="N61" t="s">
        <v>169</v>
      </c>
    </row>
    <row r="62" spans="1:14" x14ac:dyDescent="0.2">
      <c r="A62" t="s">
        <v>96</v>
      </c>
      <c r="B62" t="s">
        <v>47</v>
      </c>
      <c r="C62" t="s">
        <v>153</v>
      </c>
      <c r="D62" t="s">
        <v>154</v>
      </c>
      <c r="E62" t="s">
        <v>155</v>
      </c>
      <c r="F62" t="s">
        <v>156</v>
      </c>
      <c r="G62" t="s">
        <v>156</v>
      </c>
      <c r="H62" t="s">
        <v>157</v>
      </c>
      <c r="I62" t="s">
        <v>170</v>
      </c>
      <c r="J62" t="s">
        <v>159</v>
      </c>
      <c r="K62" t="s">
        <v>160</v>
      </c>
      <c r="L62" t="s">
        <v>171</v>
      </c>
      <c r="M62" t="s">
        <v>172</v>
      </c>
      <c r="N62" t="s">
        <v>173</v>
      </c>
    </row>
    <row r="63" spans="1:14" x14ac:dyDescent="0.2">
      <c r="A63" t="s">
        <v>96</v>
      </c>
      <c r="B63" t="s">
        <v>50</v>
      </c>
      <c r="C63" t="s">
        <v>153</v>
      </c>
      <c r="D63" t="s">
        <v>154</v>
      </c>
      <c r="E63" t="s">
        <v>155</v>
      </c>
      <c r="F63" t="s">
        <v>156</v>
      </c>
      <c r="G63" t="s">
        <v>156</v>
      </c>
      <c r="H63" t="s">
        <v>157</v>
      </c>
      <c r="I63" t="s">
        <v>164</v>
      </c>
      <c r="J63" t="s">
        <v>159</v>
      </c>
      <c r="K63" t="s">
        <v>166</v>
      </c>
      <c r="L63" t="s">
        <v>174</v>
      </c>
      <c r="M63" t="s">
        <v>175</v>
      </c>
      <c r="N63" t="s">
        <v>176</v>
      </c>
    </row>
    <row r="64" spans="1:14" x14ac:dyDescent="0.2">
      <c r="A64" t="s">
        <v>96</v>
      </c>
      <c r="B64" t="s">
        <v>55</v>
      </c>
      <c r="C64" t="s">
        <v>153</v>
      </c>
      <c r="D64" t="s">
        <v>156</v>
      </c>
      <c r="E64" t="s">
        <v>155</v>
      </c>
      <c r="F64" t="s">
        <v>177</v>
      </c>
      <c r="G64" t="s">
        <v>178</v>
      </c>
      <c r="H64" t="s">
        <v>157</v>
      </c>
      <c r="I64" t="s">
        <v>179</v>
      </c>
      <c r="J64" t="s">
        <v>180</v>
      </c>
      <c r="K64" t="s">
        <v>181</v>
      </c>
      <c r="L64" t="s">
        <v>182</v>
      </c>
      <c r="M64" t="s">
        <v>183</v>
      </c>
      <c r="N64" t="s">
        <v>184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0D4EA-F638-5D4B-A270-7D847E6F2720}">
  <dimension ref="A1:DH124"/>
  <sheetViews>
    <sheetView topLeftCell="AM1" workbookViewId="0">
      <selection activeCell="AU4" sqref="AU4:DH38"/>
    </sheetView>
  </sheetViews>
  <sheetFormatPr baseColWidth="10" defaultColWidth="10.6640625" defaultRowHeight="16" x14ac:dyDescent="0.2"/>
  <cols>
    <col min="1" max="1" width="10.6640625" style="45"/>
    <col min="2" max="2" width="19.1640625" style="46" customWidth="1"/>
    <col min="3" max="3" width="9.5" style="54" hidden="1" customWidth="1"/>
    <col min="4" max="4" width="15.1640625" style="45" hidden="1" customWidth="1"/>
    <col min="5" max="5" width="19" style="55" hidden="1" customWidth="1"/>
    <col min="6" max="6" width="15.83203125" style="45" hidden="1" customWidth="1"/>
    <col min="7" max="7" width="14.1640625" style="45" hidden="1" customWidth="1"/>
    <col min="8" max="8" width="20" style="56" hidden="1" customWidth="1"/>
    <col min="9" max="9" width="6.83203125" style="56" hidden="1" customWidth="1"/>
    <col min="10" max="10" width="6.83203125" style="56" customWidth="1"/>
    <col min="11" max="13" width="11.33203125" style="57" customWidth="1"/>
    <col min="14" max="16" width="11.33203125" style="58" customWidth="1"/>
    <col min="17" max="21" width="14.1640625" style="59" customWidth="1"/>
    <col min="22" max="24" width="14.1640625" style="57" customWidth="1"/>
    <col min="25" max="25" width="14.1640625" style="59" customWidth="1"/>
    <col min="26" max="27" width="14.1640625" style="60" customWidth="1"/>
    <col min="28" max="30" width="14.1640625" style="57" customWidth="1"/>
    <col min="31" max="34" width="14.1640625" style="59" customWidth="1"/>
    <col min="35" max="36" width="14.1640625" style="61" customWidth="1"/>
    <col min="37" max="37" width="14.1640625" style="74" customWidth="1"/>
    <col min="38" max="40" width="14.1640625" style="62" customWidth="1"/>
    <col min="41" max="42" width="14.1640625" style="59" customWidth="1"/>
    <col min="43" max="43" width="14.1640625" style="62" customWidth="1"/>
    <col min="44" max="49" width="14.83203125" style="64" customWidth="1"/>
    <col min="50" max="52" width="12.83203125" style="64" customWidth="1"/>
    <col min="53" max="53" width="11.1640625" style="78" bestFit="1" customWidth="1"/>
    <col min="54" max="112" width="10.6640625" style="78"/>
    <col min="113" max="16384" width="10.6640625" style="45"/>
  </cols>
  <sheetData>
    <row r="1" spans="1:112" x14ac:dyDescent="0.2">
      <c r="AR1" s="85" t="s">
        <v>185</v>
      </c>
      <c r="AS1" s="85"/>
      <c r="AT1" s="85"/>
      <c r="AU1" s="85"/>
      <c r="AV1" s="85"/>
      <c r="AW1" s="85"/>
      <c r="AX1" s="85"/>
      <c r="AY1" s="85"/>
      <c r="AZ1" s="85"/>
      <c r="BA1" s="85" t="s">
        <v>186</v>
      </c>
      <c r="BB1" s="85"/>
      <c r="BC1" s="85"/>
      <c r="BD1" s="85"/>
      <c r="BE1" s="85"/>
      <c r="BF1" s="85"/>
      <c r="BG1" s="85" t="s">
        <v>187</v>
      </c>
      <c r="BH1" s="85"/>
      <c r="BI1" s="85"/>
      <c r="BJ1" s="85"/>
      <c r="BK1" s="85"/>
      <c r="BL1" s="85"/>
      <c r="BM1" s="85" t="s">
        <v>188</v>
      </c>
      <c r="BN1" s="85"/>
      <c r="BO1" s="85"/>
      <c r="BP1" s="85"/>
      <c r="BQ1" s="85"/>
      <c r="BR1" s="85"/>
      <c r="BS1" s="85" t="s">
        <v>189</v>
      </c>
      <c r="BT1" s="85"/>
      <c r="BU1" s="85"/>
      <c r="BV1" s="85"/>
      <c r="BW1" s="85"/>
      <c r="BX1" s="85"/>
      <c r="BY1" s="85" t="s">
        <v>190</v>
      </c>
      <c r="BZ1" s="85"/>
      <c r="CA1" s="85"/>
      <c r="CB1" s="85"/>
      <c r="CC1" s="85"/>
      <c r="CD1" s="85"/>
      <c r="CE1" s="85" t="s">
        <v>191</v>
      </c>
      <c r="CF1" s="85"/>
      <c r="CG1" s="85"/>
      <c r="CH1" s="85"/>
      <c r="CI1" s="85"/>
      <c r="CJ1" s="85"/>
      <c r="CK1" s="85" t="s">
        <v>192</v>
      </c>
      <c r="CL1" s="85"/>
      <c r="CM1" s="85"/>
      <c r="CN1" s="85"/>
      <c r="CO1" s="85"/>
      <c r="CP1" s="85"/>
      <c r="CQ1" s="85" t="s">
        <v>193</v>
      </c>
      <c r="CR1" s="85"/>
      <c r="CS1" s="85"/>
      <c r="CT1" s="85"/>
      <c r="CU1" s="85"/>
      <c r="CV1" s="85"/>
      <c r="CW1" s="85" t="s">
        <v>194</v>
      </c>
      <c r="CX1" s="85"/>
      <c r="CY1" s="85"/>
      <c r="CZ1" s="85"/>
      <c r="DA1" s="85"/>
      <c r="DB1" s="85"/>
      <c r="DC1" s="85" t="s">
        <v>195</v>
      </c>
      <c r="DD1" s="85"/>
      <c r="DE1" s="85"/>
      <c r="DF1" s="85"/>
      <c r="DG1" s="85"/>
      <c r="DH1" s="85"/>
    </row>
    <row r="2" spans="1:112" ht="34" x14ac:dyDescent="0.2">
      <c r="A2" s="1" t="s">
        <v>5</v>
      </c>
      <c r="B2" s="1" t="s">
        <v>6</v>
      </c>
      <c r="C2" s="2" t="s">
        <v>7</v>
      </c>
      <c r="D2" s="1" t="s">
        <v>8</v>
      </c>
      <c r="E2" s="3" t="s">
        <v>9</v>
      </c>
      <c r="J2" s="86" t="s">
        <v>17</v>
      </c>
      <c r="K2" s="86"/>
      <c r="L2" s="86"/>
      <c r="M2" s="89" t="s">
        <v>18</v>
      </c>
      <c r="N2" s="89"/>
      <c r="O2" s="89"/>
      <c r="P2" s="87" t="s">
        <v>19</v>
      </c>
      <c r="Q2" s="87"/>
      <c r="R2" s="87"/>
      <c r="S2" s="87" t="s">
        <v>20</v>
      </c>
      <c r="T2" s="87"/>
      <c r="U2" s="87"/>
      <c r="V2" s="86" t="s">
        <v>21</v>
      </c>
      <c r="W2" s="86"/>
      <c r="X2" s="86"/>
      <c r="Y2" s="83" t="s">
        <v>22</v>
      </c>
      <c r="Z2" s="83"/>
      <c r="AA2" s="83"/>
      <c r="AB2" s="86" t="s">
        <v>23</v>
      </c>
      <c r="AC2" s="86"/>
      <c r="AD2" s="86"/>
      <c r="AE2" s="87" t="s">
        <v>24</v>
      </c>
      <c r="AF2" s="87"/>
      <c r="AG2" s="87"/>
      <c r="AH2" s="88" t="s">
        <v>25</v>
      </c>
      <c r="AI2" s="88"/>
      <c r="AJ2" s="88"/>
      <c r="AK2" s="84" t="s">
        <v>196</v>
      </c>
      <c r="AL2" s="84"/>
      <c r="AM2" s="84"/>
      <c r="AN2" s="87" t="s">
        <v>27</v>
      </c>
      <c r="AO2" s="87"/>
      <c r="AP2" s="87"/>
      <c r="AQ2" s="2" t="s">
        <v>28</v>
      </c>
      <c r="AR2" s="85" t="s">
        <v>10</v>
      </c>
      <c r="AS2" s="85"/>
      <c r="AT2" s="85"/>
      <c r="AU2" s="85" t="s">
        <v>11</v>
      </c>
      <c r="AV2" s="85"/>
      <c r="AW2" s="85"/>
      <c r="AX2" s="85" t="s">
        <v>12</v>
      </c>
      <c r="AY2" s="85"/>
      <c r="AZ2" s="85"/>
      <c r="BA2" s="85" t="s">
        <v>11</v>
      </c>
      <c r="BB2" s="85"/>
      <c r="BC2" s="85"/>
      <c r="BD2" s="85" t="s">
        <v>12</v>
      </c>
      <c r="BE2" s="85"/>
      <c r="BF2" s="85"/>
      <c r="BG2" s="85" t="s">
        <v>11</v>
      </c>
      <c r="BH2" s="85"/>
      <c r="BI2" s="85"/>
      <c r="BJ2" s="85" t="s">
        <v>12</v>
      </c>
      <c r="BK2" s="85"/>
      <c r="BL2" s="85"/>
      <c r="BM2" s="85" t="s">
        <v>11</v>
      </c>
      <c r="BN2" s="85"/>
      <c r="BO2" s="85"/>
      <c r="BP2" s="85" t="s">
        <v>12</v>
      </c>
      <c r="BQ2" s="85"/>
      <c r="BR2" s="85"/>
      <c r="BS2" s="85" t="s">
        <v>11</v>
      </c>
      <c r="BT2" s="85"/>
      <c r="BU2" s="85"/>
      <c r="BV2" s="85" t="s">
        <v>12</v>
      </c>
      <c r="BW2" s="85"/>
      <c r="BX2" s="85"/>
      <c r="BY2" s="85" t="s">
        <v>11</v>
      </c>
      <c r="BZ2" s="85"/>
      <c r="CA2" s="85"/>
      <c r="CB2" s="85" t="s">
        <v>12</v>
      </c>
      <c r="CC2" s="85"/>
      <c r="CD2" s="85"/>
      <c r="CE2" s="85" t="s">
        <v>11</v>
      </c>
      <c r="CF2" s="85"/>
      <c r="CG2" s="85"/>
      <c r="CH2" s="85" t="s">
        <v>12</v>
      </c>
      <c r="CI2" s="85"/>
      <c r="CJ2" s="85"/>
      <c r="CK2" s="85" t="s">
        <v>11</v>
      </c>
      <c r="CL2" s="85"/>
      <c r="CM2" s="85"/>
      <c r="CN2" s="85" t="s">
        <v>12</v>
      </c>
      <c r="CO2" s="85"/>
      <c r="CP2" s="85"/>
      <c r="CQ2" s="85" t="s">
        <v>11</v>
      </c>
      <c r="CR2" s="85"/>
      <c r="CS2" s="85"/>
      <c r="CT2" s="85" t="s">
        <v>12</v>
      </c>
      <c r="CU2" s="85"/>
      <c r="CV2" s="85"/>
      <c r="CW2" s="85" t="s">
        <v>11</v>
      </c>
      <c r="CX2" s="85"/>
      <c r="CY2" s="85"/>
      <c r="CZ2" s="85" t="s">
        <v>12</v>
      </c>
      <c r="DA2" s="85"/>
      <c r="DB2" s="85"/>
      <c r="DC2" s="85" t="s">
        <v>11</v>
      </c>
      <c r="DD2" s="85"/>
      <c r="DE2" s="85"/>
      <c r="DF2" s="85" t="s">
        <v>12</v>
      </c>
      <c r="DG2" s="85"/>
      <c r="DH2" s="85"/>
    </row>
    <row r="3" spans="1:112" s="1" customFormat="1" ht="34" x14ac:dyDescent="0.2">
      <c r="F3" s="1" t="s">
        <v>13</v>
      </c>
      <c r="G3" s="1" t="s">
        <v>14</v>
      </c>
      <c r="H3" s="12" t="s">
        <v>15</v>
      </c>
      <c r="I3" s="12" t="s">
        <v>16</v>
      </c>
      <c r="J3" s="18" t="s">
        <v>29</v>
      </c>
      <c r="K3" s="18" t="s">
        <v>56</v>
      </c>
      <c r="L3" s="18" t="s">
        <v>31</v>
      </c>
      <c r="M3" s="18" t="s">
        <v>29</v>
      </c>
      <c r="N3" s="18" t="s">
        <v>56</v>
      </c>
      <c r="O3" s="18" t="s">
        <v>31</v>
      </c>
      <c r="P3" s="18" t="s">
        <v>29</v>
      </c>
      <c r="Q3" s="18" t="s">
        <v>56</v>
      </c>
      <c r="R3" s="18" t="s">
        <v>31</v>
      </c>
      <c r="S3" s="18" t="s">
        <v>29</v>
      </c>
      <c r="T3" s="18" t="s">
        <v>56</v>
      </c>
      <c r="U3" s="18" t="s">
        <v>31</v>
      </c>
      <c r="V3" s="17" t="s">
        <v>29</v>
      </c>
      <c r="W3" s="17" t="s">
        <v>56</v>
      </c>
      <c r="X3" s="17" t="s">
        <v>31</v>
      </c>
      <c r="Y3" s="18" t="s">
        <v>29</v>
      </c>
      <c r="Z3" s="18" t="s">
        <v>56</v>
      </c>
      <c r="AA3" s="18" t="s">
        <v>31</v>
      </c>
      <c r="AB3" s="17" t="s">
        <v>29</v>
      </c>
      <c r="AC3" s="17" t="s">
        <v>56</v>
      </c>
      <c r="AD3" s="17" t="s">
        <v>31</v>
      </c>
      <c r="AE3" s="18" t="s">
        <v>29</v>
      </c>
      <c r="AF3" s="18" t="s">
        <v>56</v>
      </c>
      <c r="AG3" s="18" t="s">
        <v>31</v>
      </c>
      <c r="AH3" s="18" t="s">
        <v>29</v>
      </c>
      <c r="AI3" s="18" t="s">
        <v>56</v>
      </c>
      <c r="AJ3" s="18" t="s">
        <v>31</v>
      </c>
      <c r="AK3" s="75" t="s">
        <v>29</v>
      </c>
      <c r="AL3" s="18" t="s">
        <v>56</v>
      </c>
      <c r="AM3" s="18" t="s">
        <v>31</v>
      </c>
      <c r="AN3" s="18" t="s">
        <v>29</v>
      </c>
      <c r="AO3" s="18" t="s">
        <v>56</v>
      </c>
      <c r="AP3" s="18" t="s">
        <v>31</v>
      </c>
      <c r="AR3" s="18" t="s">
        <v>29</v>
      </c>
      <c r="AS3" s="18" t="s">
        <v>56</v>
      </c>
      <c r="AT3" s="18" t="s">
        <v>31</v>
      </c>
      <c r="AU3" s="18" t="s">
        <v>29</v>
      </c>
      <c r="AV3" s="18" t="s">
        <v>56</v>
      </c>
      <c r="AW3" s="18" t="s">
        <v>31</v>
      </c>
      <c r="AX3" s="18" t="s">
        <v>29</v>
      </c>
      <c r="AY3" s="18" t="s">
        <v>56</v>
      </c>
      <c r="AZ3" s="18" t="s">
        <v>31</v>
      </c>
      <c r="BA3" s="18" t="s">
        <v>29</v>
      </c>
      <c r="BB3" s="18" t="s">
        <v>56</v>
      </c>
      <c r="BC3" s="18" t="s">
        <v>31</v>
      </c>
      <c r="BD3" s="18" t="s">
        <v>29</v>
      </c>
      <c r="BE3" s="18" t="s">
        <v>56</v>
      </c>
      <c r="BF3" s="18" t="s">
        <v>31</v>
      </c>
      <c r="BG3" s="18" t="s">
        <v>29</v>
      </c>
      <c r="BH3" s="18" t="s">
        <v>56</v>
      </c>
      <c r="BI3" s="18" t="s">
        <v>31</v>
      </c>
      <c r="BJ3" s="18" t="s">
        <v>29</v>
      </c>
      <c r="BK3" s="18" t="s">
        <v>56</v>
      </c>
      <c r="BL3" s="18" t="s">
        <v>31</v>
      </c>
      <c r="BM3" s="18" t="s">
        <v>29</v>
      </c>
      <c r="BN3" s="18" t="s">
        <v>56</v>
      </c>
      <c r="BO3" s="18" t="s">
        <v>31</v>
      </c>
      <c r="BP3" s="18" t="s">
        <v>29</v>
      </c>
      <c r="BQ3" s="18" t="s">
        <v>56</v>
      </c>
      <c r="BR3" s="18" t="s">
        <v>31</v>
      </c>
      <c r="BS3" s="18" t="s">
        <v>29</v>
      </c>
      <c r="BT3" s="18" t="s">
        <v>56</v>
      </c>
      <c r="BU3" s="18" t="s">
        <v>31</v>
      </c>
      <c r="BV3" s="18" t="s">
        <v>29</v>
      </c>
      <c r="BW3" s="18" t="s">
        <v>56</v>
      </c>
      <c r="BX3" s="18" t="s">
        <v>31</v>
      </c>
      <c r="BY3" s="18" t="s">
        <v>29</v>
      </c>
      <c r="BZ3" s="18" t="s">
        <v>56</v>
      </c>
      <c r="CA3" s="18" t="s">
        <v>31</v>
      </c>
      <c r="CB3" s="18" t="s">
        <v>29</v>
      </c>
      <c r="CC3" s="18" t="s">
        <v>56</v>
      </c>
      <c r="CD3" s="18" t="s">
        <v>31</v>
      </c>
      <c r="CE3" s="18" t="s">
        <v>29</v>
      </c>
      <c r="CF3" s="18" t="s">
        <v>56</v>
      </c>
      <c r="CG3" s="18" t="s">
        <v>31</v>
      </c>
      <c r="CH3" s="18" t="s">
        <v>29</v>
      </c>
      <c r="CI3" s="18" t="s">
        <v>56</v>
      </c>
      <c r="CJ3" s="18" t="s">
        <v>31</v>
      </c>
      <c r="CK3" s="18" t="s">
        <v>29</v>
      </c>
      <c r="CL3" s="18" t="s">
        <v>56</v>
      </c>
      <c r="CM3" s="18" t="s">
        <v>31</v>
      </c>
      <c r="CN3" s="18" t="s">
        <v>29</v>
      </c>
      <c r="CO3" s="18" t="s">
        <v>56</v>
      </c>
      <c r="CP3" s="18" t="s">
        <v>31</v>
      </c>
      <c r="CQ3" s="18" t="s">
        <v>29</v>
      </c>
      <c r="CR3" s="18" t="s">
        <v>56</v>
      </c>
      <c r="CS3" s="18" t="s">
        <v>31</v>
      </c>
      <c r="CT3" s="18" t="s">
        <v>29</v>
      </c>
      <c r="CU3" s="18" t="s">
        <v>56</v>
      </c>
      <c r="CV3" s="18" t="s">
        <v>31</v>
      </c>
      <c r="CW3" s="18" t="s">
        <v>29</v>
      </c>
      <c r="CX3" s="18" t="s">
        <v>56</v>
      </c>
      <c r="CY3" s="18" t="s">
        <v>31</v>
      </c>
      <c r="CZ3" s="18" t="s">
        <v>29</v>
      </c>
      <c r="DA3" s="18" t="s">
        <v>56</v>
      </c>
      <c r="DB3" s="18" t="s">
        <v>31</v>
      </c>
      <c r="DC3" s="18" t="s">
        <v>29</v>
      </c>
      <c r="DD3" s="18" t="s">
        <v>56</v>
      </c>
      <c r="DE3" s="18" t="s">
        <v>31</v>
      </c>
      <c r="DF3" s="18" t="s">
        <v>29</v>
      </c>
      <c r="DG3" s="18" t="s">
        <v>56</v>
      </c>
      <c r="DH3" s="18" t="s">
        <v>31</v>
      </c>
    </row>
    <row r="4" spans="1:112" x14ac:dyDescent="0.2">
      <c r="A4" s="45" t="s">
        <v>32</v>
      </c>
      <c r="B4" s="46" t="s">
        <v>33</v>
      </c>
      <c r="C4" s="54" t="s">
        <v>34</v>
      </c>
      <c r="D4" s="45" t="s">
        <v>35</v>
      </c>
      <c r="E4" s="55" t="s">
        <v>36</v>
      </c>
      <c r="F4" s="63" t="s">
        <v>37</v>
      </c>
      <c r="G4" s="45" t="s">
        <v>38</v>
      </c>
      <c r="H4" s="56" t="s">
        <v>39</v>
      </c>
      <c r="I4" s="56">
        <v>2022</v>
      </c>
      <c r="J4" s="70">
        <v>0.105</v>
      </c>
      <c r="K4" s="57">
        <v>0.11</v>
      </c>
      <c r="L4" s="57">
        <v>0.1275</v>
      </c>
      <c r="M4" s="73">
        <v>36.299999999999997</v>
      </c>
      <c r="N4" s="73">
        <v>38</v>
      </c>
      <c r="O4" s="73">
        <v>40</v>
      </c>
      <c r="Q4" s="59">
        <v>1</v>
      </c>
      <c r="S4" s="59">
        <v>0</v>
      </c>
      <c r="T4" s="59">
        <v>0.1</v>
      </c>
      <c r="U4" s="59">
        <v>0.3</v>
      </c>
      <c r="V4" s="57">
        <v>2.9499999999999998E-2</v>
      </c>
      <c r="W4" s="57">
        <v>3.5000000000000003E-2</v>
      </c>
      <c r="X4" s="57">
        <v>0.04</v>
      </c>
      <c r="Y4" s="59">
        <v>0</v>
      </c>
      <c r="Z4" s="60">
        <v>0</v>
      </c>
      <c r="AA4" s="60">
        <v>0.2</v>
      </c>
      <c r="AB4" s="57">
        <v>0</v>
      </c>
      <c r="AC4" s="57">
        <v>0</v>
      </c>
      <c r="AD4" s="57">
        <v>0</v>
      </c>
      <c r="AE4" s="59">
        <v>0.01</v>
      </c>
      <c r="AF4" s="59">
        <v>4.5999999999999999E-2</v>
      </c>
      <c r="AG4" s="59">
        <v>0.08</v>
      </c>
      <c r="AH4" s="59">
        <v>0</v>
      </c>
      <c r="AI4" s="64">
        <v>0</v>
      </c>
      <c r="AJ4" s="64">
        <v>2000</v>
      </c>
      <c r="AK4" s="74">
        <v>0</v>
      </c>
      <c r="AL4" s="62">
        <v>4</v>
      </c>
      <c r="AM4" s="62">
        <v>5</v>
      </c>
      <c r="AN4" s="62">
        <v>0</v>
      </c>
      <c r="AO4" s="59">
        <v>0.17499999999999999</v>
      </c>
      <c r="AP4" s="59">
        <v>0.2</v>
      </c>
      <c r="AQ4" s="59">
        <v>1.4999999999999999E-2</v>
      </c>
      <c r="AR4" s="65">
        <v>79624</v>
      </c>
      <c r="AS4" s="65">
        <f t="shared" ref="AS4:AS8" si="0">AR4+((AT4-AR4)/2)</f>
        <v>94969</v>
      </c>
      <c r="AT4" s="65">
        <v>110314</v>
      </c>
      <c r="AU4" s="65">
        <f t="shared" ref="AU4:AW8" si="1">(AR4+(AR4*$K4)+(AR4*$T4)+(AR4*$W4)+(AR4*$Z4)+(AR4*$AC4)+(AR4*$AF4)+($AI4)+(AR4*((52+$AL4)/52))*(1+$AO4))*1/$Q4</f>
        <v>203549.5686153846</v>
      </c>
      <c r="AV4" s="65">
        <f>(AS4+(AS4*$K4)+(AS4*$T4)+(AS4*$W4)+(AS4*$Z4)+(AS4*$AC4)+(AS4*$AF4)+($AI4)+(AS4*((52+$AL4)/52))*(1+$AO4))*1/$Q4</f>
        <v>242777.29053846153</v>
      </c>
      <c r="AW4" s="65">
        <f t="shared" si="1"/>
        <v>282005.01246153843</v>
      </c>
      <c r="AX4" s="65">
        <f>AU4/52/$N4</f>
        <v>103.01091529118654</v>
      </c>
      <c r="AY4" s="65">
        <f>AV4/52/$N4</f>
        <v>122.86300128464651</v>
      </c>
      <c r="AZ4" s="65">
        <f t="shared" ref="AX4:AZ8" si="2">AW4/52/$N4</f>
        <v>142.71508727810649</v>
      </c>
      <c r="BA4" s="78">
        <f>($AS4+($AS4*$J4)+($AS4*$T4)+($AS4*$W4)+($AS4*$Z4)+($AS4*$AC4)+($AS4*$AF4)+($AI4)+($AS4*((52+$AL4)/52))*(1+$AO4))*1/$Q4</f>
        <v>242302.4455384615</v>
      </c>
      <c r="BB4" s="78">
        <f>($AS4+($AS4*$K4)+($AS4*$T4)+($AS4*$W4)+($AS4*$Z4)+($AS4*$AC4)+($AS4*$AF4)+($AI4)+($AS4*((52+$AL4)/52))*(1+$AO4))*1/$Q4</f>
        <v>242777.29053846153</v>
      </c>
      <c r="BC4" s="78">
        <f>($AS4+($AS4*$L4)+($AS4*$T4)+($AS4*$W4)+($AS4*$Z4)+($AS4*$AC4)+($AS4*$AF4)+($AI4)+($AS4*((52+$AL4)/52))*(1+$AO4))*1/$Q4</f>
        <v>244439.24803846152</v>
      </c>
      <c r="BD4" s="78">
        <f>BA4/52/$N4</f>
        <v>122.62269511055743</v>
      </c>
      <c r="BE4" s="78">
        <f>BB4/52/$N4</f>
        <v>122.86300128464651</v>
      </c>
      <c r="BF4" s="78">
        <f t="shared" ref="BF4" si="3">BC4/52/$N4</f>
        <v>123.70407289395826</v>
      </c>
      <c r="BG4" s="78">
        <f>($AS4+($AS4*$K4)+($AS4*$T4)+($AS4*$W4)+($AS4*$Z4)+($AS4*$AC4)+($AS4*$AF4)+($AI4)+($AS4*((52+$AL4)/52))*(1+$AO4))*1/$Q4</f>
        <v>242777.29053846153</v>
      </c>
      <c r="BH4" s="78">
        <f>($AS4+($AS4*$K4)+($AS4*$T4)+($AS4*$W4)+($AS4*$Z4)+($AS4*$AC4)+($AS4*$AF4)+($AI4)+($AS4*((52+$AL4)/52))*(1+$AO4))*1/$Q4</f>
        <v>242777.29053846153</v>
      </c>
      <c r="BI4" s="78">
        <f>($AS4+($AS4*$K4)+($AS4*$T4)+($AS4*$W4)+($AS4*$Z4)+($AS4*$AC4)+($AS4*$AF4)+($AI4)+($AS4*((52+$AL4)/52))*(1+$AO4))*1/$Q4</f>
        <v>242777.29053846153</v>
      </c>
      <c r="BJ4" s="78">
        <f>BG4/52/$O4</f>
        <v>116.7198512204142</v>
      </c>
      <c r="BK4" s="78">
        <f>BH4/52/$N4</f>
        <v>122.86300128464651</v>
      </c>
      <c r="BL4" s="78">
        <f>BI4/52/$M4</f>
        <v>128.61691594536001</v>
      </c>
      <c r="BM4" s="78">
        <f>($AS4+($AS4*$K4)+($AS4*$S4)+($AS4*$W4)+($AS4*$Z4)+($AS4*$AC4)+($AS4*$AF4)+($AI4)+($AS4*((52+$AL4)/52))*(1+$AO4))*1/$Q4</f>
        <v>233280.39053846151</v>
      </c>
      <c r="BN4" s="78">
        <f>($AS4+($AS4*$K4)+($AS4*$T4)+($AS4*$W4)+($AS4*$Z4)+($AS4*$AC4)+($AS4*$AF4)+($AI4)+($AS4*((52+$AL4)/52))*(1+$AO4))*1/$Q4</f>
        <v>242777.29053846153</v>
      </c>
      <c r="BO4" s="78">
        <f>($AS4+($AS4*$K4)+($AS4*$U4)+($AS4*$W4)+($AS4*$Z4)+($AS4*$AC4)+($AS4*$AF4)+($AI4)+($AS4*((52+$AL4)/52))*(1+$AO4))*1/$Q4</f>
        <v>261771.09053846155</v>
      </c>
      <c r="BP4" s="78">
        <f>BM4/52/$N4</f>
        <v>118.05687780286515</v>
      </c>
      <c r="BQ4" s="78">
        <f>BN4/52/$N4</f>
        <v>122.86300128464651</v>
      </c>
      <c r="BR4" s="78">
        <f>BO4/52/$N4</f>
        <v>132.47524824820928</v>
      </c>
      <c r="BS4" s="78">
        <f>($AS4+($AS4*$K4)+($AS4*$T4)+($AS4*$V4)+($AS4*$Z4)+($AS4*$AC4)+($AS4*$AF4)+($AI4)+($AS4*((52+$AL4)/52))*(1+$AO4))*1/$Q4</f>
        <v>242254.96103846154</v>
      </c>
      <c r="BT4" s="78">
        <f>($AS4+($AS4*$K4)+($AS4*$T4)+($AS4*$W4)+($AS4*$Z4)+($AS4*$AC4)+($AS4*$AF4)+($AI4)+($AS4*((52+$AL4)/52))*(1+$AO4))*1/$Q4</f>
        <v>242777.29053846153</v>
      </c>
      <c r="BU4" s="78">
        <f>($AS4+($AS4*$K4)+($AS4*$T4)+($AS4*$X4)+($AS4*$Z4)+($AS4*$AC4)+($AS4*$AF4)+($AI4)+($AS4*((52+$AL4)/52))*(1+$AO4))*1/$Q4</f>
        <v>243252.1355384615</v>
      </c>
      <c r="BV4" s="78">
        <f>BS4/52/$N4</f>
        <v>122.59866449314855</v>
      </c>
      <c r="BW4" s="78">
        <f t="shared" ref="BW4:BX4" si="4">BT4/52/$N4</f>
        <v>122.86300128464651</v>
      </c>
      <c r="BX4" s="78">
        <f t="shared" si="4"/>
        <v>123.10330745873559</v>
      </c>
      <c r="BY4" s="78">
        <f>($AS4+($AS4*$K4)+($AS4*$T4)+($AS4*$W4)+($AS4*$Y4)+($AS4*$AC4)+($AS4*$AF4)+($AI4)+($AS4*((52+$AL4)/52))*(1+$AO4))*1/$Q4</f>
        <v>242777.29053846153</v>
      </c>
      <c r="BZ4" s="78">
        <f>($AS4+($AS4*$K4)+($AS4*$T4)+($AS4*$W4)+($AS4*$Z4)+($AS4*$AC4)+($AS4*$AF4)+($AI4)+($AS4*((52+$AL4)/52))*(1+$AO4))*1/$Q4</f>
        <v>242777.29053846153</v>
      </c>
      <c r="CA4" s="78">
        <f>($AS4+($AS4*$K4)+($AS4*$T4)+($AS4*$W4)+($AS4*$AA4)+($AS4*$AC4)+($AS4*$AF4)+($AI4)+($AS4*((52+$AL4)/52))*(1+$AO4))*1/$Q4</f>
        <v>261771.09053846152</v>
      </c>
      <c r="CB4" s="78">
        <f>BY4/52/$N4</f>
        <v>122.86300128464651</v>
      </c>
      <c r="CC4" s="78">
        <f>BZ4/52/$N4</f>
        <v>122.86300128464651</v>
      </c>
      <c r="CD4" s="78">
        <f>CA4/52/$N4</f>
        <v>132.47524824820925</v>
      </c>
      <c r="CE4" s="78">
        <f>($AS4+($AS4*$K4)+($AS4*$T4)+($AS4*$W4)+($AS4*$Z4)+($AS4*$AB4)+($AS4*$AF4)+($AI4)+($AS4*((52+$AL4)/52))*(1+$AO4))*1/$Q4</f>
        <v>242777.29053846153</v>
      </c>
      <c r="CF4" s="78">
        <f>($AS4+($AS4*$K4)+($AS4*$T4)+($AS4*$W4)+($AS4*$Z4)+($AS4*$AC4)+($AS4*$AF4)+($AI4)+($AS4*((52+$AL4)/52))*(1+$AO4))*1/$Q4</f>
        <v>242777.29053846153</v>
      </c>
      <c r="CG4" s="78">
        <f>($AS4+($AS4*$K4)+($AS4*$T4)+($AS4*$W4)+($AS4*$Z4)+($AS4*$AD4)+($AS4*$AF4)+($AI4)+($AS4*((52+$AL4)/52))*(1+$AO4))*1/$Q4</f>
        <v>242777.29053846153</v>
      </c>
      <c r="CH4" s="78">
        <f>CE4/52/$N4</f>
        <v>122.86300128464651</v>
      </c>
      <c r="CI4" s="78">
        <f>CF4/52/$N4</f>
        <v>122.86300128464651</v>
      </c>
      <c r="CJ4" s="78">
        <f t="shared" ref="CJ4" si="5">CG4/52/$N4</f>
        <v>122.86300128464651</v>
      </c>
      <c r="CK4" s="78">
        <f>($AS4+($AS4*$K4)+($AS4*$T4)+($AS4*$W4)+($AS4*$Z4)+($AS4*$AC4)+($AS4*$AE4)+($AI4)+($AS4*((52+$AL4)/52))*(1+$AO4))*1/$Q4</f>
        <v>239358.40653846151</v>
      </c>
      <c r="CL4" s="78">
        <f>($AS4+($AS4*$K4)+($AS4*$T4)+($AS4*$W4)+($AS4*$Z4)+($AS4*$AC4)+($AS4*$AF4)+($AI4)+($AS4*((52+$AL4)/52))*(1+$AO4))*1/$Q4</f>
        <v>242777.29053846153</v>
      </c>
      <c r="CM4" s="78">
        <f>($AS4+($AS4*$K4)+($AS4*$T4)+($AS4*$W4)+($AS4*$Z4)+($AS4*$AC4)+($AS4*$AG4)+($AI4)+($AS4*((52+$AL4)/52))*(1+$AO4))*1/$Q4</f>
        <v>246006.23653846153</v>
      </c>
      <c r="CN4" s="78">
        <f>CK4/52/$N4</f>
        <v>121.13279683120523</v>
      </c>
      <c r="CO4" s="78">
        <f>CL4/52/$N4</f>
        <v>122.86300128464651</v>
      </c>
      <c r="CP4" s="78">
        <f t="shared" ref="CP4" si="6">CM4/52/$N4</f>
        <v>124.49708326845219</v>
      </c>
      <c r="CQ4" s="78">
        <f>($AS4+($AS4*$K4)+($AS4*$T4)+($AS4*$W4)+($AS4*$Z4)+($AS4*$AC4)+($AS4*$AF4)+($AH4)+($AS4*((52+$AL4)/52))*(1+$AO4))*1/$Q4</f>
        <v>242777.29053846153</v>
      </c>
      <c r="CR4" s="78">
        <f>($AS4+($AS4*$K4)+($AS4*$T4)+($AS4*$W4)+($AS4*$Z4)+($AS4*$AC4)+($AS4*$AF4)+($AI4)+($AS4*((52+$AL4)/52))*(1+$AO4))*1/$Q4</f>
        <v>242777.29053846153</v>
      </c>
      <c r="CS4" s="78">
        <f>($AS4+($AS4*$K4)+($AS4*$T4)+($AS4*$W4)+($AS4*$Z4)+($AS4*$AC4)+($AS4*$AF4)+($AJ4)+($AS4*((52+$AL4)/52))*(1+$AO4))*1/$Q4</f>
        <v>244777.29053846153</v>
      </c>
      <c r="CT4" s="78">
        <f>CQ4/52/$N4</f>
        <v>122.86300128464651</v>
      </c>
      <c r="CU4" s="78">
        <f>CR4/52/$N4</f>
        <v>122.86300128464651</v>
      </c>
      <c r="CV4" s="78">
        <f t="shared" ref="CV4" si="7">CS4/52/$N4</f>
        <v>123.87514703363439</v>
      </c>
      <c r="CW4" s="78">
        <f>($AS4+($AS4*$K4)+($AS4*$T4)+($AS4*$W4)+($AS4*$Z4)+($AS4*$AC4)+($AS4*$AF4)+($AI4)+($AS4*((52+$AK4)/52))*(1+$AO4))*1/$Q4</f>
        <v>234193.55399999997</v>
      </c>
      <c r="CX4" s="78">
        <f>($AS4+($AS4*$K4)+($AS4*$T4)+($AS4*$W4)+($AS4*$Z4)+($AS4*$AC4)+($AS4*$AF4)+($AI4)+($AS4*((52+$AL4)/52))*(1+$AO4))*1/$Q4</f>
        <v>242777.29053846153</v>
      </c>
      <c r="CY4" s="78">
        <f>($AS4+($AS4*$K4)+($AS4*$T4)+($AS4*$W4)+($AS4*$Z4)+($AS4*$AC4)+($AS4*$AF4)+($AI4)+($AS4*((52+$AM4)/52))*(1+$AO4))*1/$Q4</f>
        <v>244923.22467307691</v>
      </c>
      <c r="CZ4" s="78">
        <f>CW4/52/$N4</f>
        <v>118.51900506072874</v>
      </c>
      <c r="DA4" s="78">
        <f>CX4/52/$N4</f>
        <v>122.86300128464651</v>
      </c>
      <c r="DB4" s="78">
        <f t="shared" ref="DB4" si="8">CY4/52/$N4</f>
        <v>123.94900034062596</v>
      </c>
      <c r="DC4" s="78">
        <f>($AS4+($AS4*$K4)+($AS4*$T4)+($AS4*$W4)+($AS4*$Z4)+($AS4*$AC4)+($AS4*$AF4)+($AI4)+($AS4*((52+$AL4)/52))*(1+$AN4))*1/$Q4</f>
        <v>224879.28669230768</v>
      </c>
      <c r="DD4" s="78">
        <f>($AS4+($AS4*$K4)+($AS4*$T4)+($AS4*$W4)+($AS4*$Z4)+($AS4*$AC4)+($AS4*$AF4)+($AI4)+($AS4*((52+$AL4)/52))*(1+$AO4))*1/$Q4</f>
        <v>242777.29053846153</v>
      </c>
      <c r="DE4" s="78">
        <f>($AS4+($AS4*$K4)+($AS4*$T4)+($AS4*$W4)+($AS4*$Z4)+($AS4*$AC4)+($AS4*$AF4)+($AI4)+($AS4*((52+$AL4)/52))*(1+$AP4))*1/$Q4</f>
        <v>245334.14823076921</v>
      </c>
      <c r="DF4" s="78">
        <f>DC4/52/$N4</f>
        <v>113.80530703052007</v>
      </c>
      <c r="DG4" s="78">
        <f>DD4/52/$N4</f>
        <v>122.86300128464651</v>
      </c>
      <c r="DH4" s="78">
        <f t="shared" ref="DH4" si="9">DE4/52/$N4</f>
        <v>124.15695760666459</v>
      </c>
    </row>
    <row r="5" spans="1:112" x14ac:dyDescent="0.2">
      <c r="A5" s="45" t="s">
        <v>32</v>
      </c>
      <c r="B5" s="46" t="s">
        <v>40</v>
      </c>
      <c r="C5" s="54" t="s">
        <v>41</v>
      </c>
      <c r="D5" s="45" t="s">
        <v>42</v>
      </c>
      <c r="E5" s="55" t="s">
        <v>43</v>
      </c>
      <c r="F5" s="45" t="s">
        <v>44</v>
      </c>
      <c r="G5" s="63" t="s">
        <v>45</v>
      </c>
      <c r="H5" s="56" t="s">
        <v>46</v>
      </c>
      <c r="I5" s="56">
        <v>2023</v>
      </c>
      <c r="J5" s="70">
        <v>0.105</v>
      </c>
      <c r="K5" s="57">
        <v>0.11</v>
      </c>
      <c r="L5" s="57">
        <v>0.1275</v>
      </c>
      <c r="M5" s="73">
        <v>36.299999999999997</v>
      </c>
      <c r="N5" s="73">
        <v>38</v>
      </c>
      <c r="O5" s="73">
        <v>40</v>
      </c>
      <c r="Q5" s="59">
        <v>1</v>
      </c>
      <c r="S5" s="59">
        <v>0</v>
      </c>
      <c r="T5" s="59">
        <v>0.1</v>
      </c>
      <c r="U5" s="59">
        <v>0.3</v>
      </c>
      <c r="V5" s="57">
        <v>2.9499999999999998E-2</v>
      </c>
      <c r="W5" s="57">
        <v>3.5000000000000003E-2</v>
      </c>
      <c r="X5" s="57">
        <v>0.04</v>
      </c>
      <c r="Y5" s="59">
        <v>0</v>
      </c>
      <c r="Z5" s="60">
        <v>0</v>
      </c>
      <c r="AA5" s="60">
        <v>0.2</v>
      </c>
      <c r="AB5" s="57">
        <v>0</v>
      </c>
      <c r="AC5" s="57">
        <v>0</v>
      </c>
      <c r="AD5" s="57">
        <v>0</v>
      </c>
      <c r="AE5" s="59">
        <v>0.01</v>
      </c>
      <c r="AF5" s="59">
        <v>4.5999999999999999E-2</v>
      </c>
      <c r="AG5" s="59">
        <v>0.08</v>
      </c>
      <c r="AH5" s="59">
        <v>0</v>
      </c>
      <c r="AI5" s="64">
        <v>0</v>
      </c>
      <c r="AJ5" s="64">
        <v>2000</v>
      </c>
      <c r="AK5" s="74">
        <v>0</v>
      </c>
      <c r="AL5" s="62">
        <v>5</v>
      </c>
      <c r="AM5" s="62">
        <v>5</v>
      </c>
      <c r="AN5" s="62">
        <v>0</v>
      </c>
      <c r="AO5" s="59">
        <v>0.17499999999999999</v>
      </c>
      <c r="AP5" s="59">
        <v>0.2</v>
      </c>
      <c r="AQ5" s="59">
        <v>1.4999999999999999E-2</v>
      </c>
      <c r="AR5" s="65">
        <f>1177*52</f>
        <v>61204</v>
      </c>
      <c r="AS5" s="65">
        <f t="shared" si="0"/>
        <v>101878.40000000001</v>
      </c>
      <c r="AT5" s="65">
        <f>2741.4*52</f>
        <v>142552.80000000002</v>
      </c>
      <c r="AU5" s="65">
        <f t="shared" si="1"/>
        <v>157843.93900000001</v>
      </c>
      <c r="AV5" s="65">
        <f t="shared" si="1"/>
        <v>262742.43440000003</v>
      </c>
      <c r="AW5" s="65">
        <f t="shared" si="1"/>
        <v>367640.92980000004</v>
      </c>
      <c r="AX5" s="65">
        <f t="shared" si="2"/>
        <v>79.880535931174094</v>
      </c>
      <c r="AY5" s="65">
        <f t="shared" si="2"/>
        <v>132.9668190283401</v>
      </c>
      <c r="AZ5" s="65">
        <f t="shared" si="2"/>
        <v>186.05310212550611</v>
      </c>
      <c r="BA5" s="78">
        <f t="shared" ref="BA5:BA8" si="10">($AS5+($AS5*$J5)+($AS5*$T5)+($AS5*$W5)+($AS5*$Z5)+($AS5*$AC5)+($AS5*$AF5)+($AI5)+($AS5*((52+$AL5)/52))*(1+$AO5))*1/$Q5</f>
        <v>262233.04240000003</v>
      </c>
      <c r="BB5" s="78">
        <f t="shared" ref="BB5:BB8" si="11">($AS5+($AS5*$K5)+($AS5*$T5)+($AS5*$W5)+($AS5*$Z5)+($AS5*$AC5)+($AS5*$AF5)+($AI5)+($AS5*((52+$AL5)/52))*(1+$AO5))*1/$Q5</f>
        <v>262742.43440000003</v>
      </c>
      <c r="BC5" s="78">
        <f t="shared" ref="BC5:BC8" si="12">($AS5+($AS5*$L5)+($AS5*$T5)+($AS5*$W5)+($AS5*$Z5)+($AS5*$AC5)+($AS5*$AF5)+($AI5)+($AS5*((52+$AL5)/52))*(1+$AO5))*1/$Q5</f>
        <v>264525.30640000006</v>
      </c>
      <c r="BD5" s="78">
        <f t="shared" ref="BD5:BD8" si="13">BA5/52/$N5</f>
        <v>132.7090295546559</v>
      </c>
      <c r="BE5" s="78">
        <f t="shared" ref="BE5:BE8" si="14">BB5/52/$N5</f>
        <v>132.9668190283401</v>
      </c>
      <c r="BF5" s="78">
        <f t="shared" ref="BF5:BF8" si="15">BC5/52/$N5</f>
        <v>133.86908218623486</v>
      </c>
      <c r="BG5" s="78">
        <f t="shared" ref="BG5:BI8" si="16">($AS5+($AS5*$K5)+($AS5*$T5)+($AS5*$W5)+($AS5*$Z5)+($AS5*$AC5)+($AS5*$AF5)+($AI5)+($AS5*((52+$AL5)/52))*(1+$AO5))*1/$Q5</f>
        <v>262742.43440000003</v>
      </c>
      <c r="BH5" s="78">
        <f t="shared" si="16"/>
        <v>262742.43440000003</v>
      </c>
      <c r="BI5" s="78">
        <f t="shared" si="16"/>
        <v>262742.43440000003</v>
      </c>
      <c r="BJ5" s="78">
        <f t="shared" ref="BJ5:BJ8" si="17">BG5/52/$O5</f>
        <v>126.31847807692309</v>
      </c>
      <c r="BK5" s="78">
        <f t="shared" ref="BK5:BK8" si="18">BH5/52/$N5</f>
        <v>132.9668190283401</v>
      </c>
      <c r="BL5" s="78">
        <f t="shared" ref="BL5:BL8" si="19">BI5/52/$M5</f>
        <v>139.19391523627888</v>
      </c>
      <c r="BM5" s="78">
        <f t="shared" ref="BM5:BM8" si="20">($AS5+($AS5*$K5)+($AS5*$S5)+($AS5*$W5)+($AS5*$Z5)+($AS5*$AC5)+($AS5*$AF5)+($AI5)+($AS5*((52+$AL5)/52))*(1+$AO5))*1/$Q5</f>
        <v>252554.59440000006</v>
      </c>
      <c r="BN5" s="78">
        <f t="shared" ref="BN5:BN8" si="21">($AS5+($AS5*$K5)+($AS5*$T5)+($AS5*$W5)+($AS5*$Z5)+($AS5*$AC5)+($AS5*$AF5)+($AI5)+($AS5*((52+$AL5)/52))*(1+$AO5))*1/$Q5</f>
        <v>262742.43440000003</v>
      </c>
      <c r="BO5" s="78">
        <f t="shared" ref="BO5:BO8" si="22">($AS5+($AS5*$K5)+($AS5*$U5)+($AS5*$W5)+($AS5*$Z5)+($AS5*$AC5)+($AS5*$AF5)+($AI5)+($AS5*((52+$AL5)/52))*(1+$AO5))*1/$Q5</f>
        <v>283118.11440000008</v>
      </c>
      <c r="BP5" s="78">
        <f t="shared" ref="BP5:BP8" si="23">BM5/52/$N5</f>
        <v>127.8110295546559</v>
      </c>
      <c r="BQ5" s="78">
        <f t="shared" ref="BQ5:BQ8" si="24">BN5/52/$N5</f>
        <v>132.9668190283401</v>
      </c>
      <c r="BR5" s="78">
        <f t="shared" ref="BR5:BR8" si="25">BO5/52/$N5</f>
        <v>143.27839797570854</v>
      </c>
      <c r="BS5" s="78">
        <f t="shared" ref="BS5:BS8" si="26">($AS5+($AS5*$K5)+($AS5*$T5)+($AS5*$V5)+($AS5*$Z5)+($AS5*$AC5)+($AS5*$AF5)+($AI5)+($AS5*((52+$AL5)/52))*(1+$AO5))*1/$Q5</f>
        <v>262182.10320000007</v>
      </c>
      <c r="BT5" s="78">
        <f t="shared" ref="BT5:BT8" si="27">($AS5+($AS5*$K5)+($AS5*$T5)+($AS5*$W5)+($AS5*$Z5)+($AS5*$AC5)+($AS5*$AF5)+($AI5)+($AS5*((52+$AL5)/52))*(1+$AO5))*1/$Q5</f>
        <v>262742.43440000003</v>
      </c>
      <c r="BU5" s="78">
        <f t="shared" ref="BU5:BU8" si="28">($AS5+($AS5*$K5)+($AS5*$T5)+($AS5*$X5)+($AS5*$Z5)+($AS5*$AC5)+($AS5*$AF5)+($AI5)+($AS5*((52+$AL5)/52))*(1+$AO5))*1/$Q5</f>
        <v>263251.82640000002</v>
      </c>
      <c r="BV5" s="78">
        <f t="shared" ref="BV5:BV8" si="29">BS5/52/$N5</f>
        <v>132.68325060728748</v>
      </c>
      <c r="BW5" s="78">
        <f t="shared" ref="BW5:BW8" si="30">BT5/52/$N5</f>
        <v>132.9668190283401</v>
      </c>
      <c r="BX5" s="78">
        <f t="shared" ref="BX5:BX8" si="31">BU5/52/$N5</f>
        <v>133.22460850202432</v>
      </c>
      <c r="BY5" s="78">
        <f t="shared" ref="BY5:BY8" si="32">($AS5+($AS5*$K5)+($AS5*$T5)+($AS5*$W5)+($AS5*$Y5)+($AS5*$AC5)+($AS5*$AF5)+($AI5)+($AS5*((52+$AL5)/52))*(1+$AO5))*1/$Q5</f>
        <v>262742.43440000003</v>
      </c>
      <c r="BZ5" s="78">
        <f t="shared" ref="BZ5:BZ8" si="33">($AS5+($AS5*$K5)+($AS5*$T5)+($AS5*$W5)+($AS5*$Z5)+($AS5*$AC5)+($AS5*$AF5)+($AI5)+($AS5*((52+$AL5)/52))*(1+$AO5))*1/$Q5</f>
        <v>262742.43440000003</v>
      </c>
      <c r="CA5" s="78">
        <f t="shared" ref="CA5:CA8" si="34">($AS5+($AS5*$K5)+($AS5*$T5)+($AS5*$W5)+($AS5*$AA5)+($AS5*$AC5)+($AS5*$AF5)+($AI5)+($AS5*((52+$AL5)/52))*(1+$AO5))*1/$Q5</f>
        <v>283118.11440000008</v>
      </c>
      <c r="CB5" s="78">
        <f t="shared" ref="CB5:CB8" si="35">BY5/52/$N5</f>
        <v>132.9668190283401</v>
      </c>
      <c r="CC5" s="78">
        <f t="shared" ref="CC5:CC8" si="36">BZ5/52/$N5</f>
        <v>132.9668190283401</v>
      </c>
      <c r="CD5" s="78">
        <f t="shared" ref="CD5:CD8" si="37">CA5/52/$N5</f>
        <v>143.27839797570854</v>
      </c>
      <c r="CE5" s="78">
        <f t="shared" ref="CE5:CE8" si="38">($AS5+($AS5*$K5)+($AS5*$T5)+($AS5*$W5)+($AS5*$Z5)+($AS5*$AB5)+($AS5*$AF5)+($AI5)+($AS5*((52+$AL5)/52))*(1+$AO5))*1/$Q5</f>
        <v>262742.43440000003</v>
      </c>
      <c r="CF5" s="78">
        <f t="shared" ref="CF5:CF8" si="39">($AS5+($AS5*$K5)+($AS5*$T5)+($AS5*$W5)+($AS5*$Z5)+($AS5*$AC5)+($AS5*$AF5)+($AI5)+($AS5*((52+$AL5)/52))*(1+$AO5))*1/$Q5</f>
        <v>262742.43440000003</v>
      </c>
      <c r="CG5" s="78">
        <f t="shared" ref="CG5:CG8" si="40">($AS5+($AS5*$K5)+($AS5*$T5)+($AS5*$W5)+($AS5*$Z5)+($AS5*$AD5)+($AS5*$AF5)+($AI5)+($AS5*((52+$AL5)/52))*(1+$AO5))*1/$Q5</f>
        <v>262742.43440000003</v>
      </c>
      <c r="CH5" s="78">
        <f t="shared" ref="CH5:CH8" si="41">CE5/52/$N5</f>
        <v>132.9668190283401</v>
      </c>
      <c r="CI5" s="78">
        <f t="shared" ref="CI5:CI8" si="42">CF5/52/$N5</f>
        <v>132.9668190283401</v>
      </c>
      <c r="CJ5" s="78">
        <f t="shared" ref="CJ5:CJ8" si="43">CG5/52/$N5</f>
        <v>132.9668190283401</v>
      </c>
      <c r="CK5" s="78">
        <f t="shared" ref="CK5:CK8" si="44">($AS5+($AS5*$K5)+($AS5*$T5)+($AS5*$W5)+($AS5*$Z5)+($AS5*$AC5)+($AS5*$AE5)+($AI5)+($AS5*((52+$AL5)/52))*(1+$AO5))*1/$Q5</f>
        <v>259074.81200000003</v>
      </c>
      <c r="CL5" s="78">
        <f t="shared" ref="CL5:CL8" si="45">($AS5+($AS5*$K5)+($AS5*$T5)+($AS5*$W5)+($AS5*$Z5)+($AS5*$AC5)+($AS5*$AF5)+($AI5)+($AS5*((52+$AL5)/52))*(1+$AO5))*1/$Q5</f>
        <v>262742.43440000003</v>
      </c>
      <c r="CM5" s="78">
        <f t="shared" ref="CM5:CM8" si="46">($AS5+($AS5*$K5)+($AS5*$T5)+($AS5*$W5)+($AS5*$Z5)+($AS5*$AC5)+($AS5*$AG5)+($AI5)+($AS5*((52+$AL5)/52))*(1+$AO5))*1/$Q5</f>
        <v>266206.30000000005</v>
      </c>
      <c r="CN5" s="78">
        <f t="shared" ref="CN5:CN8" si="47">CK5/52/$N5</f>
        <v>131.11073481781378</v>
      </c>
      <c r="CO5" s="78">
        <f t="shared" ref="CO5:CO8" si="48">CL5/52/$N5</f>
        <v>132.9668190283401</v>
      </c>
      <c r="CP5" s="78">
        <f t="shared" ref="CP5:CP8" si="49">CM5/52/$N5</f>
        <v>134.71978744939275</v>
      </c>
      <c r="CQ5" s="78">
        <f t="shared" ref="CQ5:CQ8" si="50">($AS5+($AS5*$K5)+($AS5*$T5)+($AS5*$W5)+($AS5*$Z5)+($AS5*$AC5)+($AS5*$AF5)+($AH5)+($AS5*((52+$AL5)/52))*(1+$AO5))*1/$Q5</f>
        <v>262742.43440000003</v>
      </c>
      <c r="CR5" s="78">
        <f t="shared" ref="CR5:CR8" si="51">($AS5+($AS5*$K5)+($AS5*$T5)+($AS5*$W5)+($AS5*$Z5)+($AS5*$AC5)+($AS5*$AF5)+($AI5)+($AS5*((52+$AL5)/52))*(1+$AO5))*1/$Q5</f>
        <v>262742.43440000003</v>
      </c>
      <c r="CS5" s="78">
        <f t="shared" ref="CS5:CS8" si="52">($AS5+($AS5*$K5)+($AS5*$T5)+($AS5*$W5)+($AS5*$Z5)+($AS5*$AC5)+($AS5*$AF5)+($AJ5)+($AS5*((52+$AL5)/52))*(1+$AO5))*1/$Q5</f>
        <v>264742.43440000003</v>
      </c>
      <c r="CT5" s="78">
        <f t="shared" ref="CT5:CT8" si="53">CQ5/52/$N5</f>
        <v>132.9668190283401</v>
      </c>
      <c r="CU5" s="78">
        <f t="shared" ref="CU5:CU8" si="54">CR5/52/$N5</f>
        <v>132.9668190283401</v>
      </c>
      <c r="CV5" s="78">
        <f t="shared" ref="CV5:CV8" si="55">CS5/52/$N5</f>
        <v>133.97896477732795</v>
      </c>
      <c r="CW5" s="78">
        <f t="shared" ref="CW5:CW8" si="56">($AS5+($AS5*$K5)+($AS5*$T5)+($AS5*$W5)+($AS5*$Z5)+($AS5*$AC5)+($AS5*$AF5)+($AI5)+($AS5*((52+$AK5)/52))*(1+$AO5))*1/$Q5</f>
        <v>251232.13440000004</v>
      </c>
      <c r="CX5" s="78">
        <f t="shared" ref="CX5:CX8" si="57">($AS5+($AS5*$K5)+($AS5*$T5)+($AS5*$W5)+($AS5*$Z5)+($AS5*$AC5)+($AS5*$AF5)+($AI5)+($AS5*((52+$AL5)/52))*(1+$AO5))*1/$Q5</f>
        <v>262742.43440000003</v>
      </c>
      <c r="CY5" s="78">
        <f t="shared" ref="CY5:CY8" si="58">($AS5+($AS5*$K5)+($AS5*$T5)+($AS5*$W5)+($AS5*$Z5)+($AS5*$AC5)+($AS5*$AF5)+($AI5)+($AS5*((52+$AM5)/52))*(1+$AO5))*1/$Q5</f>
        <v>262742.43440000003</v>
      </c>
      <c r="CZ5" s="78">
        <f t="shared" ref="CZ5:CZ8" si="59">CW5/52/$N5</f>
        <v>127.14176842105266</v>
      </c>
      <c r="DA5" s="78">
        <f t="shared" ref="DA5:DA8" si="60">CX5/52/$N5</f>
        <v>132.9668190283401</v>
      </c>
      <c r="DB5" s="78">
        <f t="shared" ref="DB5:DB8" si="61">CY5/52/$N5</f>
        <v>132.9668190283401</v>
      </c>
      <c r="DC5" s="78">
        <f t="shared" ref="DC5:DC8" si="62">($AS5+($AS5*$K5)+($AS5*$T5)+($AS5*$W5)+($AS5*$Z5)+($AS5*$AC5)+($AS5*$AF5)+($AI5)+($AS5*((52+$AL5)/52))*(1+$AN5))*1/$Q5</f>
        <v>243199.41440000004</v>
      </c>
      <c r="DD5" s="78">
        <f t="shared" ref="DD5:DD8" si="63">($AS5+($AS5*$K5)+($AS5*$T5)+($AS5*$W5)+($AS5*$Z5)+($AS5*$AC5)+($AS5*$AF5)+($AI5)+($AS5*((52+$AL5)/52))*(1+$AO5))*1/$Q5</f>
        <v>262742.43440000003</v>
      </c>
      <c r="DE5" s="78">
        <f t="shared" ref="DE5:DE8" si="64">($AS5+($AS5*$K5)+($AS5*$T5)+($AS5*$W5)+($AS5*$Z5)+($AS5*$AC5)+($AS5*$AF5)+($AI5)+($AS5*((52+$AL5)/52))*(1+$AP5))*1/$Q5</f>
        <v>265534.29440000001</v>
      </c>
      <c r="DF5" s="78">
        <f t="shared" ref="DF5:DF8" si="65">DC5/52/$N5</f>
        <v>123.07662672064778</v>
      </c>
      <c r="DG5" s="78">
        <f t="shared" ref="DG5:DG8" si="66">DD5/52/$N5</f>
        <v>132.9668190283401</v>
      </c>
      <c r="DH5" s="78">
        <f t="shared" ref="DH5:DH8" si="67">DE5/52/$N5</f>
        <v>134.37970364372472</v>
      </c>
    </row>
    <row r="6" spans="1:112" x14ac:dyDescent="0.2">
      <c r="A6" s="45" t="s">
        <v>32</v>
      </c>
      <c r="B6" s="46" t="s">
        <v>47</v>
      </c>
      <c r="C6" s="54" t="s">
        <v>48</v>
      </c>
      <c r="D6" s="45" t="s">
        <v>35</v>
      </c>
      <c r="E6" s="55" t="s">
        <v>49</v>
      </c>
      <c r="G6" s="45" t="s">
        <v>38</v>
      </c>
      <c r="H6" s="56" t="s">
        <v>39</v>
      </c>
      <c r="I6" s="56">
        <v>2022</v>
      </c>
      <c r="J6" s="70">
        <v>0.105</v>
      </c>
      <c r="K6" s="57">
        <v>0.11</v>
      </c>
      <c r="L6" s="57">
        <v>0.1275</v>
      </c>
      <c r="M6" s="73">
        <v>36.299999999999997</v>
      </c>
      <c r="N6" s="73">
        <v>38</v>
      </c>
      <c r="O6" s="73">
        <v>40</v>
      </c>
      <c r="Q6" s="59">
        <v>1</v>
      </c>
      <c r="S6" s="59">
        <v>0</v>
      </c>
      <c r="T6" s="59">
        <v>0.1</v>
      </c>
      <c r="U6" s="59">
        <v>0.3</v>
      </c>
      <c r="V6" s="57">
        <v>2.9499999999999998E-2</v>
      </c>
      <c r="W6" s="57">
        <v>3.5000000000000003E-2</v>
      </c>
      <c r="X6" s="57">
        <v>0.04</v>
      </c>
      <c r="Y6" s="59">
        <v>0</v>
      </c>
      <c r="Z6" s="60">
        <v>0</v>
      </c>
      <c r="AA6" s="60">
        <v>0.2</v>
      </c>
      <c r="AB6" s="57">
        <v>0</v>
      </c>
      <c r="AC6" s="57">
        <v>0</v>
      </c>
      <c r="AD6" s="57">
        <v>0</v>
      </c>
      <c r="AE6" s="59">
        <v>0.01</v>
      </c>
      <c r="AF6" s="59">
        <v>4.5999999999999999E-2</v>
      </c>
      <c r="AG6" s="59">
        <v>0.08</v>
      </c>
      <c r="AH6" s="59">
        <v>0</v>
      </c>
      <c r="AI6" s="64">
        <v>0</v>
      </c>
      <c r="AJ6" s="64">
        <v>2000</v>
      </c>
      <c r="AK6" s="74">
        <v>0</v>
      </c>
      <c r="AL6" s="62">
        <v>4</v>
      </c>
      <c r="AM6" s="62">
        <v>5</v>
      </c>
      <c r="AN6" s="62">
        <v>0</v>
      </c>
      <c r="AO6" s="59">
        <v>0.17499999999999999</v>
      </c>
      <c r="AP6" s="59">
        <v>0.2</v>
      </c>
      <c r="AQ6" s="59">
        <v>1.4999999999999999E-2</v>
      </c>
      <c r="AR6" s="65">
        <v>63701</v>
      </c>
      <c r="AS6" s="65">
        <f t="shared" si="0"/>
        <v>77580.5</v>
      </c>
      <c r="AT6" s="65">
        <v>91460</v>
      </c>
      <c r="AU6" s="65">
        <f t="shared" si="1"/>
        <v>162844.25638461538</v>
      </c>
      <c r="AV6" s="65">
        <f t="shared" si="1"/>
        <v>198325.59665384615</v>
      </c>
      <c r="AW6" s="65">
        <f t="shared" si="1"/>
        <v>233806.93692307692</v>
      </c>
      <c r="AX6" s="65">
        <f t="shared" si="2"/>
        <v>82.411060923388348</v>
      </c>
      <c r="AY6" s="65">
        <f t="shared" si="2"/>
        <v>100.3672047843351</v>
      </c>
      <c r="AZ6" s="65">
        <f t="shared" si="2"/>
        <v>118.32334864528184</v>
      </c>
      <c r="BA6" s="78">
        <f t="shared" si="10"/>
        <v>197937.69415384615</v>
      </c>
      <c r="BB6" s="78">
        <f t="shared" si="11"/>
        <v>198325.59665384615</v>
      </c>
      <c r="BC6" s="78">
        <f t="shared" si="12"/>
        <v>199683.25540384615</v>
      </c>
      <c r="BD6" s="78">
        <f t="shared" si="13"/>
        <v>100.17089785113671</v>
      </c>
      <c r="BE6" s="78">
        <f t="shared" si="14"/>
        <v>100.3672047843351</v>
      </c>
      <c r="BF6" s="78">
        <f t="shared" si="15"/>
        <v>101.05427905052943</v>
      </c>
      <c r="BG6" s="78">
        <f t="shared" si="16"/>
        <v>198325.59665384615</v>
      </c>
      <c r="BH6" s="78">
        <f t="shared" si="16"/>
        <v>198325.59665384615</v>
      </c>
      <c r="BI6" s="78">
        <f t="shared" si="16"/>
        <v>198325.59665384615</v>
      </c>
      <c r="BJ6" s="78">
        <f t="shared" si="17"/>
        <v>95.34884454511834</v>
      </c>
      <c r="BK6" s="78">
        <f t="shared" si="18"/>
        <v>100.3672047843351</v>
      </c>
      <c r="BL6" s="78">
        <f t="shared" si="19"/>
        <v>105.06759729489626</v>
      </c>
      <c r="BM6" s="78">
        <f t="shared" si="20"/>
        <v>190567.54665384616</v>
      </c>
      <c r="BN6" s="78">
        <f t="shared" si="21"/>
        <v>198325.59665384615</v>
      </c>
      <c r="BO6" s="78">
        <f t="shared" si="22"/>
        <v>213841.69665384613</v>
      </c>
      <c r="BP6" s="78">
        <f t="shared" si="23"/>
        <v>96.441066120367495</v>
      </c>
      <c r="BQ6" s="78">
        <f t="shared" si="24"/>
        <v>100.3672047843351</v>
      </c>
      <c r="BR6" s="78">
        <f t="shared" si="25"/>
        <v>108.21948211227031</v>
      </c>
      <c r="BS6" s="78">
        <f t="shared" si="26"/>
        <v>197898.90390384616</v>
      </c>
      <c r="BT6" s="78">
        <f t="shared" si="27"/>
        <v>198325.59665384615</v>
      </c>
      <c r="BU6" s="78">
        <f t="shared" si="28"/>
        <v>198713.49915384615</v>
      </c>
      <c r="BV6" s="78">
        <f t="shared" si="29"/>
        <v>100.15126715781689</v>
      </c>
      <c r="BW6" s="78">
        <f t="shared" si="30"/>
        <v>100.3672047843351</v>
      </c>
      <c r="BX6" s="78">
        <f t="shared" si="31"/>
        <v>100.56351171753347</v>
      </c>
      <c r="BY6" s="78">
        <f t="shared" si="32"/>
        <v>198325.59665384615</v>
      </c>
      <c r="BZ6" s="78">
        <f t="shared" si="33"/>
        <v>198325.59665384615</v>
      </c>
      <c r="CA6" s="78">
        <f t="shared" si="34"/>
        <v>213841.69665384616</v>
      </c>
      <c r="CB6" s="78">
        <f t="shared" si="35"/>
        <v>100.3672047843351</v>
      </c>
      <c r="CC6" s="78">
        <f t="shared" si="36"/>
        <v>100.3672047843351</v>
      </c>
      <c r="CD6" s="78">
        <f t="shared" si="37"/>
        <v>108.21948211227031</v>
      </c>
      <c r="CE6" s="78">
        <f t="shared" si="38"/>
        <v>198325.59665384615</v>
      </c>
      <c r="CF6" s="78">
        <f t="shared" si="39"/>
        <v>198325.59665384615</v>
      </c>
      <c r="CG6" s="78">
        <f t="shared" si="40"/>
        <v>198325.59665384615</v>
      </c>
      <c r="CH6" s="78">
        <f t="shared" si="41"/>
        <v>100.3672047843351</v>
      </c>
      <c r="CI6" s="78">
        <f t="shared" si="42"/>
        <v>100.3672047843351</v>
      </c>
      <c r="CJ6" s="78">
        <f t="shared" si="43"/>
        <v>100.3672047843351</v>
      </c>
      <c r="CK6" s="78">
        <f t="shared" si="44"/>
        <v>195532.69865384616</v>
      </c>
      <c r="CL6" s="78">
        <f t="shared" si="45"/>
        <v>198325.59665384615</v>
      </c>
      <c r="CM6" s="78">
        <f t="shared" si="46"/>
        <v>200963.33365384617</v>
      </c>
      <c r="CN6" s="78">
        <f t="shared" si="47"/>
        <v>98.953794865306762</v>
      </c>
      <c r="CO6" s="78">
        <f t="shared" si="48"/>
        <v>100.3672047843351</v>
      </c>
      <c r="CP6" s="78">
        <f t="shared" si="49"/>
        <v>101.70209193008409</v>
      </c>
      <c r="CQ6" s="78">
        <f t="shared" si="50"/>
        <v>198325.59665384615</v>
      </c>
      <c r="CR6" s="78">
        <f t="shared" si="51"/>
        <v>198325.59665384615</v>
      </c>
      <c r="CS6" s="78">
        <f t="shared" si="52"/>
        <v>200325.59665384615</v>
      </c>
      <c r="CT6" s="78">
        <f t="shared" si="53"/>
        <v>100.3672047843351</v>
      </c>
      <c r="CU6" s="78">
        <f t="shared" si="54"/>
        <v>100.3672047843351</v>
      </c>
      <c r="CV6" s="78">
        <f t="shared" si="55"/>
        <v>101.37935053332295</v>
      </c>
      <c r="CW6" s="78">
        <f t="shared" si="56"/>
        <v>191313.51300000001</v>
      </c>
      <c r="CX6" s="78">
        <f t="shared" si="57"/>
        <v>198325.59665384615</v>
      </c>
      <c r="CY6" s="78">
        <f t="shared" si="58"/>
        <v>200078.61756730772</v>
      </c>
      <c r="CZ6" s="78">
        <f t="shared" si="59"/>
        <v>96.818579453441302</v>
      </c>
      <c r="DA6" s="78">
        <f t="shared" si="60"/>
        <v>100.3672047843351</v>
      </c>
      <c r="DB6" s="78">
        <f t="shared" si="61"/>
        <v>101.25436111705856</v>
      </c>
      <c r="DC6" s="78">
        <f t="shared" si="62"/>
        <v>183704.65626923076</v>
      </c>
      <c r="DD6" s="78">
        <f t="shared" si="63"/>
        <v>198325.59665384615</v>
      </c>
      <c r="DE6" s="78">
        <f t="shared" si="64"/>
        <v>200414.30242307691</v>
      </c>
      <c r="DF6" s="78">
        <f t="shared" si="65"/>
        <v>92.967943456088449</v>
      </c>
      <c r="DG6" s="78">
        <f t="shared" si="66"/>
        <v>100.3672047843351</v>
      </c>
      <c r="DH6" s="78">
        <f t="shared" si="67"/>
        <v>101.42424211694176</v>
      </c>
    </row>
    <row r="7" spans="1:112" x14ac:dyDescent="0.2">
      <c r="A7" s="45" t="s">
        <v>32</v>
      </c>
      <c r="B7" s="46" t="s">
        <v>50</v>
      </c>
      <c r="C7" s="54" t="s">
        <v>51</v>
      </c>
      <c r="D7" s="45" t="s">
        <v>52</v>
      </c>
      <c r="E7" s="55" t="s">
        <v>53</v>
      </c>
      <c r="F7" s="63"/>
      <c r="G7" s="45" t="s">
        <v>38</v>
      </c>
      <c r="H7" s="56" t="s">
        <v>54</v>
      </c>
      <c r="I7" s="56">
        <v>2022</v>
      </c>
      <c r="J7" s="70">
        <v>0.105</v>
      </c>
      <c r="K7" s="57">
        <v>0.11</v>
      </c>
      <c r="L7" s="57">
        <v>0.1275</v>
      </c>
      <c r="M7" s="73">
        <v>36.299999999999997</v>
      </c>
      <c r="N7" s="73">
        <v>38</v>
      </c>
      <c r="O7" s="73">
        <v>40</v>
      </c>
      <c r="Q7" s="59">
        <v>1</v>
      </c>
      <c r="S7" s="59">
        <v>0</v>
      </c>
      <c r="T7" s="59">
        <v>0.1</v>
      </c>
      <c r="U7" s="59">
        <v>0.3</v>
      </c>
      <c r="V7" s="57">
        <v>2.9499999999999998E-2</v>
      </c>
      <c r="W7" s="57">
        <v>3.5000000000000003E-2</v>
      </c>
      <c r="X7" s="57">
        <v>0.04</v>
      </c>
      <c r="Y7" s="59">
        <v>0</v>
      </c>
      <c r="Z7" s="60">
        <v>0</v>
      </c>
      <c r="AA7" s="60">
        <v>0.2</v>
      </c>
      <c r="AB7" s="57">
        <v>0</v>
      </c>
      <c r="AC7" s="57">
        <v>0</v>
      </c>
      <c r="AD7" s="57">
        <v>0</v>
      </c>
      <c r="AE7" s="59">
        <v>0.01</v>
      </c>
      <c r="AF7" s="59">
        <v>4.5999999999999999E-2</v>
      </c>
      <c r="AG7" s="59">
        <v>0.08</v>
      </c>
      <c r="AH7" s="59">
        <v>0</v>
      </c>
      <c r="AI7" s="64">
        <v>0</v>
      </c>
      <c r="AJ7" s="64">
        <v>2000</v>
      </c>
      <c r="AK7" s="74">
        <v>0</v>
      </c>
      <c r="AL7" s="62">
        <v>4</v>
      </c>
      <c r="AM7" s="62">
        <v>5</v>
      </c>
      <c r="AN7" s="62">
        <v>0</v>
      </c>
      <c r="AO7" s="59">
        <v>0.17499999999999999</v>
      </c>
      <c r="AP7" s="59">
        <v>0.2</v>
      </c>
      <c r="AQ7" s="59">
        <v>1.4999999999999999E-2</v>
      </c>
      <c r="AR7" s="65">
        <v>79624</v>
      </c>
      <c r="AS7" s="65">
        <f t="shared" si="0"/>
        <v>101861</v>
      </c>
      <c r="AT7" s="65">
        <v>124098</v>
      </c>
      <c r="AU7" s="65">
        <f t="shared" si="1"/>
        <v>203549.5686153846</v>
      </c>
      <c r="AV7" s="65">
        <f t="shared" si="1"/>
        <v>260395.89330769231</v>
      </c>
      <c r="AW7" s="65">
        <f t="shared" si="1"/>
        <v>317242.21799999999</v>
      </c>
      <c r="AX7" s="65">
        <f t="shared" si="2"/>
        <v>103.01091529118654</v>
      </c>
      <c r="AY7" s="65">
        <f t="shared" si="2"/>
        <v>131.77929823263781</v>
      </c>
      <c r="AZ7" s="65">
        <f t="shared" si="2"/>
        <v>160.54768117408906</v>
      </c>
      <c r="BA7" s="78">
        <f t="shared" si="10"/>
        <v>259886.58830769232</v>
      </c>
      <c r="BB7" s="78">
        <f t="shared" si="11"/>
        <v>260395.89330769231</v>
      </c>
      <c r="BC7" s="78">
        <f t="shared" si="12"/>
        <v>262178.46080769226</v>
      </c>
      <c r="BD7" s="78">
        <f t="shared" si="13"/>
        <v>131.5215527872937</v>
      </c>
      <c r="BE7" s="78">
        <f t="shared" si="14"/>
        <v>131.77929823263781</v>
      </c>
      <c r="BF7" s="78">
        <f t="shared" si="15"/>
        <v>132.68140729134223</v>
      </c>
      <c r="BG7" s="78">
        <f t="shared" si="16"/>
        <v>260395.89330769231</v>
      </c>
      <c r="BH7" s="78">
        <f t="shared" si="16"/>
        <v>260395.89330769231</v>
      </c>
      <c r="BI7" s="78">
        <f t="shared" si="16"/>
        <v>260395.89330769231</v>
      </c>
      <c r="BJ7" s="78">
        <f t="shared" si="17"/>
        <v>125.19033332100591</v>
      </c>
      <c r="BK7" s="78">
        <f t="shared" si="18"/>
        <v>131.77929823263781</v>
      </c>
      <c r="BL7" s="78">
        <f t="shared" si="19"/>
        <v>137.95078051901478</v>
      </c>
      <c r="BM7" s="78">
        <f t="shared" si="20"/>
        <v>250209.79330769231</v>
      </c>
      <c r="BN7" s="78">
        <f t="shared" si="21"/>
        <v>260395.89330769231</v>
      </c>
      <c r="BO7" s="78">
        <f t="shared" si="22"/>
        <v>280768.09330769232</v>
      </c>
      <c r="BP7" s="78">
        <f t="shared" si="23"/>
        <v>126.62438932575522</v>
      </c>
      <c r="BQ7" s="78">
        <f t="shared" si="24"/>
        <v>131.77929823263781</v>
      </c>
      <c r="BR7" s="78">
        <f t="shared" si="25"/>
        <v>142.08911604640301</v>
      </c>
      <c r="BS7" s="78">
        <f t="shared" si="26"/>
        <v>259835.6578076923</v>
      </c>
      <c r="BT7" s="78">
        <f t="shared" si="27"/>
        <v>260395.89330769231</v>
      </c>
      <c r="BU7" s="78">
        <f t="shared" si="28"/>
        <v>260905.19830769234</v>
      </c>
      <c r="BV7" s="78">
        <f t="shared" si="29"/>
        <v>131.49577824275926</v>
      </c>
      <c r="BW7" s="78">
        <f t="shared" si="30"/>
        <v>131.77929823263781</v>
      </c>
      <c r="BX7" s="78">
        <f t="shared" si="31"/>
        <v>132.03704367798196</v>
      </c>
      <c r="BY7" s="78">
        <f t="shared" si="32"/>
        <v>260395.89330769231</v>
      </c>
      <c r="BZ7" s="78">
        <f t="shared" si="33"/>
        <v>260395.89330769231</v>
      </c>
      <c r="CA7" s="78">
        <f t="shared" si="34"/>
        <v>280768.09330769232</v>
      </c>
      <c r="CB7" s="78">
        <f t="shared" si="35"/>
        <v>131.77929823263781</v>
      </c>
      <c r="CC7" s="78">
        <f t="shared" si="36"/>
        <v>131.77929823263781</v>
      </c>
      <c r="CD7" s="78">
        <f t="shared" si="37"/>
        <v>142.08911604640301</v>
      </c>
      <c r="CE7" s="78">
        <f t="shared" si="38"/>
        <v>260395.89330769231</v>
      </c>
      <c r="CF7" s="78">
        <f t="shared" si="39"/>
        <v>260395.89330769231</v>
      </c>
      <c r="CG7" s="78">
        <f t="shared" si="40"/>
        <v>260395.89330769231</v>
      </c>
      <c r="CH7" s="78">
        <f t="shared" si="41"/>
        <v>131.77929823263781</v>
      </c>
      <c r="CI7" s="78">
        <f t="shared" si="42"/>
        <v>131.77929823263781</v>
      </c>
      <c r="CJ7" s="78">
        <f t="shared" si="43"/>
        <v>131.77929823263781</v>
      </c>
      <c r="CK7" s="78">
        <f t="shared" si="44"/>
        <v>256728.89730769233</v>
      </c>
      <c r="CL7" s="78">
        <f t="shared" si="45"/>
        <v>260395.89330769231</v>
      </c>
      <c r="CM7" s="78">
        <f t="shared" si="46"/>
        <v>263859.16730769235</v>
      </c>
      <c r="CN7" s="78">
        <f t="shared" si="47"/>
        <v>129.92353102616008</v>
      </c>
      <c r="CO7" s="78">
        <f t="shared" si="48"/>
        <v>131.77929823263781</v>
      </c>
      <c r="CP7" s="78">
        <f t="shared" si="49"/>
        <v>133.53196726097792</v>
      </c>
      <c r="CQ7" s="78">
        <f t="shared" si="50"/>
        <v>260395.89330769231</v>
      </c>
      <c r="CR7" s="78">
        <f t="shared" si="51"/>
        <v>260395.89330769231</v>
      </c>
      <c r="CS7" s="78">
        <f t="shared" si="52"/>
        <v>262395.89330769231</v>
      </c>
      <c r="CT7" s="78">
        <f t="shared" si="53"/>
        <v>131.77929823263781</v>
      </c>
      <c r="CU7" s="78">
        <f t="shared" si="54"/>
        <v>131.77929823263781</v>
      </c>
      <c r="CV7" s="78">
        <f t="shared" si="55"/>
        <v>132.79144398162566</v>
      </c>
      <c r="CW7" s="78">
        <f t="shared" si="56"/>
        <v>251189.22600000002</v>
      </c>
      <c r="CX7" s="78">
        <f t="shared" si="57"/>
        <v>260395.89330769231</v>
      </c>
      <c r="CY7" s="78">
        <f t="shared" si="58"/>
        <v>262697.5601346154</v>
      </c>
      <c r="CZ7" s="78">
        <f t="shared" si="59"/>
        <v>127.1200536437247</v>
      </c>
      <c r="DA7" s="78">
        <f t="shared" si="60"/>
        <v>131.77929823263781</v>
      </c>
      <c r="DB7" s="78">
        <f t="shared" si="61"/>
        <v>132.94410937986609</v>
      </c>
      <c r="DC7" s="78">
        <f t="shared" si="62"/>
        <v>241199.01253846154</v>
      </c>
      <c r="DD7" s="78">
        <f t="shared" si="63"/>
        <v>260395.89330769231</v>
      </c>
      <c r="DE7" s="78">
        <f t="shared" si="64"/>
        <v>263138.30484615383</v>
      </c>
      <c r="DF7" s="78">
        <f t="shared" si="65"/>
        <v>122.064277600436</v>
      </c>
      <c r="DG7" s="78">
        <f t="shared" si="66"/>
        <v>131.77929823263781</v>
      </c>
      <c r="DH7" s="78">
        <f t="shared" si="67"/>
        <v>133.16715832295233</v>
      </c>
    </row>
    <row r="8" spans="1:112" x14ac:dyDescent="0.2">
      <c r="A8" s="45" t="s">
        <v>32</v>
      </c>
      <c r="B8" s="46" t="s">
        <v>55</v>
      </c>
      <c r="C8" s="54" t="s">
        <v>56</v>
      </c>
      <c r="D8" s="45" t="s">
        <v>57</v>
      </c>
      <c r="E8" s="55" t="s">
        <v>58</v>
      </c>
      <c r="F8" s="45" t="s">
        <v>59</v>
      </c>
      <c r="G8" s="45" t="s">
        <v>60</v>
      </c>
      <c r="H8" s="56" t="s">
        <v>61</v>
      </c>
      <c r="I8" s="56">
        <v>2022</v>
      </c>
      <c r="J8" s="70">
        <v>0.105</v>
      </c>
      <c r="K8" s="57">
        <v>0.11</v>
      </c>
      <c r="L8" s="57">
        <v>0.1275</v>
      </c>
      <c r="M8" s="73">
        <v>36.299999999999997</v>
      </c>
      <c r="N8" s="73">
        <v>38</v>
      </c>
      <c r="O8" s="73">
        <v>40</v>
      </c>
      <c r="Q8" s="59">
        <v>1</v>
      </c>
      <c r="S8" s="59">
        <v>0</v>
      </c>
      <c r="T8" s="59">
        <v>0</v>
      </c>
      <c r="U8" s="59">
        <v>0.3</v>
      </c>
      <c r="V8" s="57">
        <v>2.9499999999999998E-2</v>
      </c>
      <c r="W8" s="57">
        <v>3.5000000000000003E-2</v>
      </c>
      <c r="X8" s="57">
        <v>0.04</v>
      </c>
      <c r="Y8" s="59">
        <v>0</v>
      </c>
      <c r="Z8" s="60">
        <v>0.1</v>
      </c>
      <c r="AA8" s="60">
        <v>0.2</v>
      </c>
      <c r="AB8" s="57">
        <v>0</v>
      </c>
      <c r="AC8" s="57">
        <v>0</v>
      </c>
      <c r="AD8" s="57">
        <v>0</v>
      </c>
      <c r="AE8" s="59">
        <v>0.01</v>
      </c>
      <c r="AF8" s="59">
        <v>4.5999999999999999E-2</v>
      </c>
      <c r="AG8" s="59">
        <v>0.08</v>
      </c>
      <c r="AH8" s="59">
        <v>0</v>
      </c>
      <c r="AI8" s="64">
        <v>29000.16</v>
      </c>
      <c r="AJ8" s="64">
        <v>29000</v>
      </c>
      <c r="AK8" s="74">
        <v>0</v>
      </c>
      <c r="AL8" s="62">
        <v>4</v>
      </c>
      <c r="AM8" s="62">
        <v>5</v>
      </c>
      <c r="AN8" s="62">
        <v>0</v>
      </c>
      <c r="AO8" s="59">
        <v>0.17499999999999999</v>
      </c>
      <c r="AP8" s="59">
        <v>0.2</v>
      </c>
      <c r="AQ8" s="59">
        <v>1.4999999999999999E-2</v>
      </c>
      <c r="AR8" s="65">
        <f>4797.5*52</f>
        <v>249470</v>
      </c>
      <c r="AS8" s="65">
        <f t="shared" si="0"/>
        <v>296247.90000000002</v>
      </c>
      <c r="AT8" s="65">
        <f>6596.65*52</f>
        <v>343025.8</v>
      </c>
      <c r="AU8" s="65">
        <f t="shared" si="1"/>
        <v>666741.42999999993</v>
      </c>
      <c r="AV8" s="65">
        <f t="shared" si="1"/>
        <v>786323.73390000011</v>
      </c>
      <c r="AW8" s="65">
        <f t="shared" si="1"/>
        <v>905906.03779999993</v>
      </c>
      <c r="AX8" s="65">
        <f t="shared" si="2"/>
        <v>337.41975202429148</v>
      </c>
      <c r="AY8" s="65">
        <f t="shared" si="2"/>
        <v>397.93711229757093</v>
      </c>
      <c r="AZ8" s="65">
        <f t="shared" si="2"/>
        <v>458.45447257085021</v>
      </c>
      <c r="BA8" s="78">
        <f t="shared" si="10"/>
        <v>784842.49439999997</v>
      </c>
      <c r="BB8" s="78">
        <f t="shared" si="11"/>
        <v>786323.73390000011</v>
      </c>
      <c r="BC8" s="78">
        <f t="shared" si="12"/>
        <v>791508.07215000002</v>
      </c>
      <c r="BD8" s="78">
        <f t="shared" si="13"/>
        <v>397.18749716599189</v>
      </c>
      <c r="BE8" s="78">
        <f t="shared" si="14"/>
        <v>397.93711229757093</v>
      </c>
      <c r="BF8" s="78">
        <f t="shared" si="15"/>
        <v>400.56076525809715</v>
      </c>
      <c r="BG8" s="78">
        <f t="shared" si="16"/>
        <v>786323.73390000011</v>
      </c>
      <c r="BH8" s="78">
        <f t="shared" si="16"/>
        <v>786323.73390000011</v>
      </c>
      <c r="BI8" s="78">
        <f t="shared" si="16"/>
        <v>786323.73390000011</v>
      </c>
      <c r="BJ8" s="78">
        <f t="shared" si="17"/>
        <v>378.04025668269236</v>
      </c>
      <c r="BK8" s="78">
        <f t="shared" si="18"/>
        <v>397.93711229757093</v>
      </c>
      <c r="BL8" s="78">
        <f t="shared" si="19"/>
        <v>416.57328560076297</v>
      </c>
      <c r="BM8" s="78">
        <f t="shared" si="20"/>
        <v>786323.73390000011</v>
      </c>
      <c r="BN8" s="78">
        <f t="shared" si="21"/>
        <v>786323.73390000011</v>
      </c>
      <c r="BO8" s="78">
        <f t="shared" si="22"/>
        <v>875198.10389999999</v>
      </c>
      <c r="BP8" s="78">
        <f t="shared" si="23"/>
        <v>397.93711229757093</v>
      </c>
      <c r="BQ8" s="78">
        <f t="shared" si="24"/>
        <v>397.93711229757093</v>
      </c>
      <c r="BR8" s="78">
        <f t="shared" si="25"/>
        <v>442.91402019230765</v>
      </c>
      <c r="BS8" s="78">
        <f t="shared" si="26"/>
        <v>784694.37045000005</v>
      </c>
      <c r="BT8" s="78">
        <f t="shared" si="27"/>
        <v>786323.73390000011</v>
      </c>
      <c r="BU8" s="78">
        <f t="shared" si="28"/>
        <v>787804.97340000002</v>
      </c>
      <c r="BV8" s="78">
        <f t="shared" si="29"/>
        <v>397.11253565283403</v>
      </c>
      <c r="BW8" s="78">
        <f t="shared" si="30"/>
        <v>397.93711229757093</v>
      </c>
      <c r="BX8" s="78">
        <f t="shared" si="31"/>
        <v>398.68672742914981</v>
      </c>
      <c r="BY8" s="78">
        <f t="shared" si="32"/>
        <v>756698.94390000007</v>
      </c>
      <c r="BZ8" s="78">
        <f t="shared" si="33"/>
        <v>786323.73390000011</v>
      </c>
      <c r="CA8" s="78">
        <f t="shared" si="34"/>
        <v>815948.52390000015</v>
      </c>
      <c r="CB8" s="78">
        <f t="shared" si="35"/>
        <v>382.94480966599195</v>
      </c>
      <c r="CC8" s="78">
        <f t="shared" si="36"/>
        <v>397.93711229757093</v>
      </c>
      <c r="CD8" s="78">
        <f t="shared" si="37"/>
        <v>412.92941492914986</v>
      </c>
      <c r="CE8" s="78">
        <f t="shared" si="38"/>
        <v>786323.73390000011</v>
      </c>
      <c r="CF8" s="78">
        <f t="shared" si="39"/>
        <v>786323.73390000011</v>
      </c>
      <c r="CG8" s="78">
        <f t="shared" si="40"/>
        <v>786323.73390000011</v>
      </c>
      <c r="CH8" s="78">
        <f t="shared" si="41"/>
        <v>397.93711229757093</v>
      </c>
      <c r="CI8" s="78">
        <f t="shared" si="42"/>
        <v>397.93711229757093</v>
      </c>
      <c r="CJ8" s="78">
        <f t="shared" si="43"/>
        <v>397.93711229757093</v>
      </c>
      <c r="CK8" s="78">
        <f t="shared" si="44"/>
        <v>775658.80949999997</v>
      </c>
      <c r="CL8" s="78">
        <f t="shared" si="45"/>
        <v>786323.73390000011</v>
      </c>
      <c r="CM8" s="78">
        <f t="shared" si="46"/>
        <v>796396.16250000009</v>
      </c>
      <c r="CN8" s="78">
        <f t="shared" si="47"/>
        <v>392.53988335020239</v>
      </c>
      <c r="CO8" s="78">
        <f t="shared" si="48"/>
        <v>397.93711229757093</v>
      </c>
      <c r="CP8" s="78">
        <f t="shared" si="49"/>
        <v>403.03449519230776</v>
      </c>
      <c r="CQ8" s="78">
        <f t="shared" si="50"/>
        <v>757323.57390000008</v>
      </c>
      <c r="CR8" s="78">
        <f t="shared" si="51"/>
        <v>786323.73390000011</v>
      </c>
      <c r="CS8" s="78">
        <f t="shared" si="52"/>
        <v>786323.57390000008</v>
      </c>
      <c r="CT8" s="78">
        <f t="shared" si="53"/>
        <v>383.26091796558705</v>
      </c>
      <c r="CU8" s="78">
        <f t="shared" si="54"/>
        <v>397.93711229757093</v>
      </c>
      <c r="CV8" s="78">
        <f t="shared" si="55"/>
        <v>397.93703132591099</v>
      </c>
      <c r="CW8" s="78">
        <f t="shared" si="56"/>
        <v>759547.48140000005</v>
      </c>
      <c r="CX8" s="78">
        <f t="shared" si="57"/>
        <v>786323.73390000011</v>
      </c>
      <c r="CY8" s="78">
        <f t="shared" si="58"/>
        <v>793017.79702500021</v>
      </c>
      <c r="CZ8" s="78">
        <f t="shared" si="59"/>
        <v>384.38637722672064</v>
      </c>
      <c r="DA8" s="78">
        <f t="shared" si="60"/>
        <v>397.93711229757093</v>
      </c>
      <c r="DB8" s="78">
        <f t="shared" si="61"/>
        <v>401.32479606528352</v>
      </c>
      <c r="DC8" s="78">
        <f t="shared" si="62"/>
        <v>730492.39890000003</v>
      </c>
      <c r="DD8" s="78">
        <f t="shared" si="63"/>
        <v>786323.73390000011</v>
      </c>
      <c r="DE8" s="78">
        <f t="shared" si="64"/>
        <v>794299.63890000002</v>
      </c>
      <c r="DF8" s="78">
        <f t="shared" si="65"/>
        <v>369.68238810728747</v>
      </c>
      <c r="DG8" s="78">
        <f t="shared" si="66"/>
        <v>397.93711229757093</v>
      </c>
      <c r="DH8" s="78">
        <f t="shared" si="67"/>
        <v>401.97350146761136</v>
      </c>
    </row>
    <row r="9" spans="1:112" x14ac:dyDescent="0.2">
      <c r="J9" s="70"/>
      <c r="AI9" s="64"/>
      <c r="AJ9" s="64"/>
      <c r="AQ9" s="59"/>
      <c r="AR9" s="65"/>
      <c r="AS9" s="65"/>
      <c r="AT9" s="65"/>
      <c r="AU9" s="65"/>
      <c r="AV9" s="65"/>
      <c r="AW9" s="65"/>
      <c r="AX9" s="65"/>
      <c r="AY9" s="65"/>
      <c r="AZ9" s="65"/>
    </row>
    <row r="10" spans="1:112" x14ac:dyDescent="0.2">
      <c r="A10" s="45" t="s">
        <v>62</v>
      </c>
      <c r="B10" s="46" t="s">
        <v>33</v>
      </c>
      <c r="C10" s="54" t="s">
        <v>34</v>
      </c>
      <c r="D10" s="45" t="s">
        <v>63</v>
      </c>
      <c r="E10" s="55" t="s">
        <v>64</v>
      </c>
      <c r="G10" s="50" t="s">
        <v>65</v>
      </c>
      <c r="I10" s="56">
        <v>2022</v>
      </c>
      <c r="J10" s="70">
        <v>0.105</v>
      </c>
      <c r="K10" s="57">
        <v>0.11</v>
      </c>
      <c r="L10" s="57">
        <v>0.1275</v>
      </c>
      <c r="M10" s="73">
        <v>36.299999999999997</v>
      </c>
      <c r="N10" s="73">
        <v>38</v>
      </c>
      <c r="O10" s="73">
        <v>40</v>
      </c>
      <c r="Q10" s="59">
        <v>1</v>
      </c>
      <c r="S10" s="59">
        <v>0</v>
      </c>
      <c r="T10" s="59">
        <v>0.1</v>
      </c>
      <c r="U10" s="59">
        <v>0.3</v>
      </c>
      <c r="V10" s="57">
        <v>2.9499999999999998E-2</v>
      </c>
      <c r="W10" s="57">
        <v>3.5000000000000003E-2</v>
      </c>
      <c r="X10" s="57">
        <v>0.04</v>
      </c>
      <c r="Y10" s="59">
        <v>0</v>
      </c>
      <c r="Z10" s="60">
        <v>0</v>
      </c>
      <c r="AA10" s="60">
        <v>0.2</v>
      </c>
      <c r="AB10" s="57">
        <v>0</v>
      </c>
      <c r="AC10" s="57">
        <v>0</v>
      </c>
      <c r="AD10" s="57">
        <v>0</v>
      </c>
      <c r="AE10" s="59">
        <v>0.01</v>
      </c>
      <c r="AF10" s="59">
        <v>4.5999999999999999E-2</v>
      </c>
      <c r="AG10" s="59">
        <v>0.08</v>
      </c>
      <c r="AH10" s="59">
        <v>0</v>
      </c>
      <c r="AI10" s="64">
        <v>0</v>
      </c>
      <c r="AJ10" s="64">
        <v>2000</v>
      </c>
      <c r="AK10" s="74">
        <v>0</v>
      </c>
      <c r="AL10" s="62">
        <v>4</v>
      </c>
      <c r="AM10" s="62">
        <v>5</v>
      </c>
      <c r="AN10" s="62">
        <v>0</v>
      </c>
      <c r="AO10" s="59">
        <v>0</v>
      </c>
      <c r="AP10" s="59">
        <v>0.2</v>
      </c>
      <c r="AQ10" s="59">
        <v>1.4999999999999999E-2</v>
      </c>
      <c r="AR10" s="65">
        <v>54364</v>
      </c>
      <c r="AS10" s="65">
        <f>AR10+((AT10-AR10)/2)</f>
        <v>77673</v>
      </c>
      <c r="AT10" s="65">
        <v>100982</v>
      </c>
      <c r="AU10" s="65">
        <f t="shared" ref="AU10:AW14" si="68">(AR10+(AR10*$K10)+(AR10*$T10)+(AR10*$W10)+(AR10*$Z10)+(AR10*$AC10)+(AR10*$AF10)+($AI10)+(AR10*((52+$AL10)/52))*(1+$AO10))*1/$Q10</f>
        <v>128729.77015384616</v>
      </c>
      <c r="AV10" s="65">
        <f t="shared" si="68"/>
        <v>183923.68915384618</v>
      </c>
      <c r="AW10" s="65">
        <f t="shared" si="68"/>
        <v>239117.60815384614</v>
      </c>
      <c r="AX10" s="65">
        <f>AU10/52/$N10</f>
        <v>65.146644814699471</v>
      </c>
      <c r="AY10" s="65">
        <f t="shared" ref="AY10:AZ14" si="69">AV10/52/$N10</f>
        <v>93.078790057614455</v>
      </c>
      <c r="AZ10" s="65">
        <f t="shared" si="69"/>
        <v>121.01093530052941</v>
      </c>
      <c r="BA10" s="78">
        <f>($AS10+($AS10*$J10)+($AS10*$T10)+($AS10*$W10)+($AS10*$Z10)+($AS10*$AC10)+($AS10*$AF10)+($AI10)+($AS10*((52+$AL10)/52))*(1+$AO10))*1/$Q10</f>
        <v>183535.32415384613</v>
      </c>
      <c r="BB10" s="78">
        <f>($AS10+($AS10*$K10)+($AS10*$T10)+($AS10*$W10)+($AS10*$Z10)+($AS10*$AC10)+($AS10*$AF10)+($AI10)+($AS10*((52+$AL10)/52))*(1+$AO10))*1/$Q10</f>
        <v>183923.68915384618</v>
      </c>
      <c r="BC10" s="78">
        <f>($AS10+($AS10*$L10)+($AS10*$T10)+($AS10*$W10)+($AS10*$Z10)+($AS10*$AC10)+($AS10*$AF10)+($AI10)+($AS10*((52+$AL10)/52))*(1+$AO10))*1/$Q10</f>
        <v>185282.96665384615</v>
      </c>
      <c r="BD10" s="78">
        <f>BA10/52/$N10</f>
        <v>92.882249065711605</v>
      </c>
      <c r="BE10" s="78">
        <f t="shared" ref="BE10:BE14" si="70">BB10/52/$N10</f>
        <v>93.078790057614455</v>
      </c>
      <c r="BF10" s="78">
        <f t="shared" ref="BF10:BF14" si="71">BC10/52/$N10</f>
        <v>93.76668352927436</v>
      </c>
      <c r="BG10" s="78">
        <f>($AS10+($AS10*$K10)+($AS10*$T10)+($AS10*$W10)+($AS10*$Z10)+($AS10*$AC10)+($AS10*$AF10)+($AI10)+($AS10*((52+$AL10)/52))*(1+$AO10))*1/$Q10</f>
        <v>183923.68915384618</v>
      </c>
      <c r="BH10" s="78">
        <f>($AS10+($AS10*$K10)+($AS10*$T10)+($AS10*$W10)+($AS10*$Z10)+($AS10*$AC10)+($AS10*$AF10)+($AI10)+($AS10*((52+$AL10)/52))*(1+$AO10))*1/$Q10</f>
        <v>183923.68915384618</v>
      </c>
      <c r="BI10" s="78">
        <f>($AS10+($AS10*$K10)+($AS10*$T10)+($AS10*$W10)+($AS10*$Z10)+($AS10*$AC10)+($AS10*$AF10)+($AI10)+($AS10*((52+$AL10)/52))*(1+$AO10))*1/$Q10</f>
        <v>183923.68915384618</v>
      </c>
      <c r="BJ10" s="78">
        <f>BG10/52/$O10</f>
        <v>88.424850554733737</v>
      </c>
      <c r="BK10" s="78">
        <f>BH10/52/$N10</f>
        <v>93.078790057614455</v>
      </c>
      <c r="BL10" s="78">
        <f>BI10/52/$M10</f>
        <v>97.437851850946274</v>
      </c>
      <c r="BM10" s="78">
        <f>($AS10+($AS10*$K10)+($AS10*$S10)+($AS10*$W10)+($AS10*$Z10)+($AS10*$AC10)+($AS10*$AF10)+($AI10)+($AS10*((52+$AL10)/52))*(1+$AO10))*1/$Q10</f>
        <v>176156.38915384613</v>
      </c>
      <c r="BN10" s="78">
        <f>($AS10+($AS10*$K10)+($AS10*$T10)+($AS10*$W10)+($AS10*$Z10)+($AS10*$AC10)+($AS10*$AF10)+($AI10)+($AS10*((52+$AL10)/52))*(1+$AO10))*1/$Q10</f>
        <v>183923.68915384618</v>
      </c>
      <c r="BO10" s="78">
        <f>($AS10+($AS10*$K10)+($AS10*$U10)+($AS10*$W10)+($AS10*$Z10)+($AS10*$AC10)+($AS10*$AF10)+($AI10)+($AS10*((52+$AL10)/52))*(1+$AO10))*1/$Q10</f>
        <v>199458.28915384616</v>
      </c>
      <c r="BP10" s="78">
        <f>BM10/52/$N10</f>
        <v>89.147970219557763</v>
      </c>
      <c r="BQ10" s="78">
        <f>BN10/52/$N10</f>
        <v>93.078790057614455</v>
      </c>
      <c r="BR10" s="78">
        <f>BO10/52/$N10</f>
        <v>100.94042973372781</v>
      </c>
      <c r="BS10" s="78">
        <f>($AS10+($AS10*$K10)+($AS10*$T10)+($AS10*$V10)+($AS10*$Z10)+($AS10*$AC10)+($AS10*$AF10)+($AI10)+($AS10*((52+$AL10)/52))*(1+$AO10))*1/$Q10</f>
        <v>183496.48765384615</v>
      </c>
      <c r="BT10" s="78">
        <f>($AS10+($AS10*$K10)+($AS10*$T10)+($AS10*$W10)+($AS10*$Z10)+($AS10*$AC10)+($AS10*$AF10)+($AI10)+($AS10*((52+$AL10)/52))*(1+$AO10))*1/$Q10</f>
        <v>183923.68915384618</v>
      </c>
      <c r="BU10" s="78">
        <f>($AS10+($AS10*$K10)+($AS10*$T10)+($AS10*$X10)+($AS10*$Z10)+($AS10*$AC10)+($AS10*$AF10)+($AI10)+($AS10*((52+$AL10)/52))*(1+$AO10))*1/$Q10</f>
        <v>184312.05415384617</v>
      </c>
      <c r="BV10" s="78">
        <f>BS10/52/$N10</f>
        <v>92.862594966521328</v>
      </c>
      <c r="BW10" s="78">
        <f t="shared" ref="BW10:BW14" si="72">BT10/52/$N10</f>
        <v>93.078790057614455</v>
      </c>
      <c r="BX10" s="78">
        <f t="shared" ref="BX10:BX14" si="73">BU10/52/$N10</f>
        <v>93.275331049517291</v>
      </c>
      <c r="BY10" s="78">
        <f>($AS10+($AS10*$K10)+($AS10*$T10)+($AS10*$W10)+($AS10*$Y10)+($AS10*$AC10)+($AS10*$AF10)+($AI10)+($AS10*((52+$AL10)/52))*(1+$AO10))*1/$Q10</f>
        <v>183923.68915384618</v>
      </c>
      <c r="BZ10" s="78">
        <f>($AS10+($AS10*$K10)+($AS10*$T10)+($AS10*$W10)+($AS10*$Z10)+($AS10*$AC10)+($AS10*$AF10)+($AI10)+($AS10*((52+$AL10)/52))*(1+$AO10))*1/$Q10</f>
        <v>183923.68915384618</v>
      </c>
      <c r="CA10" s="78">
        <f>($AS10+($AS10*$K10)+($AS10*$T10)+($AS10*$W10)+($AS10*$AA10)+($AS10*$AC10)+($AS10*$AF10)+($AI10)+($AS10*((52+$AL10)/52))*(1+$AO10))*1/$Q10</f>
        <v>199458.28915384616</v>
      </c>
      <c r="CB10" s="78">
        <f>BY10/52/$N10</f>
        <v>93.078790057614455</v>
      </c>
      <c r="CC10" s="78">
        <f>BZ10/52/$N10</f>
        <v>93.078790057614455</v>
      </c>
      <c r="CD10" s="78">
        <f>CA10/52/$N10</f>
        <v>100.94042973372781</v>
      </c>
      <c r="CE10" s="78">
        <f>($AS10+($AS10*$K10)+($AS10*$T10)+($AS10*$W10)+($AS10*$Z10)+($AS10*$AB10)+($AS10*$AF10)+($AI10)+($AS10*((52+$AL10)/52))*(1+$AO10))*1/$Q10</f>
        <v>183923.68915384618</v>
      </c>
      <c r="CF10" s="78">
        <f>($AS10+($AS10*$K10)+($AS10*$T10)+($AS10*$W10)+($AS10*$Z10)+($AS10*$AC10)+($AS10*$AF10)+($AI10)+($AS10*((52+$AL10)/52))*(1+$AO10))*1/$Q10</f>
        <v>183923.68915384618</v>
      </c>
      <c r="CG10" s="78">
        <f>($AS10+($AS10*$K10)+($AS10*$T10)+($AS10*$W10)+($AS10*$Z10)+($AS10*$AD10)+($AS10*$AF10)+($AI10)+($AS10*((52+$AL10)/52))*(1+$AO10))*1/$Q10</f>
        <v>183923.68915384618</v>
      </c>
      <c r="CH10" s="78">
        <f>CE10/52/$N10</f>
        <v>93.078790057614455</v>
      </c>
      <c r="CI10" s="78">
        <f>CF10/52/$N10</f>
        <v>93.078790057614455</v>
      </c>
      <c r="CJ10" s="78">
        <f t="shared" ref="CJ10:CJ14" si="74">CG10/52/$N10</f>
        <v>93.078790057614455</v>
      </c>
      <c r="CK10" s="78">
        <f>($AS10+($AS10*$K10)+($AS10*$T10)+($AS10*$W10)+($AS10*$Z10)+($AS10*$AC10)+($AS10*$AE10)+($AI10)+($AS10*((52+$AL10)/52))*(1+$AO10))*1/$Q10</f>
        <v>181127.46115384618</v>
      </c>
      <c r="CL10" s="78">
        <f>($AS10+($AS10*$K10)+($AS10*$T10)+($AS10*$W10)+($AS10*$Z10)+($AS10*$AC10)+($AS10*$AF10)+($AI10)+($AS10*((52+$AL10)/52))*(1+$AO10))*1/$Q10</f>
        <v>183923.68915384618</v>
      </c>
      <c r="CM10" s="78">
        <f>($AS10+($AS10*$K10)+($AS10*$T10)+($AS10*$W10)+($AS10*$Z10)+($AS10*$AC10)+($AS10*$AG10)+($AI10)+($AS10*((52+$AL10)/52))*(1+$AO10))*1/$Q10</f>
        <v>186564.57115384616</v>
      </c>
      <c r="CN10" s="78">
        <f>CK10/52/$N10</f>
        <v>91.66369491591405</v>
      </c>
      <c r="CO10" s="78">
        <f>CL10/52/$N10</f>
        <v>93.078790057614455</v>
      </c>
      <c r="CP10" s="78">
        <f t="shared" ref="CP10:CP14" si="75">CM10/52/$N10</f>
        <v>94.415268802553726</v>
      </c>
      <c r="CQ10" s="78">
        <f>($AS10+($AS10*$K10)+($AS10*$T10)+($AS10*$W10)+($AS10*$Z10)+($AS10*$AC10)+($AS10*$AF10)+($AH10)+($AS10*((52+$AL10)/52))*(1+$AO10))*1/$Q10</f>
        <v>183923.68915384618</v>
      </c>
      <c r="CR10" s="78">
        <f>($AS10+($AS10*$K10)+($AS10*$T10)+($AS10*$W10)+($AS10*$Z10)+($AS10*$AC10)+($AS10*$AF10)+($AI10)+($AS10*((52+$AL10)/52))*(1+$AO10))*1/$Q10</f>
        <v>183923.68915384618</v>
      </c>
      <c r="CS10" s="78">
        <f>($AS10+($AS10*$K10)+($AS10*$T10)+($AS10*$W10)+($AS10*$Z10)+($AS10*$AC10)+($AS10*$AF10)+($AJ10)+($AS10*((52+$AL10)/52))*(1+$AO10))*1/$Q10</f>
        <v>185923.68915384618</v>
      </c>
      <c r="CT10" s="78">
        <f>CQ10/52/$N10</f>
        <v>93.078790057614455</v>
      </c>
      <c r="CU10" s="78">
        <f>CR10/52/$N10</f>
        <v>93.078790057614455</v>
      </c>
      <c r="CV10" s="78">
        <f t="shared" ref="CV10:CV14" si="76">CS10/52/$N10</f>
        <v>94.090935806602317</v>
      </c>
      <c r="CW10" s="78">
        <f>($AS10+($AS10*$K10)+($AS10*$T10)+($AS10*$W10)+($AS10*$Z10)+($AS10*$AC10)+($AS10*$AF10)+($AI10)+($AS10*((52+$AK10)/52))*(1+$AO10))*1/$Q10</f>
        <v>177948.84299999999</v>
      </c>
      <c r="CX10" s="78">
        <f>($AS10+($AS10*$K10)+($AS10*$T10)+($AS10*$W10)+($AS10*$Z10)+($AS10*$AC10)+($AS10*$AF10)+($AI10)+($AS10*((52+$AL10)/52))*(1+$AO10))*1/$Q10</f>
        <v>183923.68915384618</v>
      </c>
      <c r="CY10" s="78">
        <f>($AS10+($AS10*$K10)+($AS10*$T10)+($AS10*$W10)+($AS10*$Z10)+($AS10*$AC10)+($AS10*$AF10)+($AI10)+($AS10*((52+$AM10)/52))*(1+$AO10))*1/$Q10</f>
        <v>185417.40069230771</v>
      </c>
      <c r="CZ10" s="78">
        <f>CW10/52/$N10</f>
        <v>90.055082489878529</v>
      </c>
      <c r="DA10" s="78">
        <f>CX10/52/$N10</f>
        <v>93.078790057614455</v>
      </c>
      <c r="DB10" s="78">
        <f t="shared" ref="DB10:DB14" si="77">CY10/52/$N10</f>
        <v>93.834716949548437</v>
      </c>
      <c r="DC10" s="78">
        <f>($AS10+($AS10*$K10)+($AS10*$T10)+($AS10*$W10)+($AS10*$Z10)+($AS10*$AC10)+($AS10*$AF10)+($AI10)+($AS10*((52+$AL10)/52))*(1+$AN10))*1/$Q10</f>
        <v>183923.68915384618</v>
      </c>
      <c r="DD10" s="78">
        <f>($AS10+($AS10*$K10)+($AS10*$T10)+($AS10*$W10)+($AS10*$Z10)+($AS10*$AC10)+($AS10*$AF10)+($AI10)+($AS10*((52+$AL10)/52))*(1+$AO10))*1/$Q10</f>
        <v>183923.68915384618</v>
      </c>
      <c r="DE10" s="78">
        <f>($AS10+($AS10*$K10)+($AS10*$T10)+($AS10*$W10)+($AS10*$Z10)+($AS10*$AC10)+($AS10*$AF10)+($AI10)+($AS10*((52+$AL10)/52))*(1+$AP10))*1/$Q10</f>
        <v>200653.25838461539</v>
      </c>
      <c r="DF10" s="78">
        <f>DC10/52/$N10</f>
        <v>93.078790057614455</v>
      </c>
      <c r="DG10" s="78">
        <f>DD10/52/$N10</f>
        <v>93.078790057614455</v>
      </c>
      <c r="DH10" s="78">
        <f t="shared" ref="DH10:DH14" si="78">DE10/52/$N10</f>
        <v>101.54517124727499</v>
      </c>
    </row>
    <row r="11" spans="1:112" x14ac:dyDescent="0.2">
      <c r="A11" s="45" t="s">
        <v>62</v>
      </c>
      <c r="B11" s="46" t="s">
        <v>40</v>
      </c>
      <c r="C11" s="54" t="s">
        <v>41</v>
      </c>
      <c r="D11" s="45" t="s">
        <v>66</v>
      </c>
      <c r="E11" s="55" t="s">
        <v>67</v>
      </c>
      <c r="F11" s="45" t="s">
        <v>60</v>
      </c>
      <c r="G11" s="45" t="s">
        <v>68</v>
      </c>
      <c r="H11" s="56" t="s">
        <v>69</v>
      </c>
      <c r="I11" s="56">
        <v>2022</v>
      </c>
      <c r="J11" s="70">
        <v>0.105</v>
      </c>
      <c r="K11" s="57">
        <v>0.11</v>
      </c>
      <c r="L11" s="57">
        <v>0.1275</v>
      </c>
      <c r="M11" s="73">
        <v>36.299999999999997</v>
      </c>
      <c r="N11" s="73">
        <v>38</v>
      </c>
      <c r="O11" s="73">
        <v>40</v>
      </c>
      <c r="Q11" s="59">
        <v>1</v>
      </c>
      <c r="S11" s="59">
        <v>0</v>
      </c>
      <c r="T11" s="59">
        <v>0.1</v>
      </c>
      <c r="U11" s="59">
        <v>0.3</v>
      </c>
      <c r="V11" s="57">
        <v>2.9499999999999998E-2</v>
      </c>
      <c r="W11" s="57">
        <v>3.5000000000000003E-2</v>
      </c>
      <c r="X11" s="57">
        <v>0.04</v>
      </c>
      <c r="Y11" s="59">
        <v>0</v>
      </c>
      <c r="Z11" s="60">
        <v>0</v>
      </c>
      <c r="AA11" s="60">
        <v>0.2</v>
      </c>
      <c r="AB11" s="57">
        <v>0</v>
      </c>
      <c r="AC11" s="57">
        <v>0</v>
      </c>
      <c r="AD11" s="57">
        <v>0</v>
      </c>
      <c r="AE11" s="59">
        <v>0.01</v>
      </c>
      <c r="AF11" s="59">
        <v>4.5999999999999999E-2</v>
      </c>
      <c r="AG11" s="59">
        <v>0.08</v>
      </c>
      <c r="AH11" s="59">
        <v>0</v>
      </c>
      <c r="AI11" s="64">
        <v>0</v>
      </c>
      <c r="AJ11" s="64">
        <v>2000</v>
      </c>
      <c r="AK11" s="74">
        <v>0</v>
      </c>
      <c r="AL11" s="62">
        <v>5</v>
      </c>
      <c r="AM11" s="62">
        <v>5</v>
      </c>
      <c r="AN11" s="62">
        <v>0</v>
      </c>
      <c r="AO11" s="59">
        <v>0</v>
      </c>
      <c r="AP11" s="59">
        <v>0.2</v>
      </c>
      <c r="AQ11" s="59">
        <v>1.4999999999999999E-2</v>
      </c>
      <c r="AR11" s="65">
        <v>66386</v>
      </c>
      <c r="AS11" s="65">
        <f>AR11+((AT11-AR11)/2)</f>
        <v>104238</v>
      </c>
      <c r="AT11" s="65">
        <v>142090</v>
      </c>
      <c r="AU11" s="65">
        <f t="shared" si="68"/>
        <v>158473.59523076925</v>
      </c>
      <c r="AV11" s="65">
        <f t="shared" si="68"/>
        <v>248832.14261538463</v>
      </c>
      <c r="AW11" s="65">
        <f t="shared" si="68"/>
        <v>339190.69000000006</v>
      </c>
      <c r="AX11" s="65">
        <f t="shared" ref="AX11:AZ26" si="79">AU11/52/$N11</f>
        <v>80.199187869822495</v>
      </c>
      <c r="AY11" s="65">
        <f t="shared" si="69"/>
        <v>125.92719767985052</v>
      </c>
      <c r="AZ11" s="65">
        <f t="shared" si="69"/>
        <v>171.65520748987856</v>
      </c>
      <c r="BA11" s="78">
        <f t="shared" ref="BA11:BA14" si="80">($AS11+($AS11*$J11)+($AS11*$T11)+($AS11*$W11)+($AS11*$Z11)+($AS11*$AC11)+($AS11*$AF11)+($AI11)+($AS11*((52+$AL11)/52))*(1+$AO11))*1/$Q11</f>
        <v>248310.95261538462</v>
      </c>
      <c r="BB11" s="78">
        <f t="shared" ref="BB11:BB14" si="81">($AS11+($AS11*$K11)+($AS11*$T11)+($AS11*$W11)+($AS11*$Z11)+($AS11*$AC11)+($AS11*$AF11)+($AI11)+($AS11*((52+$AL11)/52))*(1+$AO11))*1/$Q11</f>
        <v>248832.14261538463</v>
      </c>
      <c r="BC11" s="78">
        <f t="shared" ref="BC11:BC14" si="82">($AS11+($AS11*$L11)+($AS11*$T11)+($AS11*$W11)+($AS11*$Z11)+($AS11*$AC11)+($AS11*$AF11)+($AI11)+($AS11*((52+$AL11)/52))*(1+$AO11))*1/$Q11</f>
        <v>250656.30761538463</v>
      </c>
      <c r="BD11" s="78">
        <f t="shared" ref="BD11:BD14" si="83">BA11/52/$N11</f>
        <v>125.66343755839303</v>
      </c>
      <c r="BE11" s="78">
        <f t="shared" si="70"/>
        <v>125.92719767985052</v>
      </c>
      <c r="BF11" s="78">
        <f t="shared" si="71"/>
        <v>126.85035810495174</v>
      </c>
      <c r="BG11" s="78">
        <f t="shared" ref="BG11:BI14" si="84">($AS11+($AS11*$K11)+($AS11*$T11)+($AS11*$W11)+($AS11*$Z11)+($AS11*$AC11)+($AS11*$AF11)+($AI11)+($AS11*((52+$AL11)/52))*(1+$AO11))*1/$Q11</f>
        <v>248832.14261538463</v>
      </c>
      <c r="BH11" s="78">
        <f t="shared" si="84"/>
        <v>248832.14261538463</v>
      </c>
      <c r="BI11" s="78">
        <f t="shared" si="84"/>
        <v>248832.14261538463</v>
      </c>
      <c r="BJ11" s="78">
        <f t="shared" ref="BJ11:BJ14" si="85">BG11/52/$O11</f>
        <v>119.630837795858</v>
      </c>
      <c r="BK11" s="78">
        <f t="shared" ref="BK11:BK14" si="86">BH11/52/$N11</f>
        <v>125.92719767985052</v>
      </c>
      <c r="BL11" s="78">
        <f t="shared" ref="BL11:BL14" si="87">BI11/52/$M11</f>
        <v>131.82461465108321</v>
      </c>
      <c r="BM11" s="78">
        <f t="shared" ref="BM11:BM14" si="88">($AS11+($AS11*$K11)+($AS11*$S11)+($AS11*$W11)+($AS11*$Z11)+($AS11*$AC11)+($AS11*$AF11)+($AI11)+($AS11*((52+$AL11)/52))*(1+$AO11))*1/$Q11</f>
        <v>238408.34261538461</v>
      </c>
      <c r="BN11" s="78">
        <f t="shared" ref="BN11:BN14" si="89">($AS11+($AS11*$K11)+($AS11*$T11)+($AS11*$W11)+($AS11*$Z11)+($AS11*$AC11)+($AS11*$AF11)+($AI11)+($AS11*((52+$AL11)/52))*(1+$AO11))*1/$Q11</f>
        <v>248832.14261538463</v>
      </c>
      <c r="BO11" s="78">
        <f t="shared" ref="BO11:BO14" si="90">($AS11+($AS11*$K11)+($AS11*$U11)+($AS11*$W11)+($AS11*$Z11)+($AS11*$AC11)+($AS11*$AF11)+($AI11)+($AS11*((52+$AL11)/52))*(1+$AO11))*1/$Q11</f>
        <v>269679.74261538463</v>
      </c>
      <c r="BP11" s="78">
        <f t="shared" ref="BP11:BP14" si="91">BM11/52/$N11</f>
        <v>120.65199525070071</v>
      </c>
      <c r="BQ11" s="78">
        <f t="shared" ref="BQ11:BQ14" si="92">BN11/52/$N11</f>
        <v>125.92719767985052</v>
      </c>
      <c r="BR11" s="78">
        <f t="shared" ref="BR11:BR14" si="93">BO11/52/$N11</f>
        <v>136.47760253815014</v>
      </c>
      <c r="BS11" s="78">
        <f t="shared" ref="BS11:BS14" si="94">($AS11+($AS11*$K11)+($AS11*$T11)+($AS11*$V11)+($AS11*$Z11)+($AS11*$AC11)+($AS11*$AF11)+($AI11)+($AS11*((52+$AL11)/52))*(1+$AO11))*1/$Q11</f>
        <v>248258.83361538462</v>
      </c>
      <c r="BT11" s="78">
        <f t="shared" ref="BT11:BT14" si="95">($AS11+($AS11*$K11)+($AS11*$T11)+($AS11*$W11)+($AS11*$Z11)+($AS11*$AC11)+($AS11*$AF11)+($AI11)+($AS11*((52+$AL11)/52))*(1+$AO11))*1/$Q11</f>
        <v>248832.14261538463</v>
      </c>
      <c r="BU11" s="78">
        <f t="shared" ref="BU11:BU14" si="96">($AS11+($AS11*$K11)+($AS11*$T11)+($AS11*$X11)+($AS11*$Z11)+($AS11*$AC11)+($AS11*$AF11)+($AI11)+($AS11*((52+$AL11)/52))*(1+$AO11))*1/$Q11</f>
        <v>249353.33261538463</v>
      </c>
      <c r="BV11" s="78">
        <f t="shared" ref="BV11:BV14" si="97">BS11/52/$N11</f>
        <v>125.63706154624728</v>
      </c>
      <c r="BW11" s="78">
        <f t="shared" si="72"/>
        <v>125.92719767985052</v>
      </c>
      <c r="BX11" s="78">
        <f t="shared" si="73"/>
        <v>126.190957801308</v>
      </c>
      <c r="BY11" s="78">
        <f t="shared" ref="BY11:BY14" si="98">($AS11+($AS11*$K11)+($AS11*$T11)+($AS11*$W11)+($AS11*$Y11)+($AS11*$AC11)+($AS11*$AF11)+($AI11)+($AS11*((52+$AL11)/52))*(1+$AO11))*1/$Q11</f>
        <v>248832.14261538463</v>
      </c>
      <c r="BZ11" s="78">
        <f t="shared" ref="BZ11:BZ14" si="99">($AS11+($AS11*$K11)+($AS11*$T11)+($AS11*$W11)+($AS11*$Z11)+($AS11*$AC11)+($AS11*$AF11)+($AI11)+($AS11*((52+$AL11)/52))*(1+$AO11))*1/$Q11</f>
        <v>248832.14261538463</v>
      </c>
      <c r="CA11" s="78">
        <f t="shared" ref="CA11:CA14" si="100">($AS11+($AS11*$K11)+($AS11*$T11)+($AS11*$W11)+($AS11*$AA11)+($AS11*$AC11)+($AS11*$AF11)+($AI11)+($AS11*((52+$AL11)/52))*(1+$AO11))*1/$Q11</f>
        <v>269679.74261538463</v>
      </c>
      <c r="CB11" s="78">
        <f t="shared" ref="CB11:CB14" si="101">BY11/52/$N11</f>
        <v>125.92719767985052</v>
      </c>
      <c r="CC11" s="78">
        <f t="shared" ref="CC11:CC14" si="102">BZ11/52/$N11</f>
        <v>125.92719767985052</v>
      </c>
      <c r="CD11" s="78">
        <f t="shared" ref="CD11:CD14" si="103">CA11/52/$N11</f>
        <v>136.47760253815014</v>
      </c>
      <c r="CE11" s="78">
        <f t="shared" ref="CE11:CE14" si="104">($AS11+($AS11*$K11)+($AS11*$T11)+($AS11*$W11)+($AS11*$Z11)+($AS11*$AB11)+($AS11*$AF11)+($AI11)+($AS11*((52+$AL11)/52))*(1+$AO11))*1/$Q11</f>
        <v>248832.14261538463</v>
      </c>
      <c r="CF11" s="78">
        <f t="shared" ref="CF11:CF14" si="105">($AS11+($AS11*$K11)+($AS11*$T11)+($AS11*$W11)+($AS11*$Z11)+($AS11*$AC11)+($AS11*$AF11)+($AI11)+($AS11*((52+$AL11)/52))*(1+$AO11))*1/$Q11</f>
        <v>248832.14261538463</v>
      </c>
      <c r="CG11" s="78">
        <f t="shared" ref="CG11:CG14" si="106">($AS11+($AS11*$K11)+($AS11*$T11)+($AS11*$W11)+($AS11*$Z11)+($AS11*$AD11)+($AS11*$AF11)+($AI11)+($AS11*((52+$AL11)/52))*(1+$AO11))*1/$Q11</f>
        <v>248832.14261538463</v>
      </c>
      <c r="CH11" s="78">
        <f t="shared" ref="CH11:CH14" si="107">CE11/52/$N11</f>
        <v>125.92719767985052</v>
      </c>
      <c r="CI11" s="78">
        <f t="shared" ref="CI11:CI14" si="108">CF11/52/$N11</f>
        <v>125.92719767985052</v>
      </c>
      <c r="CJ11" s="78">
        <f t="shared" si="74"/>
        <v>125.92719767985052</v>
      </c>
      <c r="CK11" s="78">
        <f t="shared" ref="CK11:CK14" si="109">($AS11+($AS11*$K11)+($AS11*$T11)+($AS11*$W11)+($AS11*$Z11)+($AS11*$AC11)+($AS11*$AE11)+($AI11)+($AS11*((52+$AL11)/52))*(1+$AO11))*1/$Q11</f>
        <v>245079.57461538463</v>
      </c>
      <c r="CL11" s="78">
        <f t="shared" ref="CL11:CL14" si="110">($AS11+($AS11*$K11)+($AS11*$T11)+($AS11*$W11)+($AS11*$Z11)+($AS11*$AC11)+($AS11*$AF11)+($AI11)+($AS11*((52+$AL11)/52))*(1+$AO11))*1/$Q11</f>
        <v>248832.14261538463</v>
      </c>
      <c r="CM11" s="78">
        <f t="shared" ref="CM11:CM14" si="111">($AS11+($AS11*$K11)+($AS11*$T11)+($AS11*$W11)+($AS11*$Z11)+($AS11*$AC11)+($AS11*$AG11)+($AI11)+($AS11*((52+$AL11)/52))*(1+$AO11))*1/$Q11</f>
        <v>252376.23461538463</v>
      </c>
      <c r="CN11" s="78">
        <f t="shared" ref="CN11:CN14" si="112">CK11/52/$N11</f>
        <v>124.02812480535658</v>
      </c>
      <c r="CO11" s="78">
        <f t="shared" ref="CO11:CO14" si="113">CL11/52/$N11</f>
        <v>125.92719767985052</v>
      </c>
      <c r="CP11" s="78">
        <f t="shared" si="75"/>
        <v>127.72076650576145</v>
      </c>
      <c r="CQ11" s="78">
        <f t="shared" ref="CQ11:CQ14" si="114">($AS11+($AS11*$K11)+($AS11*$T11)+($AS11*$W11)+($AS11*$Z11)+($AS11*$AC11)+($AS11*$AF11)+($AH11)+($AS11*((52+$AL11)/52))*(1+$AO11))*1/$Q11</f>
        <v>248832.14261538463</v>
      </c>
      <c r="CR11" s="78">
        <f t="shared" ref="CR11:CR14" si="115">($AS11+($AS11*$K11)+($AS11*$T11)+($AS11*$W11)+($AS11*$Z11)+($AS11*$AC11)+($AS11*$AF11)+($AI11)+($AS11*((52+$AL11)/52))*(1+$AO11))*1/$Q11</f>
        <v>248832.14261538463</v>
      </c>
      <c r="CS11" s="78">
        <f t="shared" ref="CS11:CS14" si="116">($AS11+($AS11*$K11)+($AS11*$T11)+($AS11*$W11)+($AS11*$Z11)+($AS11*$AC11)+($AS11*$AF11)+($AJ11)+($AS11*((52+$AL11)/52))*(1+$AO11))*1/$Q11</f>
        <v>250832.14261538463</v>
      </c>
      <c r="CT11" s="78">
        <f t="shared" ref="CT11:CT14" si="117">CQ11/52/$N11</f>
        <v>125.92719767985052</v>
      </c>
      <c r="CU11" s="78">
        <f t="shared" ref="CU11:CU14" si="118">CR11/52/$N11</f>
        <v>125.92719767985052</v>
      </c>
      <c r="CV11" s="78">
        <f t="shared" si="76"/>
        <v>126.93934342883837</v>
      </c>
      <c r="CW11" s="78">
        <f t="shared" ref="CW11:CW14" si="119">($AS11+($AS11*$K11)+($AS11*$T11)+($AS11*$W11)+($AS11*$Z11)+($AS11*$AC11)+($AS11*$AF11)+($AI11)+($AS11*((52+$AK11)/52))*(1+$AO11))*1/$Q11</f>
        <v>238809.258</v>
      </c>
      <c r="CX11" s="78">
        <f t="shared" ref="CX11:CX14" si="120">($AS11+($AS11*$K11)+($AS11*$T11)+($AS11*$W11)+($AS11*$Z11)+($AS11*$AC11)+($AS11*$AF11)+($AI11)+($AS11*((52+$AL11)/52))*(1+$AO11))*1/$Q11</f>
        <v>248832.14261538463</v>
      </c>
      <c r="CY11" s="78">
        <f t="shared" ref="CY11:CY14" si="121">($AS11+($AS11*$K11)+($AS11*$T11)+($AS11*$W11)+($AS11*$Z11)+($AS11*$AC11)+($AS11*$AF11)+($AI11)+($AS11*((52+$AM11)/52))*(1+$AO11))*1/$Q11</f>
        <v>248832.14261538463</v>
      </c>
      <c r="CZ11" s="78">
        <f t="shared" ref="CZ11:CZ14" si="122">CW11/52/$N11</f>
        <v>120.85488765182187</v>
      </c>
      <c r="DA11" s="78">
        <f t="shared" ref="DA11:DA14" si="123">CX11/52/$N11</f>
        <v>125.92719767985052</v>
      </c>
      <c r="DB11" s="78">
        <f t="shared" si="77"/>
        <v>125.92719767985052</v>
      </c>
      <c r="DC11" s="78">
        <f t="shared" ref="DC11:DC14" si="124">($AS11+($AS11*$K11)+($AS11*$T11)+($AS11*$W11)+($AS11*$Z11)+($AS11*$AC11)+($AS11*$AF11)+($AI11)+($AS11*((52+$AL11)/52))*(1+$AN11))*1/$Q11</f>
        <v>248832.14261538463</v>
      </c>
      <c r="DD11" s="78">
        <f t="shared" ref="DD11:DD14" si="125">($AS11+($AS11*$K11)+($AS11*$T11)+($AS11*$W11)+($AS11*$Z11)+($AS11*$AC11)+($AS11*$AF11)+($AI11)+($AS11*((52+$AL11)/52))*(1+$AO11))*1/$Q11</f>
        <v>248832.14261538463</v>
      </c>
      <c r="DE11" s="78">
        <f t="shared" ref="DE11:DE14" si="126">($AS11+($AS11*$K11)+($AS11*$T11)+($AS11*$W11)+($AS11*$Z11)+($AS11*$AC11)+($AS11*$AF11)+($AI11)+($AS11*((52+$AL11)/52))*(1+$AP11))*1/$Q11</f>
        <v>271684.31953846151</v>
      </c>
      <c r="DF11" s="78">
        <f t="shared" ref="DF11:DF14" si="127">DC11/52/$N11</f>
        <v>125.92719767985052</v>
      </c>
      <c r="DG11" s="78">
        <f t="shared" ref="DG11:DG14" si="128">DD11/52/$N11</f>
        <v>125.92719767985052</v>
      </c>
      <c r="DH11" s="78">
        <f t="shared" si="78"/>
        <v>137.49206454375582</v>
      </c>
    </row>
    <row r="12" spans="1:112" x14ac:dyDescent="0.2">
      <c r="A12" s="45" t="s">
        <v>62</v>
      </c>
      <c r="B12" s="46" t="s">
        <v>47</v>
      </c>
      <c r="C12" s="54" t="s">
        <v>48</v>
      </c>
      <c r="D12" s="45" t="s">
        <v>63</v>
      </c>
      <c r="E12" s="55" t="s">
        <v>70</v>
      </c>
      <c r="I12" s="56">
        <v>2022</v>
      </c>
      <c r="J12" s="70">
        <v>0.105</v>
      </c>
      <c r="K12" s="57">
        <v>0.11</v>
      </c>
      <c r="L12" s="57">
        <v>0.1275</v>
      </c>
      <c r="M12" s="73">
        <v>36.299999999999997</v>
      </c>
      <c r="N12" s="73">
        <v>38</v>
      </c>
      <c r="O12" s="73">
        <v>40</v>
      </c>
      <c r="Q12" s="59">
        <v>1</v>
      </c>
      <c r="S12" s="59">
        <v>0</v>
      </c>
      <c r="T12" s="59">
        <v>0.1</v>
      </c>
      <c r="U12" s="59">
        <v>0.3</v>
      </c>
      <c r="V12" s="57">
        <v>2.9499999999999998E-2</v>
      </c>
      <c r="W12" s="57">
        <v>3.5000000000000003E-2</v>
      </c>
      <c r="X12" s="57">
        <v>0.04</v>
      </c>
      <c r="Y12" s="59">
        <v>0</v>
      </c>
      <c r="Z12" s="60">
        <v>0</v>
      </c>
      <c r="AA12" s="60">
        <v>0.2</v>
      </c>
      <c r="AB12" s="57">
        <v>0</v>
      </c>
      <c r="AC12" s="57">
        <v>0</v>
      </c>
      <c r="AD12" s="57">
        <v>0</v>
      </c>
      <c r="AE12" s="59">
        <v>0.01</v>
      </c>
      <c r="AF12" s="59">
        <v>4.5999999999999999E-2</v>
      </c>
      <c r="AG12" s="59">
        <v>0.08</v>
      </c>
      <c r="AH12" s="59">
        <v>0</v>
      </c>
      <c r="AI12" s="64">
        <v>0</v>
      </c>
      <c r="AJ12" s="64">
        <v>2000</v>
      </c>
      <c r="AK12" s="74">
        <v>0</v>
      </c>
      <c r="AL12" s="62">
        <v>4</v>
      </c>
      <c r="AM12" s="62">
        <v>5</v>
      </c>
      <c r="AN12" s="62">
        <v>0</v>
      </c>
      <c r="AO12" s="59">
        <v>0</v>
      </c>
      <c r="AP12" s="59">
        <v>0.2</v>
      </c>
      <c r="AQ12" s="59">
        <v>1.4999999999999999E-2</v>
      </c>
      <c r="AR12" s="65">
        <v>56916</v>
      </c>
      <c r="AS12" s="65">
        <f>AR12+((AT12-AR12)/2)</f>
        <v>63374</v>
      </c>
      <c r="AT12" s="65">
        <v>69832</v>
      </c>
      <c r="AU12" s="65">
        <f t="shared" si="68"/>
        <v>134772.70984615386</v>
      </c>
      <c r="AV12" s="65">
        <f t="shared" si="68"/>
        <v>150064.75707692307</v>
      </c>
      <c r="AW12" s="65">
        <f t="shared" si="68"/>
        <v>165356.80430769228</v>
      </c>
      <c r="AX12" s="65">
        <f t="shared" si="79"/>
        <v>68.20481267517907</v>
      </c>
      <c r="AY12" s="65">
        <f t="shared" si="69"/>
        <v>75.94370297415135</v>
      </c>
      <c r="AZ12" s="65">
        <f t="shared" si="69"/>
        <v>83.682593273123629</v>
      </c>
      <c r="BA12" s="78">
        <f t="shared" si="80"/>
        <v>149747.88707692307</v>
      </c>
      <c r="BB12" s="78">
        <f t="shared" si="81"/>
        <v>150064.75707692307</v>
      </c>
      <c r="BC12" s="78">
        <f t="shared" si="82"/>
        <v>151173.80207692308</v>
      </c>
      <c r="BD12" s="78">
        <f t="shared" si="83"/>
        <v>75.783343662410459</v>
      </c>
      <c r="BE12" s="78">
        <f t="shared" si="70"/>
        <v>75.94370297415135</v>
      </c>
      <c r="BF12" s="78">
        <f t="shared" si="71"/>
        <v>76.504960565244474</v>
      </c>
      <c r="BG12" s="78">
        <f t="shared" si="84"/>
        <v>150064.75707692307</v>
      </c>
      <c r="BH12" s="78">
        <f t="shared" si="84"/>
        <v>150064.75707692307</v>
      </c>
      <c r="BI12" s="78">
        <f t="shared" si="84"/>
        <v>150064.75707692307</v>
      </c>
      <c r="BJ12" s="78">
        <f t="shared" si="85"/>
        <v>72.14651782544378</v>
      </c>
      <c r="BK12" s="78">
        <f t="shared" si="86"/>
        <v>75.94370297415135</v>
      </c>
      <c r="BL12" s="78">
        <f t="shared" si="87"/>
        <v>79.50029512445596</v>
      </c>
      <c r="BM12" s="78">
        <f t="shared" si="88"/>
        <v>143727.35707692307</v>
      </c>
      <c r="BN12" s="78">
        <f t="shared" si="89"/>
        <v>150064.75707692307</v>
      </c>
      <c r="BO12" s="78">
        <f t="shared" si="90"/>
        <v>162739.55707692308</v>
      </c>
      <c r="BP12" s="78">
        <f t="shared" si="91"/>
        <v>72.736516739333538</v>
      </c>
      <c r="BQ12" s="78">
        <f t="shared" si="92"/>
        <v>75.94370297415135</v>
      </c>
      <c r="BR12" s="78">
        <f t="shared" si="93"/>
        <v>82.358075443786987</v>
      </c>
      <c r="BS12" s="78">
        <f t="shared" si="94"/>
        <v>149716.20007692307</v>
      </c>
      <c r="BT12" s="78">
        <f t="shared" si="95"/>
        <v>150064.75707692307</v>
      </c>
      <c r="BU12" s="78">
        <f t="shared" si="96"/>
        <v>150381.62707692309</v>
      </c>
      <c r="BV12" s="78">
        <f t="shared" si="97"/>
        <v>75.767307731236372</v>
      </c>
      <c r="BW12" s="78">
        <f t="shared" si="72"/>
        <v>75.94370297415135</v>
      </c>
      <c r="BX12" s="78">
        <f t="shared" si="73"/>
        <v>76.104062285892255</v>
      </c>
      <c r="BY12" s="78">
        <f t="shared" si="98"/>
        <v>150064.75707692307</v>
      </c>
      <c r="BZ12" s="78">
        <f t="shared" si="99"/>
        <v>150064.75707692307</v>
      </c>
      <c r="CA12" s="78">
        <f t="shared" si="100"/>
        <v>162739.55707692308</v>
      </c>
      <c r="CB12" s="78">
        <f t="shared" si="101"/>
        <v>75.94370297415135</v>
      </c>
      <c r="CC12" s="78">
        <f t="shared" si="102"/>
        <v>75.94370297415135</v>
      </c>
      <c r="CD12" s="78">
        <f t="shared" si="103"/>
        <v>82.358075443786987</v>
      </c>
      <c r="CE12" s="78">
        <f t="shared" si="104"/>
        <v>150064.75707692307</v>
      </c>
      <c r="CF12" s="78">
        <f t="shared" si="105"/>
        <v>150064.75707692307</v>
      </c>
      <c r="CG12" s="78">
        <f t="shared" si="106"/>
        <v>150064.75707692307</v>
      </c>
      <c r="CH12" s="78">
        <f t="shared" si="107"/>
        <v>75.94370297415135</v>
      </c>
      <c r="CI12" s="78">
        <f t="shared" si="108"/>
        <v>75.94370297415135</v>
      </c>
      <c r="CJ12" s="78">
        <f t="shared" si="74"/>
        <v>75.94370297415135</v>
      </c>
      <c r="CK12" s="78">
        <f t="shared" si="109"/>
        <v>147783.29307692306</v>
      </c>
      <c r="CL12" s="78">
        <f t="shared" si="110"/>
        <v>150064.75707692307</v>
      </c>
      <c r="CM12" s="78">
        <f t="shared" si="111"/>
        <v>152219.47307692305</v>
      </c>
      <c r="CN12" s="78">
        <f t="shared" si="112"/>
        <v>74.789115929616926</v>
      </c>
      <c r="CO12" s="78">
        <f t="shared" si="113"/>
        <v>75.94370297415135</v>
      </c>
      <c r="CP12" s="78">
        <f t="shared" si="75"/>
        <v>77.034146293989394</v>
      </c>
      <c r="CQ12" s="78">
        <f t="shared" si="114"/>
        <v>150064.75707692307</v>
      </c>
      <c r="CR12" s="78">
        <f t="shared" si="115"/>
        <v>150064.75707692307</v>
      </c>
      <c r="CS12" s="78">
        <f t="shared" si="116"/>
        <v>152064.75707692307</v>
      </c>
      <c r="CT12" s="78">
        <f t="shared" si="117"/>
        <v>75.94370297415135</v>
      </c>
      <c r="CU12" s="78">
        <f t="shared" si="118"/>
        <v>75.94370297415135</v>
      </c>
      <c r="CV12" s="78">
        <f t="shared" si="76"/>
        <v>76.955848723139198</v>
      </c>
      <c r="CW12" s="78">
        <f t="shared" si="119"/>
        <v>145189.83399999997</v>
      </c>
      <c r="CX12" s="78">
        <f t="shared" si="120"/>
        <v>150064.75707692307</v>
      </c>
      <c r="CY12" s="78">
        <f t="shared" si="121"/>
        <v>151283.48784615385</v>
      </c>
      <c r="CZ12" s="78">
        <f t="shared" si="122"/>
        <v>73.476636639676101</v>
      </c>
      <c r="DA12" s="78">
        <f t="shared" si="123"/>
        <v>75.94370297415135</v>
      </c>
      <c r="DB12" s="78">
        <f t="shared" si="77"/>
        <v>76.560469557770162</v>
      </c>
      <c r="DC12" s="78">
        <f t="shared" si="124"/>
        <v>150064.75707692307</v>
      </c>
      <c r="DD12" s="78">
        <f t="shared" si="125"/>
        <v>150064.75707692307</v>
      </c>
      <c r="DE12" s="78">
        <f t="shared" si="126"/>
        <v>163714.54169230768</v>
      </c>
      <c r="DF12" s="78">
        <f t="shared" si="127"/>
        <v>75.94370297415135</v>
      </c>
      <c r="DG12" s="78">
        <f t="shared" si="128"/>
        <v>75.94370297415135</v>
      </c>
      <c r="DH12" s="78">
        <f t="shared" si="78"/>
        <v>82.85148871068202</v>
      </c>
    </row>
    <row r="13" spans="1:112" x14ac:dyDescent="0.2">
      <c r="A13" s="45" t="s">
        <v>62</v>
      </c>
      <c r="B13" s="46" t="s">
        <v>50</v>
      </c>
      <c r="C13" s="54" t="s">
        <v>51</v>
      </c>
      <c r="D13" s="45" t="s">
        <v>63</v>
      </c>
      <c r="E13" s="55" t="s">
        <v>71</v>
      </c>
      <c r="I13" s="56">
        <v>2022</v>
      </c>
      <c r="J13" s="70">
        <v>0.105</v>
      </c>
      <c r="K13" s="57">
        <v>0.11</v>
      </c>
      <c r="L13" s="57">
        <v>0.1275</v>
      </c>
      <c r="M13" s="73">
        <v>36.299999999999997</v>
      </c>
      <c r="N13" s="73">
        <v>38</v>
      </c>
      <c r="O13" s="73">
        <v>40</v>
      </c>
      <c r="Q13" s="59">
        <v>1</v>
      </c>
      <c r="S13" s="59">
        <v>0</v>
      </c>
      <c r="T13" s="59">
        <v>0.1</v>
      </c>
      <c r="U13" s="59">
        <v>0.3</v>
      </c>
      <c r="V13" s="57">
        <v>2.9499999999999998E-2</v>
      </c>
      <c r="W13" s="57">
        <v>3.5000000000000003E-2</v>
      </c>
      <c r="X13" s="57">
        <v>0.04</v>
      </c>
      <c r="Y13" s="59">
        <v>0</v>
      </c>
      <c r="Z13" s="60">
        <v>0</v>
      </c>
      <c r="AA13" s="60">
        <v>0.2</v>
      </c>
      <c r="AB13" s="57">
        <v>0</v>
      </c>
      <c r="AC13" s="57">
        <v>0</v>
      </c>
      <c r="AD13" s="57">
        <v>0</v>
      </c>
      <c r="AE13" s="59">
        <v>0.01</v>
      </c>
      <c r="AF13" s="59">
        <v>4.5999999999999999E-2</v>
      </c>
      <c r="AG13" s="59">
        <v>0.08</v>
      </c>
      <c r="AH13" s="59">
        <v>0</v>
      </c>
      <c r="AI13" s="64">
        <v>0</v>
      </c>
      <c r="AJ13" s="64">
        <v>2000</v>
      </c>
      <c r="AK13" s="74">
        <v>0</v>
      </c>
      <c r="AL13" s="62">
        <v>4</v>
      </c>
      <c r="AM13" s="62">
        <v>5</v>
      </c>
      <c r="AN13" s="62">
        <v>0</v>
      </c>
      <c r="AO13" s="59">
        <v>0</v>
      </c>
      <c r="AP13" s="59">
        <v>0.2</v>
      </c>
      <c r="AQ13" s="59">
        <v>1.4999999999999999E-2</v>
      </c>
      <c r="AR13" s="65">
        <v>66386</v>
      </c>
      <c r="AS13" s="65">
        <f t="shared" ref="AS13:AS14" si="129">AR13+((AT13-AR13)/2)</f>
        <v>91587.5</v>
      </c>
      <c r="AT13" s="65">
        <v>116789</v>
      </c>
      <c r="AU13" s="65">
        <f t="shared" si="68"/>
        <v>157196.94138461538</v>
      </c>
      <c r="AV13" s="65">
        <f t="shared" si="68"/>
        <v>216872.15480769228</v>
      </c>
      <c r="AW13" s="65">
        <f t="shared" si="68"/>
        <v>276547.36823076918</v>
      </c>
      <c r="AX13" s="65">
        <f t="shared" si="79"/>
        <v>79.553107988165678</v>
      </c>
      <c r="AY13" s="65">
        <f t="shared" si="69"/>
        <v>109.75311478122079</v>
      </c>
      <c r="AZ13" s="65">
        <f t="shared" si="69"/>
        <v>139.95312157427591</v>
      </c>
      <c r="BA13" s="78">
        <f t="shared" si="80"/>
        <v>216414.21730769228</v>
      </c>
      <c r="BB13" s="78">
        <f t="shared" si="81"/>
        <v>216872.15480769228</v>
      </c>
      <c r="BC13" s="78">
        <f t="shared" si="82"/>
        <v>218474.93605769228</v>
      </c>
      <c r="BD13" s="78">
        <f t="shared" si="83"/>
        <v>109.52136503425723</v>
      </c>
      <c r="BE13" s="78">
        <f t="shared" si="70"/>
        <v>109.75311478122079</v>
      </c>
      <c r="BF13" s="78">
        <f t="shared" si="71"/>
        <v>110.56423889559325</v>
      </c>
      <c r="BG13" s="78">
        <f t="shared" si="84"/>
        <v>216872.15480769228</v>
      </c>
      <c r="BH13" s="78">
        <f t="shared" si="84"/>
        <v>216872.15480769228</v>
      </c>
      <c r="BI13" s="78">
        <f t="shared" si="84"/>
        <v>216872.15480769228</v>
      </c>
      <c r="BJ13" s="78">
        <f t="shared" si="85"/>
        <v>104.26545904215975</v>
      </c>
      <c r="BK13" s="78">
        <f t="shared" si="86"/>
        <v>109.75311478122079</v>
      </c>
      <c r="BL13" s="78">
        <f t="shared" si="87"/>
        <v>114.89306781505208</v>
      </c>
      <c r="BM13" s="78">
        <f t="shared" si="88"/>
        <v>207713.40480769228</v>
      </c>
      <c r="BN13" s="78">
        <f t="shared" si="89"/>
        <v>216872.15480769228</v>
      </c>
      <c r="BO13" s="78">
        <f t="shared" si="90"/>
        <v>235189.65480769228</v>
      </c>
      <c r="BP13" s="78">
        <f t="shared" si="91"/>
        <v>105.11811984194954</v>
      </c>
      <c r="BQ13" s="78">
        <f t="shared" si="92"/>
        <v>109.75311478122079</v>
      </c>
      <c r="BR13" s="78">
        <f t="shared" si="93"/>
        <v>119.02310465976329</v>
      </c>
      <c r="BS13" s="78">
        <f t="shared" si="94"/>
        <v>216368.42355769229</v>
      </c>
      <c r="BT13" s="78">
        <f t="shared" si="95"/>
        <v>216872.15480769228</v>
      </c>
      <c r="BU13" s="78">
        <f t="shared" si="96"/>
        <v>217330.09230769228</v>
      </c>
      <c r="BV13" s="78">
        <f t="shared" si="97"/>
        <v>109.49819005956088</v>
      </c>
      <c r="BW13" s="78">
        <f t="shared" si="72"/>
        <v>109.75311478122079</v>
      </c>
      <c r="BX13" s="78">
        <f t="shared" si="73"/>
        <v>109.98486452818435</v>
      </c>
      <c r="BY13" s="78">
        <f t="shared" si="98"/>
        <v>216872.15480769228</v>
      </c>
      <c r="BZ13" s="78">
        <f t="shared" si="99"/>
        <v>216872.15480769228</v>
      </c>
      <c r="CA13" s="78">
        <f t="shared" si="100"/>
        <v>235189.65480769228</v>
      </c>
      <c r="CB13" s="78">
        <f t="shared" si="101"/>
        <v>109.75311478122079</v>
      </c>
      <c r="CC13" s="78">
        <f t="shared" si="102"/>
        <v>109.75311478122079</v>
      </c>
      <c r="CD13" s="78">
        <f t="shared" si="103"/>
        <v>119.02310465976329</v>
      </c>
      <c r="CE13" s="78">
        <f t="shared" si="104"/>
        <v>216872.15480769228</v>
      </c>
      <c r="CF13" s="78">
        <f t="shared" si="105"/>
        <v>216872.15480769228</v>
      </c>
      <c r="CG13" s="78">
        <f t="shared" si="106"/>
        <v>216872.15480769228</v>
      </c>
      <c r="CH13" s="78">
        <f t="shared" si="107"/>
        <v>109.75311478122079</v>
      </c>
      <c r="CI13" s="78">
        <f t="shared" si="108"/>
        <v>109.75311478122079</v>
      </c>
      <c r="CJ13" s="78">
        <f t="shared" si="74"/>
        <v>109.75311478122079</v>
      </c>
      <c r="CK13" s="78">
        <f t="shared" si="109"/>
        <v>213575.00480769231</v>
      </c>
      <c r="CL13" s="78">
        <f t="shared" si="110"/>
        <v>216872.15480769228</v>
      </c>
      <c r="CM13" s="78">
        <f t="shared" si="111"/>
        <v>219986.12980769231</v>
      </c>
      <c r="CN13" s="78">
        <f t="shared" si="112"/>
        <v>108.08451660308315</v>
      </c>
      <c r="CO13" s="78">
        <f t="shared" si="113"/>
        <v>109.75311478122079</v>
      </c>
      <c r="CP13" s="78">
        <f t="shared" si="75"/>
        <v>111.32901306057302</v>
      </c>
      <c r="CQ13" s="78">
        <f t="shared" si="114"/>
        <v>216872.15480769228</v>
      </c>
      <c r="CR13" s="78">
        <f t="shared" si="115"/>
        <v>216872.15480769228</v>
      </c>
      <c r="CS13" s="78">
        <f t="shared" si="116"/>
        <v>218872.15480769228</v>
      </c>
      <c r="CT13" s="78">
        <f t="shared" si="117"/>
        <v>109.75311478122079</v>
      </c>
      <c r="CU13" s="78">
        <f t="shared" si="118"/>
        <v>109.75311478122079</v>
      </c>
      <c r="CV13" s="78">
        <f t="shared" si="76"/>
        <v>110.76526053020864</v>
      </c>
      <c r="CW13" s="78">
        <f t="shared" si="119"/>
        <v>209826.96249999999</v>
      </c>
      <c r="CX13" s="78">
        <f t="shared" si="120"/>
        <v>216872.15480769228</v>
      </c>
      <c r="CY13" s="78">
        <f t="shared" si="121"/>
        <v>218633.4528846154</v>
      </c>
      <c r="CZ13" s="78">
        <f t="shared" si="122"/>
        <v>106.18773405870445</v>
      </c>
      <c r="DA13" s="78">
        <f t="shared" si="123"/>
        <v>109.75311478122079</v>
      </c>
      <c r="DB13" s="78">
        <f t="shared" si="77"/>
        <v>110.6444599618499</v>
      </c>
      <c r="DC13" s="78">
        <f t="shared" si="124"/>
        <v>216872.15480769228</v>
      </c>
      <c r="DD13" s="78">
        <f t="shared" si="125"/>
        <v>216872.15480769228</v>
      </c>
      <c r="DE13" s="78">
        <f t="shared" si="126"/>
        <v>236598.69326923075</v>
      </c>
      <c r="DF13" s="78">
        <f t="shared" si="127"/>
        <v>109.75311478122079</v>
      </c>
      <c r="DG13" s="78">
        <f t="shared" si="128"/>
        <v>109.75311478122079</v>
      </c>
      <c r="DH13" s="78">
        <f t="shared" si="78"/>
        <v>119.73618080426657</v>
      </c>
    </row>
    <row r="14" spans="1:112" x14ac:dyDescent="0.2">
      <c r="A14" s="45" t="s">
        <v>62</v>
      </c>
      <c r="B14" s="46" t="s">
        <v>55</v>
      </c>
      <c r="C14" s="54" t="s">
        <v>56</v>
      </c>
      <c r="D14" s="45" t="s">
        <v>72</v>
      </c>
      <c r="E14" s="55" t="s">
        <v>73</v>
      </c>
      <c r="I14" s="56">
        <v>2022</v>
      </c>
      <c r="J14" s="70">
        <v>0.105</v>
      </c>
      <c r="K14" s="57">
        <v>0.11</v>
      </c>
      <c r="L14" s="57">
        <v>0.1275</v>
      </c>
      <c r="M14" s="73">
        <v>36.299999999999997</v>
      </c>
      <c r="N14" s="73">
        <v>38</v>
      </c>
      <c r="O14" s="73">
        <v>40</v>
      </c>
      <c r="Q14" s="59">
        <v>1</v>
      </c>
      <c r="S14" s="59">
        <v>0</v>
      </c>
      <c r="T14" s="59">
        <v>0</v>
      </c>
      <c r="U14" s="59">
        <v>0.3</v>
      </c>
      <c r="V14" s="57">
        <v>2.9499999999999998E-2</v>
      </c>
      <c r="W14" s="57">
        <v>3.5000000000000003E-2</v>
      </c>
      <c r="X14" s="57">
        <v>0.04</v>
      </c>
      <c r="Y14" s="59">
        <v>0</v>
      </c>
      <c r="Z14" s="60">
        <v>0.1</v>
      </c>
      <c r="AA14" s="60">
        <v>0.2</v>
      </c>
      <c r="AB14" s="57">
        <v>0.3</v>
      </c>
      <c r="AC14" s="57">
        <v>0.6</v>
      </c>
      <c r="AD14" s="57">
        <v>0.67</v>
      </c>
      <c r="AE14" s="59">
        <v>0.01</v>
      </c>
      <c r="AF14" s="59">
        <v>4.5999999999999999E-2</v>
      </c>
      <c r="AG14" s="59">
        <v>0.08</v>
      </c>
      <c r="AH14" s="59">
        <v>0</v>
      </c>
      <c r="AI14" s="64">
        <v>26000</v>
      </c>
      <c r="AJ14" s="64">
        <v>26000</v>
      </c>
      <c r="AK14" s="74">
        <v>0</v>
      </c>
      <c r="AL14" s="62">
        <v>5</v>
      </c>
      <c r="AM14" s="62">
        <v>5</v>
      </c>
      <c r="AN14" s="62">
        <v>0</v>
      </c>
      <c r="AO14" s="59">
        <v>0.17499999999999999</v>
      </c>
      <c r="AP14" s="59">
        <v>0.2</v>
      </c>
      <c r="AQ14" s="59">
        <v>1.4999999999999999E-2</v>
      </c>
      <c r="AR14" s="65">
        <v>221622</v>
      </c>
      <c r="AS14" s="65">
        <f t="shared" si="129"/>
        <v>256820.5</v>
      </c>
      <c r="AT14" s="65">
        <v>292019</v>
      </c>
      <c r="AU14" s="65">
        <f t="shared" si="68"/>
        <v>730532.07603846164</v>
      </c>
      <c r="AV14" s="65">
        <f t="shared" si="68"/>
        <v>842427.43064423092</v>
      </c>
      <c r="AW14" s="65">
        <f t="shared" si="68"/>
        <v>954322.78525000007</v>
      </c>
      <c r="AX14" s="65">
        <f t="shared" si="79"/>
        <v>369.70246763080041</v>
      </c>
      <c r="AY14" s="65">
        <f t="shared" si="69"/>
        <v>426.32967137865938</v>
      </c>
      <c r="AZ14" s="65">
        <f t="shared" si="69"/>
        <v>482.95687512651824</v>
      </c>
      <c r="BA14" s="78">
        <f t="shared" si="80"/>
        <v>841143.32814423088</v>
      </c>
      <c r="BB14" s="78">
        <f t="shared" si="81"/>
        <v>842427.43064423092</v>
      </c>
      <c r="BC14" s="78">
        <f t="shared" si="82"/>
        <v>846921.78939423081</v>
      </c>
      <c r="BD14" s="78">
        <f t="shared" si="83"/>
        <v>425.67982193533953</v>
      </c>
      <c r="BE14" s="78">
        <f t="shared" si="70"/>
        <v>426.32967137865938</v>
      </c>
      <c r="BF14" s="78">
        <f t="shared" si="71"/>
        <v>428.60414443027872</v>
      </c>
      <c r="BG14" s="78">
        <f t="shared" si="84"/>
        <v>842427.43064423092</v>
      </c>
      <c r="BH14" s="78">
        <f t="shared" si="84"/>
        <v>842427.43064423092</v>
      </c>
      <c r="BI14" s="78">
        <f t="shared" si="84"/>
        <v>842427.43064423092</v>
      </c>
      <c r="BJ14" s="78">
        <f t="shared" si="85"/>
        <v>405.01318780972645</v>
      </c>
      <c r="BK14" s="78">
        <f t="shared" si="86"/>
        <v>426.32967137865938</v>
      </c>
      <c r="BL14" s="78">
        <f t="shared" si="87"/>
        <v>446.29552375727434</v>
      </c>
      <c r="BM14" s="78">
        <f t="shared" si="88"/>
        <v>842427.43064423092</v>
      </c>
      <c r="BN14" s="78">
        <f t="shared" si="89"/>
        <v>842427.43064423092</v>
      </c>
      <c r="BO14" s="78">
        <f t="shared" si="90"/>
        <v>919473.58064423082</v>
      </c>
      <c r="BP14" s="78">
        <f t="shared" si="91"/>
        <v>426.32967137865938</v>
      </c>
      <c r="BQ14" s="78">
        <f t="shared" si="92"/>
        <v>426.32967137865938</v>
      </c>
      <c r="BR14" s="78">
        <f t="shared" si="93"/>
        <v>465.32063797784957</v>
      </c>
      <c r="BS14" s="78">
        <f t="shared" si="94"/>
        <v>841014.91789423081</v>
      </c>
      <c r="BT14" s="78">
        <f t="shared" si="95"/>
        <v>842427.43064423092</v>
      </c>
      <c r="BU14" s="78">
        <f t="shared" si="96"/>
        <v>843711.53314423084</v>
      </c>
      <c r="BV14" s="78">
        <f t="shared" si="97"/>
        <v>425.61483699100745</v>
      </c>
      <c r="BW14" s="78">
        <f t="shared" si="72"/>
        <v>426.32967137865938</v>
      </c>
      <c r="BX14" s="78">
        <f t="shared" si="73"/>
        <v>426.97952082197918</v>
      </c>
      <c r="BY14" s="78">
        <f t="shared" si="98"/>
        <v>816745.38064423087</v>
      </c>
      <c r="BZ14" s="78">
        <f t="shared" si="99"/>
        <v>842427.43064423092</v>
      </c>
      <c r="CA14" s="78">
        <f t="shared" si="100"/>
        <v>868109.48064423096</v>
      </c>
      <c r="CB14" s="78">
        <f t="shared" si="101"/>
        <v>413.33268251226258</v>
      </c>
      <c r="CC14" s="78">
        <f t="shared" si="102"/>
        <v>426.32967137865938</v>
      </c>
      <c r="CD14" s="78">
        <f t="shared" si="103"/>
        <v>439.32666024505613</v>
      </c>
      <c r="CE14" s="78">
        <f t="shared" si="104"/>
        <v>765381.28064423078</v>
      </c>
      <c r="CF14" s="78">
        <f t="shared" si="105"/>
        <v>842427.43064423092</v>
      </c>
      <c r="CG14" s="78">
        <f t="shared" si="106"/>
        <v>860404.86564423097</v>
      </c>
      <c r="CH14" s="78">
        <f t="shared" si="107"/>
        <v>387.33870477946903</v>
      </c>
      <c r="CI14" s="78">
        <f t="shared" si="108"/>
        <v>426.32967137865938</v>
      </c>
      <c r="CJ14" s="78">
        <f t="shared" si="74"/>
        <v>435.42756358513714</v>
      </c>
      <c r="CK14" s="78">
        <f t="shared" si="109"/>
        <v>833181.89264423086</v>
      </c>
      <c r="CL14" s="78">
        <f t="shared" si="110"/>
        <v>842427.43064423092</v>
      </c>
      <c r="CM14" s="78">
        <f t="shared" si="111"/>
        <v>851159.3276442308</v>
      </c>
      <c r="CN14" s="78">
        <f t="shared" si="112"/>
        <v>421.65075538675649</v>
      </c>
      <c r="CO14" s="78">
        <f t="shared" si="113"/>
        <v>426.32967137865938</v>
      </c>
      <c r="CP14" s="78">
        <f t="shared" si="75"/>
        <v>430.74864759323418</v>
      </c>
      <c r="CQ14" s="78">
        <f t="shared" si="114"/>
        <v>816427.43064423092</v>
      </c>
      <c r="CR14" s="78">
        <f t="shared" si="115"/>
        <v>842427.43064423092</v>
      </c>
      <c r="CS14" s="78">
        <f t="shared" si="116"/>
        <v>842427.43064423092</v>
      </c>
      <c r="CT14" s="78">
        <f t="shared" si="117"/>
        <v>413.1717766418173</v>
      </c>
      <c r="CU14" s="78">
        <f t="shared" si="118"/>
        <v>426.32967137865938</v>
      </c>
      <c r="CV14" s="78">
        <f t="shared" si="76"/>
        <v>426.32967137865938</v>
      </c>
      <c r="CW14" s="78">
        <f t="shared" si="119"/>
        <v>813411.65300000005</v>
      </c>
      <c r="CX14" s="78">
        <f t="shared" si="120"/>
        <v>842427.43064423092</v>
      </c>
      <c r="CY14" s="78">
        <f t="shared" si="121"/>
        <v>842427.43064423092</v>
      </c>
      <c r="CZ14" s="78">
        <f t="shared" si="122"/>
        <v>411.64557338056682</v>
      </c>
      <c r="DA14" s="78">
        <f t="shared" si="123"/>
        <v>426.32967137865938</v>
      </c>
      <c r="DB14" s="78">
        <f t="shared" si="77"/>
        <v>426.32967137865938</v>
      </c>
      <c r="DC14" s="78">
        <f t="shared" si="124"/>
        <v>793162.3443461539</v>
      </c>
      <c r="DD14" s="78">
        <f t="shared" si="125"/>
        <v>842427.43064423092</v>
      </c>
      <c r="DE14" s="78">
        <f t="shared" si="126"/>
        <v>849465.30011538463</v>
      </c>
      <c r="DF14" s="78">
        <f t="shared" si="127"/>
        <v>401.39794754360014</v>
      </c>
      <c r="DG14" s="78">
        <f t="shared" si="128"/>
        <v>426.32967137865938</v>
      </c>
      <c r="DH14" s="78">
        <f t="shared" si="78"/>
        <v>429.89134621223917</v>
      </c>
    </row>
    <row r="15" spans="1:112" x14ac:dyDescent="0.2">
      <c r="J15" s="70"/>
      <c r="AI15" s="64"/>
      <c r="AJ15" s="64"/>
      <c r="AQ15" s="59"/>
      <c r="AR15" s="65"/>
      <c r="AS15" s="65"/>
      <c r="AT15" s="65"/>
      <c r="AU15" s="65"/>
      <c r="AV15" s="65"/>
      <c r="AW15" s="65"/>
      <c r="AX15" s="65"/>
      <c r="AY15" s="65"/>
      <c r="AZ15" s="65"/>
    </row>
    <row r="16" spans="1:112" ht="15" customHeight="1" x14ac:dyDescent="0.2">
      <c r="A16" s="45" t="s">
        <v>74</v>
      </c>
      <c r="B16" s="46" t="s">
        <v>33</v>
      </c>
      <c r="C16" s="54" t="s">
        <v>34</v>
      </c>
      <c r="D16" s="45" t="s">
        <v>75</v>
      </c>
      <c r="E16" s="55" t="s">
        <v>76</v>
      </c>
      <c r="I16" s="56">
        <v>2022</v>
      </c>
      <c r="J16" s="70">
        <v>0.105</v>
      </c>
      <c r="K16" s="57">
        <v>0.11</v>
      </c>
      <c r="L16" s="57">
        <v>0.1275</v>
      </c>
      <c r="M16" s="73">
        <v>36.299999999999997</v>
      </c>
      <c r="N16" s="73">
        <v>38</v>
      </c>
      <c r="O16" s="73">
        <v>40</v>
      </c>
      <c r="Q16" s="59">
        <v>1</v>
      </c>
      <c r="S16" s="59">
        <v>0</v>
      </c>
      <c r="T16" s="59">
        <v>0.1</v>
      </c>
      <c r="U16" s="59">
        <v>0.3</v>
      </c>
      <c r="V16" s="57">
        <v>2.9499999999999998E-2</v>
      </c>
      <c r="W16" s="57">
        <v>3.5000000000000003E-2</v>
      </c>
      <c r="X16" s="57">
        <v>0.04</v>
      </c>
      <c r="Y16" s="59">
        <v>0</v>
      </c>
      <c r="Z16" s="60">
        <v>0</v>
      </c>
      <c r="AA16" s="60">
        <v>0.2</v>
      </c>
      <c r="AB16" s="57">
        <v>0</v>
      </c>
      <c r="AC16" s="57">
        <v>0</v>
      </c>
      <c r="AD16" s="57">
        <v>0</v>
      </c>
      <c r="AE16" s="59">
        <v>0.01</v>
      </c>
      <c r="AF16" s="59">
        <v>4.5999999999999999E-2</v>
      </c>
      <c r="AG16" s="59">
        <v>0.08</v>
      </c>
      <c r="AH16" s="59">
        <v>0</v>
      </c>
      <c r="AI16" s="64">
        <v>0</v>
      </c>
      <c r="AJ16" s="64">
        <v>2000</v>
      </c>
      <c r="AK16" s="74">
        <v>0</v>
      </c>
      <c r="AL16" s="62">
        <v>4</v>
      </c>
      <c r="AM16" s="62">
        <v>5</v>
      </c>
      <c r="AN16" s="62">
        <v>0</v>
      </c>
      <c r="AO16" s="59">
        <v>0</v>
      </c>
      <c r="AP16" s="59">
        <v>0.2</v>
      </c>
      <c r="AQ16" s="59">
        <v>1.4999999999999999E-2</v>
      </c>
      <c r="AR16" s="66">
        <f>1154.19*52</f>
        <v>60017.880000000005</v>
      </c>
      <c r="AS16" s="65">
        <f>AR16+((AT16-AR16)/2)</f>
        <v>77637.56</v>
      </c>
      <c r="AT16" s="65">
        <f>1831.87*52</f>
        <v>95257.239999999991</v>
      </c>
      <c r="AU16" s="65">
        <f t="shared" ref="AU16:AW20" si="130">(AR16+(AR16*$K16)+(AR16*$T16)+(AR16*$W16)+(AR16*$Z16)+(AR16*$AC16)+(AR16*$AF16)+($AI16)+(AR16*((52+$AL16)/52))*(1+$AO16))*1/$Q16</f>
        <v>142117.72308</v>
      </c>
      <c r="AV16" s="65">
        <f t="shared" si="130"/>
        <v>183839.76995999998</v>
      </c>
      <c r="AW16" s="65">
        <f t="shared" si="130"/>
        <v>225561.81683999998</v>
      </c>
      <c r="AX16" s="65">
        <f t="shared" si="79"/>
        <v>71.921924635627533</v>
      </c>
      <c r="AY16" s="65">
        <f t="shared" si="79"/>
        <v>93.036320829959507</v>
      </c>
      <c r="AZ16" s="65">
        <f t="shared" si="79"/>
        <v>114.1507170242915</v>
      </c>
      <c r="BA16" s="78">
        <f>($AS16+($AS16*$J16)+($AS16*$T16)+($AS16*$W16)+($AS16*$Z16)+($AS16*$AC16)+($AS16*$AF16)+($AI16)+($AS16*((52+$AL16)/52))*(1+$AO16))*1/$Q16</f>
        <v>183451.58215999999</v>
      </c>
      <c r="BB16" s="78">
        <f>($AS16+($AS16*$K16)+($AS16*$T16)+($AS16*$W16)+($AS16*$Z16)+($AS16*$AC16)+($AS16*$AF16)+($AI16)+($AS16*((52+$AL16)/52))*(1+$AO16))*1/$Q16</f>
        <v>183839.76995999998</v>
      </c>
      <c r="BC16" s="78">
        <f>($AS16+($AS16*$L16)+($AS16*$T16)+($AS16*$W16)+($AS16*$Z16)+($AS16*$AC16)+($AS16*$AF16)+($AI16)+($AS16*((52+$AL16)/52))*(1+$AO16))*1/$Q16</f>
        <v>185198.42725999997</v>
      </c>
      <c r="BD16" s="78">
        <f>BA16/52/$N16</f>
        <v>92.839869514170047</v>
      </c>
      <c r="BE16" s="78">
        <f t="shared" ref="BE16:BE20" si="131">BB16/52/$N16</f>
        <v>93.036320829959507</v>
      </c>
      <c r="BF16" s="78">
        <f t="shared" ref="BF16:BF20" si="132">BC16/52/$N16</f>
        <v>93.72390043522266</v>
      </c>
      <c r="BG16" s="78">
        <f>($AS16+($AS16*$K16)+($AS16*$T16)+($AS16*$W16)+($AS16*$Z16)+($AS16*$AC16)+($AS16*$AF16)+($AI16)+($AS16*((52+$AL16)/52))*(1+$AO16))*1/$Q16</f>
        <v>183839.76995999998</v>
      </c>
      <c r="BH16" s="78">
        <f>($AS16+($AS16*$K16)+($AS16*$T16)+($AS16*$W16)+($AS16*$Z16)+($AS16*$AC16)+($AS16*$AF16)+($AI16)+($AS16*((52+$AL16)/52))*(1+$AO16))*1/$Q16</f>
        <v>183839.76995999998</v>
      </c>
      <c r="BI16" s="78">
        <f>($AS16+($AS16*$K16)+($AS16*$T16)+($AS16*$W16)+($AS16*$Z16)+($AS16*$AC16)+($AS16*$AF16)+($AI16)+($AS16*((52+$AL16)/52))*(1+$AO16))*1/$Q16</f>
        <v>183839.76995999998</v>
      </c>
      <c r="BJ16" s="78">
        <f>BG16/52/$O16</f>
        <v>88.384504788461527</v>
      </c>
      <c r="BK16" s="78">
        <f>BH16/52/$N16</f>
        <v>93.036320829959507</v>
      </c>
      <c r="BL16" s="78">
        <f>BI16/52/$M16</f>
        <v>97.393393706293708</v>
      </c>
      <c r="BM16" s="78">
        <f>($AS16+($AS16*$K16)+($AS16*$S16)+($AS16*$W16)+($AS16*$Z16)+($AS16*$AC16)+($AS16*$AF16)+($AI16)+($AS16*((52+$AL16)/52))*(1+$AO16))*1/$Q16</f>
        <v>176076.01395999998</v>
      </c>
      <c r="BN16" s="78">
        <f>($AS16+($AS16*$K16)+($AS16*$T16)+($AS16*$W16)+($AS16*$Z16)+($AS16*$AC16)+($AS16*$AF16)+($AI16)+($AS16*((52+$AL16)/52))*(1+$AO16))*1/$Q16</f>
        <v>183839.76995999998</v>
      </c>
      <c r="BO16" s="78">
        <f>($AS16+($AS16*$K16)+($AS16*$U16)+($AS16*$W16)+($AS16*$Z16)+($AS16*$AC16)+($AS16*$AF16)+($AI16)+($AS16*((52+$AL16)/52))*(1+$AO16))*1/$Q16</f>
        <v>199367.28195999999</v>
      </c>
      <c r="BP16" s="78">
        <f>BM16/52/$N16</f>
        <v>89.107294514170036</v>
      </c>
      <c r="BQ16" s="78">
        <f>BN16/52/$N16</f>
        <v>93.036320829959507</v>
      </c>
      <c r="BR16" s="78">
        <f>BO16/52/$N16</f>
        <v>100.89437346153845</v>
      </c>
      <c r="BS16" s="78">
        <f>($AS16+($AS16*$K16)+($AS16*$T16)+($AS16*$V16)+($AS16*$Z16)+($AS16*$AC16)+($AS16*$AF16)+($AI16)+($AS16*((52+$AL16)/52))*(1+$AO16))*1/$Q16</f>
        <v>183412.76337999996</v>
      </c>
      <c r="BT16" s="78">
        <f>($AS16+($AS16*$K16)+($AS16*$T16)+($AS16*$W16)+($AS16*$Z16)+($AS16*$AC16)+($AS16*$AF16)+($AI16)+($AS16*((52+$AL16)/52))*(1+$AO16))*1/$Q16</f>
        <v>183839.76995999998</v>
      </c>
      <c r="BU16" s="78">
        <f>($AS16+($AS16*$K16)+($AS16*$T16)+($AS16*$X16)+($AS16*$Z16)+($AS16*$AC16)+($AS16*$AF16)+($AI16)+($AS16*((52+$AL16)/52))*(1+$AO16))*1/$Q16</f>
        <v>184227.95775999996</v>
      </c>
      <c r="BV16" s="78">
        <f>BS16/52/$N16</f>
        <v>92.820224382591078</v>
      </c>
      <c r="BW16" s="78">
        <f t="shared" ref="BW16:BW20" si="133">BT16/52/$N16</f>
        <v>93.036320829959507</v>
      </c>
      <c r="BX16" s="78">
        <f t="shared" ref="BX16:BX20" si="134">BU16/52/$N16</f>
        <v>93.232772145748967</v>
      </c>
      <c r="BY16" s="78">
        <f>($AS16+($AS16*$K16)+($AS16*$T16)+($AS16*$W16)+($AS16*$Y16)+($AS16*$AC16)+($AS16*$AF16)+($AI16)+($AS16*((52+$AL16)/52))*(1+$AO16))*1/$Q16</f>
        <v>183839.76995999998</v>
      </c>
      <c r="BZ16" s="78">
        <f>($AS16+($AS16*$K16)+($AS16*$T16)+($AS16*$W16)+($AS16*$Z16)+($AS16*$AC16)+($AS16*$AF16)+($AI16)+($AS16*((52+$AL16)/52))*(1+$AO16))*1/$Q16</f>
        <v>183839.76995999998</v>
      </c>
      <c r="CA16" s="78">
        <f>($AS16+($AS16*$K16)+($AS16*$T16)+($AS16*$W16)+($AS16*$AA16)+($AS16*$AC16)+($AS16*$AF16)+($AI16)+($AS16*((52+$AL16)/52))*(1+$AO16))*1/$Q16</f>
        <v>199367.28195999999</v>
      </c>
      <c r="CB16" s="78">
        <f>BY16/52/$N16</f>
        <v>93.036320829959507</v>
      </c>
      <c r="CC16" s="78">
        <f>BZ16/52/$N16</f>
        <v>93.036320829959507</v>
      </c>
      <c r="CD16" s="78">
        <f>CA16/52/$N16</f>
        <v>100.89437346153845</v>
      </c>
      <c r="CE16" s="78">
        <f>($AS16+($AS16*$K16)+($AS16*$T16)+($AS16*$W16)+($AS16*$Z16)+($AS16*$AB16)+($AS16*$AF16)+($AI16)+($AS16*((52+$AL16)/52))*(1+$AO16))*1/$Q16</f>
        <v>183839.76995999998</v>
      </c>
      <c r="CF16" s="78">
        <f>($AS16+($AS16*$K16)+($AS16*$T16)+($AS16*$W16)+($AS16*$Z16)+($AS16*$AC16)+($AS16*$AF16)+($AI16)+($AS16*((52+$AL16)/52))*(1+$AO16))*1/$Q16</f>
        <v>183839.76995999998</v>
      </c>
      <c r="CG16" s="78">
        <f>($AS16+($AS16*$K16)+($AS16*$T16)+($AS16*$W16)+($AS16*$Z16)+($AS16*$AD16)+($AS16*$AF16)+($AI16)+($AS16*((52+$AL16)/52))*(1+$AO16))*1/$Q16</f>
        <v>183839.76995999998</v>
      </c>
      <c r="CH16" s="78">
        <f>CE16/52/$N16</f>
        <v>93.036320829959507</v>
      </c>
      <c r="CI16" s="78">
        <f>CF16/52/$N16</f>
        <v>93.036320829959507</v>
      </c>
      <c r="CJ16" s="78">
        <f t="shared" ref="CJ16:CJ20" si="135">CG16/52/$N16</f>
        <v>93.036320829959507</v>
      </c>
      <c r="CK16" s="78">
        <f>($AS16+($AS16*$K16)+($AS16*$T16)+($AS16*$W16)+($AS16*$Z16)+($AS16*$AC16)+($AS16*$AE16)+($AI16)+($AS16*((52+$AL16)/52))*(1+$AO16))*1/$Q16</f>
        <v>181044.81779999996</v>
      </c>
      <c r="CL16" s="78">
        <f>($AS16+($AS16*$K16)+($AS16*$T16)+($AS16*$W16)+($AS16*$Z16)+($AS16*$AC16)+($AS16*$AF16)+($AI16)+($AS16*((52+$AL16)/52))*(1+$AO16))*1/$Q16</f>
        <v>183839.76995999998</v>
      </c>
      <c r="CM16" s="78">
        <f>($AS16+($AS16*$K16)+($AS16*$T16)+($AS16*$W16)+($AS16*$Z16)+($AS16*$AC16)+($AS16*$AG16)+($AI16)+($AS16*((52+$AL16)/52))*(1+$AO16))*1/$Q16</f>
        <v>186479.44699999999</v>
      </c>
      <c r="CN16" s="78">
        <f>CK16/52/$N16</f>
        <v>91.621871356275278</v>
      </c>
      <c r="CO16" s="78">
        <f>CL16/52/$N16</f>
        <v>93.036320829959507</v>
      </c>
      <c r="CP16" s="78">
        <f t="shared" ref="CP16:CP20" si="136">CM16/52/$N16</f>
        <v>94.372189777327932</v>
      </c>
      <c r="CQ16" s="78">
        <f>($AS16+($AS16*$K16)+($AS16*$T16)+($AS16*$W16)+($AS16*$Z16)+($AS16*$AC16)+($AS16*$AF16)+($AH16)+($AS16*((52+$AL16)/52))*(1+$AO16))*1/$Q16</f>
        <v>183839.76995999998</v>
      </c>
      <c r="CR16" s="78">
        <f>($AS16+($AS16*$K16)+($AS16*$T16)+($AS16*$W16)+($AS16*$Z16)+($AS16*$AC16)+($AS16*$AF16)+($AI16)+($AS16*((52+$AL16)/52))*(1+$AO16))*1/$Q16</f>
        <v>183839.76995999998</v>
      </c>
      <c r="CS16" s="78">
        <f>($AS16+($AS16*$K16)+($AS16*$T16)+($AS16*$W16)+($AS16*$Z16)+($AS16*$AC16)+($AS16*$AF16)+($AJ16)+($AS16*((52+$AL16)/52))*(1+$AO16))*1/$Q16</f>
        <v>185839.76995999998</v>
      </c>
      <c r="CT16" s="78">
        <f>CQ16/52/$N16</f>
        <v>93.036320829959507</v>
      </c>
      <c r="CU16" s="78">
        <f>CR16/52/$N16</f>
        <v>93.036320829959507</v>
      </c>
      <c r="CV16" s="78">
        <f t="shared" ref="CV16:CV20" si="137">CS16/52/$N16</f>
        <v>94.048466578947355</v>
      </c>
      <c r="CW16" s="78">
        <f>($AS16+($AS16*$K16)+($AS16*$T16)+($AS16*$W16)+($AS16*$Z16)+($AS16*$AC16)+($AS16*$AF16)+($AI16)+($AS16*((52+$AK16)/52))*(1+$AO16))*1/$Q16</f>
        <v>177867.64995999998</v>
      </c>
      <c r="CX16" s="78">
        <f>($AS16+($AS16*$K16)+($AS16*$T16)+($AS16*$W16)+($AS16*$Z16)+($AS16*$AC16)+($AS16*$AF16)+($AI16)+($AS16*((52+$AL16)/52))*(1+$AO16))*1/$Q16</f>
        <v>183839.76995999998</v>
      </c>
      <c r="CY16" s="78">
        <f>($AS16+($AS16*$K16)+($AS16*$T16)+($AS16*$W16)+($AS16*$Z16)+($AS16*$AC16)+($AS16*$AF16)+($AI16)+($AS16*((52+$AM16)/52))*(1+$AO16))*1/$Q16</f>
        <v>185332.79995999997</v>
      </c>
      <c r="CZ16" s="78">
        <f>CW16/52/$N16</f>
        <v>90.01399289473683</v>
      </c>
      <c r="DA16" s="78">
        <f>CX16/52/$N16</f>
        <v>93.036320829959507</v>
      </c>
      <c r="DB16" s="78">
        <f t="shared" ref="DB16:DB20" si="138">CY16/52/$N16</f>
        <v>93.791902813765176</v>
      </c>
      <c r="DC16" s="78">
        <f>($AS16+($AS16*$K16)+($AS16*$T16)+($AS16*$W16)+($AS16*$Z16)+($AS16*$AC16)+($AS16*$AF16)+($AI16)+($AS16*((52+$AL16)/52))*(1+$AN16))*1/$Q16</f>
        <v>183839.76995999998</v>
      </c>
      <c r="DD16" s="78">
        <f>($AS16+($AS16*$K16)+($AS16*$T16)+($AS16*$W16)+($AS16*$Z16)+($AS16*$AC16)+($AS16*$AF16)+($AI16)+($AS16*((52+$AL16)/52))*(1+$AO16))*1/$Q16</f>
        <v>183839.76995999998</v>
      </c>
      <c r="DE16" s="78">
        <f>($AS16+($AS16*$K16)+($AS16*$T16)+($AS16*$W16)+($AS16*$Z16)+($AS16*$AC16)+($AS16*$AF16)+($AI16)+($AS16*((52+$AL16)/52))*(1+$AP16))*1/$Q16</f>
        <v>200561.70595999999</v>
      </c>
      <c r="DF16" s="78">
        <f>DC16/52/$N16</f>
        <v>93.036320829959507</v>
      </c>
      <c r="DG16" s="78">
        <f>DD16/52/$N16</f>
        <v>93.036320829959507</v>
      </c>
      <c r="DH16" s="78">
        <f t="shared" ref="DH16:DH20" si="139">DE16/52/$N16</f>
        <v>101.49883904858298</v>
      </c>
    </row>
    <row r="17" spans="1:112" x14ac:dyDescent="0.2">
      <c r="A17" s="45" t="s">
        <v>74</v>
      </c>
      <c r="B17" s="46" t="s">
        <v>40</v>
      </c>
      <c r="C17" s="54" t="s">
        <v>41</v>
      </c>
      <c r="D17" s="45" t="s">
        <v>77</v>
      </c>
      <c r="E17" s="55" t="s">
        <v>78</v>
      </c>
      <c r="I17" s="56">
        <v>2022</v>
      </c>
      <c r="J17" s="70">
        <v>0.105</v>
      </c>
      <c r="K17" s="57">
        <v>0.11</v>
      </c>
      <c r="L17" s="57">
        <v>0.1275</v>
      </c>
      <c r="M17" s="73">
        <v>36.299999999999997</v>
      </c>
      <c r="N17" s="73">
        <v>38</v>
      </c>
      <c r="O17" s="73">
        <v>40</v>
      </c>
      <c r="Q17" s="59">
        <v>1</v>
      </c>
      <c r="S17" s="59">
        <v>0</v>
      </c>
      <c r="T17" s="59">
        <v>0.1</v>
      </c>
      <c r="U17" s="59">
        <v>0.3</v>
      </c>
      <c r="V17" s="57">
        <v>2.9499999999999998E-2</v>
      </c>
      <c r="W17" s="57">
        <v>3.5000000000000003E-2</v>
      </c>
      <c r="X17" s="57">
        <v>0.04</v>
      </c>
      <c r="Y17" s="59">
        <v>0</v>
      </c>
      <c r="Z17" s="60">
        <v>0</v>
      </c>
      <c r="AA17" s="60">
        <v>0.2</v>
      </c>
      <c r="AB17" s="57">
        <v>0</v>
      </c>
      <c r="AC17" s="57">
        <v>0</v>
      </c>
      <c r="AD17" s="57">
        <v>0</v>
      </c>
      <c r="AE17" s="59">
        <v>0.01</v>
      </c>
      <c r="AF17" s="59">
        <v>4.5999999999999999E-2</v>
      </c>
      <c r="AG17" s="59">
        <v>0.08</v>
      </c>
      <c r="AH17" s="59">
        <v>0</v>
      </c>
      <c r="AI17" s="64">
        <v>0</v>
      </c>
      <c r="AJ17" s="64">
        <v>2000</v>
      </c>
      <c r="AK17" s="74">
        <v>0</v>
      </c>
      <c r="AL17" s="62">
        <v>4</v>
      </c>
      <c r="AM17" s="62">
        <v>5</v>
      </c>
      <c r="AN17" s="62">
        <v>0</v>
      </c>
      <c r="AO17" s="59">
        <v>0.17499999999999999</v>
      </c>
      <c r="AP17" s="59">
        <v>0.2</v>
      </c>
      <c r="AQ17" s="59">
        <v>1.4999999999999999E-2</v>
      </c>
      <c r="AR17" s="65">
        <f>1292.77*52</f>
        <v>67224.039999999994</v>
      </c>
      <c r="AS17" s="65">
        <f>AR17+((AT17-AR17)/2)</f>
        <v>102899.68</v>
      </c>
      <c r="AT17" s="65">
        <f>2664.91*52</f>
        <v>138575.32</v>
      </c>
      <c r="AU17" s="65">
        <f t="shared" si="130"/>
        <v>171850.50164</v>
      </c>
      <c r="AV17" s="65">
        <f t="shared" si="130"/>
        <v>263051.15888</v>
      </c>
      <c r="AW17" s="65">
        <f t="shared" si="130"/>
        <v>354251.81612000003</v>
      </c>
      <c r="AX17" s="65">
        <f t="shared" si="79"/>
        <v>86.96887734817814</v>
      </c>
      <c r="AY17" s="65">
        <f t="shared" si="79"/>
        <v>133.12305611336032</v>
      </c>
      <c r="AZ17" s="65">
        <f t="shared" si="79"/>
        <v>179.27723487854254</v>
      </c>
      <c r="BA17" s="78">
        <f t="shared" ref="BA17:BA20" si="140">($AS17+($AS17*$J17)+($AS17*$T17)+($AS17*$W17)+($AS17*$Z17)+($AS17*$AC17)+($AS17*$AF17)+($AI17)+($AS17*((52+$AL17)/52))*(1+$AO17))*1/$Q17</f>
        <v>262536.66047999996</v>
      </c>
      <c r="BB17" s="78">
        <f t="shared" ref="BB17:BB20" si="141">($AS17+($AS17*$K17)+($AS17*$T17)+($AS17*$W17)+($AS17*$Z17)+($AS17*$AC17)+($AS17*$AF17)+($AI17)+($AS17*((52+$AL17)/52))*(1+$AO17))*1/$Q17</f>
        <v>263051.15888</v>
      </c>
      <c r="BC17" s="78">
        <f t="shared" ref="BC17:BC20" si="142">($AS17+($AS17*$L17)+($AS17*$T17)+($AS17*$W17)+($AS17*$Z17)+($AS17*$AC17)+($AS17*$AF17)+($AI17)+($AS17*((52+$AL17)/52))*(1+$AO17))*1/$Q17</f>
        <v>264851.90327999997</v>
      </c>
      <c r="BD17" s="78">
        <f t="shared" ref="BD17:BD20" si="143">BA17/52/$N17</f>
        <v>132.8626824291498</v>
      </c>
      <c r="BE17" s="78">
        <f t="shared" si="131"/>
        <v>133.12305611336032</v>
      </c>
      <c r="BF17" s="78">
        <f t="shared" si="132"/>
        <v>134.03436400809716</v>
      </c>
      <c r="BG17" s="78">
        <f t="shared" ref="BG17:BI20" si="144">($AS17+($AS17*$K17)+($AS17*$T17)+($AS17*$W17)+($AS17*$Z17)+($AS17*$AC17)+($AS17*$AF17)+($AI17)+($AS17*((52+$AL17)/52))*(1+$AO17))*1/$Q17</f>
        <v>263051.15888</v>
      </c>
      <c r="BH17" s="78">
        <f t="shared" si="144"/>
        <v>263051.15888</v>
      </c>
      <c r="BI17" s="78">
        <f t="shared" si="144"/>
        <v>263051.15888</v>
      </c>
      <c r="BJ17" s="78">
        <f t="shared" ref="BJ17:BJ20" si="145">BG17/52/$O17</f>
        <v>126.46690330769232</v>
      </c>
      <c r="BK17" s="78">
        <f t="shared" ref="BK17:BK20" si="146">BH17/52/$N17</f>
        <v>133.12305611336032</v>
      </c>
      <c r="BL17" s="78">
        <f t="shared" ref="BL17:BL20" si="147">BI17/52/$M17</f>
        <v>139.35746920957831</v>
      </c>
      <c r="BM17" s="78">
        <f t="shared" ref="BM17:BM20" si="148">($AS17+($AS17*$K17)+($AS17*$S17)+($AS17*$W17)+($AS17*$Z17)+($AS17*$AC17)+($AS17*$AF17)+($AI17)+($AS17*((52+$AL17)/52))*(1+$AO17))*1/$Q17</f>
        <v>252761.19088000001</v>
      </c>
      <c r="BN17" s="78">
        <f t="shared" ref="BN17:BN20" si="149">($AS17+($AS17*$K17)+($AS17*$T17)+($AS17*$W17)+($AS17*$Z17)+($AS17*$AC17)+($AS17*$AF17)+($AI17)+($AS17*((52+$AL17)/52))*(1+$AO17))*1/$Q17</f>
        <v>263051.15888</v>
      </c>
      <c r="BO17" s="78">
        <f t="shared" ref="BO17:BO20" si="150">($AS17+($AS17*$K17)+($AS17*$U17)+($AS17*$W17)+($AS17*$Z17)+($AS17*$AC17)+($AS17*$AF17)+($AI17)+($AS17*((52+$AL17)/52))*(1+$AO17))*1/$Q17</f>
        <v>283631.09487999999</v>
      </c>
      <c r="BP17" s="78">
        <f t="shared" ref="BP17:BP20" si="151">BM17/52/$N17</f>
        <v>127.91558242914981</v>
      </c>
      <c r="BQ17" s="78">
        <f t="shared" ref="BQ17:BQ20" si="152">BN17/52/$N17</f>
        <v>133.12305611336032</v>
      </c>
      <c r="BR17" s="78">
        <f t="shared" ref="BR17:BR20" si="153">BO17/52/$N17</f>
        <v>143.53800348178137</v>
      </c>
      <c r="BS17" s="78">
        <f t="shared" ref="BS17:BS20" si="154">($AS17+($AS17*$K17)+($AS17*$T17)+($AS17*$V17)+($AS17*$Z17)+($AS17*$AC17)+($AS17*$AF17)+($AI17)+($AS17*((52+$AL17)/52))*(1+$AO17))*1/$Q17</f>
        <v>262485.21063999995</v>
      </c>
      <c r="BT17" s="78">
        <f t="shared" ref="BT17:BT20" si="155">($AS17+($AS17*$K17)+($AS17*$T17)+($AS17*$W17)+($AS17*$Z17)+($AS17*$AC17)+($AS17*$AF17)+($AI17)+($AS17*((52+$AL17)/52))*(1+$AO17))*1/$Q17</f>
        <v>263051.15888</v>
      </c>
      <c r="BU17" s="78">
        <f t="shared" ref="BU17:BU20" si="156">($AS17+($AS17*$K17)+($AS17*$T17)+($AS17*$X17)+($AS17*$Z17)+($AS17*$AC17)+($AS17*$AF17)+($AI17)+($AS17*((52+$AL17)/52))*(1+$AO17))*1/$Q17</f>
        <v>263565.65727999998</v>
      </c>
      <c r="BV17" s="78">
        <f t="shared" ref="BV17:BV20" si="157">BS17/52/$N17</f>
        <v>132.83664506072873</v>
      </c>
      <c r="BW17" s="78">
        <f t="shared" si="133"/>
        <v>133.12305611336032</v>
      </c>
      <c r="BX17" s="78">
        <f t="shared" si="134"/>
        <v>133.38342979757084</v>
      </c>
      <c r="BY17" s="78">
        <f t="shared" ref="BY17:BY20" si="158">($AS17+($AS17*$K17)+($AS17*$T17)+($AS17*$W17)+($AS17*$Y17)+($AS17*$AC17)+($AS17*$AF17)+($AI17)+($AS17*((52+$AL17)/52))*(1+$AO17))*1/$Q17</f>
        <v>263051.15888</v>
      </c>
      <c r="BZ17" s="78">
        <f t="shared" ref="BZ17:BZ20" si="159">($AS17+($AS17*$K17)+($AS17*$T17)+($AS17*$W17)+($AS17*$Z17)+($AS17*$AC17)+($AS17*$AF17)+($AI17)+($AS17*((52+$AL17)/52))*(1+$AO17))*1/$Q17</f>
        <v>263051.15888</v>
      </c>
      <c r="CA17" s="78">
        <f t="shared" ref="CA17:CA20" si="160">($AS17+($AS17*$K17)+($AS17*$T17)+($AS17*$W17)+($AS17*$AA17)+($AS17*$AC17)+($AS17*$AF17)+($AI17)+($AS17*((52+$AL17)/52))*(1+$AO17))*1/$Q17</f>
        <v>283631.09487999999</v>
      </c>
      <c r="CB17" s="78">
        <f t="shared" ref="CB17:CB20" si="161">BY17/52/$N17</f>
        <v>133.12305611336032</v>
      </c>
      <c r="CC17" s="78">
        <f t="shared" ref="CC17:CC20" si="162">BZ17/52/$N17</f>
        <v>133.12305611336032</v>
      </c>
      <c r="CD17" s="78">
        <f t="shared" ref="CD17:CD20" si="163">CA17/52/$N17</f>
        <v>143.53800348178137</v>
      </c>
      <c r="CE17" s="78">
        <f t="shared" ref="CE17:CE20" si="164">($AS17+($AS17*$K17)+($AS17*$T17)+($AS17*$W17)+($AS17*$Z17)+($AS17*$AB17)+($AS17*$AF17)+($AI17)+($AS17*((52+$AL17)/52))*(1+$AO17))*1/$Q17</f>
        <v>263051.15888</v>
      </c>
      <c r="CF17" s="78">
        <f t="shared" ref="CF17:CF20" si="165">($AS17+($AS17*$K17)+($AS17*$T17)+($AS17*$W17)+($AS17*$Z17)+($AS17*$AC17)+($AS17*$AF17)+($AI17)+($AS17*((52+$AL17)/52))*(1+$AO17))*1/$Q17</f>
        <v>263051.15888</v>
      </c>
      <c r="CG17" s="78">
        <f t="shared" ref="CG17:CG20" si="166">($AS17+($AS17*$K17)+($AS17*$T17)+($AS17*$W17)+($AS17*$Z17)+($AS17*$AD17)+($AS17*$AF17)+($AI17)+($AS17*((52+$AL17)/52))*(1+$AO17))*1/$Q17</f>
        <v>263051.15888</v>
      </c>
      <c r="CH17" s="78">
        <f t="shared" ref="CH17:CH20" si="167">CE17/52/$N17</f>
        <v>133.12305611336032</v>
      </c>
      <c r="CI17" s="78">
        <f t="shared" ref="CI17:CI20" si="168">CF17/52/$N17</f>
        <v>133.12305611336032</v>
      </c>
      <c r="CJ17" s="78">
        <f t="shared" si="135"/>
        <v>133.12305611336032</v>
      </c>
      <c r="CK17" s="78">
        <f t="shared" ref="CK17:CK20" si="169">($AS17+($AS17*$K17)+($AS17*$T17)+($AS17*$W17)+($AS17*$Z17)+($AS17*$AC17)+($AS17*$AE17)+($AI17)+($AS17*((52+$AL17)/52))*(1+$AO17))*1/$Q17</f>
        <v>259346.77039999998</v>
      </c>
      <c r="CL17" s="78">
        <f t="shared" ref="CL17:CL20" si="170">($AS17+($AS17*$K17)+($AS17*$T17)+($AS17*$W17)+($AS17*$Z17)+($AS17*$AC17)+($AS17*$AF17)+($AI17)+($AS17*((52+$AL17)/52))*(1+$AO17))*1/$Q17</f>
        <v>263051.15888</v>
      </c>
      <c r="CM17" s="78">
        <f t="shared" ref="CM17:CM20" si="171">($AS17+($AS17*$K17)+($AS17*$T17)+($AS17*$W17)+($AS17*$Z17)+($AS17*$AC17)+($AS17*$AG17)+($AI17)+($AS17*((52+$AL17)/52))*(1+$AO17))*1/$Q17</f>
        <v>266549.74800000002</v>
      </c>
      <c r="CN17" s="78">
        <f t="shared" ref="CN17:CN20" si="172">CK17/52/$N17</f>
        <v>131.24836558704453</v>
      </c>
      <c r="CO17" s="78">
        <f t="shared" ref="CO17:CO20" si="173">CL17/52/$N17</f>
        <v>133.12305611336032</v>
      </c>
      <c r="CP17" s="78">
        <f t="shared" si="136"/>
        <v>134.89359716599191</v>
      </c>
      <c r="CQ17" s="78">
        <f t="shared" ref="CQ17:CQ20" si="174">($AS17+($AS17*$K17)+($AS17*$T17)+($AS17*$W17)+($AS17*$Z17)+($AS17*$AC17)+($AS17*$AF17)+($AH17)+($AS17*((52+$AL17)/52))*(1+$AO17))*1/$Q17</f>
        <v>263051.15888</v>
      </c>
      <c r="CR17" s="78">
        <f t="shared" ref="CR17:CR20" si="175">($AS17+($AS17*$K17)+($AS17*$T17)+($AS17*$W17)+($AS17*$Z17)+($AS17*$AC17)+($AS17*$AF17)+($AI17)+($AS17*((52+$AL17)/52))*(1+$AO17))*1/$Q17</f>
        <v>263051.15888</v>
      </c>
      <c r="CS17" s="78">
        <f t="shared" ref="CS17:CS20" si="176">($AS17+($AS17*$K17)+($AS17*$T17)+($AS17*$W17)+($AS17*$Z17)+($AS17*$AC17)+($AS17*$AF17)+($AJ17)+($AS17*((52+$AL17)/52))*(1+$AO17))*1/$Q17</f>
        <v>265051.15888</v>
      </c>
      <c r="CT17" s="78">
        <f t="shared" ref="CT17:CT20" si="177">CQ17/52/$N17</f>
        <v>133.12305611336032</v>
      </c>
      <c r="CU17" s="78">
        <f t="shared" ref="CU17:CU20" si="178">CR17/52/$N17</f>
        <v>133.12305611336032</v>
      </c>
      <c r="CV17" s="78">
        <f t="shared" si="137"/>
        <v>134.13520186234817</v>
      </c>
      <c r="CW17" s="78">
        <f t="shared" ref="CW17:CW20" si="179">($AS17+($AS17*$K17)+($AS17*$T17)+($AS17*$W17)+($AS17*$Z17)+($AS17*$AC17)+($AS17*$AF17)+($AI17)+($AS17*((52+$AK17)/52))*(1+$AO17))*1/$Q17</f>
        <v>253750.61087999999</v>
      </c>
      <c r="CX17" s="78">
        <f t="shared" ref="CX17:CX20" si="180">($AS17+($AS17*$K17)+($AS17*$T17)+($AS17*$W17)+($AS17*$Z17)+($AS17*$AC17)+($AS17*$AF17)+($AI17)+($AS17*((52+$AL17)/52))*(1+$AO17))*1/$Q17</f>
        <v>263051.15888</v>
      </c>
      <c r="CY17" s="78">
        <f t="shared" ref="CY17:CY20" si="181">($AS17+($AS17*$K17)+($AS17*$T17)+($AS17*$W17)+($AS17*$Z17)+($AS17*$AC17)+($AS17*$AF17)+($AI17)+($AS17*((52+$AM17)/52))*(1+$AO17))*1/$Q17</f>
        <v>265376.29587999999</v>
      </c>
      <c r="CZ17" s="78">
        <f t="shared" ref="CZ17:CZ20" si="182">CW17/52/$N17</f>
        <v>128.41630105263158</v>
      </c>
      <c r="DA17" s="78">
        <f t="shared" ref="DA17:DA20" si="183">CX17/52/$N17</f>
        <v>133.12305611336032</v>
      </c>
      <c r="DB17" s="78">
        <f t="shared" si="138"/>
        <v>134.2997448785425</v>
      </c>
      <c r="DC17" s="78">
        <f t="shared" ref="DC17:DC20" si="184">($AS17+($AS17*$K17)+($AS17*$T17)+($AS17*$W17)+($AS17*$Z17)+($AS17*$AC17)+($AS17*$AF17)+($AI17)+($AS17*((52+$AL17)/52))*(1+$AN17))*1/$Q17</f>
        <v>243658.52688000002</v>
      </c>
      <c r="DD17" s="78">
        <f t="shared" ref="DD17:DD20" si="185">($AS17+($AS17*$K17)+($AS17*$T17)+($AS17*$W17)+($AS17*$Z17)+($AS17*$AC17)+($AS17*$AF17)+($AI17)+($AS17*((52+$AL17)/52))*(1+$AO17))*1/$Q17</f>
        <v>263051.15888</v>
      </c>
      <c r="DE17" s="78">
        <f t="shared" ref="DE17:DE20" si="186">($AS17+($AS17*$K17)+($AS17*$T17)+($AS17*$W17)+($AS17*$Z17)+($AS17*$AC17)+($AS17*$AF17)+($AI17)+($AS17*((52+$AL17)/52))*(1+$AP17))*1/$Q17</f>
        <v>265821.53487999999</v>
      </c>
      <c r="DF17" s="78">
        <f t="shared" ref="DF17:DF20" si="187">DC17/52/$N17</f>
        <v>123.30897109311742</v>
      </c>
      <c r="DG17" s="78">
        <f t="shared" ref="DG17:DG20" si="188">DD17/52/$N17</f>
        <v>133.12305611336032</v>
      </c>
      <c r="DH17" s="78">
        <f t="shared" si="139"/>
        <v>134.5250682591093</v>
      </c>
    </row>
    <row r="18" spans="1:112" x14ac:dyDescent="0.2">
      <c r="A18" s="45" t="s">
        <v>74</v>
      </c>
      <c r="B18" s="46" t="s">
        <v>47</v>
      </c>
      <c r="C18" s="54" t="s">
        <v>48</v>
      </c>
      <c r="I18" s="56">
        <v>2022</v>
      </c>
      <c r="J18" s="70">
        <v>0.105</v>
      </c>
      <c r="K18" s="57">
        <v>0.11</v>
      </c>
      <c r="L18" s="57">
        <v>0.1275</v>
      </c>
      <c r="M18" s="73">
        <v>36.299999999999997</v>
      </c>
      <c r="N18" s="73">
        <v>38</v>
      </c>
      <c r="O18" s="73">
        <v>40</v>
      </c>
      <c r="Q18" s="59">
        <v>1</v>
      </c>
      <c r="S18" s="59">
        <v>0</v>
      </c>
      <c r="T18" s="59">
        <v>0.1</v>
      </c>
      <c r="U18" s="59">
        <v>0.3</v>
      </c>
      <c r="V18" s="57">
        <v>2.9499999999999998E-2</v>
      </c>
      <c r="W18" s="57">
        <v>3.5000000000000003E-2</v>
      </c>
      <c r="X18" s="57">
        <v>0.04</v>
      </c>
      <c r="Y18" s="59">
        <v>0</v>
      </c>
      <c r="Z18" s="60">
        <v>0</v>
      </c>
      <c r="AA18" s="60">
        <v>0.2</v>
      </c>
      <c r="AB18" s="57">
        <v>0</v>
      </c>
      <c r="AC18" s="57">
        <v>0</v>
      </c>
      <c r="AD18" s="57">
        <v>0</v>
      </c>
      <c r="AE18" s="59">
        <v>0.01</v>
      </c>
      <c r="AF18" s="59">
        <v>4.5999999999999999E-2</v>
      </c>
      <c r="AG18" s="59">
        <v>0.08</v>
      </c>
      <c r="AH18" s="59">
        <v>0</v>
      </c>
      <c r="AI18" s="64">
        <v>0</v>
      </c>
      <c r="AJ18" s="64">
        <v>2000</v>
      </c>
      <c r="AK18" s="74">
        <v>0</v>
      </c>
      <c r="AL18" s="62">
        <v>4</v>
      </c>
      <c r="AM18" s="62">
        <v>5</v>
      </c>
      <c r="AN18" s="62">
        <v>0</v>
      </c>
      <c r="AO18" s="59">
        <v>0</v>
      </c>
      <c r="AP18" s="59">
        <v>0.2</v>
      </c>
      <c r="AQ18" s="59">
        <v>1.4999999999999999E-2</v>
      </c>
      <c r="AR18" s="65">
        <f>926.56*52</f>
        <v>48181.119999999995</v>
      </c>
      <c r="AS18" s="65">
        <f>AR18+((AT18-AR18)/2)</f>
        <v>57943.079999999994</v>
      </c>
      <c r="AT18" s="65">
        <f>1302.02*52</f>
        <v>67705.039999999994</v>
      </c>
      <c r="AU18" s="65">
        <f t="shared" si="130"/>
        <v>114089.18591999999</v>
      </c>
      <c r="AV18" s="65">
        <f t="shared" si="130"/>
        <v>137204.75628</v>
      </c>
      <c r="AW18" s="65">
        <f t="shared" si="130"/>
        <v>160320.32663999998</v>
      </c>
      <c r="AX18" s="65">
        <f t="shared" si="79"/>
        <v>57.737442267206475</v>
      </c>
      <c r="AY18" s="65">
        <f t="shared" si="79"/>
        <v>69.435605404858308</v>
      </c>
      <c r="AZ18" s="65">
        <f t="shared" si="79"/>
        <v>81.133768542510111</v>
      </c>
      <c r="BA18" s="78">
        <f t="shared" si="140"/>
        <v>136915.04087999999</v>
      </c>
      <c r="BB18" s="78">
        <f t="shared" si="141"/>
        <v>137204.75628</v>
      </c>
      <c r="BC18" s="78">
        <f t="shared" si="142"/>
        <v>138218.76017999998</v>
      </c>
      <c r="BD18" s="78">
        <f t="shared" si="143"/>
        <v>69.288988299595133</v>
      </c>
      <c r="BE18" s="78">
        <f t="shared" si="131"/>
        <v>69.435605404858308</v>
      </c>
      <c r="BF18" s="78">
        <f t="shared" si="132"/>
        <v>69.948765273279335</v>
      </c>
      <c r="BG18" s="78">
        <f t="shared" si="144"/>
        <v>137204.75628</v>
      </c>
      <c r="BH18" s="78">
        <f t="shared" si="144"/>
        <v>137204.75628</v>
      </c>
      <c r="BI18" s="78">
        <f t="shared" si="144"/>
        <v>137204.75628</v>
      </c>
      <c r="BJ18" s="78">
        <f t="shared" si="145"/>
        <v>65.963825134615391</v>
      </c>
      <c r="BK18" s="78">
        <f t="shared" si="146"/>
        <v>69.435605404858308</v>
      </c>
      <c r="BL18" s="78">
        <f t="shared" si="147"/>
        <v>72.687410616656081</v>
      </c>
      <c r="BM18" s="78">
        <f t="shared" si="148"/>
        <v>131410.44828000001</v>
      </c>
      <c r="BN18" s="78">
        <f t="shared" si="149"/>
        <v>137204.75628</v>
      </c>
      <c r="BO18" s="78">
        <f t="shared" si="150"/>
        <v>148793.37228000001</v>
      </c>
      <c r="BP18" s="78">
        <f t="shared" si="151"/>
        <v>66.503263299595147</v>
      </c>
      <c r="BQ18" s="78">
        <f t="shared" si="152"/>
        <v>69.435605404858308</v>
      </c>
      <c r="BR18" s="78">
        <f t="shared" si="153"/>
        <v>75.300289615384628</v>
      </c>
      <c r="BS18" s="78">
        <f t="shared" si="154"/>
        <v>136886.06933999999</v>
      </c>
      <c r="BT18" s="78">
        <f t="shared" si="155"/>
        <v>137204.75628</v>
      </c>
      <c r="BU18" s="78">
        <f t="shared" si="156"/>
        <v>137494.47167999999</v>
      </c>
      <c r="BV18" s="78">
        <f t="shared" si="157"/>
        <v>69.274326589068821</v>
      </c>
      <c r="BW18" s="78">
        <f t="shared" si="133"/>
        <v>69.435605404858308</v>
      </c>
      <c r="BX18" s="78">
        <f t="shared" si="134"/>
        <v>69.58222251012144</v>
      </c>
      <c r="BY18" s="78">
        <f t="shared" si="158"/>
        <v>137204.75628</v>
      </c>
      <c r="BZ18" s="78">
        <f t="shared" si="159"/>
        <v>137204.75628</v>
      </c>
      <c r="CA18" s="78">
        <f t="shared" si="160"/>
        <v>148793.37228000001</v>
      </c>
      <c r="CB18" s="78">
        <f t="shared" si="161"/>
        <v>69.435605404858308</v>
      </c>
      <c r="CC18" s="78">
        <f t="shared" si="162"/>
        <v>69.435605404858308</v>
      </c>
      <c r="CD18" s="78">
        <f t="shared" si="163"/>
        <v>75.300289615384628</v>
      </c>
      <c r="CE18" s="78">
        <f t="shared" si="164"/>
        <v>137204.75628</v>
      </c>
      <c r="CF18" s="78">
        <f t="shared" si="165"/>
        <v>137204.75628</v>
      </c>
      <c r="CG18" s="78">
        <f t="shared" si="166"/>
        <v>137204.75628</v>
      </c>
      <c r="CH18" s="78">
        <f t="shared" si="167"/>
        <v>69.435605404858308</v>
      </c>
      <c r="CI18" s="78">
        <f t="shared" si="168"/>
        <v>69.435605404858308</v>
      </c>
      <c r="CJ18" s="78">
        <f t="shared" si="135"/>
        <v>69.435605404858308</v>
      </c>
      <c r="CK18" s="78">
        <f t="shared" si="169"/>
        <v>135118.80540000001</v>
      </c>
      <c r="CL18" s="78">
        <f t="shared" si="170"/>
        <v>137204.75628</v>
      </c>
      <c r="CM18" s="78">
        <f t="shared" si="171"/>
        <v>139174.821</v>
      </c>
      <c r="CN18" s="78">
        <f t="shared" si="172"/>
        <v>68.379962246963572</v>
      </c>
      <c r="CO18" s="78">
        <f t="shared" si="173"/>
        <v>69.435605404858308</v>
      </c>
      <c r="CP18" s="78">
        <f t="shared" si="136"/>
        <v>70.432601720647767</v>
      </c>
      <c r="CQ18" s="78">
        <f t="shared" si="174"/>
        <v>137204.75628</v>
      </c>
      <c r="CR18" s="78">
        <f t="shared" si="175"/>
        <v>137204.75628</v>
      </c>
      <c r="CS18" s="78">
        <f t="shared" si="176"/>
        <v>139204.75628</v>
      </c>
      <c r="CT18" s="78">
        <f t="shared" si="177"/>
        <v>69.435605404858308</v>
      </c>
      <c r="CU18" s="78">
        <f t="shared" si="178"/>
        <v>69.435605404858308</v>
      </c>
      <c r="CV18" s="78">
        <f t="shared" si="137"/>
        <v>70.447751153846156</v>
      </c>
      <c r="CW18" s="78">
        <f t="shared" si="179"/>
        <v>132747.59628</v>
      </c>
      <c r="CX18" s="78">
        <f t="shared" si="180"/>
        <v>137204.75628</v>
      </c>
      <c r="CY18" s="78">
        <f t="shared" si="181"/>
        <v>138319.04628000001</v>
      </c>
      <c r="CZ18" s="78">
        <f t="shared" si="182"/>
        <v>67.179957631578944</v>
      </c>
      <c r="DA18" s="78">
        <f t="shared" si="183"/>
        <v>69.435605404858308</v>
      </c>
      <c r="DB18" s="78">
        <f t="shared" si="138"/>
        <v>69.999517348178145</v>
      </c>
      <c r="DC18" s="78">
        <f t="shared" si="184"/>
        <v>137204.75628</v>
      </c>
      <c r="DD18" s="78">
        <f t="shared" si="185"/>
        <v>137204.75628</v>
      </c>
      <c r="DE18" s="78">
        <f t="shared" si="186"/>
        <v>149684.80427999998</v>
      </c>
      <c r="DF18" s="78">
        <f t="shared" si="187"/>
        <v>69.435605404858308</v>
      </c>
      <c r="DG18" s="78">
        <f t="shared" si="188"/>
        <v>69.435605404858308</v>
      </c>
      <c r="DH18" s="78">
        <f t="shared" si="139"/>
        <v>75.751419170040478</v>
      </c>
    </row>
    <row r="19" spans="1:112" x14ac:dyDescent="0.2">
      <c r="A19" s="45" t="s">
        <v>74</v>
      </c>
      <c r="B19" s="46" t="s">
        <v>50</v>
      </c>
      <c r="C19" s="54" t="s">
        <v>51</v>
      </c>
      <c r="D19" s="45" t="s">
        <v>77</v>
      </c>
      <c r="E19" s="55" t="s">
        <v>78</v>
      </c>
      <c r="I19" s="56">
        <v>2022</v>
      </c>
      <c r="J19" s="70">
        <v>0.105</v>
      </c>
      <c r="K19" s="57">
        <v>0.11</v>
      </c>
      <c r="L19" s="57">
        <v>0.1275</v>
      </c>
      <c r="M19" s="73">
        <v>36.299999999999997</v>
      </c>
      <c r="N19" s="73">
        <v>38</v>
      </c>
      <c r="O19" s="73">
        <v>40</v>
      </c>
      <c r="Q19" s="59">
        <v>1</v>
      </c>
      <c r="S19" s="59">
        <v>0</v>
      </c>
      <c r="T19" s="59">
        <v>0.1</v>
      </c>
      <c r="U19" s="59">
        <v>0.3</v>
      </c>
      <c r="V19" s="57">
        <v>2.9499999999999998E-2</v>
      </c>
      <c r="W19" s="57">
        <v>3.5000000000000003E-2</v>
      </c>
      <c r="X19" s="57">
        <v>0.04</v>
      </c>
      <c r="Y19" s="59">
        <v>0</v>
      </c>
      <c r="Z19" s="60">
        <v>0</v>
      </c>
      <c r="AA19" s="60">
        <v>0.2</v>
      </c>
      <c r="AB19" s="57">
        <v>0</v>
      </c>
      <c r="AC19" s="57">
        <v>0</v>
      </c>
      <c r="AD19" s="57">
        <v>0</v>
      </c>
      <c r="AE19" s="59">
        <v>0.01</v>
      </c>
      <c r="AF19" s="59">
        <v>4.5999999999999999E-2</v>
      </c>
      <c r="AG19" s="59">
        <v>0.08</v>
      </c>
      <c r="AH19" s="59">
        <v>0</v>
      </c>
      <c r="AI19" s="64">
        <v>0</v>
      </c>
      <c r="AJ19" s="64">
        <v>2000</v>
      </c>
      <c r="AK19" s="74">
        <v>0</v>
      </c>
      <c r="AL19" s="62">
        <v>4</v>
      </c>
      <c r="AM19" s="62">
        <v>5</v>
      </c>
      <c r="AN19" s="62">
        <v>0</v>
      </c>
      <c r="AO19" s="59">
        <v>0.17499999999999999</v>
      </c>
      <c r="AP19" s="59">
        <v>0.2</v>
      </c>
      <c r="AQ19" s="59">
        <v>1.4999999999999999E-2</v>
      </c>
      <c r="AR19" s="65">
        <v>66106</v>
      </c>
      <c r="AS19" s="65">
        <f>AR19+((AT19-AR19)/2)</f>
        <v>90434.5</v>
      </c>
      <c r="AT19" s="65">
        <v>114763</v>
      </c>
      <c r="AU19" s="65">
        <f t="shared" si="130"/>
        <v>168992.36138461542</v>
      </c>
      <c r="AV19" s="65">
        <f t="shared" si="130"/>
        <v>231185.3645</v>
      </c>
      <c r="AW19" s="65">
        <f t="shared" si="130"/>
        <v>293378.36761538463</v>
      </c>
      <c r="AX19" s="65">
        <f t="shared" si="79"/>
        <v>85.522450093428859</v>
      </c>
      <c r="AY19" s="65">
        <f t="shared" si="79"/>
        <v>116.99664195344128</v>
      </c>
      <c r="AZ19" s="65">
        <f t="shared" si="79"/>
        <v>148.47083381345377</v>
      </c>
      <c r="BA19" s="78">
        <f t="shared" si="140"/>
        <v>230733.19199999998</v>
      </c>
      <c r="BB19" s="78">
        <f t="shared" si="141"/>
        <v>231185.3645</v>
      </c>
      <c r="BC19" s="78">
        <f t="shared" si="142"/>
        <v>232767.96824999998</v>
      </c>
      <c r="BD19" s="78">
        <f t="shared" si="143"/>
        <v>116.76780971659917</v>
      </c>
      <c r="BE19" s="78">
        <f t="shared" si="131"/>
        <v>116.99664195344128</v>
      </c>
      <c r="BF19" s="78">
        <f t="shared" si="132"/>
        <v>117.79755478238866</v>
      </c>
      <c r="BG19" s="78">
        <f t="shared" si="144"/>
        <v>231185.3645</v>
      </c>
      <c r="BH19" s="78">
        <f t="shared" si="144"/>
        <v>231185.3645</v>
      </c>
      <c r="BI19" s="78">
        <f t="shared" si="144"/>
        <v>231185.3645</v>
      </c>
      <c r="BJ19" s="78">
        <f t="shared" si="145"/>
        <v>111.14680985576922</v>
      </c>
      <c r="BK19" s="78">
        <f t="shared" si="146"/>
        <v>116.99664195344128</v>
      </c>
      <c r="BL19" s="78">
        <f t="shared" si="147"/>
        <v>122.47582353252808</v>
      </c>
      <c r="BM19" s="78">
        <f t="shared" si="148"/>
        <v>222141.91450000001</v>
      </c>
      <c r="BN19" s="78">
        <f t="shared" si="149"/>
        <v>231185.3645</v>
      </c>
      <c r="BO19" s="78">
        <f t="shared" si="150"/>
        <v>249272.26449999999</v>
      </c>
      <c r="BP19" s="78">
        <f t="shared" si="151"/>
        <v>112.4199972165992</v>
      </c>
      <c r="BQ19" s="78">
        <f t="shared" si="152"/>
        <v>116.99664195344128</v>
      </c>
      <c r="BR19" s="78">
        <f t="shared" si="153"/>
        <v>126.14993142712549</v>
      </c>
      <c r="BS19" s="78">
        <f t="shared" si="154"/>
        <v>230687.97474999999</v>
      </c>
      <c r="BT19" s="78">
        <f t="shared" si="155"/>
        <v>231185.3645</v>
      </c>
      <c r="BU19" s="78">
        <f t="shared" si="156"/>
        <v>231637.53700000001</v>
      </c>
      <c r="BV19" s="78">
        <f t="shared" si="157"/>
        <v>116.74492649291498</v>
      </c>
      <c r="BW19" s="78">
        <f t="shared" si="133"/>
        <v>116.99664195344128</v>
      </c>
      <c r="BX19" s="78">
        <f t="shared" si="134"/>
        <v>117.22547419028339</v>
      </c>
      <c r="BY19" s="78">
        <f t="shared" si="158"/>
        <v>231185.3645</v>
      </c>
      <c r="BZ19" s="78">
        <f t="shared" si="159"/>
        <v>231185.3645</v>
      </c>
      <c r="CA19" s="78">
        <f t="shared" si="160"/>
        <v>249272.26449999999</v>
      </c>
      <c r="CB19" s="78">
        <f t="shared" si="161"/>
        <v>116.99664195344128</v>
      </c>
      <c r="CC19" s="78">
        <f t="shared" si="162"/>
        <v>116.99664195344128</v>
      </c>
      <c r="CD19" s="78">
        <f t="shared" si="163"/>
        <v>126.14993142712549</v>
      </c>
      <c r="CE19" s="78">
        <f t="shared" si="164"/>
        <v>231185.3645</v>
      </c>
      <c r="CF19" s="78">
        <f t="shared" si="165"/>
        <v>231185.3645</v>
      </c>
      <c r="CG19" s="78">
        <f t="shared" si="166"/>
        <v>231185.3645</v>
      </c>
      <c r="CH19" s="78">
        <f t="shared" si="167"/>
        <v>116.99664195344128</v>
      </c>
      <c r="CI19" s="78">
        <f t="shared" si="168"/>
        <v>116.99664195344128</v>
      </c>
      <c r="CJ19" s="78">
        <f t="shared" si="135"/>
        <v>116.99664195344128</v>
      </c>
      <c r="CK19" s="78">
        <f t="shared" si="169"/>
        <v>227929.7225</v>
      </c>
      <c r="CL19" s="78">
        <f t="shared" si="170"/>
        <v>231185.3645</v>
      </c>
      <c r="CM19" s="78">
        <f t="shared" si="171"/>
        <v>234260.13750000001</v>
      </c>
      <c r="CN19" s="78">
        <f t="shared" si="172"/>
        <v>115.34904984817814</v>
      </c>
      <c r="CO19" s="78">
        <f t="shared" si="173"/>
        <v>116.99664195344128</v>
      </c>
      <c r="CP19" s="78">
        <f t="shared" si="136"/>
        <v>118.55270116396763</v>
      </c>
      <c r="CQ19" s="78">
        <f t="shared" si="174"/>
        <v>231185.3645</v>
      </c>
      <c r="CR19" s="78">
        <f t="shared" si="175"/>
        <v>231185.3645</v>
      </c>
      <c r="CS19" s="78">
        <f t="shared" si="176"/>
        <v>233185.3645</v>
      </c>
      <c r="CT19" s="78">
        <f t="shared" si="177"/>
        <v>116.99664195344128</v>
      </c>
      <c r="CU19" s="78">
        <f t="shared" si="178"/>
        <v>116.99664195344128</v>
      </c>
      <c r="CV19" s="78">
        <f t="shared" si="137"/>
        <v>118.00878770242916</v>
      </c>
      <c r="CW19" s="78">
        <f t="shared" si="179"/>
        <v>223011.47700000001</v>
      </c>
      <c r="CX19" s="78">
        <f t="shared" si="180"/>
        <v>231185.3645</v>
      </c>
      <c r="CY19" s="78">
        <f t="shared" si="181"/>
        <v>233228.83637500001</v>
      </c>
      <c r="CZ19" s="78">
        <f t="shared" si="182"/>
        <v>112.86005921052632</v>
      </c>
      <c r="DA19" s="78">
        <f t="shared" si="183"/>
        <v>116.99664195344128</v>
      </c>
      <c r="DB19" s="78">
        <f t="shared" si="138"/>
        <v>118.03078763917004</v>
      </c>
      <c r="DC19" s="78">
        <f t="shared" si="184"/>
        <v>214141.93949999998</v>
      </c>
      <c r="DD19" s="78">
        <f t="shared" si="185"/>
        <v>231185.3645</v>
      </c>
      <c r="DE19" s="78">
        <f t="shared" si="186"/>
        <v>233620.13949999999</v>
      </c>
      <c r="DF19" s="78">
        <f t="shared" si="187"/>
        <v>108.37142687246961</v>
      </c>
      <c r="DG19" s="78">
        <f t="shared" si="188"/>
        <v>116.99664195344128</v>
      </c>
      <c r="DH19" s="78">
        <f t="shared" si="139"/>
        <v>118.22881553643724</v>
      </c>
    </row>
    <row r="20" spans="1:112" x14ac:dyDescent="0.2">
      <c r="A20" s="45" t="s">
        <v>74</v>
      </c>
      <c r="B20" s="46" t="s">
        <v>55</v>
      </c>
      <c r="C20" s="54" t="s">
        <v>56</v>
      </c>
      <c r="D20" s="45" t="s">
        <v>79</v>
      </c>
      <c r="E20" s="55" t="s">
        <v>80</v>
      </c>
      <c r="F20" s="45" t="s">
        <v>60</v>
      </c>
      <c r="G20" s="45" t="s">
        <v>60</v>
      </c>
      <c r="H20" s="67" t="s">
        <v>81</v>
      </c>
      <c r="I20" s="56">
        <v>2022</v>
      </c>
      <c r="J20" s="70">
        <v>0.105</v>
      </c>
      <c r="K20" s="57">
        <v>0.11</v>
      </c>
      <c r="L20" s="57">
        <v>0.1275</v>
      </c>
      <c r="M20" s="73">
        <v>36.299999999999997</v>
      </c>
      <c r="N20" s="73">
        <v>38</v>
      </c>
      <c r="O20" s="73">
        <v>40</v>
      </c>
      <c r="Q20" s="59">
        <v>1</v>
      </c>
      <c r="S20" s="59">
        <v>0</v>
      </c>
      <c r="T20" s="59">
        <v>0</v>
      </c>
      <c r="U20" s="59">
        <v>0.3</v>
      </c>
      <c r="V20" s="57">
        <v>2.9499999999999998E-2</v>
      </c>
      <c r="W20" s="57">
        <v>3.5000000000000003E-2</v>
      </c>
      <c r="X20" s="57">
        <v>0.04</v>
      </c>
      <c r="Y20" s="59">
        <v>0</v>
      </c>
      <c r="Z20" s="60">
        <v>0.1</v>
      </c>
      <c r="AA20" s="60">
        <v>0.2</v>
      </c>
      <c r="AB20" s="57">
        <v>0</v>
      </c>
      <c r="AC20" s="57">
        <v>0.17399999999999999</v>
      </c>
      <c r="AD20" s="57">
        <v>0.3</v>
      </c>
      <c r="AE20" s="59">
        <v>0.01</v>
      </c>
      <c r="AF20" s="59">
        <v>4.5999999999999999E-2</v>
      </c>
      <c r="AG20" s="59">
        <v>0.08</v>
      </c>
      <c r="AH20" s="59">
        <v>0</v>
      </c>
      <c r="AI20" s="64">
        <v>38000</v>
      </c>
      <c r="AJ20" s="64">
        <v>38000</v>
      </c>
      <c r="AK20" s="74">
        <v>0</v>
      </c>
      <c r="AL20" s="62">
        <v>5</v>
      </c>
      <c r="AM20" s="62">
        <v>5</v>
      </c>
      <c r="AN20" s="62">
        <v>0</v>
      </c>
      <c r="AO20" s="59">
        <v>0.17499999999999999</v>
      </c>
      <c r="AP20" s="59">
        <v>0.2</v>
      </c>
      <c r="AQ20" s="59">
        <v>1.4999999999999999E-2</v>
      </c>
      <c r="AR20" s="65">
        <v>179078</v>
      </c>
      <c r="AS20" s="65">
        <f>AR20+((AT20-AR20)/2)</f>
        <v>210509</v>
      </c>
      <c r="AT20" s="65">
        <v>241940</v>
      </c>
      <c r="AU20" s="65">
        <f t="shared" si="130"/>
        <v>530998.29019230767</v>
      </c>
      <c r="AV20" s="65">
        <f t="shared" si="130"/>
        <v>617527.22875000001</v>
      </c>
      <c r="AW20" s="65">
        <f t="shared" si="130"/>
        <v>704056.16730769235</v>
      </c>
      <c r="AX20" s="65">
        <f t="shared" si="79"/>
        <v>268.72383106898161</v>
      </c>
      <c r="AY20" s="65">
        <f t="shared" si="79"/>
        <v>312.51377973178137</v>
      </c>
      <c r="AZ20" s="65">
        <f t="shared" si="79"/>
        <v>356.30372839458113</v>
      </c>
      <c r="BA20" s="78">
        <f t="shared" si="140"/>
        <v>616474.68375000008</v>
      </c>
      <c r="BB20" s="78">
        <f t="shared" si="141"/>
        <v>617527.22875000001</v>
      </c>
      <c r="BC20" s="78">
        <f t="shared" si="142"/>
        <v>621211.13624999998</v>
      </c>
      <c r="BD20" s="78">
        <f t="shared" si="143"/>
        <v>311.98111525809719</v>
      </c>
      <c r="BE20" s="78">
        <f t="shared" si="131"/>
        <v>312.51377973178137</v>
      </c>
      <c r="BF20" s="78">
        <f t="shared" si="132"/>
        <v>314.37810538967608</v>
      </c>
      <c r="BG20" s="78">
        <f t="shared" si="144"/>
        <v>617527.22875000001</v>
      </c>
      <c r="BH20" s="78">
        <f t="shared" si="144"/>
        <v>617527.22875000001</v>
      </c>
      <c r="BI20" s="78">
        <f t="shared" si="144"/>
        <v>617527.22875000001</v>
      </c>
      <c r="BJ20" s="78">
        <f t="shared" si="145"/>
        <v>296.8880907451923</v>
      </c>
      <c r="BK20" s="78">
        <f t="shared" si="146"/>
        <v>312.51377973178137</v>
      </c>
      <c r="BL20" s="78">
        <f t="shared" si="147"/>
        <v>327.14941128946816</v>
      </c>
      <c r="BM20" s="78">
        <f t="shared" si="148"/>
        <v>617527.22875000001</v>
      </c>
      <c r="BN20" s="78">
        <f t="shared" si="149"/>
        <v>617527.22875000001</v>
      </c>
      <c r="BO20" s="78">
        <f t="shared" si="150"/>
        <v>680679.92875000008</v>
      </c>
      <c r="BP20" s="78">
        <f t="shared" si="151"/>
        <v>312.51377973178137</v>
      </c>
      <c r="BQ20" s="78">
        <f t="shared" si="152"/>
        <v>312.51377973178137</v>
      </c>
      <c r="BR20" s="78">
        <f t="shared" si="153"/>
        <v>344.47364815283407</v>
      </c>
      <c r="BS20" s="78">
        <f t="shared" si="154"/>
        <v>616369.42925000004</v>
      </c>
      <c r="BT20" s="78">
        <f t="shared" si="155"/>
        <v>617527.22875000001</v>
      </c>
      <c r="BU20" s="78">
        <f t="shared" si="156"/>
        <v>618579.77375000005</v>
      </c>
      <c r="BV20" s="78">
        <f t="shared" si="157"/>
        <v>311.92784881072879</v>
      </c>
      <c r="BW20" s="78">
        <f t="shared" si="133"/>
        <v>312.51377973178137</v>
      </c>
      <c r="BX20" s="78">
        <f t="shared" si="134"/>
        <v>313.0464442054656</v>
      </c>
      <c r="BY20" s="78">
        <f t="shared" si="158"/>
        <v>596476.3287500001</v>
      </c>
      <c r="BZ20" s="78">
        <f t="shared" si="159"/>
        <v>617527.22875000001</v>
      </c>
      <c r="CA20" s="78">
        <f t="shared" si="160"/>
        <v>638578.12875000003</v>
      </c>
      <c r="CB20" s="78">
        <f t="shared" si="161"/>
        <v>301.86049025809717</v>
      </c>
      <c r="CC20" s="78">
        <f t="shared" si="162"/>
        <v>312.51377973178137</v>
      </c>
      <c r="CD20" s="78">
        <f t="shared" si="163"/>
        <v>323.16706920546562</v>
      </c>
      <c r="CE20" s="78">
        <f t="shared" si="164"/>
        <v>580898.66275000013</v>
      </c>
      <c r="CF20" s="78">
        <f t="shared" si="165"/>
        <v>617527.22875000001</v>
      </c>
      <c r="CG20" s="78">
        <f t="shared" si="166"/>
        <v>644051.36275000009</v>
      </c>
      <c r="CH20" s="78">
        <f t="shared" si="167"/>
        <v>293.97705604757095</v>
      </c>
      <c r="CI20" s="78">
        <f t="shared" si="168"/>
        <v>312.51377973178137</v>
      </c>
      <c r="CJ20" s="78">
        <f t="shared" si="135"/>
        <v>325.93692446862354</v>
      </c>
      <c r="CK20" s="78">
        <f t="shared" si="169"/>
        <v>609948.9047500001</v>
      </c>
      <c r="CL20" s="78">
        <f t="shared" si="170"/>
        <v>617527.22875000001</v>
      </c>
      <c r="CM20" s="78">
        <f t="shared" si="171"/>
        <v>624684.53475000011</v>
      </c>
      <c r="CN20" s="78">
        <f t="shared" si="172"/>
        <v>308.67859552125515</v>
      </c>
      <c r="CO20" s="78">
        <f t="shared" si="173"/>
        <v>312.51377973178137</v>
      </c>
      <c r="CP20" s="78">
        <f t="shared" si="136"/>
        <v>316.13589815283405</v>
      </c>
      <c r="CQ20" s="78">
        <f t="shared" si="174"/>
        <v>579527.22875000001</v>
      </c>
      <c r="CR20" s="78">
        <f t="shared" si="175"/>
        <v>617527.22875000001</v>
      </c>
      <c r="CS20" s="78">
        <f t="shared" si="176"/>
        <v>617527.22875000001</v>
      </c>
      <c r="CT20" s="78">
        <f t="shared" si="177"/>
        <v>293.28301050101214</v>
      </c>
      <c r="CU20" s="78">
        <f t="shared" si="178"/>
        <v>312.51377973178137</v>
      </c>
      <c r="CV20" s="78">
        <f t="shared" si="137"/>
        <v>312.51377973178137</v>
      </c>
      <c r="CW20" s="78">
        <f t="shared" si="179"/>
        <v>593743.76</v>
      </c>
      <c r="CX20" s="78">
        <f t="shared" si="180"/>
        <v>617527.22875000001</v>
      </c>
      <c r="CY20" s="78">
        <f t="shared" si="181"/>
        <v>617527.22875000001</v>
      </c>
      <c r="CZ20" s="78">
        <f t="shared" si="182"/>
        <v>300.4776113360324</v>
      </c>
      <c r="DA20" s="78">
        <f t="shared" si="183"/>
        <v>312.51377973178137</v>
      </c>
      <c r="DB20" s="78">
        <f t="shared" si="138"/>
        <v>312.51377973178137</v>
      </c>
      <c r="DC20" s="78">
        <f t="shared" si="184"/>
        <v>577145.93500000006</v>
      </c>
      <c r="DD20" s="78">
        <f t="shared" si="185"/>
        <v>617527.22875000001</v>
      </c>
      <c r="DE20" s="78">
        <f t="shared" si="186"/>
        <v>623295.9850000001</v>
      </c>
      <c r="DF20" s="78">
        <f t="shared" si="187"/>
        <v>292.07790232793525</v>
      </c>
      <c r="DG20" s="78">
        <f t="shared" si="188"/>
        <v>312.51377973178137</v>
      </c>
      <c r="DH20" s="78">
        <f t="shared" si="139"/>
        <v>315.43319078947371</v>
      </c>
    </row>
    <row r="21" spans="1:112" x14ac:dyDescent="0.2">
      <c r="J21" s="70"/>
      <c r="AI21" s="64"/>
      <c r="AJ21" s="64"/>
      <c r="AQ21" s="59"/>
      <c r="AR21" s="65"/>
      <c r="AS21" s="65"/>
      <c r="AT21" s="65"/>
      <c r="AU21" s="65"/>
      <c r="AV21" s="65"/>
      <c r="AW21" s="65"/>
      <c r="AX21" s="65"/>
      <c r="AY21" s="65"/>
      <c r="AZ21" s="65"/>
    </row>
    <row r="22" spans="1:112" x14ac:dyDescent="0.2">
      <c r="A22" s="45" t="s">
        <v>82</v>
      </c>
      <c r="B22" s="46" t="s">
        <v>33</v>
      </c>
      <c r="C22" s="54" t="s">
        <v>34</v>
      </c>
      <c r="D22" s="45" t="s">
        <v>83</v>
      </c>
      <c r="I22" s="56">
        <v>2022</v>
      </c>
      <c r="J22" s="70">
        <v>0.105</v>
      </c>
      <c r="K22" s="57">
        <v>0.11</v>
      </c>
      <c r="L22" s="57">
        <v>0.1275</v>
      </c>
      <c r="M22" s="73">
        <v>36.299999999999997</v>
      </c>
      <c r="N22" s="73">
        <v>38</v>
      </c>
      <c r="O22" s="73">
        <v>40</v>
      </c>
      <c r="Q22" s="59">
        <v>1</v>
      </c>
      <c r="S22" s="59">
        <v>0</v>
      </c>
      <c r="T22" s="59">
        <v>0.1</v>
      </c>
      <c r="U22" s="59">
        <v>0.3</v>
      </c>
      <c r="V22" s="57">
        <v>2.9499999999999998E-2</v>
      </c>
      <c r="W22" s="57">
        <v>3.5000000000000003E-2</v>
      </c>
      <c r="X22" s="57">
        <v>0.04</v>
      </c>
      <c r="Y22" s="59">
        <v>0</v>
      </c>
      <c r="Z22" s="60">
        <v>0</v>
      </c>
      <c r="AA22" s="60">
        <v>0.2</v>
      </c>
      <c r="AB22" s="57">
        <v>0</v>
      </c>
      <c r="AC22" s="57">
        <v>0</v>
      </c>
      <c r="AD22" s="57">
        <v>0</v>
      </c>
      <c r="AE22" s="59">
        <v>0.01</v>
      </c>
      <c r="AF22" s="59">
        <v>4.5999999999999999E-2</v>
      </c>
      <c r="AG22" s="59">
        <v>0.08</v>
      </c>
      <c r="AH22" s="59">
        <v>0</v>
      </c>
      <c r="AI22" s="64">
        <v>1826</v>
      </c>
      <c r="AJ22" s="64">
        <v>2000</v>
      </c>
      <c r="AK22" s="74">
        <v>0</v>
      </c>
      <c r="AL22" s="62">
        <v>4</v>
      </c>
      <c r="AM22" s="62">
        <v>5</v>
      </c>
      <c r="AN22" s="62">
        <v>0</v>
      </c>
      <c r="AO22" s="59">
        <v>0</v>
      </c>
      <c r="AP22" s="59">
        <v>0.2</v>
      </c>
      <c r="AQ22" s="59">
        <v>1.4999999999999999E-2</v>
      </c>
      <c r="AR22" s="65">
        <v>48552</v>
      </c>
      <c r="AS22" s="65">
        <f>AR22+((AT22-AR22)/2)</f>
        <v>70196</v>
      </c>
      <c r="AT22" s="65">
        <v>91840</v>
      </c>
      <c r="AU22" s="65">
        <f t="shared" ref="AU22:AW26" si="189">(AR22+(AR22*$K22)+(AR22*$T22)+(AR22*$W22)+(AR22*$Z22)+(AR22*$AC22)+(AR22*$AF22)+($AI22)+(AR22*((52+$AL22)/52))*(1+$AO22))*1/$Q22</f>
        <v>116793.40123076923</v>
      </c>
      <c r="AV22" s="65">
        <f t="shared" si="189"/>
        <v>168044.7283076923</v>
      </c>
      <c r="AW22" s="65">
        <f t="shared" si="189"/>
        <v>219296.05538461538</v>
      </c>
      <c r="AX22" s="65">
        <f t="shared" si="79"/>
        <v>59.105972282777955</v>
      </c>
      <c r="AY22" s="65">
        <f t="shared" si="79"/>
        <v>85.042878698224854</v>
      </c>
      <c r="AZ22" s="65">
        <f t="shared" si="79"/>
        <v>110.97978511367175</v>
      </c>
      <c r="BA22" s="78">
        <f>($AS22+($AS22*$J22)+($AS22*$T22)+($AS22*$W22)+($AS22*$Z22)+($AS22*$AC22)+($AS22*$AF22)+($AI22)+($AS22*((52+$AL22)/52))*(1+$AO22))*1/$Q22</f>
        <v>167693.74830769229</v>
      </c>
      <c r="BB22" s="78">
        <f>($AS22+($AS22*$K22)+($AS22*$T22)+($AS22*$W22)+($AS22*$Z22)+($AS22*$AC22)+($AS22*$AF22)+($AI22)+($AS22*((52+$AL22)/52))*(1+$AO22))*1/$Q22</f>
        <v>168044.7283076923</v>
      </c>
      <c r="BC22" s="78">
        <f>($AS22+($AS22*$L22)+($AS22*$T22)+($AS22*$W22)+($AS22*$Z22)+($AS22*$AC22)+($AS22*$AF22)+($AI22)+($AS22*((52+$AL22)/52))*(1+$AO22))*1/$Q22</f>
        <v>169273.15830769233</v>
      </c>
      <c r="BD22" s="78">
        <f>BA22/52/$N22</f>
        <v>84.865257240734962</v>
      </c>
      <c r="BE22" s="78">
        <f t="shared" ref="BE22:BE26" si="190">BB22/52/$N22</f>
        <v>85.042878698224854</v>
      </c>
      <c r="BF22" s="78">
        <f t="shared" ref="BF22:BF26" si="191">BC22/52/$N22</f>
        <v>85.664553799439432</v>
      </c>
      <c r="BG22" s="78">
        <f>($AS22+($AS22*$K22)+($AS22*$T22)+($AS22*$W22)+($AS22*$Z22)+($AS22*$AC22)+($AS22*$AF22)+($AI22)+($AS22*((52+$AL22)/52))*(1+$AO22))*1/$Q22</f>
        <v>168044.7283076923</v>
      </c>
      <c r="BH22" s="78">
        <f>($AS22+($AS22*$K22)+($AS22*$T22)+($AS22*$W22)+($AS22*$Z22)+($AS22*$AC22)+($AS22*$AF22)+($AI22)+($AS22*((52+$AL22)/52))*(1+$AO22))*1/$Q22</f>
        <v>168044.7283076923</v>
      </c>
      <c r="BI22" s="78">
        <f>($AS22+($AS22*$K22)+($AS22*$T22)+($AS22*$W22)+($AS22*$Z22)+($AS22*$AC22)+($AS22*$AF22)+($AI22)+($AS22*((52+$AL22)/52))*(1+$AO22))*1/$Q22</f>
        <v>168044.7283076923</v>
      </c>
      <c r="BJ22" s="78">
        <f>BG22/52/$O22</f>
        <v>80.790734763313608</v>
      </c>
      <c r="BK22" s="78">
        <f>BH22/52/$N22</f>
        <v>85.042878698224854</v>
      </c>
      <c r="BL22" s="78">
        <f>BI22/52/$M22</f>
        <v>89.025603044973678</v>
      </c>
      <c r="BM22" s="78">
        <f>($AS22+($AS22*$K22)+($AS22*$S22)+($AS22*$W22)+($AS22*$Z22)+($AS22*$AC22)+($AS22*$AF22)+($AI22)+($AS22*((52+$AL22)/52))*(1+$AO22))*1/$Q22</f>
        <v>161025.1283076923</v>
      </c>
      <c r="BN22" s="78">
        <f>($AS22+($AS22*$K22)+($AS22*$T22)+($AS22*$W22)+($AS22*$Z22)+($AS22*$AC22)+($AS22*$AF22)+($AI22)+($AS22*((52+$AL22)/52))*(1+$AO22))*1/$Q22</f>
        <v>168044.7283076923</v>
      </c>
      <c r="BO22" s="78">
        <f>($AS22+($AS22*$K22)+($AS22*$U22)+($AS22*$W22)+($AS22*$Z22)+($AS22*$AC22)+($AS22*$AF22)+($AI22)+($AS22*((52+$AL22)/52))*(1+$AO22))*1/$Q22</f>
        <v>182083.92830769229</v>
      </c>
      <c r="BP22" s="78">
        <f>BM22/52/$N22</f>
        <v>81.490449548427279</v>
      </c>
      <c r="BQ22" s="78">
        <f>BN22/52/$N22</f>
        <v>85.042878698224854</v>
      </c>
      <c r="BR22" s="78">
        <f>BO22/52/$N22</f>
        <v>92.14773699781999</v>
      </c>
      <c r="BS22" s="78">
        <f>($AS22+($AS22*$K22)+($AS22*$T22)+($AS22*$V22)+($AS22*$Z22)+($AS22*$AC22)+($AS22*$AF22)+($AI22)+($AS22*((52+$AL22)/52))*(1+$AO22))*1/$Q22</f>
        <v>167658.6503076923</v>
      </c>
      <c r="BT22" s="78">
        <f>($AS22+($AS22*$K22)+($AS22*$T22)+($AS22*$W22)+($AS22*$Z22)+($AS22*$AC22)+($AS22*$AF22)+($AI22)+($AS22*((52+$AL22)/52))*(1+$AO22))*1/$Q22</f>
        <v>168044.7283076923</v>
      </c>
      <c r="BU22" s="78">
        <f>($AS22+($AS22*$K22)+($AS22*$T22)+($AS22*$X22)+($AS22*$Z22)+($AS22*$AC22)+($AS22*$AF22)+($AI22)+($AS22*((52+$AL22)/52))*(1+$AO22))*1/$Q22</f>
        <v>168395.70830769232</v>
      </c>
      <c r="BV22" s="78">
        <f>BS22/52/$N22</f>
        <v>84.847495094985973</v>
      </c>
      <c r="BW22" s="78">
        <f t="shared" ref="BW22:BW26" si="192">BT22/52/$N22</f>
        <v>85.042878698224854</v>
      </c>
      <c r="BX22" s="78">
        <f t="shared" ref="BX22:BX26" si="193">BU22/52/$N22</f>
        <v>85.220500155714731</v>
      </c>
      <c r="BY22" s="78">
        <f>($AS22+($AS22*$K22)+($AS22*$T22)+($AS22*$W22)+($AS22*$Y22)+($AS22*$AC22)+($AS22*$AF22)+($AI22)+($AS22*((52+$AL22)/52))*(1+$AO22))*1/$Q22</f>
        <v>168044.7283076923</v>
      </c>
      <c r="BZ22" s="78">
        <f>($AS22+($AS22*$K22)+($AS22*$T22)+($AS22*$W22)+($AS22*$Z22)+($AS22*$AC22)+($AS22*$AF22)+($AI22)+($AS22*((52+$AL22)/52))*(1+$AO22))*1/$Q22</f>
        <v>168044.7283076923</v>
      </c>
      <c r="CA22" s="78">
        <f>($AS22+($AS22*$K22)+($AS22*$T22)+($AS22*$W22)+($AS22*$AA22)+($AS22*$AC22)+($AS22*$AF22)+($AI22)+($AS22*((52+$AL22)/52))*(1+$AO22))*1/$Q22</f>
        <v>182083.92830769229</v>
      </c>
      <c r="CB22" s="78">
        <f>BY22/52/$N22</f>
        <v>85.042878698224854</v>
      </c>
      <c r="CC22" s="78">
        <f>BZ22/52/$N22</f>
        <v>85.042878698224854</v>
      </c>
      <c r="CD22" s="78">
        <f>CA22/52/$N22</f>
        <v>92.14773699781999</v>
      </c>
      <c r="CE22" s="78">
        <f>($AS22+($AS22*$K22)+($AS22*$T22)+($AS22*$W22)+($AS22*$Z22)+($AS22*$AB22)+($AS22*$AF22)+($AI22)+($AS22*((52+$AL22)/52))*(1+$AO22))*1/$Q22</f>
        <v>168044.7283076923</v>
      </c>
      <c r="CF22" s="78">
        <f>($AS22+($AS22*$K22)+($AS22*$T22)+($AS22*$W22)+($AS22*$Z22)+($AS22*$AC22)+($AS22*$AF22)+($AI22)+($AS22*((52+$AL22)/52))*(1+$AO22))*1/$Q22</f>
        <v>168044.7283076923</v>
      </c>
      <c r="CG22" s="78">
        <f>($AS22+($AS22*$K22)+($AS22*$T22)+($AS22*$W22)+($AS22*$Z22)+($AS22*$AD22)+($AS22*$AF22)+($AI22)+($AS22*((52+$AL22)/52))*(1+$AO22))*1/$Q22</f>
        <v>168044.7283076923</v>
      </c>
      <c r="CH22" s="78">
        <f>CE22/52/$N22</f>
        <v>85.042878698224854</v>
      </c>
      <c r="CI22" s="78">
        <f>CF22/52/$N22</f>
        <v>85.042878698224854</v>
      </c>
      <c r="CJ22" s="78">
        <f t="shared" ref="CJ22:CJ26" si="194">CG22/52/$N22</f>
        <v>85.042878698224854</v>
      </c>
      <c r="CK22" s="78">
        <f>($AS22+($AS22*$K22)+($AS22*$T22)+($AS22*$W22)+($AS22*$Z22)+($AS22*$AC22)+($AS22*$AE22)+($AI22)+($AS22*((52+$AL22)/52))*(1+$AO22))*1/$Q22</f>
        <v>165517.67230769229</v>
      </c>
      <c r="CL22" s="78">
        <f>($AS22+($AS22*$K22)+($AS22*$T22)+($AS22*$W22)+($AS22*$Z22)+($AS22*$AC22)+($AS22*$AF22)+($AI22)+($AS22*((52+$AL22)/52))*(1+$AO22))*1/$Q22</f>
        <v>168044.7283076923</v>
      </c>
      <c r="CM22" s="78">
        <f>($AS22+($AS22*$K22)+($AS22*$T22)+($AS22*$W22)+($AS22*$Z22)+($AS22*$AC22)+($AS22*$AG22)+($AI22)+($AS22*((52+$AL22)/52))*(1+$AO22))*1/$Q22</f>
        <v>170431.39230769232</v>
      </c>
      <c r="CN22" s="78">
        <f>CK22/52/$N22</f>
        <v>83.76400420429772</v>
      </c>
      <c r="CO22" s="78">
        <f>CL22/52/$N22</f>
        <v>85.042878698224854</v>
      </c>
      <c r="CP22" s="78">
        <f t="shared" ref="CP22:CP26" si="195">CM22/52/$N22</f>
        <v>86.250704609156031</v>
      </c>
      <c r="CQ22" s="78">
        <f>($AS22+($AS22*$K22)+($AS22*$T22)+($AS22*$W22)+($AS22*$Z22)+($AS22*$AC22)+($AS22*$AF22)+($AH22)+($AS22*((52+$AL22)/52))*(1+$AO22))*1/$Q22</f>
        <v>166218.7283076923</v>
      </c>
      <c r="CR22" s="78">
        <f>($AS22+($AS22*$K22)+($AS22*$T22)+($AS22*$W22)+($AS22*$Z22)+($AS22*$AC22)+($AS22*$AF22)+($AI22)+($AS22*((52+$AL22)/52))*(1+$AO22))*1/$Q22</f>
        <v>168044.7283076923</v>
      </c>
      <c r="CS22" s="78">
        <f>($AS22+($AS22*$K22)+($AS22*$T22)+($AS22*$W22)+($AS22*$Z22)+($AS22*$AC22)+($AS22*$AF22)+($AJ22)+($AS22*((52+$AL22)/52))*(1+$AO22))*1/$Q22</f>
        <v>168218.7283076923</v>
      </c>
      <c r="CT22" s="78">
        <f>CQ22/52/$N22</f>
        <v>84.118789629398947</v>
      </c>
      <c r="CU22" s="78">
        <f>CR22/52/$N22</f>
        <v>85.042878698224854</v>
      </c>
      <c r="CV22" s="78">
        <f t="shared" ref="CV22:CV26" si="196">CS22/52/$N22</f>
        <v>85.130935378386795</v>
      </c>
      <c r="CW22" s="78">
        <f>($AS22+($AS22*$K22)+($AS22*$T22)+($AS22*$W22)+($AS22*$Z22)+($AS22*$AC22)+($AS22*$AF22)+($AI22)+($AS22*((52+$AK22)/52))*(1+$AO22))*1/$Q22</f>
        <v>162645.03600000002</v>
      </c>
      <c r="CX22" s="78">
        <f>($AS22+($AS22*$K22)+($AS22*$T22)+($AS22*$W22)+($AS22*$Z22)+($AS22*$AC22)+($AS22*$AF22)+($AI22)+($AS22*((52+$AL22)/52))*(1+$AO22))*1/$Q22</f>
        <v>168044.7283076923</v>
      </c>
      <c r="CY22" s="78">
        <f>($AS22+($AS22*$K22)+($AS22*$T22)+($AS22*$W22)+($AS22*$Z22)+($AS22*$AC22)+($AS22*$AF22)+($AI22)+($AS22*((52+$AM22)/52))*(1+$AO22))*1/$Q22</f>
        <v>169394.6513846154</v>
      </c>
      <c r="CZ22" s="78">
        <f>CW22/52/$N22</f>
        <v>82.310240890688277</v>
      </c>
      <c r="DA22" s="78">
        <f>CX22/52/$N22</f>
        <v>85.042878698224854</v>
      </c>
      <c r="DB22" s="78">
        <f t="shared" ref="DB22:DB26" si="197">CY22/52/$N22</f>
        <v>85.726038150109005</v>
      </c>
      <c r="DC22" s="78">
        <f>($AS22+($AS22*$K22)+($AS22*$T22)+($AS22*$W22)+($AS22*$Z22)+($AS22*$AC22)+($AS22*$AF22)+($AI22)+($AS22*((52+$AL22)/52))*(1+$AN22))*1/$Q22</f>
        <v>168044.7283076923</v>
      </c>
      <c r="DD22" s="78">
        <f>($AS22+($AS22*$K22)+($AS22*$T22)+($AS22*$W22)+($AS22*$Z22)+($AS22*$AC22)+($AS22*$AF22)+($AI22)+($AS22*((52+$AL22)/52))*(1+$AO22))*1/$Q22</f>
        <v>168044.7283076923</v>
      </c>
      <c r="DE22" s="78">
        <f>($AS22+($AS22*$K22)+($AS22*$T22)+($AS22*$W22)+($AS22*$Z22)+($AS22*$AC22)+($AS22*$AF22)+($AI22)+($AS22*((52+$AL22)/52))*(1+$AP22))*1/$Q22</f>
        <v>183163.86676923075</v>
      </c>
      <c r="DF22" s="78">
        <f>DC22/52/$N22</f>
        <v>85.042878698224854</v>
      </c>
      <c r="DG22" s="78">
        <f>DD22/52/$N22</f>
        <v>85.042878698224854</v>
      </c>
      <c r="DH22" s="78">
        <f t="shared" ref="DH22:DH26" si="198">DE22/52/$N22</f>
        <v>92.694264559327294</v>
      </c>
    </row>
    <row r="23" spans="1:112" x14ac:dyDescent="0.2">
      <c r="A23" s="45" t="s">
        <v>82</v>
      </c>
      <c r="B23" s="46" t="s">
        <v>40</v>
      </c>
      <c r="C23" s="54" t="s">
        <v>41</v>
      </c>
      <c r="D23" s="45" t="s">
        <v>83</v>
      </c>
      <c r="E23" s="55" t="s">
        <v>84</v>
      </c>
      <c r="I23" s="56">
        <v>2022</v>
      </c>
      <c r="J23" s="70">
        <v>0.105</v>
      </c>
      <c r="K23" s="57">
        <v>0.11</v>
      </c>
      <c r="L23" s="57">
        <v>0.1275</v>
      </c>
      <c r="M23" s="73">
        <v>36.299999999999997</v>
      </c>
      <c r="N23" s="73">
        <v>38</v>
      </c>
      <c r="O23" s="73">
        <v>40</v>
      </c>
      <c r="Q23" s="59">
        <v>1</v>
      </c>
      <c r="S23" s="59">
        <v>0</v>
      </c>
      <c r="T23" s="59">
        <v>0.1</v>
      </c>
      <c r="U23" s="59">
        <v>0.3</v>
      </c>
      <c r="V23" s="57">
        <v>2.9499999999999998E-2</v>
      </c>
      <c r="W23" s="57">
        <v>3.5000000000000003E-2</v>
      </c>
      <c r="X23" s="57">
        <v>0.04</v>
      </c>
      <c r="Y23" s="59">
        <v>0</v>
      </c>
      <c r="Z23" s="60">
        <v>0</v>
      </c>
      <c r="AA23" s="60">
        <v>0.2</v>
      </c>
      <c r="AB23" s="57">
        <v>0</v>
      </c>
      <c r="AC23" s="57">
        <v>0</v>
      </c>
      <c r="AD23" s="57">
        <v>0</v>
      </c>
      <c r="AE23" s="59">
        <v>0.01</v>
      </c>
      <c r="AF23" s="59">
        <v>4.5999999999999999E-2</v>
      </c>
      <c r="AG23" s="59">
        <v>0.08</v>
      </c>
      <c r="AH23" s="59">
        <v>0</v>
      </c>
      <c r="AI23" s="64">
        <v>1826</v>
      </c>
      <c r="AJ23" s="64">
        <v>2000</v>
      </c>
      <c r="AK23" s="74">
        <v>0</v>
      </c>
      <c r="AL23" s="62">
        <v>4</v>
      </c>
      <c r="AM23" s="62">
        <v>5</v>
      </c>
      <c r="AN23" s="62">
        <v>0</v>
      </c>
      <c r="AO23" s="59">
        <v>0</v>
      </c>
      <c r="AP23" s="59">
        <v>0.2</v>
      </c>
      <c r="AQ23" s="59">
        <v>1.4999999999999999E-2</v>
      </c>
      <c r="AR23" s="65">
        <v>69031</v>
      </c>
      <c r="AS23" s="65">
        <f>AR23+((AT23-AR23)/2)</f>
        <v>104303.5</v>
      </c>
      <c r="AT23" s="65">
        <v>139576</v>
      </c>
      <c r="AU23" s="65">
        <f t="shared" si="189"/>
        <v>165286.09792307694</v>
      </c>
      <c r="AV23" s="65">
        <f t="shared" si="189"/>
        <v>248808.66465384612</v>
      </c>
      <c r="AW23" s="65">
        <f t="shared" si="189"/>
        <v>332331.23138461541</v>
      </c>
      <c r="AX23" s="65">
        <f t="shared" si="79"/>
        <v>83.646810689816263</v>
      </c>
      <c r="AY23" s="65">
        <f t="shared" si="79"/>
        <v>125.91531612036746</v>
      </c>
      <c r="AZ23" s="65">
        <f t="shared" si="79"/>
        <v>168.18382155091874</v>
      </c>
      <c r="BA23" s="78">
        <f t="shared" ref="BA23:BA26" si="199">($AS23+($AS23*$J23)+($AS23*$T23)+($AS23*$W23)+($AS23*$Z23)+($AS23*$AC23)+($AS23*$AF23)+($AI23)+($AS23*((52+$AL23)/52))*(1+$AO23))*1/$Q23</f>
        <v>248287.14715384616</v>
      </c>
      <c r="BB23" s="78">
        <f t="shared" ref="BB23:BB26" si="200">($AS23+($AS23*$K23)+($AS23*$T23)+($AS23*$W23)+($AS23*$Z23)+($AS23*$AC23)+($AS23*$AF23)+($AI23)+($AS23*((52+$AL23)/52))*(1+$AO23))*1/$Q23</f>
        <v>248808.66465384612</v>
      </c>
      <c r="BC23" s="78">
        <f t="shared" ref="BC23:BC26" si="201">($AS23+($AS23*$L23)+($AS23*$T23)+($AS23*$W23)+($AS23*$Z23)+($AS23*$AC23)+($AS23*$AF23)+($AI23)+($AS23*((52+$AL23)/52))*(1+$AO23))*1/$Q23</f>
        <v>250633.97590384615</v>
      </c>
      <c r="BD23" s="78">
        <f t="shared" ref="BD23:BD26" si="202">BA23/52/$N23</f>
        <v>125.6513902600436</v>
      </c>
      <c r="BE23" s="78">
        <f t="shared" si="190"/>
        <v>125.91531612036746</v>
      </c>
      <c r="BF23" s="78">
        <f t="shared" si="191"/>
        <v>126.83905663150108</v>
      </c>
      <c r="BG23" s="78">
        <f t="shared" ref="BG23:BI26" si="203">($AS23+($AS23*$K23)+($AS23*$T23)+($AS23*$W23)+($AS23*$Z23)+($AS23*$AC23)+($AS23*$AF23)+($AI23)+($AS23*((52+$AL23)/52))*(1+$AO23))*1/$Q23</f>
        <v>248808.66465384612</v>
      </c>
      <c r="BH23" s="78">
        <f t="shared" si="203"/>
        <v>248808.66465384612</v>
      </c>
      <c r="BI23" s="78">
        <f t="shared" si="203"/>
        <v>248808.66465384612</v>
      </c>
      <c r="BJ23" s="78">
        <f t="shared" ref="BJ23:BJ26" si="204">BG23/52/$O23</f>
        <v>119.61955031434908</v>
      </c>
      <c r="BK23" s="78">
        <f t="shared" ref="BK23:BK26" si="205">BH23/52/$N23</f>
        <v>125.91531612036746</v>
      </c>
      <c r="BL23" s="78">
        <f t="shared" ref="BL23:BL26" si="206">BI23/52/$M23</f>
        <v>131.81217665493014</v>
      </c>
      <c r="BM23" s="78">
        <f t="shared" ref="BM23:BM26" si="207">($AS23+($AS23*$K23)+($AS23*$S23)+($AS23*$W23)+($AS23*$Z23)+($AS23*$AC23)+($AS23*$AF23)+($AI23)+($AS23*((52+$AL23)/52))*(1+$AO23))*1/$Q23</f>
        <v>238378.31465384614</v>
      </c>
      <c r="BN23" s="78">
        <f t="shared" ref="BN23:BN26" si="208">($AS23+($AS23*$K23)+($AS23*$T23)+($AS23*$W23)+($AS23*$Z23)+($AS23*$AC23)+($AS23*$AF23)+($AI23)+($AS23*((52+$AL23)/52))*(1+$AO23))*1/$Q23</f>
        <v>248808.66465384612</v>
      </c>
      <c r="BO23" s="78">
        <f t="shared" ref="BO23:BO26" si="209">($AS23+($AS23*$K23)+($AS23*$U23)+($AS23*$W23)+($AS23*$Z23)+($AS23*$AC23)+($AS23*$AF23)+($AI23)+($AS23*((52+$AL23)/52))*(1+$AO23))*1/$Q23</f>
        <v>269669.36465384613</v>
      </c>
      <c r="BP23" s="78">
        <f t="shared" ref="BP23:BP26" si="210">BM23/52/$N23</f>
        <v>120.63679891388973</v>
      </c>
      <c r="BQ23" s="78">
        <f t="shared" ref="BQ23:BQ26" si="211">BN23/52/$N23</f>
        <v>125.91531612036746</v>
      </c>
      <c r="BR23" s="78">
        <f t="shared" ref="BR23:BR26" si="212">BO23/52/$N23</f>
        <v>136.47235053332292</v>
      </c>
      <c r="BS23" s="78">
        <f t="shared" ref="BS23:BS26" si="213">($AS23+($AS23*$K23)+($AS23*$T23)+($AS23*$V23)+($AS23*$Z23)+($AS23*$AC23)+($AS23*$AF23)+($AI23)+($AS23*((52+$AL23)/52))*(1+$AO23))*1/$Q23</f>
        <v>248234.99540384614</v>
      </c>
      <c r="BT23" s="78">
        <f t="shared" ref="BT23:BT26" si="214">($AS23+($AS23*$K23)+($AS23*$T23)+($AS23*$W23)+($AS23*$Z23)+($AS23*$AC23)+($AS23*$AF23)+($AI23)+($AS23*((52+$AL23)/52))*(1+$AO23))*1/$Q23</f>
        <v>248808.66465384612</v>
      </c>
      <c r="BU23" s="78">
        <f t="shared" ref="BU23:BU26" si="215">($AS23+($AS23*$K23)+($AS23*$T23)+($AS23*$X23)+($AS23*$Z23)+($AS23*$AC23)+($AS23*$AF23)+($AI23)+($AS23*((52+$AL23)/52))*(1+$AO23))*1/$Q23</f>
        <v>249330.18215384614</v>
      </c>
      <c r="BV23" s="78">
        <f t="shared" ref="BV23:BV26" si="216">BS23/52/$N23</f>
        <v>125.6249976740112</v>
      </c>
      <c r="BW23" s="78">
        <f t="shared" si="192"/>
        <v>125.91531612036746</v>
      </c>
      <c r="BX23" s="78">
        <f t="shared" si="193"/>
        <v>126.17924198069137</v>
      </c>
      <c r="BY23" s="78">
        <f t="shared" ref="BY23:BY26" si="217">($AS23+($AS23*$K23)+($AS23*$T23)+($AS23*$W23)+($AS23*$Y23)+($AS23*$AC23)+($AS23*$AF23)+($AI23)+($AS23*((52+$AL23)/52))*(1+$AO23))*1/$Q23</f>
        <v>248808.66465384612</v>
      </c>
      <c r="BZ23" s="78">
        <f t="shared" ref="BZ23:BZ26" si="218">($AS23+($AS23*$K23)+($AS23*$T23)+($AS23*$W23)+($AS23*$Z23)+($AS23*$AC23)+($AS23*$AF23)+($AI23)+($AS23*((52+$AL23)/52))*(1+$AO23))*1/$Q23</f>
        <v>248808.66465384612</v>
      </c>
      <c r="CA23" s="78">
        <f t="shared" ref="CA23:CA26" si="219">($AS23+($AS23*$K23)+($AS23*$T23)+($AS23*$W23)+($AS23*$AA23)+($AS23*$AC23)+($AS23*$AF23)+($AI23)+($AS23*((52+$AL23)/52))*(1+$AO23))*1/$Q23</f>
        <v>269669.36465384613</v>
      </c>
      <c r="CB23" s="78">
        <f t="shared" ref="CB23:CB26" si="220">BY23/52/$N23</f>
        <v>125.91531612036746</v>
      </c>
      <c r="CC23" s="78">
        <f t="shared" ref="CC23:CC26" si="221">BZ23/52/$N23</f>
        <v>125.91531612036746</v>
      </c>
      <c r="CD23" s="78">
        <f t="shared" ref="CD23:CD26" si="222">CA23/52/$N23</f>
        <v>136.47235053332292</v>
      </c>
      <c r="CE23" s="78">
        <f t="shared" ref="CE23:CE26" si="223">($AS23+($AS23*$K23)+($AS23*$T23)+($AS23*$W23)+($AS23*$Z23)+($AS23*$AB23)+($AS23*$AF23)+($AI23)+($AS23*((52+$AL23)/52))*(1+$AO23))*1/$Q23</f>
        <v>248808.66465384612</v>
      </c>
      <c r="CF23" s="78">
        <f t="shared" ref="CF23:CF26" si="224">($AS23+($AS23*$K23)+($AS23*$T23)+($AS23*$W23)+($AS23*$Z23)+($AS23*$AC23)+($AS23*$AF23)+($AI23)+($AS23*((52+$AL23)/52))*(1+$AO23))*1/$Q23</f>
        <v>248808.66465384612</v>
      </c>
      <c r="CG23" s="78">
        <f t="shared" ref="CG23:CG26" si="225">($AS23+($AS23*$K23)+($AS23*$T23)+($AS23*$W23)+($AS23*$Z23)+($AS23*$AD23)+($AS23*$AF23)+($AI23)+($AS23*((52+$AL23)/52))*(1+$AO23))*1/$Q23</f>
        <v>248808.66465384612</v>
      </c>
      <c r="CH23" s="78">
        <f t="shared" ref="CH23:CH26" si="226">CE23/52/$N23</f>
        <v>125.91531612036746</v>
      </c>
      <c r="CI23" s="78">
        <f t="shared" ref="CI23:CI26" si="227">CF23/52/$N23</f>
        <v>125.91531612036746</v>
      </c>
      <c r="CJ23" s="78">
        <f t="shared" si="194"/>
        <v>125.91531612036746</v>
      </c>
      <c r="CK23" s="78">
        <f t="shared" ref="CK23:CK26" si="228">($AS23+($AS23*$K23)+($AS23*$T23)+($AS23*$W23)+($AS23*$Z23)+($AS23*$AC23)+($AS23*$AE23)+($AI23)+($AS23*((52+$AL23)/52))*(1+$AO23))*1/$Q23</f>
        <v>245053.73865384614</v>
      </c>
      <c r="CL23" s="78">
        <f t="shared" ref="CL23:CL26" si="229">($AS23+($AS23*$K23)+($AS23*$T23)+($AS23*$W23)+($AS23*$Z23)+($AS23*$AC23)+($AS23*$AF23)+($AI23)+($AS23*((52+$AL23)/52))*(1+$AO23))*1/$Q23</f>
        <v>248808.66465384612</v>
      </c>
      <c r="CM23" s="78">
        <f t="shared" ref="CM23:CM26" si="230">($AS23+($AS23*$K23)+($AS23*$T23)+($AS23*$W23)+($AS23*$Z23)+($AS23*$AC23)+($AS23*$AG23)+($AI23)+($AS23*((52+$AL23)/52))*(1+$AO23))*1/$Q23</f>
        <v>252354.98365384614</v>
      </c>
      <c r="CN23" s="78">
        <f t="shared" ref="CN23:CN26" si="231">CK23/52/$N23</f>
        <v>124.0150499260355</v>
      </c>
      <c r="CO23" s="78">
        <f t="shared" ref="CO23:CO26" si="232">CL23/52/$N23</f>
        <v>125.91531612036746</v>
      </c>
      <c r="CP23" s="78">
        <f t="shared" si="195"/>
        <v>127.71001197056991</v>
      </c>
      <c r="CQ23" s="78">
        <f t="shared" ref="CQ23:CQ26" si="233">($AS23+($AS23*$K23)+($AS23*$T23)+($AS23*$W23)+($AS23*$Z23)+($AS23*$AC23)+($AS23*$AF23)+($AH23)+($AS23*((52+$AL23)/52))*(1+$AO23))*1/$Q23</f>
        <v>246982.66465384612</v>
      </c>
      <c r="CR23" s="78">
        <f t="shared" ref="CR23:CR26" si="234">($AS23+($AS23*$K23)+($AS23*$T23)+($AS23*$W23)+($AS23*$Z23)+($AS23*$AC23)+($AS23*$AF23)+($AI23)+($AS23*((52+$AL23)/52))*(1+$AO23))*1/$Q23</f>
        <v>248808.66465384612</v>
      </c>
      <c r="CS23" s="78">
        <f t="shared" ref="CS23:CS26" si="235">($AS23+($AS23*$K23)+($AS23*$T23)+($AS23*$W23)+($AS23*$Z23)+($AS23*$AC23)+($AS23*$AF23)+($AJ23)+($AS23*((52+$AL23)/52))*(1+$AO23))*1/$Q23</f>
        <v>248982.66465384612</v>
      </c>
      <c r="CT23" s="78">
        <f t="shared" ref="CT23:CT26" si="236">CQ23/52/$N23</f>
        <v>124.99122705154154</v>
      </c>
      <c r="CU23" s="78">
        <f t="shared" ref="CU23:CU26" si="237">CR23/52/$N23</f>
        <v>125.91531612036746</v>
      </c>
      <c r="CV23" s="78">
        <f t="shared" si="196"/>
        <v>126.00337280052942</v>
      </c>
      <c r="CW23" s="78">
        <f t="shared" ref="CW23:CW26" si="238">($AS23+($AS23*$K23)+($AS23*$T23)+($AS23*$W23)+($AS23*$Z23)+($AS23*$AC23)+($AS23*$AF23)+($AI23)+($AS23*((52+$AK23)/52))*(1+$AO23))*1/$Q23</f>
        <v>240785.31849999999</v>
      </c>
      <c r="CX23" s="78">
        <f t="shared" ref="CX23:CX26" si="239">($AS23+($AS23*$K23)+($AS23*$T23)+($AS23*$W23)+($AS23*$Z23)+($AS23*$AC23)+($AS23*$AF23)+($AI23)+($AS23*((52+$AL23)/52))*(1+$AO23))*1/$Q23</f>
        <v>248808.66465384612</v>
      </c>
      <c r="CY23" s="78">
        <f t="shared" ref="CY23:CY26" si="240">($AS23+($AS23*$K23)+($AS23*$T23)+($AS23*$W23)+($AS23*$Z23)+($AS23*$AC23)+($AS23*$AF23)+($AI23)+($AS23*((52+$AM23)/52))*(1+$AO23))*1/$Q23</f>
        <v>250814.50119230768</v>
      </c>
      <c r="CZ23" s="78">
        <f t="shared" ref="CZ23:CZ26" si="241">CW23/52/$N23</f>
        <v>121.85491826923078</v>
      </c>
      <c r="DA23" s="78">
        <f t="shared" ref="DA23:DA26" si="242">CX23/52/$N23</f>
        <v>125.91531612036746</v>
      </c>
      <c r="DB23" s="78">
        <f t="shared" si="197"/>
        <v>126.93041558315166</v>
      </c>
      <c r="DC23" s="78">
        <f t="shared" ref="DC23:DC26" si="243">($AS23+($AS23*$K23)+($AS23*$T23)+($AS23*$W23)+($AS23*$Z23)+($AS23*$AC23)+($AS23*$AF23)+($AI23)+($AS23*((52+$AL23)/52))*(1+$AN23))*1/$Q23</f>
        <v>248808.66465384612</v>
      </c>
      <c r="DD23" s="78">
        <f t="shared" ref="DD23:DD26" si="244">($AS23+($AS23*$K23)+($AS23*$T23)+($AS23*$W23)+($AS23*$Z23)+($AS23*$AC23)+($AS23*$AF23)+($AI23)+($AS23*((52+$AL23)/52))*(1+$AO23))*1/$Q23</f>
        <v>248808.66465384612</v>
      </c>
      <c r="DE23" s="78">
        <f t="shared" ref="DE23:DE26" si="245">($AS23+($AS23*$K23)+($AS23*$T23)+($AS23*$W23)+($AS23*$Z23)+($AS23*$AC23)+($AS23*$AF23)+($AI23)+($AS23*((52+$AL23)/52))*(1+$AP23))*1/$Q23</f>
        <v>271274.03388461535</v>
      </c>
      <c r="DF23" s="78">
        <f t="shared" ref="DF23:DF26" si="246">DC23/52/$N23</f>
        <v>125.91531612036746</v>
      </c>
      <c r="DG23" s="78">
        <f t="shared" ref="DG23:DG26" si="247">DD23/52/$N23</f>
        <v>125.91531612036746</v>
      </c>
      <c r="DH23" s="78">
        <f t="shared" si="198"/>
        <v>137.28443010355028</v>
      </c>
    </row>
    <row r="24" spans="1:112" x14ac:dyDescent="0.2">
      <c r="A24" s="45" t="s">
        <v>82</v>
      </c>
      <c r="B24" s="46" t="s">
        <v>47</v>
      </c>
      <c r="C24" s="54" t="s">
        <v>48</v>
      </c>
      <c r="D24" s="45" t="s">
        <v>83</v>
      </c>
      <c r="I24" s="56">
        <v>2022</v>
      </c>
      <c r="J24" s="70">
        <v>0.105</v>
      </c>
      <c r="K24" s="57">
        <v>0.11</v>
      </c>
      <c r="L24" s="57">
        <v>0.1275</v>
      </c>
      <c r="M24" s="73">
        <v>36.299999999999997</v>
      </c>
      <c r="N24" s="73">
        <v>38</v>
      </c>
      <c r="O24" s="73">
        <v>40</v>
      </c>
      <c r="Q24" s="59">
        <v>1</v>
      </c>
      <c r="S24" s="59">
        <v>0</v>
      </c>
      <c r="T24" s="59">
        <v>0.1</v>
      </c>
      <c r="U24" s="59">
        <v>0.3</v>
      </c>
      <c r="V24" s="57">
        <v>2.9499999999999998E-2</v>
      </c>
      <c r="W24" s="57">
        <v>3.5000000000000003E-2</v>
      </c>
      <c r="X24" s="57">
        <v>0.04</v>
      </c>
      <c r="Y24" s="59">
        <v>0</v>
      </c>
      <c r="Z24" s="60">
        <v>0</v>
      </c>
      <c r="AA24" s="60">
        <v>0.2</v>
      </c>
      <c r="AB24" s="57">
        <v>0</v>
      </c>
      <c r="AC24" s="57">
        <v>0</v>
      </c>
      <c r="AD24" s="57">
        <v>0</v>
      </c>
      <c r="AE24" s="59">
        <v>0.01</v>
      </c>
      <c r="AF24" s="59">
        <v>4.5999999999999999E-2</v>
      </c>
      <c r="AG24" s="59">
        <v>0.08</v>
      </c>
      <c r="AH24" s="59">
        <v>0</v>
      </c>
      <c r="AI24" s="64">
        <v>1826</v>
      </c>
      <c r="AJ24" s="64">
        <v>2000</v>
      </c>
      <c r="AK24" s="74">
        <v>0</v>
      </c>
      <c r="AL24" s="62">
        <v>4</v>
      </c>
      <c r="AM24" s="62">
        <v>5</v>
      </c>
      <c r="AN24" s="62">
        <v>0</v>
      </c>
      <c r="AO24" s="59">
        <v>0</v>
      </c>
      <c r="AP24" s="59">
        <v>0.2</v>
      </c>
      <c r="AQ24" s="59">
        <v>1.4999999999999999E-2</v>
      </c>
      <c r="AR24" s="65">
        <v>47704</v>
      </c>
      <c r="AS24" s="65">
        <f>AR24+((AT24-AR24)/2)</f>
        <v>63802.5</v>
      </c>
      <c r="AT24" s="65">
        <v>79901</v>
      </c>
      <c r="AU24" s="65">
        <f t="shared" si="189"/>
        <v>114785.40246153847</v>
      </c>
      <c r="AV24" s="65">
        <f t="shared" si="189"/>
        <v>152905.41211538459</v>
      </c>
      <c r="AW24" s="65">
        <f t="shared" si="189"/>
        <v>191025.42176923077</v>
      </c>
      <c r="AX24" s="65">
        <f t="shared" si="79"/>
        <v>58.089778573653071</v>
      </c>
      <c r="AY24" s="65">
        <f t="shared" si="79"/>
        <v>77.38128143491123</v>
      </c>
      <c r="AZ24" s="65">
        <f t="shared" si="79"/>
        <v>96.672784296169425</v>
      </c>
      <c r="BA24" s="78">
        <f t="shared" si="199"/>
        <v>152586.39961538458</v>
      </c>
      <c r="BB24" s="78">
        <f t="shared" si="200"/>
        <v>152905.41211538459</v>
      </c>
      <c r="BC24" s="78">
        <f t="shared" si="201"/>
        <v>154021.9558653846</v>
      </c>
      <c r="BD24" s="78">
        <f t="shared" si="202"/>
        <v>77.219837862036727</v>
      </c>
      <c r="BE24" s="78">
        <f t="shared" si="190"/>
        <v>77.38128143491123</v>
      </c>
      <c r="BF24" s="78">
        <f t="shared" si="191"/>
        <v>77.946333939971964</v>
      </c>
      <c r="BG24" s="78">
        <f t="shared" si="203"/>
        <v>152905.41211538459</v>
      </c>
      <c r="BH24" s="78">
        <f t="shared" si="203"/>
        <v>152905.41211538459</v>
      </c>
      <c r="BI24" s="78">
        <f t="shared" si="203"/>
        <v>152905.41211538459</v>
      </c>
      <c r="BJ24" s="78">
        <f t="shared" si="204"/>
        <v>73.512217363165661</v>
      </c>
      <c r="BK24" s="78">
        <f t="shared" si="205"/>
        <v>77.38128143491123</v>
      </c>
      <c r="BL24" s="78">
        <f t="shared" si="206"/>
        <v>81.005198196325807</v>
      </c>
      <c r="BM24" s="78">
        <f t="shared" si="207"/>
        <v>146525.16211538459</v>
      </c>
      <c r="BN24" s="78">
        <f t="shared" si="208"/>
        <v>152905.41211538459</v>
      </c>
      <c r="BO24" s="78">
        <f t="shared" si="209"/>
        <v>165665.91211538459</v>
      </c>
      <c r="BP24" s="78">
        <f t="shared" si="210"/>
        <v>74.152409977421357</v>
      </c>
      <c r="BQ24" s="78">
        <f t="shared" si="211"/>
        <v>77.38128143491123</v>
      </c>
      <c r="BR24" s="78">
        <f t="shared" si="212"/>
        <v>83.839024349890991</v>
      </c>
      <c r="BS24" s="78">
        <f t="shared" si="213"/>
        <v>152554.49836538458</v>
      </c>
      <c r="BT24" s="78">
        <f t="shared" si="214"/>
        <v>152905.41211538459</v>
      </c>
      <c r="BU24" s="78">
        <f t="shared" si="215"/>
        <v>153224.4246153846</v>
      </c>
      <c r="BV24" s="78">
        <f t="shared" si="216"/>
        <v>77.203693504749296</v>
      </c>
      <c r="BW24" s="78">
        <f t="shared" si="192"/>
        <v>77.38128143491123</v>
      </c>
      <c r="BX24" s="78">
        <f t="shared" si="193"/>
        <v>77.542725007785734</v>
      </c>
      <c r="BY24" s="78">
        <f t="shared" si="217"/>
        <v>152905.41211538459</v>
      </c>
      <c r="BZ24" s="78">
        <f t="shared" si="218"/>
        <v>152905.41211538459</v>
      </c>
      <c r="CA24" s="78">
        <f t="shared" si="219"/>
        <v>165665.91211538459</v>
      </c>
      <c r="CB24" s="78">
        <f t="shared" si="220"/>
        <v>77.38128143491123</v>
      </c>
      <c r="CC24" s="78">
        <f t="shared" si="221"/>
        <v>77.38128143491123</v>
      </c>
      <c r="CD24" s="78">
        <f t="shared" si="222"/>
        <v>83.839024349890991</v>
      </c>
      <c r="CE24" s="78">
        <f t="shared" si="223"/>
        <v>152905.41211538459</v>
      </c>
      <c r="CF24" s="78">
        <f t="shared" si="224"/>
        <v>152905.41211538459</v>
      </c>
      <c r="CG24" s="78">
        <f t="shared" si="225"/>
        <v>152905.41211538459</v>
      </c>
      <c r="CH24" s="78">
        <f t="shared" si="226"/>
        <v>77.38128143491123</v>
      </c>
      <c r="CI24" s="78">
        <f t="shared" si="227"/>
        <v>77.38128143491123</v>
      </c>
      <c r="CJ24" s="78">
        <f t="shared" si="194"/>
        <v>77.38128143491123</v>
      </c>
      <c r="CK24" s="78">
        <f t="shared" si="228"/>
        <v>150608.52211538458</v>
      </c>
      <c r="CL24" s="78">
        <f t="shared" si="229"/>
        <v>152905.41211538459</v>
      </c>
      <c r="CM24" s="78">
        <f t="shared" si="230"/>
        <v>155074.6971153846</v>
      </c>
      <c r="CN24" s="78">
        <f t="shared" si="231"/>
        <v>76.218887710214872</v>
      </c>
      <c r="CO24" s="78">
        <f t="shared" si="232"/>
        <v>77.38128143491123</v>
      </c>
      <c r="CP24" s="78">
        <f t="shared" si="195"/>
        <v>78.479097730457795</v>
      </c>
      <c r="CQ24" s="78">
        <f t="shared" si="233"/>
        <v>151079.41211538459</v>
      </c>
      <c r="CR24" s="78">
        <f t="shared" si="234"/>
        <v>152905.41211538459</v>
      </c>
      <c r="CS24" s="78">
        <f t="shared" si="235"/>
        <v>153079.41211538459</v>
      </c>
      <c r="CT24" s="78">
        <f t="shared" si="236"/>
        <v>76.457192366085323</v>
      </c>
      <c r="CU24" s="78">
        <f t="shared" si="237"/>
        <v>77.38128143491123</v>
      </c>
      <c r="CV24" s="78">
        <f t="shared" si="196"/>
        <v>77.469338115073171</v>
      </c>
      <c r="CW24" s="78">
        <f t="shared" si="238"/>
        <v>147997.52749999997</v>
      </c>
      <c r="CX24" s="78">
        <f t="shared" si="239"/>
        <v>152905.41211538459</v>
      </c>
      <c r="CY24" s="78">
        <f t="shared" si="240"/>
        <v>154132.38326923078</v>
      </c>
      <c r="CZ24" s="78">
        <f t="shared" si="241"/>
        <v>74.897534159919019</v>
      </c>
      <c r="DA24" s="78">
        <f t="shared" si="242"/>
        <v>77.38128143491123</v>
      </c>
      <c r="DB24" s="78">
        <f t="shared" si="197"/>
        <v>78.002218253659308</v>
      </c>
      <c r="DC24" s="78">
        <f t="shared" si="243"/>
        <v>152905.41211538459</v>
      </c>
      <c r="DD24" s="78">
        <f t="shared" si="244"/>
        <v>152905.41211538459</v>
      </c>
      <c r="DE24" s="78">
        <f t="shared" si="245"/>
        <v>166647.48903846153</v>
      </c>
      <c r="DF24" s="78">
        <f t="shared" si="246"/>
        <v>77.38128143491123</v>
      </c>
      <c r="DG24" s="78">
        <f t="shared" si="247"/>
        <v>77.38128143491123</v>
      </c>
      <c r="DH24" s="78">
        <f t="shared" si="198"/>
        <v>84.335773804889442</v>
      </c>
    </row>
    <row r="25" spans="1:112" x14ac:dyDescent="0.2">
      <c r="A25" s="45" t="s">
        <v>82</v>
      </c>
      <c r="B25" s="46" t="s">
        <v>50</v>
      </c>
      <c r="C25" s="54" t="s">
        <v>51</v>
      </c>
      <c r="D25" s="45" t="s">
        <v>83</v>
      </c>
      <c r="I25" s="56">
        <v>2022</v>
      </c>
      <c r="J25" s="70">
        <v>0.105</v>
      </c>
      <c r="K25" s="57">
        <v>0.11</v>
      </c>
      <c r="L25" s="57">
        <v>0.1275</v>
      </c>
      <c r="M25" s="73">
        <v>36.299999999999997</v>
      </c>
      <c r="N25" s="73">
        <v>38</v>
      </c>
      <c r="O25" s="73">
        <v>40</v>
      </c>
      <c r="Q25" s="59">
        <v>1</v>
      </c>
      <c r="S25" s="59">
        <v>0</v>
      </c>
      <c r="T25" s="59">
        <v>0.1</v>
      </c>
      <c r="U25" s="59">
        <v>0.3</v>
      </c>
      <c r="V25" s="57">
        <v>2.9499999999999998E-2</v>
      </c>
      <c r="W25" s="57">
        <v>3.5000000000000003E-2</v>
      </c>
      <c r="X25" s="57">
        <v>0.04</v>
      </c>
      <c r="Y25" s="59">
        <v>0</v>
      </c>
      <c r="Z25" s="60">
        <v>0</v>
      </c>
      <c r="AA25" s="60">
        <v>0.2</v>
      </c>
      <c r="AB25" s="57">
        <v>0</v>
      </c>
      <c r="AC25" s="57">
        <v>0</v>
      </c>
      <c r="AD25" s="57">
        <v>0</v>
      </c>
      <c r="AE25" s="59">
        <v>0.01</v>
      </c>
      <c r="AF25" s="59">
        <v>4.5999999999999999E-2</v>
      </c>
      <c r="AG25" s="59">
        <v>0.08</v>
      </c>
      <c r="AH25" s="59">
        <v>0</v>
      </c>
      <c r="AI25" s="64">
        <v>1826</v>
      </c>
      <c r="AJ25" s="64">
        <v>2000</v>
      </c>
      <c r="AK25" s="74">
        <v>0</v>
      </c>
      <c r="AL25" s="62">
        <v>4</v>
      </c>
      <c r="AM25" s="62">
        <v>5</v>
      </c>
      <c r="AN25" s="62">
        <v>0</v>
      </c>
      <c r="AO25" s="59">
        <v>0</v>
      </c>
      <c r="AP25" s="59">
        <v>0.2</v>
      </c>
      <c r="AQ25" s="59">
        <v>1.4999999999999999E-2</v>
      </c>
      <c r="AR25" s="65">
        <v>69031</v>
      </c>
      <c r="AS25" s="65">
        <f>AR25+((AT25-AR25)/2)</f>
        <v>104303.5</v>
      </c>
      <c r="AT25" s="65">
        <v>139576</v>
      </c>
      <c r="AU25" s="65">
        <f t="shared" si="189"/>
        <v>165286.09792307694</v>
      </c>
      <c r="AV25" s="65">
        <f t="shared" si="189"/>
        <v>248808.66465384612</v>
      </c>
      <c r="AW25" s="65">
        <f t="shared" si="189"/>
        <v>332331.23138461541</v>
      </c>
      <c r="AX25" s="65">
        <f t="shared" si="79"/>
        <v>83.646810689816263</v>
      </c>
      <c r="AY25" s="65">
        <f t="shared" si="79"/>
        <v>125.91531612036746</v>
      </c>
      <c r="AZ25" s="65">
        <f t="shared" si="79"/>
        <v>168.18382155091874</v>
      </c>
      <c r="BA25" s="78">
        <f t="shared" si="199"/>
        <v>248287.14715384616</v>
      </c>
      <c r="BB25" s="78">
        <f t="shared" si="200"/>
        <v>248808.66465384612</v>
      </c>
      <c r="BC25" s="78">
        <f t="shared" si="201"/>
        <v>250633.97590384615</v>
      </c>
      <c r="BD25" s="78">
        <f t="shared" si="202"/>
        <v>125.6513902600436</v>
      </c>
      <c r="BE25" s="78">
        <f t="shared" si="190"/>
        <v>125.91531612036746</v>
      </c>
      <c r="BF25" s="78">
        <f t="shared" si="191"/>
        <v>126.83905663150108</v>
      </c>
      <c r="BG25" s="78">
        <f t="shared" si="203"/>
        <v>248808.66465384612</v>
      </c>
      <c r="BH25" s="78">
        <f t="shared" si="203"/>
        <v>248808.66465384612</v>
      </c>
      <c r="BI25" s="78">
        <f t="shared" si="203"/>
        <v>248808.66465384612</v>
      </c>
      <c r="BJ25" s="78">
        <f t="shared" si="204"/>
        <v>119.61955031434908</v>
      </c>
      <c r="BK25" s="78">
        <f t="shared" si="205"/>
        <v>125.91531612036746</v>
      </c>
      <c r="BL25" s="78">
        <f t="shared" si="206"/>
        <v>131.81217665493014</v>
      </c>
      <c r="BM25" s="78">
        <f t="shared" si="207"/>
        <v>238378.31465384614</v>
      </c>
      <c r="BN25" s="78">
        <f t="shared" si="208"/>
        <v>248808.66465384612</v>
      </c>
      <c r="BO25" s="78">
        <f t="shared" si="209"/>
        <v>269669.36465384613</v>
      </c>
      <c r="BP25" s="78">
        <f t="shared" si="210"/>
        <v>120.63679891388973</v>
      </c>
      <c r="BQ25" s="78">
        <f t="shared" si="211"/>
        <v>125.91531612036746</v>
      </c>
      <c r="BR25" s="78">
        <f t="shared" si="212"/>
        <v>136.47235053332292</v>
      </c>
      <c r="BS25" s="78">
        <f t="shared" si="213"/>
        <v>248234.99540384614</v>
      </c>
      <c r="BT25" s="78">
        <f t="shared" si="214"/>
        <v>248808.66465384612</v>
      </c>
      <c r="BU25" s="78">
        <f t="shared" si="215"/>
        <v>249330.18215384614</v>
      </c>
      <c r="BV25" s="78">
        <f t="shared" si="216"/>
        <v>125.6249976740112</v>
      </c>
      <c r="BW25" s="78">
        <f t="shared" si="192"/>
        <v>125.91531612036746</v>
      </c>
      <c r="BX25" s="78">
        <f t="shared" si="193"/>
        <v>126.17924198069137</v>
      </c>
      <c r="BY25" s="78">
        <f t="shared" si="217"/>
        <v>248808.66465384612</v>
      </c>
      <c r="BZ25" s="78">
        <f t="shared" si="218"/>
        <v>248808.66465384612</v>
      </c>
      <c r="CA25" s="78">
        <f t="shared" si="219"/>
        <v>269669.36465384613</v>
      </c>
      <c r="CB25" s="78">
        <f t="shared" si="220"/>
        <v>125.91531612036746</v>
      </c>
      <c r="CC25" s="78">
        <f t="shared" si="221"/>
        <v>125.91531612036746</v>
      </c>
      <c r="CD25" s="78">
        <f t="shared" si="222"/>
        <v>136.47235053332292</v>
      </c>
      <c r="CE25" s="78">
        <f t="shared" si="223"/>
        <v>248808.66465384612</v>
      </c>
      <c r="CF25" s="78">
        <f t="shared" si="224"/>
        <v>248808.66465384612</v>
      </c>
      <c r="CG25" s="78">
        <f t="shared" si="225"/>
        <v>248808.66465384612</v>
      </c>
      <c r="CH25" s="78">
        <f t="shared" si="226"/>
        <v>125.91531612036746</v>
      </c>
      <c r="CI25" s="78">
        <f t="shared" si="227"/>
        <v>125.91531612036746</v>
      </c>
      <c r="CJ25" s="78">
        <f t="shared" si="194"/>
        <v>125.91531612036746</v>
      </c>
      <c r="CK25" s="78">
        <f t="shared" si="228"/>
        <v>245053.73865384614</v>
      </c>
      <c r="CL25" s="78">
        <f t="shared" si="229"/>
        <v>248808.66465384612</v>
      </c>
      <c r="CM25" s="78">
        <f t="shared" si="230"/>
        <v>252354.98365384614</v>
      </c>
      <c r="CN25" s="78">
        <f t="shared" si="231"/>
        <v>124.0150499260355</v>
      </c>
      <c r="CO25" s="78">
        <f t="shared" si="232"/>
        <v>125.91531612036746</v>
      </c>
      <c r="CP25" s="78">
        <f t="shared" si="195"/>
        <v>127.71001197056991</v>
      </c>
      <c r="CQ25" s="78">
        <f t="shared" si="233"/>
        <v>246982.66465384612</v>
      </c>
      <c r="CR25" s="78">
        <f t="shared" si="234"/>
        <v>248808.66465384612</v>
      </c>
      <c r="CS25" s="78">
        <f t="shared" si="235"/>
        <v>248982.66465384612</v>
      </c>
      <c r="CT25" s="78">
        <f t="shared" si="236"/>
        <v>124.99122705154154</v>
      </c>
      <c r="CU25" s="78">
        <f t="shared" si="237"/>
        <v>125.91531612036746</v>
      </c>
      <c r="CV25" s="78">
        <f t="shared" si="196"/>
        <v>126.00337280052942</v>
      </c>
      <c r="CW25" s="78">
        <f t="shared" si="238"/>
        <v>240785.31849999999</v>
      </c>
      <c r="CX25" s="78">
        <f t="shared" si="239"/>
        <v>248808.66465384612</v>
      </c>
      <c r="CY25" s="78">
        <f t="shared" si="240"/>
        <v>250814.50119230768</v>
      </c>
      <c r="CZ25" s="78">
        <f t="shared" si="241"/>
        <v>121.85491826923078</v>
      </c>
      <c r="DA25" s="78">
        <f t="shared" si="242"/>
        <v>125.91531612036746</v>
      </c>
      <c r="DB25" s="78">
        <f t="shared" si="197"/>
        <v>126.93041558315166</v>
      </c>
      <c r="DC25" s="78">
        <f t="shared" si="243"/>
        <v>248808.66465384612</v>
      </c>
      <c r="DD25" s="78">
        <f t="shared" si="244"/>
        <v>248808.66465384612</v>
      </c>
      <c r="DE25" s="78">
        <f t="shared" si="245"/>
        <v>271274.03388461535</v>
      </c>
      <c r="DF25" s="78">
        <f t="shared" si="246"/>
        <v>125.91531612036746</v>
      </c>
      <c r="DG25" s="78">
        <f t="shared" si="247"/>
        <v>125.91531612036746</v>
      </c>
      <c r="DH25" s="78">
        <f t="shared" si="198"/>
        <v>137.28443010355028</v>
      </c>
    </row>
    <row r="26" spans="1:112" x14ac:dyDescent="0.2">
      <c r="A26" s="45" t="s">
        <v>82</v>
      </c>
      <c r="B26" s="46" t="s">
        <v>55</v>
      </c>
      <c r="C26" s="54" t="s">
        <v>56</v>
      </c>
      <c r="D26" s="45" t="s">
        <v>85</v>
      </c>
      <c r="E26" s="55" t="s">
        <v>86</v>
      </c>
      <c r="H26" s="56" t="s">
        <v>87</v>
      </c>
      <c r="I26" s="56">
        <v>2022</v>
      </c>
      <c r="J26" s="70">
        <v>0.105</v>
      </c>
      <c r="K26" s="57">
        <v>0.11</v>
      </c>
      <c r="L26" s="57">
        <v>0.1275</v>
      </c>
      <c r="M26" s="73">
        <v>36.299999999999997</v>
      </c>
      <c r="N26" s="73">
        <v>38</v>
      </c>
      <c r="O26" s="73">
        <v>40</v>
      </c>
      <c r="Q26" s="59">
        <v>1</v>
      </c>
      <c r="S26" s="59">
        <v>0</v>
      </c>
      <c r="T26" s="59">
        <v>0</v>
      </c>
      <c r="U26" s="59">
        <v>0.3</v>
      </c>
      <c r="V26" s="57">
        <v>2.9499999999999998E-2</v>
      </c>
      <c r="W26" s="57">
        <v>3.5000000000000003E-2</v>
      </c>
      <c r="X26" s="57">
        <v>0.04</v>
      </c>
      <c r="Y26" s="59">
        <v>0</v>
      </c>
      <c r="Z26" s="60">
        <v>0.1</v>
      </c>
      <c r="AA26" s="60">
        <v>0.2</v>
      </c>
      <c r="AB26" s="57">
        <v>0</v>
      </c>
      <c r="AC26" s="57">
        <v>0.5</v>
      </c>
      <c r="AD26" s="57">
        <v>0.6</v>
      </c>
      <c r="AE26" s="59">
        <v>0.01</v>
      </c>
      <c r="AF26" s="59">
        <v>4.5999999999999999E-2</v>
      </c>
      <c r="AG26" s="59">
        <v>0.08</v>
      </c>
      <c r="AH26" s="59">
        <v>0</v>
      </c>
      <c r="AI26" s="64">
        <v>21500</v>
      </c>
      <c r="AJ26" s="64">
        <v>21500</v>
      </c>
      <c r="AK26" s="74">
        <v>0</v>
      </c>
      <c r="AL26" s="62">
        <v>4</v>
      </c>
      <c r="AM26" s="62">
        <v>5</v>
      </c>
      <c r="AN26" s="62">
        <v>0</v>
      </c>
      <c r="AO26" s="59">
        <v>0</v>
      </c>
      <c r="AP26" s="59">
        <v>0.2</v>
      </c>
      <c r="AQ26" s="59">
        <v>1.4999999999999999E-2</v>
      </c>
      <c r="AR26" s="65">
        <v>189406</v>
      </c>
      <c r="AS26" s="65">
        <f>AR26+((AT26-AR26)/2)</f>
        <v>225748</v>
      </c>
      <c r="AT26" s="65">
        <v>262090</v>
      </c>
      <c r="AU26" s="65">
        <f t="shared" si="189"/>
        <v>564701.8383076922</v>
      </c>
      <c r="AV26" s="65">
        <f t="shared" si="189"/>
        <v>668927.89876923081</v>
      </c>
      <c r="AW26" s="65">
        <f t="shared" si="189"/>
        <v>773153.95923076919</v>
      </c>
      <c r="AX26" s="65">
        <f t="shared" si="79"/>
        <v>285.78028254437862</v>
      </c>
      <c r="AY26" s="65">
        <f t="shared" si="79"/>
        <v>338.52626455932733</v>
      </c>
      <c r="AZ26" s="65">
        <f t="shared" si="79"/>
        <v>391.27224657427587</v>
      </c>
      <c r="BA26" s="78">
        <f t="shared" si="199"/>
        <v>667799.15876923082</v>
      </c>
      <c r="BB26" s="78">
        <f t="shared" si="200"/>
        <v>668927.89876923081</v>
      </c>
      <c r="BC26" s="78">
        <f t="shared" si="201"/>
        <v>672878.48876923067</v>
      </c>
      <c r="BD26" s="78">
        <f t="shared" si="202"/>
        <v>337.95503986297103</v>
      </c>
      <c r="BE26" s="78">
        <f t="shared" si="190"/>
        <v>338.52626455932733</v>
      </c>
      <c r="BF26" s="78">
        <f t="shared" si="191"/>
        <v>340.52555099657422</v>
      </c>
      <c r="BG26" s="78">
        <f t="shared" si="203"/>
        <v>668927.89876923081</v>
      </c>
      <c r="BH26" s="78">
        <f t="shared" si="203"/>
        <v>668927.89876923081</v>
      </c>
      <c r="BI26" s="78">
        <f t="shared" si="203"/>
        <v>668927.89876923081</v>
      </c>
      <c r="BJ26" s="78">
        <f t="shared" si="204"/>
        <v>321.59995133136101</v>
      </c>
      <c r="BK26" s="78">
        <f t="shared" si="205"/>
        <v>338.52626455932733</v>
      </c>
      <c r="BL26" s="78">
        <f t="shared" si="206"/>
        <v>354.38011165990196</v>
      </c>
      <c r="BM26" s="78">
        <f t="shared" si="207"/>
        <v>668927.89876923081</v>
      </c>
      <c r="BN26" s="78">
        <f t="shared" si="208"/>
        <v>668927.89876923081</v>
      </c>
      <c r="BO26" s="78">
        <f t="shared" si="209"/>
        <v>736652.29876923072</v>
      </c>
      <c r="BP26" s="78">
        <f t="shared" si="210"/>
        <v>338.52626455932733</v>
      </c>
      <c r="BQ26" s="78">
        <f t="shared" si="211"/>
        <v>338.52626455932733</v>
      </c>
      <c r="BR26" s="78">
        <f t="shared" si="212"/>
        <v>372.79974634070385</v>
      </c>
      <c r="BS26" s="78">
        <f t="shared" si="213"/>
        <v>667686.28476923076</v>
      </c>
      <c r="BT26" s="78">
        <f t="shared" si="214"/>
        <v>668927.89876923081</v>
      </c>
      <c r="BU26" s="78">
        <f t="shared" si="215"/>
        <v>670056.63876923081</v>
      </c>
      <c r="BV26" s="78">
        <f t="shared" si="216"/>
        <v>337.89791739333538</v>
      </c>
      <c r="BW26" s="78">
        <f t="shared" si="192"/>
        <v>338.52626455932733</v>
      </c>
      <c r="BX26" s="78">
        <f t="shared" si="193"/>
        <v>339.09748925568363</v>
      </c>
      <c r="BY26" s="78">
        <f t="shared" si="217"/>
        <v>646353.09876923077</v>
      </c>
      <c r="BZ26" s="78">
        <f t="shared" si="218"/>
        <v>668927.89876923081</v>
      </c>
      <c r="CA26" s="78">
        <f t="shared" si="219"/>
        <v>691502.69876923074</v>
      </c>
      <c r="CB26" s="78">
        <f t="shared" si="220"/>
        <v>327.10177063220181</v>
      </c>
      <c r="CC26" s="78">
        <f t="shared" si="221"/>
        <v>338.52626455932733</v>
      </c>
      <c r="CD26" s="78">
        <f t="shared" si="222"/>
        <v>349.9507584864528</v>
      </c>
      <c r="CE26" s="78">
        <f t="shared" si="223"/>
        <v>556053.89876923081</v>
      </c>
      <c r="CF26" s="78">
        <f t="shared" si="224"/>
        <v>668927.89876923081</v>
      </c>
      <c r="CG26" s="78">
        <f t="shared" si="225"/>
        <v>691502.69876923074</v>
      </c>
      <c r="CH26" s="78">
        <f t="shared" si="226"/>
        <v>281.40379492369976</v>
      </c>
      <c r="CI26" s="78">
        <f t="shared" si="227"/>
        <v>338.52626455932733</v>
      </c>
      <c r="CJ26" s="78">
        <f t="shared" si="194"/>
        <v>349.9507584864528</v>
      </c>
      <c r="CK26" s="78">
        <f t="shared" si="228"/>
        <v>660800.97076923074</v>
      </c>
      <c r="CL26" s="78">
        <f t="shared" si="229"/>
        <v>668927.89876923081</v>
      </c>
      <c r="CM26" s="78">
        <f t="shared" si="230"/>
        <v>676603.33076923084</v>
      </c>
      <c r="CN26" s="78">
        <f t="shared" si="231"/>
        <v>334.41344674556211</v>
      </c>
      <c r="CO26" s="78">
        <f t="shared" si="232"/>
        <v>338.52626455932733</v>
      </c>
      <c r="CP26" s="78">
        <f t="shared" si="195"/>
        <v>342.41059249455003</v>
      </c>
      <c r="CQ26" s="78">
        <f t="shared" si="233"/>
        <v>647427.89876923081</v>
      </c>
      <c r="CR26" s="78">
        <f t="shared" si="234"/>
        <v>668927.89876923081</v>
      </c>
      <c r="CS26" s="78">
        <f t="shared" si="235"/>
        <v>668927.89876923081</v>
      </c>
      <c r="CT26" s="78">
        <f t="shared" si="236"/>
        <v>327.64569775770792</v>
      </c>
      <c r="CU26" s="78">
        <f t="shared" si="237"/>
        <v>338.52626455932733</v>
      </c>
      <c r="CV26" s="78">
        <f t="shared" si="196"/>
        <v>338.52626455932733</v>
      </c>
      <c r="CW26" s="78">
        <f t="shared" si="238"/>
        <v>651562.66800000006</v>
      </c>
      <c r="CX26" s="78">
        <f t="shared" si="239"/>
        <v>668927.89876923081</v>
      </c>
      <c r="CY26" s="78">
        <f t="shared" si="240"/>
        <v>673269.20646153856</v>
      </c>
      <c r="CZ26" s="78">
        <f t="shared" si="241"/>
        <v>329.73819230769232</v>
      </c>
      <c r="DA26" s="78">
        <f t="shared" si="242"/>
        <v>338.52626455932733</v>
      </c>
      <c r="DB26" s="78">
        <f t="shared" si="197"/>
        <v>340.72328262223613</v>
      </c>
      <c r="DC26" s="78">
        <f t="shared" si="243"/>
        <v>668927.89876923081</v>
      </c>
      <c r="DD26" s="78">
        <f t="shared" si="244"/>
        <v>668927.89876923081</v>
      </c>
      <c r="DE26" s="78">
        <f t="shared" si="245"/>
        <v>717550.54492307687</v>
      </c>
      <c r="DF26" s="78">
        <f t="shared" si="246"/>
        <v>338.52626455932733</v>
      </c>
      <c r="DG26" s="78">
        <f t="shared" si="247"/>
        <v>338.52626455932733</v>
      </c>
      <c r="DH26" s="78">
        <f t="shared" si="198"/>
        <v>363.13286686390529</v>
      </c>
    </row>
    <row r="27" spans="1:112" x14ac:dyDescent="0.2">
      <c r="J27" s="70"/>
      <c r="AI27" s="64"/>
      <c r="AJ27" s="64"/>
      <c r="AQ27" s="59"/>
      <c r="AR27" s="65"/>
      <c r="AS27" s="65"/>
      <c r="AT27" s="65"/>
      <c r="AU27" s="65"/>
      <c r="AV27" s="65"/>
      <c r="AW27" s="65"/>
      <c r="AX27" s="65"/>
      <c r="AY27" s="65"/>
      <c r="AZ27" s="65"/>
    </row>
    <row r="28" spans="1:112" x14ac:dyDescent="0.2">
      <c r="A28" s="45" t="s">
        <v>88</v>
      </c>
      <c r="B28" s="46" t="s">
        <v>33</v>
      </c>
      <c r="C28" s="54" t="s">
        <v>34</v>
      </c>
      <c r="D28" s="45" t="s">
        <v>89</v>
      </c>
      <c r="E28" s="55" t="s">
        <v>90</v>
      </c>
      <c r="I28" s="56">
        <v>2022</v>
      </c>
      <c r="J28" s="70">
        <v>0.105</v>
      </c>
      <c r="K28" s="57">
        <v>0.11</v>
      </c>
      <c r="L28" s="57">
        <v>0.1275</v>
      </c>
      <c r="M28" s="73">
        <v>36.299999999999997</v>
      </c>
      <c r="N28" s="73">
        <v>38</v>
      </c>
      <c r="O28" s="73">
        <v>40</v>
      </c>
      <c r="Q28" s="59">
        <v>1</v>
      </c>
      <c r="S28" s="59">
        <v>0</v>
      </c>
      <c r="T28" s="59">
        <v>0.1</v>
      </c>
      <c r="U28" s="59">
        <v>0.3</v>
      </c>
      <c r="V28" s="57">
        <v>2.9499999999999998E-2</v>
      </c>
      <c r="W28" s="57">
        <v>3.5000000000000003E-2</v>
      </c>
      <c r="X28" s="57">
        <v>0.04</v>
      </c>
      <c r="Y28" s="59">
        <v>0</v>
      </c>
      <c r="Z28" s="60">
        <v>0</v>
      </c>
      <c r="AA28" s="60">
        <v>0.2</v>
      </c>
      <c r="AB28" s="57">
        <v>0</v>
      </c>
      <c r="AC28" s="57">
        <v>0</v>
      </c>
      <c r="AD28" s="57">
        <v>0</v>
      </c>
      <c r="AE28" s="59">
        <v>0.01</v>
      </c>
      <c r="AF28" s="59">
        <v>4.5999999999999999E-2</v>
      </c>
      <c r="AG28" s="59">
        <v>0.08</v>
      </c>
      <c r="AH28" s="59">
        <v>0</v>
      </c>
      <c r="AI28" s="64">
        <v>0</v>
      </c>
      <c r="AJ28" s="64">
        <v>2000</v>
      </c>
      <c r="AK28" s="74">
        <v>0</v>
      </c>
      <c r="AL28" s="62">
        <v>4</v>
      </c>
      <c r="AM28" s="62">
        <v>5</v>
      </c>
      <c r="AN28" s="62">
        <v>0</v>
      </c>
      <c r="AO28" s="59">
        <v>0.2</v>
      </c>
      <c r="AP28" s="59">
        <v>0.2</v>
      </c>
      <c r="AQ28" s="59">
        <v>1.4999999999999999E-2</v>
      </c>
      <c r="AR28" s="65">
        <v>57579</v>
      </c>
      <c r="AS28" s="65">
        <f>AR28+((AT28-AR28)/2)</f>
        <v>71368</v>
      </c>
      <c r="AT28" s="65">
        <v>85157</v>
      </c>
      <c r="AU28" s="65">
        <f t="shared" ref="AU28:AW32" si="248">(AR28+(AR28*$K28)+(AR28*$T28)+(AR28*$W28)+(AR28*$Z28)+(AR28*$AC28)+(AR28*$AF28)+($AI28)+(AR28*((52+$AL28)/52))*(1+$AO28))*1/$Q28</f>
        <v>148744.27361538459</v>
      </c>
      <c r="AV28" s="65">
        <f t="shared" si="248"/>
        <v>184365.50338461538</v>
      </c>
      <c r="AW28" s="65">
        <f t="shared" si="248"/>
        <v>219986.73315384611</v>
      </c>
      <c r="AX28" s="65">
        <f t="shared" ref="AX28:AZ32" si="249">AU28/52/$N28</f>
        <v>75.275442113048882</v>
      </c>
      <c r="AY28" s="65">
        <f t="shared" si="249"/>
        <v>93.302380255372157</v>
      </c>
      <c r="AZ28" s="65">
        <f t="shared" si="249"/>
        <v>111.3293183976954</v>
      </c>
      <c r="BA28" s="78">
        <f>($AS28+($AS28*$J28)+($AS28*$T28)+($AS28*$W28)+($AS28*$Z28)+($AS28*$AC28)+($AS28*$AF28)+($AI28)+($AS28*((52+$AL28)/52))*(1+$AO28))*1/$Q28</f>
        <v>184008.66338461539</v>
      </c>
      <c r="BB28" s="78">
        <f>($AS28+($AS28*$K28)+($AS28*$T28)+($AS28*$W28)+($AS28*$Z28)+($AS28*$AC28)+($AS28*$AF28)+($AI28)+($AS28*((52+$AL28)/52))*(1+$AO28))*1/$Q28</f>
        <v>184365.50338461538</v>
      </c>
      <c r="BC28" s="78">
        <f>($AS28+($AS28*$L28)+($AS28*$T28)+($AS28*$W28)+($AS28*$Z28)+($AS28*$AC28)+($AS28*$AF28)+($AI28)+($AS28*((52+$AL28)/52))*(1+$AO28))*1/$Q28</f>
        <v>185614.44338461538</v>
      </c>
      <c r="BD28" s="78">
        <f>BA28/52/$N28</f>
        <v>93.121793210837751</v>
      </c>
      <c r="BE28" s="78">
        <f t="shared" ref="BE28:BE32" si="250">BB28/52/$N28</f>
        <v>93.302380255372157</v>
      </c>
      <c r="BF28" s="78">
        <f t="shared" ref="BF28:BF32" si="251">BC28/52/$N28</f>
        <v>93.934434911242604</v>
      </c>
      <c r="BG28" s="78">
        <f>($AS28+($AS28*$K28)+($AS28*$T28)+($AS28*$W28)+($AS28*$Z28)+($AS28*$AC28)+($AS28*$AF28)+($AI28)+($AS28*((52+$AL28)/52))*(1+$AO28))*1/$Q28</f>
        <v>184365.50338461538</v>
      </c>
      <c r="BH28" s="78">
        <f>($AS28+($AS28*$K28)+($AS28*$T28)+($AS28*$W28)+($AS28*$Z28)+($AS28*$AC28)+($AS28*$AF28)+($AI28)+($AS28*((52+$AL28)/52))*(1+$AO28))*1/$Q28</f>
        <v>184365.50338461538</v>
      </c>
      <c r="BI28" s="78">
        <f>($AS28+($AS28*$K28)+($AS28*$T28)+($AS28*$W28)+($AS28*$Z28)+($AS28*$AC28)+($AS28*$AF28)+($AI28)+($AS28*((52+$AL28)/52))*(1+$AO28))*1/$Q28</f>
        <v>184365.50338461538</v>
      </c>
      <c r="BJ28" s="78">
        <f>BG28/52/$O28</f>
        <v>88.637261242603557</v>
      </c>
      <c r="BK28" s="78">
        <f>BH28/52/$N28</f>
        <v>93.302380255372157</v>
      </c>
      <c r="BL28" s="78">
        <f>BI28/52/$M28</f>
        <v>97.671913214990141</v>
      </c>
      <c r="BM28" s="78">
        <f>($AS28+($AS28*$K28)+($AS28*$S28)+($AS28*$W28)+($AS28*$Z28)+($AS28*$AC28)+($AS28*$AF28)+($AI28)+($AS28*((52+$AL28)/52))*(1+$AO28))*1/$Q28</f>
        <v>177228.70338461536</v>
      </c>
      <c r="BN28" s="78">
        <f>($AS28+($AS28*$K28)+($AS28*$T28)+($AS28*$W28)+($AS28*$Z28)+($AS28*$AC28)+($AS28*$AF28)+($AI28)+($AS28*((52+$AL28)/52))*(1+$AO28))*1/$Q28</f>
        <v>184365.50338461538</v>
      </c>
      <c r="BO28" s="78">
        <f>($AS28+($AS28*$K28)+($AS28*$U28)+($AS28*$W28)+($AS28*$Z28)+($AS28*$AC28)+($AS28*$AF28)+($AI28)+($AS28*((52+$AL28)/52))*(1+$AO28))*1/$Q28</f>
        <v>198639.10338461539</v>
      </c>
      <c r="BP28" s="78">
        <f>BM28/52/$N28</f>
        <v>89.690639364683889</v>
      </c>
      <c r="BQ28" s="78">
        <f>BN28/52/$N28</f>
        <v>93.302380255372157</v>
      </c>
      <c r="BR28" s="78">
        <f>BO28/52/$N28</f>
        <v>100.52586203674868</v>
      </c>
      <c r="BS28" s="78">
        <f>($AS28+($AS28*$K28)+($AS28*$T28)+($AS28*$V28)+($AS28*$Z28)+($AS28*$AC28)+($AS28*$AF28)+($AI28)+($AS28*((52+$AL28)/52))*(1+$AO28))*1/$Q28</f>
        <v>183972.97938461538</v>
      </c>
      <c r="BT28" s="78">
        <f>($AS28+($AS28*$K28)+($AS28*$T28)+($AS28*$W28)+($AS28*$Z28)+($AS28*$AC28)+($AS28*$AF28)+($AI28)+($AS28*((52+$AL28)/52))*(1+$AO28))*1/$Q28</f>
        <v>184365.50338461538</v>
      </c>
      <c r="BU28" s="78">
        <f>($AS28+($AS28*$K28)+($AS28*$T28)+($AS28*$X28)+($AS28*$Z28)+($AS28*$AC28)+($AS28*$AF28)+($AI28)+($AS28*((52+$AL28)/52))*(1+$AO28))*1/$Q28</f>
        <v>184722.34338461538</v>
      </c>
      <c r="BV28" s="78">
        <f>BS28/52/$N28</f>
        <v>93.103734506384299</v>
      </c>
      <c r="BW28" s="78">
        <f t="shared" ref="BW28:BW32" si="252">BT28/52/$N28</f>
        <v>93.302380255372157</v>
      </c>
      <c r="BX28" s="78">
        <f t="shared" ref="BX28:BX32" si="253">BU28/52/$N28</f>
        <v>93.482967299906576</v>
      </c>
      <c r="BY28" s="78">
        <f>($AS28+($AS28*$K28)+($AS28*$T28)+($AS28*$W28)+($AS28*$Y28)+($AS28*$AC28)+($AS28*$AF28)+($AI28)+($AS28*((52+$AL28)/52))*(1+$AO28))*1/$Q28</f>
        <v>184365.50338461538</v>
      </c>
      <c r="BZ28" s="78">
        <f>($AS28+($AS28*$K28)+($AS28*$T28)+($AS28*$W28)+($AS28*$Z28)+($AS28*$AC28)+($AS28*$AF28)+($AI28)+($AS28*((52+$AL28)/52))*(1+$AO28))*1/$Q28</f>
        <v>184365.50338461538</v>
      </c>
      <c r="CA28" s="78">
        <f>($AS28+($AS28*$K28)+($AS28*$T28)+($AS28*$W28)+($AS28*$AA28)+($AS28*$AC28)+($AS28*$AF28)+($AI28)+($AS28*((52+$AL28)/52))*(1+$AO28))*1/$Q28</f>
        <v>198639.10338461539</v>
      </c>
      <c r="CB28" s="78">
        <f>BY28/52/$N28</f>
        <v>93.302380255372157</v>
      </c>
      <c r="CC28" s="78">
        <f>BZ28/52/$N28</f>
        <v>93.302380255372157</v>
      </c>
      <c r="CD28" s="78">
        <f>CA28/52/$N28</f>
        <v>100.52586203674868</v>
      </c>
      <c r="CE28" s="78">
        <f>($AS28+($AS28*$K28)+($AS28*$T28)+($AS28*$W28)+($AS28*$Z28)+($AS28*$AB28)+($AS28*$AF28)+($AI28)+($AS28*((52+$AL28)/52))*(1+$AO28))*1/$Q28</f>
        <v>184365.50338461538</v>
      </c>
      <c r="CF28" s="78">
        <f>($AS28+($AS28*$K28)+($AS28*$T28)+($AS28*$W28)+($AS28*$Z28)+($AS28*$AC28)+($AS28*$AF28)+($AI28)+($AS28*((52+$AL28)/52))*(1+$AO28))*1/$Q28</f>
        <v>184365.50338461538</v>
      </c>
      <c r="CG28" s="78">
        <f>($AS28+($AS28*$K28)+($AS28*$T28)+($AS28*$W28)+($AS28*$Z28)+($AS28*$AD28)+($AS28*$AF28)+($AI28)+($AS28*((52+$AL28)/52))*(1+$AO28))*1/$Q28</f>
        <v>184365.50338461538</v>
      </c>
      <c r="CH28" s="78">
        <f>CE28/52/$N28</f>
        <v>93.302380255372157</v>
      </c>
      <c r="CI28" s="78">
        <f>CF28/52/$N28</f>
        <v>93.302380255372157</v>
      </c>
      <c r="CJ28" s="78">
        <f t="shared" ref="CJ28:CJ32" si="254">CG28/52/$N28</f>
        <v>93.302380255372157</v>
      </c>
      <c r="CK28" s="78">
        <f>($AS28+($AS28*$K28)+($AS28*$T28)+($AS28*$W28)+($AS28*$Z28)+($AS28*$AC28)+($AS28*$AE28)+($AI28)+($AS28*((52+$AL28)/52))*(1+$AO28))*1/$Q28</f>
        <v>181796.25538461539</v>
      </c>
      <c r="CL28" s="78">
        <f>($AS28+($AS28*$K28)+($AS28*$T28)+($AS28*$W28)+($AS28*$Z28)+($AS28*$AC28)+($AS28*$AF28)+($AI28)+($AS28*((52+$AL28)/52))*(1+$AO28))*1/$Q28</f>
        <v>184365.50338461538</v>
      </c>
      <c r="CM28" s="78">
        <f>($AS28+($AS28*$K28)+($AS28*$T28)+($AS28*$W28)+($AS28*$Z28)+($AS28*$AC28)+($AS28*$AG28)+($AI28)+($AS28*((52+$AL28)/52))*(1+$AO28))*1/$Q28</f>
        <v>186792.0153846154</v>
      </c>
      <c r="CN28" s="78">
        <f>CK28/52/$N28</f>
        <v>92.0021535347244</v>
      </c>
      <c r="CO28" s="78">
        <f>CL28/52/$N28</f>
        <v>93.302380255372157</v>
      </c>
      <c r="CP28" s="78">
        <f t="shared" ref="CP28:CP32" si="255">CM28/52/$N28</f>
        <v>94.530372158206177</v>
      </c>
      <c r="CQ28" s="78">
        <f>($AS28+($AS28*$K28)+($AS28*$T28)+($AS28*$W28)+($AS28*$Z28)+($AS28*$AC28)+($AS28*$AF28)+($AH28)+($AS28*((52+$AL28)/52))*(1+$AO28))*1/$Q28</f>
        <v>184365.50338461538</v>
      </c>
      <c r="CR28" s="78">
        <f>($AS28+($AS28*$K28)+($AS28*$T28)+($AS28*$W28)+($AS28*$Z28)+($AS28*$AC28)+($AS28*$AF28)+($AI28)+($AS28*((52+$AL28)/52))*(1+$AO28))*1/$Q28</f>
        <v>184365.50338461538</v>
      </c>
      <c r="CS28" s="78">
        <f>($AS28+($AS28*$K28)+($AS28*$T28)+($AS28*$W28)+($AS28*$Z28)+($AS28*$AC28)+($AS28*$AF28)+($AJ28)+($AS28*((52+$AL28)/52))*(1+$AO28))*1/$Q28</f>
        <v>186365.50338461538</v>
      </c>
      <c r="CT28" s="78">
        <f>CQ28/52/$N28</f>
        <v>93.302380255372157</v>
      </c>
      <c r="CU28" s="78">
        <f>CR28/52/$N28</f>
        <v>93.302380255372157</v>
      </c>
      <c r="CV28" s="78">
        <f t="shared" ref="CV28:CV32" si="256">CS28/52/$N28</f>
        <v>94.314526004360019</v>
      </c>
      <c r="CW28" s="78">
        <f>($AS28+($AS28*$K28)+($AS28*$T28)+($AS28*$W28)+($AS28*$Z28)+($AS28*$AC28)+($AS28*$AF28)+($AI28)+($AS28*((52+$AK28)/52))*(1+$AO28))*1/$Q28</f>
        <v>177777.68799999999</v>
      </c>
      <c r="CX28" s="78">
        <f>($AS28+($AS28*$K28)+($AS28*$T28)+($AS28*$W28)+($AS28*$Z28)+($AS28*$AC28)+($AS28*$AF28)+($AI28)+($AS28*((52+$AL28)/52))*(1+$AO28))*1/$Q28</f>
        <v>184365.50338461538</v>
      </c>
      <c r="CY28" s="78">
        <f>($AS28+($AS28*$K28)+($AS28*$T28)+($AS28*$W28)+($AS28*$Z28)+($AS28*$AC28)+($AS28*$AF28)+($AI28)+($AS28*((52+$AM28)/52))*(1+$AO28))*1/$Q28</f>
        <v>186012.45723076924</v>
      </c>
      <c r="CZ28" s="78">
        <f>CW28/52/$N28</f>
        <v>89.968465587044534</v>
      </c>
      <c r="DA28" s="78">
        <f>CX28/52/$N28</f>
        <v>93.302380255372157</v>
      </c>
      <c r="DB28" s="78">
        <f t="shared" ref="DB28:DB32" si="257">CY28/52/$N28</f>
        <v>94.135858922454076</v>
      </c>
      <c r="DC28" s="78">
        <f>($AS28+($AS28*$K28)+($AS28*$T28)+($AS28*$W28)+($AS28*$Z28)+($AS28*$AC28)+($AS28*$AF28)+($AI28)+($AS28*((52+$AL28)/52))*(1+$AN28))*1/$Q28</f>
        <v>168993.93415384617</v>
      </c>
      <c r="DD28" s="78">
        <f>($AS28+($AS28*$K28)+($AS28*$T28)+($AS28*$W28)+($AS28*$Z28)+($AS28*$AC28)+($AS28*$AF28)+($AI28)+($AS28*((52+$AL28)/52))*(1+$AO28))*1/$Q28</f>
        <v>184365.50338461538</v>
      </c>
      <c r="DE28" s="78">
        <f>($AS28+($AS28*$K28)+($AS28*$T28)+($AS28*$W28)+($AS28*$Z28)+($AS28*$AC28)+($AS28*$AF28)+($AI28)+($AS28*((52+$AL28)/52))*(1+$AP28))*1/$Q28</f>
        <v>184365.50338461538</v>
      </c>
      <c r="DF28" s="78">
        <f>DC28/52/$N28</f>
        <v>85.523246029274375</v>
      </c>
      <c r="DG28" s="78">
        <f>DD28/52/$N28</f>
        <v>93.302380255372157</v>
      </c>
      <c r="DH28" s="78">
        <f t="shared" ref="DH28:DH32" si="258">DE28/52/$N28</f>
        <v>93.302380255372157</v>
      </c>
    </row>
    <row r="29" spans="1:112" x14ac:dyDescent="0.2">
      <c r="A29" s="45" t="s">
        <v>88</v>
      </c>
      <c r="B29" s="46" t="s">
        <v>40</v>
      </c>
      <c r="C29" s="54" t="s">
        <v>41</v>
      </c>
      <c r="D29" s="45" t="s">
        <v>89</v>
      </c>
      <c r="E29" s="55" t="s">
        <v>91</v>
      </c>
      <c r="I29" s="56">
        <v>2022</v>
      </c>
      <c r="J29" s="70">
        <v>0.105</v>
      </c>
      <c r="K29" s="57">
        <v>0.11</v>
      </c>
      <c r="L29" s="57">
        <v>0.1275</v>
      </c>
      <c r="M29" s="73">
        <v>36.299999999999997</v>
      </c>
      <c r="N29" s="73">
        <v>38</v>
      </c>
      <c r="O29" s="73">
        <v>40</v>
      </c>
      <c r="Q29" s="59">
        <v>1</v>
      </c>
      <c r="S29" s="59">
        <v>0</v>
      </c>
      <c r="T29" s="59">
        <v>0.1</v>
      </c>
      <c r="U29" s="59">
        <v>0.3</v>
      </c>
      <c r="V29" s="57">
        <v>2.9499999999999998E-2</v>
      </c>
      <c r="W29" s="57">
        <v>3.5000000000000003E-2</v>
      </c>
      <c r="X29" s="57">
        <v>0.04</v>
      </c>
      <c r="Y29" s="59">
        <v>0</v>
      </c>
      <c r="Z29" s="60">
        <v>0</v>
      </c>
      <c r="AA29" s="60">
        <v>0.2</v>
      </c>
      <c r="AB29" s="57">
        <v>0</v>
      </c>
      <c r="AC29" s="57">
        <v>0</v>
      </c>
      <c r="AD29" s="57">
        <v>0</v>
      </c>
      <c r="AE29" s="59">
        <v>0.01</v>
      </c>
      <c r="AF29" s="59">
        <v>4.5999999999999999E-2</v>
      </c>
      <c r="AG29" s="59">
        <v>0.08</v>
      </c>
      <c r="AH29" s="59">
        <v>0</v>
      </c>
      <c r="AI29" s="64">
        <v>0</v>
      </c>
      <c r="AJ29" s="64">
        <v>2000</v>
      </c>
      <c r="AK29" s="74">
        <v>0</v>
      </c>
      <c r="AL29" s="62">
        <v>4</v>
      </c>
      <c r="AM29" s="62">
        <v>5</v>
      </c>
      <c r="AN29" s="62">
        <v>0</v>
      </c>
      <c r="AO29" s="59">
        <v>0.2</v>
      </c>
      <c r="AP29" s="59">
        <v>0.2</v>
      </c>
      <c r="AQ29" s="59">
        <v>1.4999999999999999E-2</v>
      </c>
      <c r="AR29" s="65">
        <v>77833</v>
      </c>
      <c r="AS29" s="65">
        <f>AR29+((AT29-AR29)/2)</f>
        <v>109041</v>
      </c>
      <c r="AT29" s="65">
        <v>140249</v>
      </c>
      <c r="AU29" s="65">
        <f t="shared" si="248"/>
        <v>201066.5876153846</v>
      </c>
      <c r="AV29" s="65">
        <f t="shared" si="248"/>
        <v>281686.45407692308</v>
      </c>
      <c r="AW29" s="65">
        <f t="shared" si="248"/>
        <v>362306.3205384615</v>
      </c>
      <c r="AX29" s="65">
        <f t="shared" si="249"/>
        <v>101.75434595920274</v>
      </c>
      <c r="AY29" s="65">
        <f t="shared" si="249"/>
        <v>142.55387352071006</v>
      </c>
      <c r="AZ29" s="65">
        <f t="shared" si="249"/>
        <v>183.35340108221735</v>
      </c>
      <c r="BA29" s="78">
        <f t="shared" ref="BA29:BA32" si="259">($AS29+($AS29*$J29)+($AS29*$T29)+($AS29*$W29)+($AS29*$Z29)+($AS29*$AC29)+($AS29*$AF29)+($AI29)+($AS29*((52+$AL29)/52))*(1+$AO29))*1/$Q29</f>
        <v>281141.24907692306</v>
      </c>
      <c r="BB29" s="78">
        <f t="shared" ref="BB29:BB32" si="260">($AS29+($AS29*$K29)+($AS29*$T29)+($AS29*$W29)+($AS29*$Z29)+($AS29*$AC29)+($AS29*$AF29)+($AI29)+($AS29*((52+$AL29)/52))*(1+$AO29))*1/$Q29</f>
        <v>281686.45407692308</v>
      </c>
      <c r="BC29" s="78">
        <f t="shared" ref="BC29:BC32" si="261">($AS29+($AS29*$L29)+($AS29*$T29)+($AS29*$W29)+($AS29*$Z29)+($AS29*$AC29)+($AS29*$AF29)+($AI29)+($AS29*((52+$AL29)/52))*(1+$AO29))*1/$Q29</f>
        <v>283594.67157692311</v>
      </c>
      <c r="BD29" s="78">
        <f t="shared" ref="BD29:BD32" si="262">BA29/52/$N29</f>
        <v>142.27796005917159</v>
      </c>
      <c r="BE29" s="78">
        <f t="shared" si="250"/>
        <v>142.55387352071006</v>
      </c>
      <c r="BF29" s="78">
        <f t="shared" si="251"/>
        <v>143.5195706360947</v>
      </c>
      <c r="BG29" s="78">
        <f t="shared" ref="BG29:BI32" si="263">($AS29+($AS29*$K29)+($AS29*$T29)+($AS29*$W29)+($AS29*$Z29)+($AS29*$AC29)+($AS29*$AF29)+($AI29)+($AS29*((52+$AL29)/52))*(1+$AO29))*1/$Q29</f>
        <v>281686.45407692308</v>
      </c>
      <c r="BH29" s="78">
        <f t="shared" si="263"/>
        <v>281686.45407692308</v>
      </c>
      <c r="BI29" s="78">
        <f t="shared" si="263"/>
        <v>281686.45407692308</v>
      </c>
      <c r="BJ29" s="78">
        <f t="shared" ref="BJ29:BJ32" si="264">BG29/52/$O29</f>
        <v>135.42617984467455</v>
      </c>
      <c r="BK29" s="78">
        <f t="shared" ref="BK29:BK32" si="265">BH29/52/$N29</f>
        <v>142.55387352071006</v>
      </c>
      <c r="BL29" s="78">
        <f t="shared" ref="BL29:BL32" si="266">BI29/52/$M29</f>
        <v>149.22995024206566</v>
      </c>
      <c r="BM29" s="78">
        <f t="shared" ref="BM29:BM32" si="267">($AS29+($AS29*$K29)+($AS29*$S29)+($AS29*$W29)+($AS29*$Z29)+($AS29*$AC29)+($AS29*$AF29)+($AI29)+($AS29*((52+$AL29)/52))*(1+$AO29))*1/$Q29</f>
        <v>270782.35407692305</v>
      </c>
      <c r="BN29" s="78">
        <f t="shared" ref="BN29:BN32" si="268">($AS29+($AS29*$K29)+($AS29*$T29)+($AS29*$W29)+($AS29*$Z29)+($AS29*$AC29)+($AS29*$AF29)+($AI29)+($AS29*((52+$AL29)/52))*(1+$AO29))*1/$Q29</f>
        <v>281686.45407692308</v>
      </c>
      <c r="BO29" s="78">
        <f t="shared" ref="BO29:BO32" si="269">($AS29+($AS29*$K29)+($AS29*$U29)+($AS29*$W29)+($AS29*$Z29)+($AS29*$AC29)+($AS29*$AF29)+($AI29)+($AS29*((52+$AL29)/52))*(1+$AO29))*1/$Q29</f>
        <v>303494.65407692303</v>
      </c>
      <c r="BP29" s="78">
        <f t="shared" ref="BP29:BP32" si="270">BM29/52/$N29</f>
        <v>137.03560428994081</v>
      </c>
      <c r="BQ29" s="78">
        <f t="shared" ref="BQ29:BQ32" si="271">BN29/52/$N29</f>
        <v>142.55387352071006</v>
      </c>
      <c r="BR29" s="78">
        <f t="shared" ref="BR29:BR32" si="272">BO29/52/$N29</f>
        <v>153.5904119822485</v>
      </c>
      <c r="BS29" s="78">
        <f t="shared" ref="BS29:BS32" si="273">($AS29+($AS29*$K29)+($AS29*$T29)+($AS29*$V29)+($AS29*$Z29)+($AS29*$AC29)+($AS29*$AF29)+($AI29)+($AS29*((52+$AL29)/52))*(1+$AO29))*1/$Q29</f>
        <v>281086.72857692302</v>
      </c>
      <c r="BT29" s="78">
        <f t="shared" ref="BT29:BT32" si="274">($AS29+($AS29*$K29)+($AS29*$T29)+($AS29*$W29)+($AS29*$Z29)+($AS29*$AC29)+($AS29*$AF29)+($AI29)+($AS29*((52+$AL29)/52))*(1+$AO29))*1/$Q29</f>
        <v>281686.45407692308</v>
      </c>
      <c r="BU29" s="78">
        <f t="shared" ref="BU29:BU32" si="275">($AS29+($AS29*$K29)+($AS29*$T29)+($AS29*$X29)+($AS29*$Z29)+($AS29*$AC29)+($AS29*$AF29)+($AI29)+($AS29*((52+$AL29)/52))*(1+$AO29))*1/$Q29</f>
        <v>282231.65907692304</v>
      </c>
      <c r="BV29" s="78">
        <f t="shared" ref="BV29:BV32" si="276">BS29/52/$N29</f>
        <v>142.25036871301771</v>
      </c>
      <c r="BW29" s="78">
        <f t="shared" si="252"/>
        <v>142.55387352071006</v>
      </c>
      <c r="BX29" s="78">
        <f t="shared" si="253"/>
        <v>142.82978698224852</v>
      </c>
      <c r="BY29" s="78">
        <f t="shared" ref="BY29:BY32" si="277">($AS29+($AS29*$K29)+($AS29*$T29)+($AS29*$W29)+($AS29*$Y29)+($AS29*$AC29)+($AS29*$AF29)+($AI29)+($AS29*((52+$AL29)/52))*(1+$AO29))*1/$Q29</f>
        <v>281686.45407692308</v>
      </c>
      <c r="BZ29" s="78">
        <f t="shared" ref="BZ29:BZ32" si="278">($AS29+($AS29*$K29)+($AS29*$T29)+($AS29*$W29)+($AS29*$Z29)+($AS29*$AC29)+($AS29*$AF29)+($AI29)+($AS29*((52+$AL29)/52))*(1+$AO29))*1/$Q29</f>
        <v>281686.45407692308</v>
      </c>
      <c r="CA29" s="78">
        <f t="shared" ref="CA29:CA32" si="279">($AS29+($AS29*$K29)+($AS29*$T29)+($AS29*$W29)+($AS29*$AA29)+($AS29*$AC29)+($AS29*$AF29)+($AI29)+($AS29*((52+$AL29)/52))*(1+$AO29))*1/$Q29</f>
        <v>303494.65407692303</v>
      </c>
      <c r="CB29" s="78">
        <f t="shared" ref="CB29:CB32" si="280">BY29/52/$N29</f>
        <v>142.55387352071006</v>
      </c>
      <c r="CC29" s="78">
        <f t="shared" ref="CC29:CC32" si="281">BZ29/52/$N29</f>
        <v>142.55387352071006</v>
      </c>
      <c r="CD29" s="78">
        <f t="shared" ref="CD29:CD32" si="282">CA29/52/$N29</f>
        <v>153.5904119822485</v>
      </c>
      <c r="CE29" s="78">
        <f t="shared" ref="CE29:CE32" si="283">($AS29+($AS29*$K29)+($AS29*$T29)+($AS29*$W29)+($AS29*$Z29)+($AS29*$AB29)+($AS29*$AF29)+($AI29)+($AS29*((52+$AL29)/52))*(1+$AO29))*1/$Q29</f>
        <v>281686.45407692308</v>
      </c>
      <c r="CF29" s="78">
        <f t="shared" ref="CF29:CF32" si="284">($AS29+($AS29*$K29)+($AS29*$T29)+($AS29*$W29)+($AS29*$Z29)+($AS29*$AC29)+($AS29*$AF29)+($AI29)+($AS29*((52+$AL29)/52))*(1+$AO29))*1/$Q29</f>
        <v>281686.45407692308</v>
      </c>
      <c r="CG29" s="78">
        <f t="shared" ref="CG29:CG32" si="285">($AS29+($AS29*$K29)+($AS29*$T29)+($AS29*$W29)+($AS29*$Z29)+($AS29*$AD29)+($AS29*$AF29)+($AI29)+($AS29*((52+$AL29)/52))*(1+$AO29))*1/$Q29</f>
        <v>281686.45407692308</v>
      </c>
      <c r="CH29" s="78">
        <f t="shared" ref="CH29:CH32" si="286">CE29/52/$N29</f>
        <v>142.55387352071006</v>
      </c>
      <c r="CI29" s="78">
        <f t="shared" ref="CI29:CI32" si="287">CF29/52/$N29</f>
        <v>142.55387352071006</v>
      </c>
      <c r="CJ29" s="78">
        <f t="shared" si="254"/>
        <v>142.55387352071006</v>
      </c>
      <c r="CK29" s="78">
        <f t="shared" ref="CK29:CK32" si="288">($AS29+($AS29*$K29)+($AS29*$T29)+($AS29*$W29)+($AS29*$Z29)+($AS29*$AC29)+($AS29*$AE29)+($AI29)+($AS29*((52+$AL29)/52))*(1+$AO29))*1/$Q29</f>
        <v>277760.97807692306</v>
      </c>
      <c r="CL29" s="78">
        <f t="shared" ref="CL29:CL32" si="289">($AS29+($AS29*$K29)+($AS29*$T29)+($AS29*$W29)+($AS29*$Z29)+($AS29*$AC29)+($AS29*$AF29)+($AI29)+($AS29*((52+$AL29)/52))*(1+$AO29))*1/$Q29</f>
        <v>281686.45407692308</v>
      </c>
      <c r="CM29" s="78">
        <f t="shared" ref="CM29:CM32" si="290">($AS29+($AS29*$K29)+($AS29*$T29)+($AS29*$W29)+($AS29*$Z29)+($AS29*$AC29)+($AS29*$AG29)+($AI29)+($AS29*((52+$AL29)/52))*(1+$AO29))*1/$Q29</f>
        <v>285393.84807692305</v>
      </c>
      <c r="CN29" s="78">
        <f t="shared" ref="CN29:CN32" si="291">CK29/52/$N29</f>
        <v>140.56729659763315</v>
      </c>
      <c r="CO29" s="78">
        <f t="shared" ref="CO29:CO32" si="292">CL29/52/$N29</f>
        <v>142.55387352071006</v>
      </c>
      <c r="CP29" s="78">
        <f t="shared" si="255"/>
        <v>144.4300850591716</v>
      </c>
      <c r="CQ29" s="78">
        <f t="shared" ref="CQ29:CQ32" si="293">($AS29+($AS29*$K29)+($AS29*$T29)+($AS29*$W29)+($AS29*$Z29)+($AS29*$AC29)+($AS29*$AF29)+($AH29)+($AS29*((52+$AL29)/52))*(1+$AO29))*1/$Q29</f>
        <v>281686.45407692308</v>
      </c>
      <c r="CR29" s="78">
        <f t="shared" ref="CR29:CR32" si="294">($AS29+($AS29*$K29)+($AS29*$T29)+($AS29*$W29)+($AS29*$Z29)+($AS29*$AC29)+($AS29*$AF29)+($AI29)+($AS29*((52+$AL29)/52))*(1+$AO29))*1/$Q29</f>
        <v>281686.45407692308</v>
      </c>
      <c r="CS29" s="78">
        <f t="shared" ref="CS29:CS32" si="295">($AS29+($AS29*$K29)+($AS29*$T29)+($AS29*$W29)+($AS29*$Z29)+($AS29*$AC29)+($AS29*$AF29)+($AJ29)+($AS29*((52+$AL29)/52))*(1+$AO29))*1/$Q29</f>
        <v>283686.45407692308</v>
      </c>
      <c r="CT29" s="78">
        <f t="shared" ref="CT29:CT32" si="296">CQ29/52/$N29</f>
        <v>142.55387352071006</v>
      </c>
      <c r="CU29" s="78">
        <f t="shared" ref="CU29:CU32" si="297">CR29/52/$N29</f>
        <v>142.55387352071006</v>
      </c>
      <c r="CV29" s="78">
        <f t="shared" si="256"/>
        <v>143.5660192696979</v>
      </c>
      <c r="CW29" s="78">
        <f t="shared" ref="CW29:CW32" si="298">($AS29+($AS29*$K29)+($AS29*$T29)+($AS29*$W29)+($AS29*$Z29)+($AS29*$AC29)+($AS29*$AF29)+($AI29)+($AS29*((52+$AK29)/52))*(1+$AO29))*1/$Q29</f>
        <v>271621.13099999999</v>
      </c>
      <c r="CX29" s="78">
        <f t="shared" ref="CX29:CX32" si="299">($AS29+($AS29*$K29)+($AS29*$T29)+($AS29*$W29)+($AS29*$Z29)+($AS29*$AC29)+($AS29*$AF29)+($AI29)+($AS29*((52+$AL29)/52))*(1+$AO29))*1/$Q29</f>
        <v>281686.45407692308</v>
      </c>
      <c r="CY29" s="78">
        <f t="shared" ref="CY29:CY32" si="300">($AS29+($AS29*$K29)+($AS29*$T29)+($AS29*$W29)+($AS29*$Z29)+($AS29*$AC29)+($AS29*$AF29)+($AI29)+($AS29*((52+$AM29)/52))*(1+$AO29))*1/$Q29</f>
        <v>284202.78484615381</v>
      </c>
      <c r="CZ29" s="78">
        <f t="shared" ref="CZ29:CZ32" si="301">CW29/52/$N29</f>
        <v>137.46008653846152</v>
      </c>
      <c r="DA29" s="78">
        <f t="shared" ref="DA29:DA32" si="302">CX29/52/$N29</f>
        <v>142.55387352071006</v>
      </c>
      <c r="DB29" s="78">
        <f t="shared" si="257"/>
        <v>143.82732026627218</v>
      </c>
      <c r="DC29" s="78">
        <f t="shared" ref="DC29:DC32" si="303">($AS29+($AS29*$K29)+($AS29*$T29)+($AS29*$W29)+($AS29*$Z29)+($AS29*$AC29)+($AS29*$AF29)+($AI29)+($AS29*((52+$AL29)/52))*(1+$AN29))*1/$Q29</f>
        <v>258200.7002307692</v>
      </c>
      <c r="DD29" s="78">
        <f t="shared" ref="DD29:DD32" si="304">($AS29+($AS29*$K29)+($AS29*$T29)+($AS29*$W29)+($AS29*$Z29)+($AS29*$AC29)+($AS29*$AF29)+($AI29)+($AS29*((52+$AL29)/52))*(1+$AO29))*1/$Q29</f>
        <v>281686.45407692308</v>
      </c>
      <c r="DE29" s="78">
        <f t="shared" ref="DE29:DE32" si="305">($AS29+($AS29*$K29)+($AS29*$T29)+($AS29*$W29)+($AS29*$Z29)+($AS29*$AC29)+($AS29*$AF29)+($AI29)+($AS29*((52+$AL29)/52))*(1+$AP29))*1/$Q29</f>
        <v>281686.45407692308</v>
      </c>
      <c r="DF29" s="78">
        <f t="shared" ref="DF29:DF32" si="306">DC29/52/$N29</f>
        <v>130.66837056213015</v>
      </c>
      <c r="DG29" s="78">
        <f t="shared" ref="DG29:DG32" si="307">DD29/52/$N29</f>
        <v>142.55387352071006</v>
      </c>
      <c r="DH29" s="78">
        <f t="shared" si="258"/>
        <v>142.55387352071006</v>
      </c>
    </row>
    <row r="30" spans="1:112" x14ac:dyDescent="0.2">
      <c r="A30" s="45" t="s">
        <v>88</v>
      </c>
      <c r="B30" s="46" t="s">
        <v>47</v>
      </c>
      <c r="C30" s="54" t="s">
        <v>48</v>
      </c>
      <c r="D30" s="45" t="s">
        <v>89</v>
      </c>
      <c r="E30" s="55" t="s">
        <v>92</v>
      </c>
      <c r="I30" s="56">
        <v>2022</v>
      </c>
      <c r="J30" s="70">
        <v>0.105</v>
      </c>
      <c r="K30" s="57">
        <v>0.11</v>
      </c>
      <c r="L30" s="57">
        <v>0.1275</v>
      </c>
      <c r="M30" s="73">
        <v>36.299999999999997</v>
      </c>
      <c r="N30" s="73">
        <v>38</v>
      </c>
      <c r="O30" s="73">
        <v>40</v>
      </c>
      <c r="Q30" s="59">
        <v>1</v>
      </c>
      <c r="S30" s="59">
        <v>0</v>
      </c>
      <c r="T30" s="59">
        <v>0.1</v>
      </c>
      <c r="U30" s="59">
        <v>0.3</v>
      </c>
      <c r="V30" s="57">
        <v>2.9499999999999998E-2</v>
      </c>
      <c r="W30" s="57">
        <v>3.5000000000000003E-2</v>
      </c>
      <c r="X30" s="57">
        <v>0.04</v>
      </c>
      <c r="Y30" s="59">
        <v>0</v>
      </c>
      <c r="Z30" s="60">
        <v>0</v>
      </c>
      <c r="AA30" s="60">
        <v>0.2</v>
      </c>
      <c r="AB30" s="57">
        <v>0</v>
      </c>
      <c r="AC30" s="57">
        <v>0</v>
      </c>
      <c r="AD30" s="57">
        <v>0</v>
      </c>
      <c r="AE30" s="59">
        <v>0.01</v>
      </c>
      <c r="AF30" s="59">
        <v>4.5999999999999999E-2</v>
      </c>
      <c r="AG30" s="59">
        <v>0.08</v>
      </c>
      <c r="AH30" s="59">
        <v>0</v>
      </c>
      <c r="AI30" s="64">
        <v>0</v>
      </c>
      <c r="AJ30" s="64">
        <v>2000</v>
      </c>
      <c r="AK30" s="74">
        <v>0</v>
      </c>
      <c r="AL30" s="62">
        <v>4</v>
      </c>
      <c r="AM30" s="62">
        <v>5</v>
      </c>
      <c r="AN30" s="62">
        <v>0</v>
      </c>
      <c r="AO30" s="59">
        <v>0.2</v>
      </c>
      <c r="AP30" s="59">
        <v>0.2</v>
      </c>
      <c r="AQ30" s="59">
        <v>1.4999999999999999E-2</v>
      </c>
      <c r="AR30" s="65">
        <v>57579</v>
      </c>
      <c r="AS30" s="65">
        <f>AR30+((AT30-AR30)/2)</f>
        <v>63314</v>
      </c>
      <c r="AT30" s="65">
        <v>69049</v>
      </c>
      <c r="AU30" s="65">
        <f t="shared" si="248"/>
        <v>148744.27361538459</v>
      </c>
      <c r="AV30" s="65">
        <f t="shared" si="248"/>
        <v>163559.54323076922</v>
      </c>
      <c r="AW30" s="65">
        <f t="shared" si="248"/>
        <v>178374.81284615383</v>
      </c>
      <c r="AX30" s="65">
        <f t="shared" si="249"/>
        <v>75.275442113048882</v>
      </c>
      <c r="AY30" s="65">
        <f t="shared" si="249"/>
        <v>82.773048193709116</v>
      </c>
      <c r="AZ30" s="65">
        <f t="shared" si="249"/>
        <v>90.270654274369349</v>
      </c>
      <c r="BA30" s="78">
        <f t="shared" si="259"/>
        <v>163242.97323076922</v>
      </c>
      <c r="BB30" s="78">
        <f t="shared" si="260"/>
        <v>163559.54323076922</v>
      </c>
      <c r="BC30" s="78">
        <f t="shared" si="261"/>
        <v>164667.53823076922</v>
      </c>
      <c r="BD30" s="78">
        <f t="shared" si="262"/>
        <v>82.612840703830571</v>
      </c>
      <c r="BE30" s="78">
        <f t="shared" si="250"/>
        <v>82.773048193709116</v>
      </c>
      <c r="BF30" s="78">
        <f t="shared" si="251"/>
        <v>83.333774408284015</v>
      </c>
      <c r="BG30" s="78">
        <f t="shared" si="263"/>
        <v>163559.54323076922</v>
      </c>
      <c r="BH30" s="78">
        <f t="shared" si="263"/>
        <v>163559.54323076922</v>
      </c>
      <c r="BI30" s="78">
        <f t="shared" si="263"/>
        <v>163559.54323076922</v>
      </c>
      <c r="BJ30" s="78">
        <f t="shared" si="264"/>
        <v>78.634395784023667</v>
      </c>
      <c r="BK30" s="78">
        <f t="shared" si="265"/>
        <v>82.773048193709116</v>
      </c>
      <c r="BL30" s="78">
        <f t="shared" si="266"/>
        <v>86.649471938318086</v>
      </c>
      <c r="BM30" s="78">
        <f t="shared" si="267"/>
        <v>157228.14323076923</v>
      </c>
      <c r="BN30" s="78">
        <f t="shared" si="268"/>
        <v>163559.54323076922</v>
      </c>
      <c r="BO30" s="78">
        <f t="shared" si="269"/>
        <v>176222.34323076921</v>
      </c>
      <c r="BP30" s="78">
        <f t="shared" si="270"/>
        <v>79.568898396138266</v>
      </c>
      <c r="BQ30" s="78">
        <f t="shared" si="271"/>
        <v>82.773048193709116</v>
      </c>
      <c r="BR30" s="78">
        <f t="shared" si="272"/>
        <v>89.181347788850815</v>
      </c>
      <c r="BS30" s="78">
        <f t="shared" si="273"/>
        <v>163211.31623076921</v>
      </c>
      <c r="BT30" s="78">
        <f t="shared" si="274"/>
        <v>163559.54323076922</v>
      </c>
      <c r="BU30" s="78">
        <f t="shared" si="275"/>
        <v>163876.11323076923</v>
      </c>
      <c r="BV30" s="78">
        <f t="shared" si="276"/>
        <v>82.596819954842715</v>
      </c>
      <c r="BW30" s="78">
        <f t="shared" si="252"/>
        <v>82.773048193709116</v>
      </c>
      <c r="BX30" s="78">
        <f t="shared" si="253"/>
        <v>82.933255683587674</v>
      </c>
      <c r="BY30" s="78">
        <f t="shared" si="277"/>
        <v>163559.54323076922</v>
      </c>
      <c r="BZ30" s="78">
        <f t="shared" si="278"/>
        <v>163559.54323076922</v>
      </c>
      <c r="CA30" s="78">
        <f t="shared" si="279"/>
        <v>176222.34323076921</v>
      </c>
      <c r="CB30" s="78">
        <f t="shared" si="280"/>
        <v>82.773048193709116</v>
      </c>
      <c r="CC30" s="78">
        <f t="shared" si="281"/>
        <v>82.773048193709116</v>
      </c>
      <c r="CD30" s="78">
        <f t="shared" si="282"/>
        <v>89.181347788850815</v>
      </c>
      <c r="CE30" s="78">
        <f t="shared" si="283"/>
        <v>163559.54323076922</v>
      </c>
      <c r="CF30" s="78">
        <f t="shared" si="284"/>
        <v>163559.54323076922</v>
      </c>
      <c r="CG30" s="78">
        <f t="shared" si="285"/>
        <v>163559.54323076922</v>
      </c>
      <c r="CH30" s="78">
        <f t="shared" si="286"/>
        <v>82.773048193709116</v>
      </c>
      <c r="CI30" s="78">
        <f t="shared" si="287"/>
        <v>82.773048193709116</v>
      </c>
      <c r="CJ30" s="78">
        <f t="shared" si="254"/>
        <v>82.773048193709116</v>
      </c>
      <c r="CK30" s="78">
        <f t="shared" si="288"/>
        <v>161280.23923076922</v>
      </c>
      <c r="CL30" s="78">
        <f t="shared" si="289"/>
        <v>163559.54323076922</v>
      </c>
      <c r="CM30" s="78">
        <f t="shared" si="290"/>
        <v>165712.2192307692</v>
      </c>
      <c r="CN30" s="78">
        <f t="shared" si="291"/>
        <v>81.61955426658362</v>
      </c>
      <c r="CO30" s="78">
        <f t="shared" si="292"/>
        <v>82.773048193709116</v>
      </c>
      <c r="CP30" s="78">
        <f t="shared" si="255"/>
        <v>83.862459124883202</v>
      </c>
      <c r="CQ30" s="78">
        <f t="shared" si="293"/>
        <v>163559.54323076922</v>
      </c>
      <c r="CR30" s="78">
        <f t="shared" si="294"/>
        <v>163559.54323076922</v>
      </c>
      <c r="CS30" s="78">
        <f t="shared" si="295"/>
        <v>165559.54323076922</v>
      </c>
      <c r="CT30" s="78">
        <f t="shared" si="296"/>
        <v>82.773048193709116</v>
      </c>
      <c r="CU30" s="78">
        <f t="shared" si="297"/>
        <v>82.773048193709116</v>
      </c>
      <c r="CV30" s="78">
        <f t="shared" si="256"/>
        <v>83.785193942696978</v>
      </c>
      <c r="CW30" s="78">
        <f t="shared" si="298"/>
        <v>157715.174</v>
      </c>
      <c r="CX30" s="78">
        <f t="shared" si="299"/>
        <v>163559.54323076922</v>
      </c>
      <c r="CY30" s="78">
        <f t="shared" si="300"/>
        <v>165020.63553846156</v>
      </c>
      <c r="CZ30" s="78">
        <f t="shared" si="301"/>
        <v>79.815371457489888</v>
      </c>
      <c r="DA30" s="78">
        <f t="shared" si="302"/>
        <v>82.773048193709116</v>
      </c>
      <c r="DB30" s="78">
        <f t="shared" si="257"/>
        <v>83.512467377763954</v>
      </c>
      <c r="DC30" s="78">
        <f t="shared" si="303"/>
        <v>149922.6816923077</v>
      </c>
      <c r="DD30" s="78">
        <f t="shared" si="304"/>
        <v>163559.54323076922</v>
      </c>
      <c r="DE30" s="78">
        <f t="shared" si="305"/>
        <v>163559.54323076922</v>
      </c>
      <c r="DF30" s="78">
        <f t="shared" si="306"/>
        <v>75.871802475864229</v>
      </c>
      <c r="DG30" s="78">
        <f t="shared" si="307"/>
        <v>82.773048193709116</v>
      </c>
      <c r="DH30" s="78">
        <f t="shared" si="258"/>
        <v>82.773048193709116</v>
      </c>
    </row>
    <row r="31" spans="1:112" x14ac:dyDescent="0.2">
      <c r="A31" s="45" t="s">
        <v>88</v>
      </c>
      <c r="B31" s="46" t="s">
        <v>50</v>
      </c>
      <c r="C31" s="54" t="s">
        <v>51</v>
      </c>
      <c r="D31" s="45" t="s">
        <v>89</v>
      </c>
      <c r="E31" s="55" t="s">
        <v>93</v>
      </c>
      <c r="I31" s="56">
        <v>2022</v>
      </c>
      <c r="J31" s="70">
        <v>0.105</v>
      </c>
      <c r="K31" s="57">
        <v>0.11</v>
      </c>
      <c r="L31" s="57">
        <v>0.1275</v>
      </c>
      <c r="M31" s="73">
        <v>36.299999999999997</v>
      </c>
      <c r="N31" s="73">
        <v>38</v>
      </c>
      <c r="O31" s="73">
        <v>40</v>
      </c>
      <c r="Q31" s="59">
        <v>1</v>
      </c>
      <c r="S31" s="59">
        <v>0</v>
      </c>
      <c r="T31" s="59">
        <v>0.1</v>
      </c>
      <c r="U31" s="59">
        <v>0.3</v>
      </c>
      <c r="V31" s="57">
        <v>2.9499999999999998E-2</v>
      </c>
      <c r="W31" s="57">
        <v>3.5000000000000003E-2</v>
      </c>
      <c r="X31" s="57">
        <v>0.04</v>
      </c>
      <c r="Y31" s="59">
        <v>0</v>
      </c>
      <c r="Z31" s="60">
        <v>0</v>
      </c>
      <c r="AA31" s="60">
        <v>0.2</v>
      </c>
      <c r="AB31" s="57">
        <v>0</v>
      </c>
      <c r="AC31" s="57">
        <v>0</v>
      </c>
      <c r="AD31" s="57">
        <v>0</v>
      </c>
      <c r="AE31" s="59">
        <v>0.01</v>
      </c>
      <c r="AF31" s="59">
        <v>4.5999999999999999E-2</v>
      </c>
      <c r="AG31" s="59">
        <v>0.08</v>
      </c>
      <c r="AH31" s="59">
        <v>0</v>
      </c>
      <c r="AI31" s="64">
        <v>0</v>
      </c>
      <c r="AJ31" s="64">
        <v>2000</v>
      </c>
      <c r="AK31" s="74">
        <v>0</v>
      </c>
      <c r="AL31" s="62">
        <v>4</v>
      </c>
      <c r="AM31" s="62">
        <v>5</v>
      </c>
      <c r="AN31" s="62">
        <v>0</v>
      </c>
      <c r="AO31" s="59">
        <v>0.2</v>
      </c>
      <c r="AP31" s="59">
        <v>0.2</v>
      </c>
      <c r="AQ31" s="59">
        <v>1.4999999999999999E-2</v>
      </c>
      <c r="AR31" s="65">
        <v>79898</v>
      </c>
      <c r="AS31" s="65">
        <f>AR31+((AT31-AR31)/2)</f>
        <v>86781</v>
      </c>
      <c r="AT31" s="65">
        <v>93664</v>
      </c>
      <c r="AU31" s="65">
        <f t="shared" si="248"/>
        <v>206401.11800000002</v>
      </c>
      <c r="AV31" s="65">
        <f t="shared" si="248"/>
        <v>224182.02484615386</v>
      </c>
      <c r="AW31" s="65">
        <f t="shared" si="248"/>
        <v>241962.9316923077</v>
      </c>
      <c r="AX31" s="65">
        <f t="shared" si="249"/>
        <v>104.45400708502025</v>
      </c>
      <c r="AY31" s="65">
        <f t="shared" si="249"/>
        <v>113.45244172376208</v>
      </c>
      <c r="AZ31" s="65">
        <f t="shared" si="249"/>
        <v>122.45087636250389</v>
      </c>
      <c r="BA31" s="78">
        <f t="shared" si="259"/>
        <v>223748.11984615386</v>
      </c>
      <c r="BB31" s="78">
        <f t="shared" si="260"/>
        <v>224182.02484615386</v>
      </c>
      <c r="BC31" s="78">
        <f t="shared" si="261"/>
        <v>225700.69234615384</v>
      </c>
      <c r="BD31" s="78">
        <f t="shared" si="262"/>
        <v>113.23285417315478</v>
      </c>
      <c r="BE31" s="78">
        <f t="shared" si="250"/>
        <v>113.45244172376208</v>
      </c>
      <c r="BF31" s="78">
        <f t="shared" si="251"/>
        <v>114.22099815088757</v>
      </c>
      <c r="BG31" s="78">
        <f t="shared" si="263"/>
        <v>224182.02484615386</v>
      </c>
      <c r="BH31" s="78">
        <f t="shared" si="263"/>
        <v>224182.02484615386</v>
      </c>
      <c r="BI31" s="78">
        <f t="shared" si="263"/>
        <v>224182.02484615386</v>
      </c>
      <c r="BJ31" s="78">
        <f t="shared" si="264"/>
        <v>107.77981963757398</v>
      </c>
      <c r="BK31" s="78">
        <f t="shared" si="265"/>
        <v>113.45244172376208</v>
      </c>
      <c r="BL31" s="78">
        <f t="shared" si="266"/>
        <v>118.76564147391072</v>
      </c>
      <c r="BM31" s="78">
        <f t="shared" si="267"/>
        <v>215503.92484615385</v>
      </c>
      <c r="BN31" s="78">
        <f t="shared" si="268"/>
        <v>224182.02484615386</v>
      </c>
      <c r="BO31" s="78">
        <f t="shared" si="269"/>
        <v>241538.22484615387</v>
      </c>
      <c r="BP31" s="78">
        <f t="shared" si="270"/>
        <v>109.06069071161633</v>
      </c>
      <c r="BQ31" s="78">
        <f t="shared" si="271"/>
        <v>113.45244172376208</v>
      </c>
      <c r="BR31" s="78">
        <f t="shared" si="272"/>
        <v>122.23594374805357</v>
      </c>
      <c r="BS31" s="78">
        <f t="shared" si="273"/>
        <v>223704.72934615385</v>
      </c>
      <c r="BT31" s="78">
        <f t="shared" si="274"/>
        <v>224182.02484615386</v>
      </c>
      <c r="BU31" s="78">
        <f t="shared" si="275"/>
        <v>224615.92984615386</v>
      </c>
      <c r="BV31" s="78">
        <f t="shared" si="276"/>
        <v>113.21089541809407</v>
      </c>
      <c r="BW31" s="78">
        <f t="shared" si="252"/>
        <v>113.45244172376208</v>
      </c>
      <c r="BX31" s="78">
        <f t="shared" si="253"/>
        <v>113.67202927436935</v>
      </c>
      <c r="BY31" s="78">
        <f t="shared" si="277"/>
        <v>224182.02484615386</v>
      </c>
      <c r="BZ31" s="78">
        <f t="shared" si="278"/>
        <v>224182.02484615386</v>
      </c>
      <c r="CA31" s="78">
        <f t="shared" si="279"/>
        <v>241538.22484615387</v>
      </c>
      <c r="CB31" s="78">
        <f t="shared" si="280"/>
        <v>113.45244172376208</v>
      </c>
      <c r="CC31" s="78">
        <f t="shared" si="281"/>
        <v>113.45244172376208</v>
      </c>
      <c r="CD31" s="78">
        <f t="shared" si="282"/>
        <v>122.23594374805357</v>
      </c>
      <c r="CE31" s="78">
        <f t="shared" si="283"/>
        <v>224182.02484615386</v>
      </c>
      <c r="CF31" s="78">
        <f t="shared" si="284"/>
        <v>224182.02484615386</v>
      </c>
      <c r="CG31" s="78">
        <f t="shared" si="285"/>
        <v>224182.02484615386</v>
      </c>
      <c r="CH31" s="78">
        <f t="shared" si="286"/>
        <v>113.45244172376208</v>
      </c>
      <c r="CI31" s="78">
        <f t="shared" si="287"/>
        <v>113.45244172376208</v>
      </c>
      <c r="CJ31" s="78">
        <f t="shared" si="254"/>
        <v>113.45244172376208</v>
      </c>
      <c r="CK31" s="78">
        <f t="shared" si="288"/>
        <v>221057.90884615385</v>
      </c>
      <c r="CL31" s="78">
        <f t="shared" si="289"/>
        <v>224182.02484615386</v>
      </c>
      <c r="CM31" s="78">
        <f t="shared" si="290"/>
        <v>227132.57884615386</v>
      </c>
      <c r="CN31" s="78">
        <f t="shared" si="291"/>
        <v>111.8714113593896</v>
      </c>
      <c r="CO31" s="78">
        <f t="shared" si="292"/>
        <v>113.45244172376208</v>
      </c>
      <c r="CP31" s="78">
        <f t="shared" si="255"/>
        <v>114.94563706789162</v>
      </c>
      <c r="CQ31" s="78">
        <f t="shared" si="293"/>
        <v>224182.02484615386</v>
      </c>
      <c r="CR31" s="78">
        <f t="shared" si="294"/>
        <v>224182.02484615386</v>
      </c>
      <c r="CS31" s="78">
        <f t="shared" si="295"/>
        <v>226182.02484615386</v>
      </c>
      <c r="CT31" s="78">
        <f t="shared" si="296"/>
        <v>113.45244172376208</v>
      </c>
      <c r="CU31" s="78">
        <f t="shared" si="297"/>
        <v>113.45244172376208</v>
      </c>
      <c r="CV31" s="78">
        <f t="shared" si="256"/>
        <v>114.46458747274993</v>
      </c>
      <c r="CW31" s="78">
        <f t="shared" si="298"/>
        <v>216171.47100000002</v>
      </c>
      <c r="CX31" s="78">
        <f t="shared" si="299"/>
        <v>224182.02484615386</v>
      </c>
      <c r="CY31" s="78">
        <f t="shared" si="300"/>
        <v>226184.66330769233</v>
      </c>
      <c r="CZ31" s="78">
        <f t="shared" si="301"/>
        <v>109.39851771255063</v>
      </c>
      <c r="DA31" s="78">
        <f t="shared" si="302"/>
        <v>113.45244172376208</v>
      </c>
      <c r="DB31" s="78">
        <f t="shared" si="257"/>
        <v>114.46592272656495</v>
      </c>
      <c r="DC31" s="78">
        <f t="shared" si="303"/>
        <v>205490.73253846157</v>
      </c>
      <c r="DD31" s="78">
        <f t="shared" si="304"/>
        <v>224182.02484615386</v>
      </c>
      <c r="DE31" s="78">
        <f t="shared" si="305"/>
        <v>224182.02484615386</v>
      </c>
      <c r="DF31" s="78">
        <f t="shared" si="306"/>
        <v>103.993285697602</v>
      </c>
      <c r="DG31" s="78">
        <f t="shared" si="307"/>
        <v>113.45244172376208</v>
      </c>
      <c r="DH31" s="78">
        <f t="shared" si="258"/>
        <v>113.45244172376208</v>
      </c>
    </row>
    <row r="32" spans="1:112" x14ac:dyDescent="0.2">
      <c r="A32" s="45" t="s">
        <v>88</v>
      </c>
      <c r="B32" s="46" t="s">
        <v>55</v>
      </c>
      <c r="C32" s="54" t="s">
        <v>56</v>
      </c>
      <c r="D32" s="45" t="s">
        <v>94</v>
      </c>
      <c r="E32" s="55" t="s">
        <v>95</v>
      </c>
      <c r="I32" s="56">
        <v>2022</v>
      </c>
      <c r="J32" s="70">
        <v>0.105</v>
      </c>
      <c r="K32" s="57">
        <v>0.11</v>
      </c>
      <c r="L32" s="57">
        <v>0.1275</v>
      </c>
      <c r="M32" s="73">
        <v>36.299999999999997</v>
      </c>
      <c r="N32" s="73">
        <v>38</v>
      </c>
      <c r="O32" s="73">
        <v>40</v>
      </c>
      <c r="Q32" s="59">
        <v>1</v>
      </c>
      <c r="S32" s="59">
        <v>0</v>
      </c>
      <c r="T32" s="59">
        <v>0</v>
      </c>
      <c r="U32" s="59">
        <v>0.3</v>
      </c>
      <c r="V32" s="57">
        <v>2.9499999999999998E-2</v>
      </c>
      <c r="W32" s="57">
        <v>3.5000000000000003E-2</v>
      </c>
      <c r="X32" s="57">
        <v>0.04</v>
      </c>
      <c r="Y32" s="59">
        <v>0</v>
      </c>
      <c r="Z32" s="60">
        <v>0.1</v>
      </c>
      <c r="AA32" s="60">
        <v>0.2</v>
      </c>
      <c r="AB32" s="57">
        <v>0</v>
      </c>
      <c r="AC32" s="57">
        <v>0</v>
      </c>
      <c r="AD32" s="57">
        <v>0</v>
      </c>
      <c r="AE32" s="59">
        <v>0.01</v>
      </c>
      <c r="AF32" s="59">
        <v>4.5999999999999999E-2</v>
      </c>
      <c r="AG32" s="59">
        <v>0.08</v>
      </c>
      <c r="AH32" s="59">
        <v>0</v>
      </c>
      <c r="AI32" s="64">
        <v>28909</v>
      </c>
      <c r="AJ32" s="64">
        <v>28909</v>
      </c>
      <c r="AK32" s="74">
        <v>0</v>
      </c>
      <c r="AL32" s="62">
        <f>160/40</f>
        <v>4</v>
      </c>
      <c r="AM32" s="62">
        <v>5</v>
      </c>
      <c r="AN32" s="62">
        <v>0</v>
      </c>
      <c r="AO32" s="59">
        <v>0</v>
      </c>
      <c r="AP32" s="59">
        <v>0.2</v>
      </c>
      <c r="AQ32" s="59">
        <v>1.4999999999999999E-2</v>
      </c>
      <c r="AR32" s="65">
        <v>297757</v>
      </c>
      <c r="AS32" s="65">
        <f>AR32+((AT32-AR32)/2)</f>
        <v>342136</v>
      </c>
      <c r="AT32" s="65">
        <v>386515</v>
      </c>
      <c r="AU32" s="65">
        <f t="shared" si="248"/>
        <v>733974.67161538464</v>
      </c>
      <c r="AV32" s="65">
        <f t="shared" si="248"/>
        <v>839060.72984615387</v>
      </c>
      <c r="AW32" s="65">
        <f t="shared" si="248"/>
        <v>944146.788076923</v>
      </c>
      <c r="AX32" s="65">
        <f t="shared" si="249"/>
        <v>371.44467187013396</v>
      </c>
      <c r="AY32" s="65">
        <f t="shared" si="249"/>
        <v>424.62587542821552</v>
      </c>
      <c r="AZ32" s="65">
        <f t="shared" si="249"/>
        <v>477.80707898629703</v>
      </c>
      <c r="BA32" s="78">
        <f t="shared" si="259"/>
        <v>837350.04984615382</v>
      </c>
      <c r="BB32" s="78">
        <f t="shared" si="260"/>
        <v>839060.72984615387</v>
      </c>
      <c r="BC32" s="78">
        <f t="shared" si="261"/>
        <v>845048.10984615376</v>
      </c>
      <c r="BD32" s="78">
        <f t="shared" si="262"/>
        <v>423.76014668327622</v>
      </c>
      <c r="BE32" s="78">
        <f t="shared" si="250"/>
        <v>424.62587542821552</v>
      </c>
      <c r="BF32" s="78">
        <f t="shared" si="251"/>
        <v>427.65592603550294</v>
      </c>
      <c r="BG32" s="78">
        <f t="shared" si="263"/>
        <v>839060.72984615387</v>
      </c>
      <c r="BH32" s="78">
        <f t="shared" si="263"/>
        <v>839060.72984615387</v>
      </c>
      <c r="BI32" s="78">
        <f t="shared" si="263"/>
        <v>839060.72984615387</v>
      </c>
      <c r="BJ32" s="78">
        <f t="shared" si="264"/>
        <v>403.39458165680475</v>
      </c>
      <c r="BK32" s="78">
        <f t="shared" si="265"/>
        <v>424.62587542821552</v>
      </c>
      <c r="BL32" s="78">
        <f t="shared" si="266"/>
        <v>444.51193570997771</v>
      </c>
      <c r="BM32" s="78">
        <f t="shared" si="267"/>
        <v>839060.72984615387</v>
      </c>
      <c r="BN32" s="78">
        <f t="shared" si="268"/>
        <v>839060.72984615387</v>
      </c>
      <c r="BO32" s="78">
        <f t="shared" si="269"/>
        <v>941701.52984615392</v>
      </c>
      <c r="BP32" s="78">
        <f t="shared" si="270"/>
        <v>424.62587542821552</v>
      </c>
      <c r="BQ32" s="78">
        <f t="shared" si="271"/>
        <v>424.62587542821552</v>
      </c>
      <c r="BR32" s="78">
        <f t="shared" si="272"/>
        <v>476.56960012457182</v>
      </c>
      <c r="BS32" s="78">
        <f t="shared" si="273"/>
        <v>837178.98184615374</v>
      </c>
      <c r="BT32" s="78">
        <f t="shared" si="274"/>
        <v>839060.72984615387</v>
      </c>
      <c r="BU32" s="78">
        <f t="shared" si="275"/>
        <v>840771.40984615381</v>
      </c>
      <c r="BV32" s="78">
        <f t="shared" si="276"/>
        <v>423.67357380878229</v>
      </c>
      <c r="BW32" s="78">
        <f t="shared" si="252"/>
        <v>424.62587542821552</v>
      </c>
      <c r="BX32" s="78">
        <f t="shared" si="253"/>
        <v>425.49160417315471</v>
      </c>
      <c r="BY32" s="78">
        <f t="shared" si="277"/>
        <v>804847.12984615378</v>
      </c>
      <c r="BZ32" s="78">
        <f t="shared" si="278"/>
        <v>839060.72984615387</v>
      </c>
      <c r="CA32" s="78">
        <f t="shared" si="279"/>
        <v>873274.32984615385</v>
      </c>
      <c r="CB32" s="78">
        <f t="shared" si="280"/>
        <v>407.31130052943007</v>
      </c>
      <c r="CC32" s="78">
        <f t="shared" si="281"/>
        <v>424.62587542821552</v>
      </c>
      <c r="CD32" s="78">
        <f t="shared" si="282"/>
        <v>441.94045032700092</v>
      </c>
      <c r="CE32" s="78">
        <f t="shared" si="283"/>
        <v>839060.72984615387</v>
      </c>
      <c r="CF32" s="78">
        <f t="shared" si="284"/>
        <v>839060.72984615387</v>
      </c>
      <c r="CG32" s="78">
        <f t="shared" si="285"/>
        <v>839060.72984615387</v>
      </c>
      <c r="CH32" s="78">
        <f t="shared" si="286"/>
        <v>424.62587542821552</v>
      </c>
      <c r="CI32" s="78">
        <f t="shared" si="287"/>
        <v>424.62587542821552</v>
      </c>
      <c r="CJ32" s="78">
        <f t="shared" si="254"/>
        <v>424.62587542821552</v>
      </c>
      <c r="CK32" s="78">
        <f t="shared" si="288"/>
        <v>826743.83384615381</v>
      </c>
      <c r="CL32" s="78">
        <f t="shared" si="289"/>
        <v>839060.72984615387</v>
      </c>
      <c r="CM32" s="78">
        <f t="shared" si="290"/>
        <v>850693.35384615383</v>
      </c>
      <c r="CN32" s="78">
        <f t="shared" si="291"/>
        <v>418.39262846465272</v>
      </c>
      <c r="CO32" s="78">
        <f t="shared" si="292"/>
        <v>424.62587542821552</v>
      </c>
      <c r="CP32" s="78">
        <f t="shared" si="255"/>
        <v>430.51283089380252</v>
      </c>
      <c r="CQ32" s="78">
        <f t="shared" si="293"/>
        <v>810151.72984615387</v>
      </c>
      <c r="CR32" s="78">
        <f t="shared" si="294"/>
        <v>839060.72984615387</v>
      </c>
      <c r="CS32" s="78">
        <f t="shared" si="295"/>
        <v>839060.72984615387</v>
      </c>
      <c r="CT32" s="78">
        <f t="shared" si="296"/>
        <v>409.9958146994706</v>
      </c>
      <c r="CU32" s="78">
        <f t="shared" si="297"/>
        <v>424.62587542821552</v>
      </c>
      <c r="CV32" s="78">
        <f t="shared" si="256"/>
        <v>424.62587542821552</v>
      </c>
      <c r="CW32" s="78">
        <f t="shared" si="298"/>
        <v>812742.576</v>
      </c>
      <c r="CX32" s="78">
        <f t="shared" si="299"/>
        <v>839060.72984615387</v>
      </c>
      <c r="CY32" s="78">
        <f t="shared" si="300"/>
        <v>845640.26830769237</v>
      </c>
      <c r="CZ32" s="78">
        <f t="shared" si="301"/>
        <v>411.30697165991904</v>
      </c>
      <c r="DA32" s="78">
        <f t="shared" si="302"/>
        <v>424.62587542821552</v>
      </c>
      <c r="DB32" s="78">
        <f t="shared" si="257"/>
        <v>427.95560137028968</v>
      </c>
      <c r="DC32" s="78">
        <f t="shared" si="303"/>
        <v>839060.72984615387</v>
      </c>
      <c r="DD32" s="78">
        <f t="shared" si="304"/>
        <v>839060.72984615387</v>
      </c>
      <c r="DE32" s="78">
        <f t="shared" si="305"/>
        <v>912751.56061538449</v>
      </c>
      <c r="DF32" s="78">
        <f t="shared" si="306"/>
        <v>424.62587542821552</v>
      </c>
      <c r="DG32" s="78">
        <f t="shared" si="307"/>
        <v>424.62587542821552</v>
      </c>
      <c r="DH32" s="78">
        <f t="shared" si="258"/>
        <v>461.91880597944555</v>
      </c>
    </row>
    <row r="33" spans="1:112" x14ac:dyDescent="0.2">
      <c r="J33" s="70"/>
      <c r="AI33" s="64"/>
      <c r="AJ33" s="64"/>
      <c r="AQ33" s="59"/>
      <c r="AR33" s="65"/>
      <c r="AS33" s="65"/>
      <c r="AT33" s="65"/>
      <c r="AU33" s="65"/>
      <c r="AV33" s="65"/>
      <c r="AW33" s="65"/>
      <c r="AX33" s="65"/>
      <c r="AY33" s="65"/>
      <c r="AZ33" s="65"/>
    </row>
    <row r="34" spans="1:112" x14ac:dyDescent="0.2">
      <c r="A34" s="45" t="s">
        <v>96</v>
      </c>
      <c r="B34" s="46" t="s">
        <v>33</v>
      </c>
      <c r="J34" s="70">
        <v>0.105</v>
      </c>
      <c r="K34" s="57">
        <v>0.11</v>
      </c>
      <c r="L34" s="57">
        <v>0.1275</v>
      </c>
      <c r="M34" s="73">
        <v>36.299999999999997</v>
      </c>
      <c r="N34" s="73">
        <v>38</v>
      </c>
      <c r="O34" s="73">
        <v>40</v>
      </c>
      <c r="Q34" s="59">
        <f t="shared" ref="Q34:AQ38" si="308">AVERAGE(Q28,Q22,Q16,Q10,Q4)</f>
        <v>1</v>
      </c>
      <c r="S34" s="59">
        <v>0</v>
      </c>
      <c r="T34" s="59">
        <f t="shared" si="308"/>
        <v>0.1</v>
      </c>
      <c r="U34" s="59">
        <v>0.3</v>
      </c>
      <c r="V34" s="57">
        <v>2.9499999999999998E-2</v>
      </c>
      <c r="W34" s="57">
        <v>3.5000000000000003E-2</v>
      </c>
      <c r="X34" s="57">
        <v>0.04</v>
      </c>
      <c r="Y34" s="59">
        <v>0</v>
      </c>
      <c r="Z34" s="60">
        <f t="shared" si="308"/>
        <v>0</v>
      </c>
      <c r="AA34" s="60">
        <v>0.2</v>
      </c>
      <c r="AB34" s="57">
        <v>0</v>
      </c>
      <c r="AC34" s="57">
        <f t="shared" si="308"/>
        <v>0</v>
      </c>
      <c r="AD34" s="57">
        <v>0</v>
      </c>
      <c r="AE34" s="59">
        <v>0.01</v>
      </c>
      <c r="AF34" s="59">
        <v>4.5999999999999999E-2</v>
      </c>
      <c r="AG34" s="59">
        <v>0.08</v>
      </c>
      <c r="AH34" s="59">
        <v>0</v>
      </c>
      <c r="AI34" s="64">
        <f t="shared" si="308"/>
        <v>365.2</v>
      </c>
      <c r="AJ34" s="64">
        <v>2000</v>
      </c>
      <c r="AL34" s="58">
        <f t="shared" si="308"/>
        <v>4</v>
      </c>
      <c r="AM34" s="62">
        <v>5</v>
      </c>
      <c r="AN34" s="62">
        <v>0</v>
      </c>
      <c r="AO34" s="59">
        <f t="shared" si="308"/>
        <v>7.4999999999999997E-2</v>
      </c>
      <c r="AP34" s="59">
        <v>0.2</v>
      </c>
      <c r="AQ34" s="59">
        <f t="shared" si="308"/>
        <v>1.4999999999999999E-2</v>
      </c>
      <c r="AR34" s="65">
        <f>MIN(AR28,AR22,AR16,AR10,AR4)</f>
        <v>48552</v>
      </c>
      <c r="AS34" s="65">
        <f>AVERAGE(AS28,AS22,AS16,AS10,AS4)</f>
        <v>78368.712</v>
      </c>
      <c r="AT34" s="65">
        <f>MAX(AT28,AT22,AT16,AT10,AT4)</f>
        <v>110314</v>
      </c>
      <c r="AU34" s="65">
        <f>MIN(AU28,AU22,AU16,AU10,AU4)</f>
        <v>116793.40123076923</v>
      </c>
      <c r="AV34" s="65">
        <f>AVERAGE(AV28,AV22,AV16,AV10,AV4)</f>
        <v>192590.19626892309</v>
      </c>
      <c r="AW34" s="65">
        <f>MAX(AW28,AW22,AW16,AW10,AW4)</f>
        <v>282005.01246153843</v>
      </c>
      <c r="AX34" s="65">
        <f>MIN(AX28,AX22,AX16,AX10,AX4)</f>
        <v>59.105972282777955</v>
      </c>
      <c r="AY34" s="65">
        <f>AVERAGE(AY28,AY22,AY16,AY10,AY4)</f>
        <v>97.464674225163506</v>
      </c>
      <c r="AZ34" s="65">
        <f>MAX(AZ28,AZ22,AZ16,AZ10,AZ4)</f>
        <v>142.71508727810649</v>
      </c>
      <c r="BA34" s="78">
        <f>($AS34+($AS34*$J34)+($AS34*$T34)+($AS34*$W34)+($AS34*$Z34)+($AS34*$AC34)+($AS34*$AF34)+($AI34)+($AS34*((52+$AL34)/52))*(1+$AO34))*1/$Q34</f>
        <v>191874.21867815382</v>
      </c>
      <c r="BB34" s="78">
        <f>($AS34+($AS34*$K34)+($AS34*$T34)+($AS34*$W34)+($AS34*$Z34)+($AS34*$AC34)+($AS34*$AF34)+($AI34)+($AS34*((52+$AL34)/52))*(1+$AO34))*1/$Q34</f>
        <v>192266.06223815383</v>
      </c>
      <c r="BC34" s="78">
        <f>($AS34+($AS34*$L34)+($AS34*$T34)+($AS34*$W34)+($AS34*$Z34)+($AS34*$AC34)+($AS34*$AF34)+($AI34)+($AS34*((52+$AL34)/52))*(1+$AO34))*1/$Q34</f>
        <v>193637.51469815383</v>
      </c>
      <c r="BD34" s="78">
        <f>BA34/52/$N34</f>
        <v>97.102337387729662</v>
      </c>
      <c r="BE34" s="78">
        <f t="shared" ref="BE34:BE38" si="309">BB34/52/$N34</f>
        <v>97.300638784490801</v>
      </c>
      <c r="BF34" s="78">
        <f t="shared" ref="BF34:BF38" si="310">BC34/52/$N34</f>
        <v>97.994693673154771</v>
      </c>
      <c r="BG34" s="78">
        <f>($AS34+($AS34*$K34)+($AS34*$T34)+($AS34*$W34)+($AS34*$Z34)+($AS34*$AC34)+($AS34*$AF34)+($AI34)+($AS34*((52+$AL34)/52))*(1+$AO34))*1/$Q34</f>
        <v>192266.06223815383</v>
      </c>
      <c r="BH34" s="78">
        <f>($AS34+($AS34*$K34)+($AS34*$T34)+($AS34*$W34)+($AS34*$Z34)+($AS34*$AC34)+($AS34*$AF34)+($AI34)+($AS34*((52+$AL34)/52))*(1+$AO34))*1/$Q34</f>
        <v>192266.06223815383</v>
      </c>
      <c r="BI34" s="78">
        <f>($AS34+($AS34*$K34)+($AS34*$T34)+($AS34*$W34)+($AS34*$Z34)+($AS34*$AC34)+($AS34*$AF34)+($AI34)+($AS34*((52+$AL34)/52))*(1+$AO34))*1/$Q34</f>
        <v>192266.06223815383</v>
      </c>
      <c r="BJ34" s="78">
        <f>BG34/52/$O34</f>
        <v>92.435606845266264</v>
      </c>
      <c r="BK34" s="78">
        <f>BH34/52/$N34</f>
        <v>97.300638784490801</v>
      </c>
      <c r="BL34" s="78">
        <f>BI34/52/$M34</f>
        <v>101.85741801131269</v>
      </c>
      <c r="BM34" s="78">
        <f>($AS34+($AS34*$K34)+($AS34*$S34)+($AS34*$W34)+($AS34*$Z34)+($AS34*$AC34)+($AS34*$AF34)+($AI34)+($AS34*((52+$AL34)/52))*(1+$AO34))*1/$Q34</f>
        <v>184429.19103815383</v>
      </c>
      <c r="BN34" s="78">
        <f>($AS34+($AS34*$K34)+($AS34*$T34)+($AS34*$W34)+($AS34*$Z34)+($AS34*$AC34)+($AS34*$AF34)+($AI34)+($AS34*((52+$AL34)/52))*(1+$AO34))*1/$Q34</f>
        <v>192266.06223815383</v>
      </c>
      <c r="BO34" s="78">
        <f>($AS34+($AS34*$K34)+($AS34*$U34)+($AS34*$W34)+($AS34*$Z34)+($AS34*$AC34)+($AS34*$AF34)+($AI34)+($AS34*((52+$AL34)/52))*(1+$AO34))*1/$Q34</f>
        <v>207939.80463815382</v>
      </c>
      <c r="BP34" s="78">
        <f>BM34/52/$N34</f>
        <v>93.334610849268131</v>
      </c>
      <c r="BQ34" s="78">
        <f>BN34/52/$N34</f>
        <v>97.300638784490801</v>
      </c>
      <c r="BR34" s="78">
        <f>BO34/52/$N34</f>
        <v>105.23269465493614</v>
      </c>
      <c r="BS34" s="78">
        <f>($AS34+($AS34*$K34)+($AS34*$T34)+($AS34*$V34)+($AS34*$Z34)+($AS34*$AC34)+($AS34*$AF34)+($AI34)+($AS34*((52+$AL34)/52))*(1+$AO34))*1/$Q34</f>
        <v>191835.03432215384</v>
      </c>
      <c r="BT34" s="78">
        <f>($AS34+($AS34*$K34)+($AS34*$T34)+($AS34*$W34)+($AS34*$Z34)+($AS34*$AC34)+($AS34*$AF34)+($AI34)+($AS34*((52+$AL34)/52))*(1+$AO34))*1/$Q34</f>
        <v>192266.06223815383</v>
      </c>
      <c r="BU34" s="78">
        <f>($AS34+($AS34*$K34)+($AS34*$T34)+($AS34*$X34)+($AS34*$Z34)+($AS34*$AC34)+($AS34*$AF34)+($AI34)+($AS34*((52+$AL34)/52))*(1+$AO34))*1/$Q34</f>
        <v>192657.90579815384</v>
      </c>
      <c r="BV34" s="78">
        <f>BS34/52/$N34</f>
        <v>97.08250724805356</v>
      </c>
      <c r="BW34" s="78">
        <f t="shared" ref="BW34:BW38" si="311">BT34/52/$N34</f>
        <v>97.300638784490801</v>
      </c>
      <c r="BX34" s="78">
        <f t="shared" ref="BX34:BX38" si="312">BU34/52/$N34</f>
        <v>97.498940181251939</v>
      </c>
      <c r="BY34" s="78">
        <f>($AS34+($AS34*$K34)+($AS34*$T34)+($AS34*$W34)+($AS34*$Y34)+($AS34*$AC34)+($AS34*$AF34)+($AI34)+($AS34*((52+$AL34)/52))*(1+$AO34))*1/$Q34</f>
        <v>192266.06223815383</v>
      </c>
      <c r="BZ34" s="78">
        <f>($AS34+($AS34*$K34)+($AS34*$T34)+($AS34*$W34)+($AS34*$Z34)+($AS34*$AC34)+($AS34*$AF34)+($AI34)+($AS34*((52+$AL34)/52))*(1+$AO34))*1/$Q34</f>
        <v>192266.06223815383</v>
      </c>
      <c r="CA34" s="78">
        <f>($AS34+($AS34*$K34)+($AS34*$T34)+($AS34*$W34)+($AS34*$AA34)+($AS34*$AC34)+($AS34*$AF34)+($AI34)+($AS34*((52+$AL34)/52))*(1+$AO34))*1/$Q34</f>
        <v>207939.80463815382</v>
      </c>
      <c r="CB34" s="78">
        <f>BY34/52/$N34</f>
        <v>97.300638784490801</v>
      </c>
      <c r="CC34" s="78">
        <f>BZ34/52/$N34</f>
        <v>97.300638784490801</v>
      </c>
      <c r="CD34" s="78">
        <f>CA34/52/$N34</f>
        <v>105.23269465493614</v>
      </c>
      <c r="CE34" s="78">
        <f>($AS34+($AS34*$K34)+($AS34*$T34)+($AS34*$W34)+($AS34*$Z34)+($AS34*$AB34)+($AS34*$AF34)+($AI34)+($AS34*((52+$AL34)/52))*(1+$AO34))*1/$Q34</f>
        <v>192266.06223815383</v>
      </c>
      <c r="CF34" s="78">
        <f>($AS34+($AS34*$K34)+($AS34*$T34)+($AS34*$W34)+($AS34*$Z34)+($AS34*$AC34)+($AS34*$AF34)+($AI34)+($AS34*((52+$AL34)/52))*(1+$AO34))*1/$Q34</f>
        <v>192266.06223815383</v>
      </c>
      <c r="CG34" s="78">
        <f>($AS34+($AS34*$K34)+($AS34*$T34)+($AS34*$W34)+($AS34*$Z34)+($AS34*$AD34)+($AS34*$AF34)+($AI34)+($AS34*((52+$AL34)/52))*(1+$AO34))*1/$Q34</f>
        <v>192266.06223815383</v>
      </c>
      <c r="CH34" s="78">
        <f>CE34/52/$N34</f>
        <v>97.300638784490801</v>
      </c>
      <c r="CI34" s="78">
        <f>CF34/52/$N34</f>
        <v>97.300638784490801</v>
      </c>
      <c r="CJ34" s="78">
        <f t="shared" ref="CJ34:CJ38" si="313">CG34/52/$N34</f>
        <v>97.300638784490801</v>
      </c>
      <c r="CK34" s="78">
        <f>($AS34+($AS34*$K34)+($AS34*$T34)+($AS34*$W34)+($AS34*$Z34)+($AS34*$AC34)+($AS34*$AE34)+($AI34)+($AS34*((52+$AL34)/52))*(1+$AO34))*1/$Q34</f>
        <v>189444.78860615383</v>
      </c>
      <c r="CL34" s="78">
        <f>($AS34+($AS34*$K34)+($AS34*$T34)+($AS34*$W34)+($AS34*$Z34)+($AS34*$AC34)+($AS34*$AF34)+($AI34)+($AS34*((52+$AL34)/52))*(1+$AO34))*1/$Q34</f>
        <v>192266.06223815383</v>
      </c>
      <c r="CM34" s="78">
        <f>($AS34+($AS34*$K34)+($AS34*$T34)+($AS34*$W34)+($AS34*$Z34)+($AS34*$AC34)+($AS34*$AG34)+($AI34)+($AS34*((52+$AL34)/52))*(1+$AO34))*1/$Q34</f>
        <v>194930.59844615383</v>
      </c>
      <c r="CN34" s="78">
        <f>CK34/52/$N34</f>
        <v>95.872868727810641</v>
      </c>
      <c r="CO34" s="78">
        <f>CL34/52/$N34</f>
        <v>97.300638784490801</v>
      </c>
      <c r="CP34" s="78">
        <f t="shared" ref="CP34:CP38" si="314">CM34/52/$N34</f>
        <v>98.649088282466508</v>
      </c>
      <c r="CQ34" s="78">
        <f>($AS34+($AS34*$K34)+($AS34*$T34)+($AS34*$W34)+($AS34*$Z34)+($AS34*$AC34)+($AS34*$AF34)+($AH34)+($AS34*((52+$AL34)/52))*(1+$AO34))*1/$Q34</f>
        <v>191900.86223815382</v>
      </c>
      <c r="CR34" s="78">
        <f>($AS34+($AS34*$K34)+($AS34*$T34)+($AS34*$W34)+($AS34*$Z34)+($AS34*$AC34)+($AS34*$AF34)+($AI34)+($AS34*((52+$AL34)/52))*(1+$AO34))*1/$Q34</f>
        <v>192266.06223815383</v>
      </c>
      <c r="CS34" s="78">
        <f>($AS34+($AS34*$K34)+($AS34*$T34)+($AS34*$W34)+($AS34*$Z34)+($AS34*$AC34)+($AS34*$AF34)+($AJ34)+($AS34*((52+$AL34)/52))*(1+$AO34))*1/$Q34</f>
        <v>193900.86223815382</v>
      </c>
      <c r="CT34" s="78">
        <f>CQ34/52/$N34</f>
        <v>97.115820970725622</v>
      </c>
      <c r="CU34" s="78">
        <f>CR34/52/$N34</f>
        <v>97.300638784490801</v>
      </c>
      <c r="CV34" s="78">
        <f t="shared" ref="CV34:CV38" si="315">CS34/52/$N34</f>
        <v>98.12796671971347</v>
      </c>
      <c r="CW34" s="78">
        <f>($AS34+($AS34*$K34)+($AS34*$T34)+($AS34*$W34)+($AS34*$Z34)+($AS34*$AC34)+($AS34*$AF34)+($AI34)+($AS34*((52+$AK34)/52))*(1+$AO34))*1/$Q34</f>
        <v>185785.57259199998</v>
      </c>
      <c r="CX34" s="78">
        <f>($AS34+($AS34*$K34)+($AS34*$T34)+($AS34*$W34)+($AS34*$Z34)+($AS34*$AC34)+($AS34*$AF34)+($AI34)+($AS34*((52+$AL34)/52))*(1+$AO34))*1/$Q34</f>
        <v>192266.06223815383</v>
      </c>
      <c r="CY34" s="78">
        <f>($AS34+($AS34*$K34)+($AS34*$T34)+($AS34*$W34)+($AS34*$Z34)+($AS34*$AC34)+($AS34*$AF34)+($AI34)+($AS34*((52+$AM34)/52))*(1+$AO34))*1/$Q34</f>
        <v>193886.18464969232</v>
      </c>
      <c r="CZ34" s="78">
        <f>CW34/52/$N34</f>
        <v>94.021038761133596</v>
      </c>
      <c r="DA34" s="78">
        <f>CX34/52/$N34</f>
        <v>97.300638784490801</v>
      </c>
      <c r="DB34" s="78">
        <f t="shared" ref="DB34:DB38" si="316">CY34/52/$N34</f>
        <v>98.12053879033013</v>
      </c>
      <c r="DC34" s="78">
        <f>(AR34+(AR34*$K34)+(AR34*$T34)+(AR34*$W34)+(AR34*$Z34)+(AR34*$AC34)+(AR34*$AF34)+($AI34)+(AR34*((52+$AL34)/52))*(1+$AO34))*1/$Q34</f>
        <v>119254.10892307691</v>
      </c>
      <c r="DD34" s="78">
        <f>(AS34+(AS34*$K34)+(AS34*$T34)+(AS34*$W34)+(AS34*$Z34)+(AS34*$AC34)+(AS34*$AF34)+($AI34)+(AS34*((52+$AL34)/52))*(1+$AO34))*1/$Q34</f>
        <v>192266.06223815383</v>
      </c>
      <c r="DE34" s="78">
        <f>(AT34+(AT34*$K34)+(AT34*$T34)+(AT34*$W34)+(AT34*$Z34)+(AT34*$AC34)+(AT34*$AF34)+($AI34)+(AT34*((52+$AL34)/52))*(1+$AO34))*1/$Q34</f>
        <v>270490.24323076918</v>
      </c>
      <c r="DF34" s="78">
        <f>DC34/52/$N34</f>
        <v>60.351269697913423</v>
      </c>
      <c r="DG34" s="78">
        <f>DD34/52/$N34</f>
        <v>97.300638784490801</v>
      </c>
      <c r="DH34" s="78">
        <f t="shared" ref="DH34:DH38" si="317">DE34/52/$N34</f>
        <v>136.88777491435687</v>
      </c>
    </row>
    <row r="35" spans="1:112" x14ac:dyDescent="0.2">
      <c r="A35" s="45" t="s">
        <v>96</v>
      </c>
      <c r="B35" s="46" t="s">
        <v>40</v>
      </c>
      <c r="J35" s="70">
        <v>0.105</v>
      </c>
      <c r="K35" s="57">
        <v>0.11</v>
      </c>
      <c r="L35" s="57">
        <v>0.1275</v>
      </c>
      <c r="M35" s="73">
        <v>36.299999999999997</v>
      </c>
      <c r="N35" s="73">
        <v>38</v>
      </c>
      <c r="O35" s="73">
        <v>40</v>
      </c>
      <c r="Q35" s="59">
        <f t="shared" si="308"/>
        <v>1</v>
      </c>
      <c r="S35" s="59">
        <v>0</v>
      </c>
      <c r="T35" s="59">
        <f t="shared" si="308"/>
        <v>0.1</v>
      </c>
      <c r="U35" s="59">
        <v>0.3</v>
      </c>
      <c r="V35" s="57">
        <v>2.9499999999999998E-2</v>
      </c>
      <c r="W35" s="57">
        <v>3.5000000000000003E-2</v>
      </c>
      <c r="X35" s="57">
        <v>0.04</v>
      </c>
      <c r="Y35" s="59">
        <v>0</v>
      </c>
      <c r="Z35" s="60">
        <f t="shared" si="308"/>
        <v>0</v>
      </c>
      <c r="AA35" s="60">
        <v>0.2</v>
      </c>
      <c r="AB35" s="57">
        <v>0</v>
      </c>
      <c r="AC35" s="57">
        <f t="shared" si="308"/>
        <v>0</v>
      </c>
      <c r="AD35" s="57">
        <v>0</v>
      </c>
      <c r="AE35" s="59">
        <v>0.01</v>
      </c>
      <c r="AF35" s="59">
        <v>4.5999999999999999E-2</v>
      </c>
      <c r="AG35" s="59">
        <v>0.08</v>
      </c>
      <c r="AH35" s="59">
        <v>0</v>
      </c>
      <c r="AI35" s="64">
        <f t="shared" si="308"/>
        <v>365.2</v>
      </c>
      <c r="AJ35" s="64">
        <v>2000</v>
      </c>
      <c r="AK35" s="74">
        <v>0</v>
      </c>
      <c r="AL35" s="58">
        <f t="shared" si="308"/>
        <v>4.4000000000000004</v>
      </c>
      <c r="AM35" s="62">
        <v>5</v>
      </c>
      <c r="AN35" s="62">
        <v>0</v>
      </c>
      <c r="AO35" s="59">
        <f t="shared" si="308"/>
        <v>0.11000000000000001</v>
      </c>
      <c r="AP35" s="59">
        <v>0.2</v>
      </c>
      <c r="AQ35" s="59">
        <f t="shared" si="308"/>
        <v>1.4999999999999999E-2</v>
      </c>
      <c r="AR35" s="65">
        <f>MIN(AR29,AR23,AR17,AR11,AR5)</f>
        <v>61204</v>
      </c>
      <c r="AS35" s="65">
        <f>AVERAGE(AS29,AS23,AS17,AS11,AS5)</f>
        <v>104472.11600000001</v>
      </c>
      <c r="AT35" s="65">
        <f t="shared" ref="AT35:AT38" si="318">MAX(AT29,AT23,AT17,AT11,AT5)</f>
        <v>142552.80000000002</v>
      </c>
      <c r="AU35" s="65">
        <f>MIN(AU29,AU23,AU17,AU11,AU5)</f>
        <v>157843.93900000001</v>
      </c>
      <c r="AV35" s="65">
        <f>AVERAGE(AV29,AV23,AV17,AV11,AV5)</f>
        <v>261024.17092523081</v>
      </c>
      <c r="AW35" s="65">
        <f t="shared" ref="AW35:AW38" si="319">MAX(AW29,AW23,AW17,AW11,AW5)</f>
        <v>367640.92980000004</v>
      </c>
      <c r="AX35" s="65">
        <f t="shared" ref="AX35:AX38" si="320">MIN(AX29,AX23,AX17,AX11,AX5)</f>
        <v>79.880535931174094</v>
      </c>
      <c r="AY35" s="65">
        <f t="shared" ref="AY35:AY38" si="321">AVERAGE(AY29,AY23,AY17,AY11,AY5)</f>
        <v>132.09725249252568</v>
      </c>
      <c r="AZ35" s="65">
        <f t="shared" ref="AZ35:AZ38" si="322">MAX(AZ29,AZ23,AZ17,AZ11,AZ5)</f>
        <v>186.05310212550611</v>
      </c>
      <c r="BA35" s="78">
        <f t="shared" ref="BA35:BA38" si="323">($AS35+($AS35*$J35)+($AS35*$T35)+($AS35*$W35)+($AS35*$Z35)+($AS35*$AC35)+($AS35*$AF35)+($AI35)+($AS35*((52+$AL35)/52))*(1+$AO35))*1/$Q35</f>
        <v>260492.73252338462</v>
      </c>
      <c r="BB35" s="78">
        <f t="shared" ref="BB35:BB38" si="324">($AS35+($AS35*$K35)+($AS35*$T35)+($AS35*$W35)+($AS35*$Z35)+($AS35*$AC35)+($AS35*$AF35)+($AI35)+($AS35*((52+$AL35)/52))*(1+$AO35))*1/$Q35</f>
        <v>261015.09310338466</v>
      </c>
      <c r="BC35" s="78">
        <f t="shared" ref="BC35:BC38" si="325">($AS35+($AS35*$L35)+($AS35*$T35)+($AS35*$W35)+($AS35*$Z35)+($AS35*$AC35)+($AS35*$AF35)+($AI35)+($AS35*((52+$AL35)/52))*(1+$AO35))*1/$Q35</f>
        <v>262843.35513338464</v>
      </c>
      <c r="BD35" s="78">
        <f t="shared" ref="BD35:BD38" si="326">BA35/52/$N35</f>
        <v>131.82830593288696</v>
      </c>
      <c r="BE35" s="78">
        <f t="shared" si="309"/>
        <v>132.0926584531299</v>
      </c>
      <c r="BF35" s="78">
        <f t="shared" si="310"/>
        <v>133.01789227398007</v>
      </c>
      <c r="BG35" s="78">
        <f t="shared" ref="BG35:BI38" si="327">($AS35+($AS35*$K35)+($AS35*$T35)+($AS35*$W35)+($AS35*$Z35)+($AS35*$AC35)+($AS35*$AF35)+($AI35)+($AS35*((52+$AL35)/52))*(1+$AO35))*1/$Q35</f>
        <v>261015.09310338466</v>
      </c>
      <c r="BH35" s="78">
        <f t="shared" si="327"/>
        <v>261015.09310338466</v>
      </c>
      <c r="BI35" s="78">
        <f t="shared" si="327"/>
        <v>261015.09310338466</v>
      </c>
      <c r="BJ35" s="78">
        <f t="shared" ref="BJ35:BJ38" si="328">BG35/52/$O35</f>
        <v>125.48802553047339</v>
      </c>
      <c r="BK35" s="78">
        <f t="shared" ref="BK35:BK38" si="329">BH35/52/$N35</f>
        <v>132.0926584531299</v>
      </c>
      <c r="BL35" s="78">
        <f t="shared" ref="BL35:BL38" si="330">BI35/52/$M35</f>
        <v>138.27881601154095</v>
      </c>
      <c r="BM35" s="78">
        <f t="shared" ref="BM35:BM38" si="331">($AS35+($AS35*$K35)+($AS35*$S35)+($AS35*$W35)+($AS35*$Z35)+($AS35*$AC35)+($AS35*$AF35)+($AI35)+($AS35*((52+$AL35)/52))*(1+$AO35))*1/$Q35</f>
        <v>250567.88150338462</v>
      </c>
      <c r="BN35" s="78">
        <f t="shared" ref="BN35:BN38" si="332">($AS35+($AS35*$K35)+($AS35*$T35)+($AS35*$W35)+($AS35*$Z35)+($AS35*$AC35)+($AS35*$AF35)+($AI35)+($AS35*((52+$AL35)/52))*(1+$AO35))*1/$Q35</f>
        <v>261015.09310338466</v>
      </c>
      <c r="BO35" s="78">
        <f t="shared" ref="BO35:BO38" si="333">($AS35+($AS35*$K35)+($AS35*$U35)+($AS35*$W35)+($AS35*$Z35)+($AS35*$AC35)+($AS35*$AF35)+($AI35)+($AS35*((52+$AL35)/52))*(1+$AO35))*1/$Q35</f>
        <v>281909.51630338462</v>
      </c>
      <c r="BP35" s="78">
        <f t="shared" ref="BP35:BP38" si="334">BM35/52/$N35</f>
        <v>126.80560804827158</v>
      </c>
      <c r="BQ35" s="78">
        <f t="shared" ref="BQ35:BQ38" si="335">BN35/52/$N35</f>
        <v>132.0926584531299</v>
      </c>
      <c r="BR35" s="78">
        <f t="shared" ref="BR35:BR38" si="336">BO35/52/$N35</f>
        <v>142.66675926284648</v>
      </c>
      <c r="BS35" s="78">
        <f t="shared" ref="BS35:BS38" si="337">($AS35+($AS35*$K35)+($AS35*$T35)+($AS35*$V35)+($AS35*$Z35)+($AS35*$AC35)+($AS35*$AF35)+($AI35)+($AS35*((52+$AL35)/52))*(1+$AO35))*1/$Q35</f>
        <v>260440.49646538461</v>
      </c>
      <c r="BT35" s="78">
        <f t="shared" ref="BT35:BT38" si="338">($AS35+($AS35*$K35)+($AS35*$T35)+($AS35*$W35)+($AS35*$Z35)+($AS35*$AC35)+($AS35*$AF35)+($AI35)+($AS35*((52+$AL35)/52))*(1+$AO35))*1/$Q35</f>
        <v>261015.09310338466</v>
      </c>
      <c r="BU35" s="78">
        <f t="shared" ref="BU35:BU38" si="339">($AS35+($AS35*$K35)+($AS35*$T35)+($AS35*$X35)+($AS35*$Z35)+($AS35*$AC35)+($AS35*$AF35)+($AI35)+($AS35*((52+$AL35)/52))*(1+$AO35))*1/$Q35</f>
        <v>261537.45368338464</v>
      </c>
      <c r="BV35" s="78">
        <f t="shared" ref="BV35:BV38" si="340">BS35/52/$N35</f>
        <v>131.80187068086266</v>
      </c>
      <c r="BW35" s="78">
        <f t="shared" si="311"/>
        <v>132.0926584531299</v>
      </c>
      <c r="BX35" s="78">
        <f t="shared" si="312"/>
        <v>132.35701097337278</v>
      </c>
      <c r="BY35" s="78">
        <f t="shared" ref="BY35:BY38" si="341">($AS35+($AS35*$K35)+($AS35*$T35)+($AS35*$W35)+($AS35*$Y35)+($AS35*$AC35)+($AS35*$AF35)+($AI35)+($AS35*((52+$AL35)/52))*(1+$AO35))*1/$Q35</f>
        <v>261015.09310338466</v>
      </c>
      <c r="BZ35" s="78">
        <f t="shared" ref="BZ35:BZ38" si="342">($AS35+($AS35*$K35)+($AS35*$T35)+($AS35*$W35)+($AS35*$Z35)+($AS35*$AC35)+($AS35*$AF35)+($AI35)+($AS35*((52+$AL35)/52))*(1+$AO35))*1/$Q35</f>
        <v>261015.09310338466</v>
      </c>
      <c r="CA35" s="78">
        <f t="shared" ref="CA35:CA38" si="343">($AS35+($AS35*$K35)+($AS35*$T35)+($AS35*$W35)+($AS35*$AA35)+($AS35*$AC35)+($AS35*$AF35)+($AI35)+($AS35*((52+$AL35)/52))*(1+$AO35))*1/$Q35</f>
        <v>281909.51630338462</v>
      </c>
      <c r="CB35" s="78">
        <f t="shared" ref="CB35:CB38" si="344">BY35/52/$N35</f>
        <v>132.0926584531299</v>
      </c>
      <c r="CC35" s="78">
        <f t="shared" ref="CC35:CC38" si="345">BZ35/52/$N35</f>
        <v>132.0926584531299</v>
      </c>
      <c r="CD35" s="78">
        <f t="shared" ref="CD35:CD38" si="346">CA35/52/$N35</f>
        <v>142.66675926284648</v>
      </c>
      <c r="CE35" s="78">
        <f t="shared" ref="CE35:CE38" si="347">($AS35+($AS35*$K35)+($AS35*$T35)+($AS35*$W35)+($AS35*$Z35)+($AS35*$AB35)+($AS35*$AF35)+($AI35)+($AS35*((52+$AL35)/52))*(1+$AO35))*1/$Q35</f>
        <v>261015.09310338466</v>
      </c>
      <c r="CF35" s="78">
        <f t="shared" ref="CF35:CF38" si="348">($AS35+($AS35*$K35)+($AS35*$T35)+($AS35*$W35)+($AS35*$Z35)+($AS35*$AC35)+($AS35*$AF35)+($AI35)+($AS35*((52+$AL35)/52))*(1+$AO35))*1/$Q35</f>
        <v>261015.09310338466</v>
      </c>
      <c r="CG35" s="78">
        <f t="shared" ref="CG35:CG38" si="349">($AS35+($AS35*$K35)+($AS35*$T35)+($AS35*$W35)+($AS35*$Z35)+($AS35*$AD35)+($AS35*$AF35)+($AI35)+($AS35*((52+$AL35)/52))*(1+$AO35))*1/$Q35</f>
        <v>261015.09310338466</v>
      </c>
      <c r="CH35" s="78">
        <f t="shared" ref="CH35:CH38" si="350">CE35/52/$N35</f>
        <v>132.0926584531299</v>
      </c>
      <c r="CI35" s="78">
        <f t="shared" ref="CI35:CI38" si="351">CF35/52/$N35</f>
        <v>132.0926584531299</v>
      </c>
      <c r="CJ35" s="78">
        <f t="shared" si="313"/>
        <v>132.0926584531299</v>
      </c>
      <c r="CK35" s="78">
        <f t="shared" ref="CK35:CK38" si="352">($AS35+($AS35*$K35)+($AS35*$T35)+($AS35*$W35)+($AS35*$Z35)+($AS35*$AC35)+($AS35*$AE35)+($AI35)+($AS35*((52+$AL35)/52))*(1+$AO35))*1/$Q35</f>
        <v>257254.09692738461</v>
      </c>
      <c r="CL35" s="78">
        <f t="shared" ref="CL35:CL38" si="353">($AS35+($AS35*$K35)+($AS35*$T35)+($AS35*$W35)+($AS35*$Z35)+($AS35*$AC35)+($AS35*$AF35)+($AI35)+($AS35*((52+$AL35)/52))*(1+$AO35))*1/$Q35</f>
        <v>261015.09310338466</v>
      </c>
      <c r="CM35" s="78">
        <f t="shared" ref="CM35:CM38" si="354">($AS35+($AS35*$K35)+($AS35*$T35)+($AS35*$W35)+($AS35*$Z35)+($AS35*$AC35)+($AS35*$AG35)+($AI35)+($AS35*((52+$AL35)/52))*(1+$AO35))*1/$Q35</f>
        <v>264567.14504738466</v>
      </c>
      <c r="CN35" s="78">
        <f t="shared" ref="CN35:CN38" si="355">CK35/52/$N35</f>
        <v>130.18932030738088</v>
      </c>
      <c r="CO35" s="78">
        <f t="shared" ref="CO35:CO38" si="356">CL35/52/$N35</f>
        <v>132.0926584531299</v>
      </c>
      <c r="CP35" s="78">
        <f t="shared" si="314"/>
        <v>133.89025559078172</v>
      </c>
      <c r="CQ35" s="78">
        <f t="shared" ref="CQ35:CQ38" si="357">($AS35+($AS35*$K35)+($AS35*$T35)+($AS35*$W35)+($AS35*$Z35)+($AS35*$AC35)+($AS35*$AF35)+($AH35)+($AS35*((52+$AL35)/52))*(1+$AO35))*1/$Q35</f>
        <v>260649.89310338465</v>
      </c>
      <c r="CR35" s="78">
        <f t="shared" ref="CR35:CR38" si="358">($AS35+($AS35*$K35)+($AS35*$T35)+($AS35*$W35)+($AS35*$Z35)+($AS35*$AC35)+($AS35*$AF35)+($AI35)+($AS35*((52+$AL35)/52))*(1+$AO35))*1/$Q35</f>
        <v>261015.09310338466</v>
      </c>
      <c r="CS35" s="78">
        <f t="shared" ref="CS35:CS38" si="359">($AS35+($AS35*$K35)+($AS35*$T35)+($AS35*$W35)+($AS35*$Z35)+($AS35*$AC35)+($AS35*$AF35)+($AJ35)+($AS35*((52+$AL35)/52))*(1+$AO35))*1/$Q35</f>
        <v>262649.89310338465</v>
      </c>
      <c r="CT35" s="78">
        <f t="shared" ref="CT35:CT38" si="360">CQ35/52/$N35</f>
        <v>131.90784063936471</v>
      </c>
      <c r="CU35" s="78">
        <f t="shared" ref="CU35:CU38" si="361">CR35/52/$N35</f>
        <v>132.0926584531299</v>
      </c>
      <c r="CV35" s="78">
        <f t="shared" si="315"/>
        <v>132.91998638835256</v>
      </c>
      <c r="CW35" s="78">
        <f t="shared" ref="CW35:CW38" si="362">($AS35+($AS35*$K35)+($AS35*$T35)+($AS35*$W35)+($AS35*$Z35)+($AS35*$AC35)+($AS35*$AF35)+($AI35)+($AS35*((52+$AK35)/52))*(1+$AO35))*1/$Q35</f>
        <v>251202.75051600003</v>
      </c>
      <c r="CX35" s="78">
        <f t="shared" ref="CX35:CX38" si="363">($AS35+($AS35*$K35)+($AS35*$T35)+($AS35*$W35)+($AS35*$Z35)+($AS35*$AC35)+($AS35*$AF35)+($AI35)+($AS35*((52+$AL35)/52))*(1+$AO35))*1/$Q35</f>
        <v>261015.09310338466</v>
      </c>
      <c r="CY35" s="78">
        <f t="shared" ref="CY35:CY38" si="364">($AS35+($AS35*$K35)+($AS35*$T35)+($AS35*$W35)+($AS35*$Z35)+($AS35*$AC35)+($AS35*$AF35)+($AI35)+($AS35*((52+$AM35)/52))*(1+$AO35))*1/$Q35</f>
        <v>262353.1398198462</v>
      </c>
      <c r="CZ35" s="78">
        <f t="shared" ref="CZ35:CZ38" si="365">CW35/52/$N35</f>
        <v>127.12689803441296</v>
      </c>
      <c r="DA35" s="78">
        <f t="shared" ref="DA35:DA38" si="366">CX35/52/$N35</f>
        <v>132.0926584531299</v>
      </c>
      <c r="DB35" s="78">
        <f t="shared" si="316"/>
        <v>132.76980760113673</v>
      </c>
      <c r="DC35" s="78">
        <f t="shared" ref="DC35:DC38" si="367">(AR35+(AR35*$K35)+(AR35*$T35)+(AR35*$W35)+(AR35*$Z35)+(AR35*$AC35)+(AR35*$AF35)+($AI35)+(AR35*((52+$AL35)/52))*(1+$AO35))*1/$Q35</f>
        <v>153064.47200000001</v>
      </c>
      <c r="DD35" s="78">
        <f t="shared" ref="DD35:DD38" si="368">(AS35+(AS35*$K35)+(AS35*$T35)+(AS35*$W35)+(AS35*$Z35)+(AS35*$AC35)+(AS35*$AF35)+($AI35)+(AS35*((52+$AL35)/52))*(1+$AO35))*1/$Q35</f>
        <v>261015.09310338466</v>
      </c>
      <c r="DE35" s="78">
        <f t="shared" ref="DE35:DE38" si="369">(AT35+(AT35*$K35)+(AT35*$T35)+(AT35*$W35)+(AT35*$Z35)+(AT35*$AC35)+(AT35*$AF35)+($AI35)+(AT35*((52+$AL35)/52))*(1+$AO35))*1/$Q35</f>
        <v>356023.47040000005</v>
      </c>
      <c r="DF35" s="78">
        <f t="shared" ref="DF35:DF38" si="370">DC35/52/$N35</f>
        <v>77.461777327935238</v>
      </c>
      <c r="DG35" s="78">
        <f t="shared" ref="DG35:DG38" si="371">DD35/52/$N35</f>
        <v>132.0926584531299</v>
      </c>
      <c r="DH35" s="78">
        <f t="shared" si="317"/>
        <v>180.17382105263161</v>
      </c>
    </row>
    <row r="36" spans="1:112" x14ac:dyDescent="0.2">
      <c r="A36" s="45" t="s">
        <v>96</v>
      </c>
      <c r="B36" s="46" t="s">
        <v>47</v>
      </c>
      <c r="J36" s="70">
        <v>0.105</v>
      </c>
      <c r="K36" s="57">
        <v>0.11</v>
      </c>
      <c r="L36" s="57">
        <v>0.1275</v>
      </c>
      <c r="M36" s="73">
        <v>36.299999999999997</v>
      </c>
      <c r="N36" s="73">
        <v>38</v>
      </c>
      <c r="O36" s="73">
        <v>40</v>
      </c>
      <c r="Q36" s="59">
        <f t="shared" si="308"/>
        <v>1</v>
      </c>
      <c r="S36" s="59">
        <v>0</v>
      </c>
      <c r="T36" s="59">
        <f t="shared" si="308"/>
        <v>0.1</v>
      </c>
      <c r="U36" s="59">
        <v>0.3</v>
      </c>
      <c r="V36" s="57">
        <v>2.9499999999999998E-2</v>
      </c>
      <c r="W36" s="57">
        <v>3.5000000000000003E-2</v>
      </c>
      <c r="X36" s="57">
        <v>0.04</v>
      </c>
      <c r="Y36" s="59">
        <v>0</v>
      </c>
      <c r="Z36" s="60">
        <f t="shared" si="308"/>
        <v>0</v>
      </c>
      <c r="AA36" s="60">
        <v>0.2</v>
      </c>
      <c r="AB36" s="57">
        <v>0</v>
      </c>
      <c r="AC36" s="57">
        <f t="shared" si="308"/>
        <v>0</v>
      </c>
      <c r="AD36" s="57">
        <v>0</v>
      </c>
      <c r="AE36" s="59">
        <v>0.01</v>
      </c>
      <c r="AF36" s="59">
        <v>4.5999999999999999E-2</v>
      </c>
      <c r="AG36" s="59">
        <v>0.08</v>
      </c>
      <c r="AH36" s="59">
        <v>0</v>
      </c>
      <c r="AI36" s="64">
        <f t="shared" si="308"/>
        <v>365.2</v>
      </c>
      <c r="AJ36" s="64">
        <v>2000</v>
      </c>
      <c r="AK36" s="74">
        <v>0</v>
      </c>
      <c r="AL36" s="58">
        <f t="shared" si="308"/>
        <v>4</v>
      </c>
      <c r="AM36" s="62">
        <v>5</v>
      </c>
      <c r="AN36" s="62">
        <v>0</v>
      </c>
      <c r="AO36" s="59">
        <f t="shared" si="308"/>
        <v>7.4999999999999997E-2</v>
      </c>
      <c r="AP36" s="59">
        <v>0.2</v>
      </c>
      <c r="AQ36" s="59">
        <f t="shared" si="308"/>
        <v>1.4999999999999999E-2</v>
      </c>
      <c r="AR36" s="65">
        <f>MIN(AR30,AR24,AR18,AR12,AR6)</f>
        <v>47704</v>
      </c>
      <c r="AS36" s="65">
        <f>AVERAGE(AS30,AS24,AS18,AS12,AS6)</f>
        <v>65202.815999999992</v>
      </c>
      <c r="AT36" s="65">
        <f t="shared" si="318"/>
        <v>91460</v>
      </c>
      <c r="AU36" s="65">
        <f>MIN(AU30,AU24,AU18,AU12,AU6)</f>
        <v>114089.18591999999</v>
      </c>
      <c r="AV36" s="65">
        <f>AVERAGE(AV30,AV24,AV18,AV12,AV6)</f>
        <v>160412.0130713846</v>
      </c>
      <c r="AW36" s="65">
        <f t="shared" si="319"/>
        <v>233806.93692307692</v>
      </c>
      <c r="AX36" s="65">
        <f t="shared" si="320"/>
        <v>57.737442267206475</v>
      </c>
      <c r="AY36" s="65">
        <f t="shared" si="321"/>
        <v>81.180168558393035</v>
      </c>
      <c r="AZ36" s="65">
        <f t="shared" si="322"/>
        <v>118.32334864528184</v>
      </c>
      <c r="BA36" s="78">
        <f t="shared" si="323"/>
        <v>159700.81989907689</v>
      </c>
      <c r="BB36" s="78">
        <f t="shared" si="324"/>
        <v>160026.83397907691</v>
      </c>
      <c r="BC36" s="78">
        <f t="shared" si="325"/>
        <v>161167.88325907692</v>
      </c>
      <c r="BD36" s="78">
        <f t="shared" si="326"/>
        <v>80.820252985362799</v>
      </c>
      <c r="BE36" s="78">
        <f t="shared" si="309"/>
        <v>80.985239867953894</v>
      </c>
      <c r="BF36" s="78">
        <f t="shared" si="310"/>
        <v>81.562693957022731</v>
      </c>
      <c r="BG36" s="78">
        <f t="shared" si="327"/>
        <v>160026.83397907691</v>
      </c>
      <c r="BH36" s="78">
        <f t="shared" si="327"/>
        <v>160026.83397907691</v>
      </c>
      <c r="BI36" s="78">
        <f t="shared" si="327"/>
        <v>160026.83397907691</v>
      </c>
      <c r="BJ36" s="78">
        <f t="shared" si="328"/>
        <v>76.935977874556201</v>
      </c>
      <c r="BK36" s="78">
        <f t="shared" si="329"/>
        <v>80.985239867953894</v>
      </c>
      <c r="BL36" s="78">
        <f t="shared" si="330"/>
        <v>84.777937051852575</v>
      </c>
      <c r="BM36" s="78">
        <f t="shared" si="331"/>
        <v>153506.55237907689</v>
      </c>
      <c r="BN36" s="78">
        <f t="shared" si="332"/>
        <v>160026.83397907691</v>
      </c>
      <c r="BO36" s="78">
        <f t="shared" si="333"/>
        <v>173067.39717907691</v>
      </c>
      <c r="BP36" s="78">
        <f t="shared" si="334"/>
        <v>77.685502216132022</v>
      </c>
      <c r="BQ36" s="78">
        <f t="shared" si="335"/>
        <v>80.985239867953894</v>
      </c>
      <c r="BR36" s="78">
        <f t="shared" si="336"/>
        <v>87.584715171597622</v>
      </c>
      <c r="BS36" s="78">
        <f t="shared" si="337"/>
        <v>159668.2184910769</v>
      </c>
      <c r="BT36" s="78">
        <f t="shared" si="338"/>
        <v>160026.83397907691</v>
      </c>
      <c r="BU36" s="78">
        <f t="shared" si="339"/>
        <v>160352.84805907693</v>
      </c>
      <c r="BV36" s="78">
        <f t="shared" si="340"/>
        <v>80.803754297103694</v>
      </c>
      <c r="BW36" s="78">
        <f t="shared" si="311"/>
        <v>80.985239867953894</v>
      </c>
      <c r="BX36" s="78">
        <f t="shared" si="312"/>
        <v>81.150226750545002</v>
      </c>
      <c r="BY36" s="78">
        <f t="shared" si="341"/>
        <v>160026.83397907691</v>
      </c>
      <c r="BZ36" s="78">
        <f t="shared" si="342"/>
        <v>160026.83397907691</v>
      </c>
      <c r="CA36" s="78">
        <f t="shared" si="343"/>
        <v>173067.39717907691</v>
      </c>
      <c r="CB36" s="78">
        <f t="shared" si="344"/>
        <v>80.985239867953894</v>
      </c>
      <c r="CC36" s="78">
        <f t="shared" si="345"/>
        <v>80.985239867953894</v>
      </c>
      <c r="CD36" s="78">
        <f t="shared" si="346"/>
        <v>87.584715171597622</v>
      </c>
      <c r="CE36" s="78">
        <f t="shared" si="347"/>
        <v>160026.83397907691</v>
      </c>
      <c r="CF36" s="78">
        <f t="shared" si="348"/>
        <v>160026.83397907691</v>
      </c>
      <c r="CG36" s="78">
        <f t="shared" si="349"/>
        <v>160026.83397907691</v>
      </c>
      <c r="CH36" s="78">
        <f t="shared" si="350"/>
        <v>80.985239867953894</v>
      </c>
      <c r="CI36" s="78">
        <f t="shared" si="351"/>
        <v>80.985239867953894</v>
      </c>
      <c r="CJ36" s="78">
        <f t="shared" si="313"/>
        <v>80.985239867953894</v>
      </c>
      <c r="CK36" s="78">
        <f t="shared" si="352"/>
        <v>157679.53260307689</v>
      </c>
      <c r="CL36" s="78">
        <f t="shared" si="353"/>
        <v>160026.83397907691</v>
      </c>
      <c r="CM36" s="78">
        <f t="shared" si="354"/>
        <v>162243.72972307692</v>
      </c>
      <c r="CN36" s="78">
        <f t="shared" si="355"/>
        <v>79.797334313298023</v>
      </c>
      <c r="CO36" s="78">
        <f t="shared" si="356"/>
        <v>80.985239867953894</v>
      </c>
      <c r="CP36" s="78">
        <f t="shared" si="314"/>
        <v>82.107150669573343</v>
      </c>
      <c r="CQ36" s="78">
        <f t="shared" si="357"/>
        <v>159661.63397907693</v>
      </c>
      <c r="CR36" s="78">
        <f t="shared" si="358"/>
        <v>160026.83397907691</v>
      </c>
      <c r="CS36" s="78">
        <f t="shared" si="359"/>
        <v>161661.63397907693</v>
      </c>
      <c r="CT36" s="78">
        <f t="shared" si="360"/>
        <v>80.800422054188729</v>
      </c>
      <c r="CU36" s="78">
        <f t="shared" si="361"/>
        <v>80.985239867953894</v>
      </c>
      <c r="CV36" s="78">
        <f t="shared" si="315"/>
        <v>81.812567803176577</v>
      </c>
      <c r="CW36" s="78">
        <f t="shared" si="362"/>
        <v>154635.06265599997</v>
      </c>
      <c r="CX36" s="78">
        <f t="shared" si="363"/>
        <v>160026.83397907691</v>
      </c>
      <c r="CY36" s="78">
        <f t="shared" si="364"/>
        <v>161374.77680984614</v>
      </c>
      <c r="CZ36" s="78">
        <f t="shared" si="365"/>
        <v>78.256610655870432</v>
      </c>
      <c r="DA36" s="78">
        <f t="shared" si="366"/>
        <v>80.985239867953894</v>
      </c>
      <c r="DB36" s="78">
        <f t="shared" si="316"/>
        <v>81.667397170974766</v>
      </c>
      <c r="DC36" s="78">
        <f t="shared" si="367"/>
        <v>117177.61784615385</v>
      </c>
      <c r="DD36" s="78">
        <f t="shared" si="368"/>
        <v>160026.83397907691</v>
      </c>
      <c r="DE36" s="78">
        <f t="shared" si="369"/>
        <v>224322.59846153847</v>
      </c>
      <c r="DF36" s="78">
        <f t="shared" si="370"/>
        <v>59.300413889753969</v>
      </c>
      <c r="DG36" s="78">
        <f t="shared" si="371"/>
        <v>80.985239867953894</v>
      </c>
      <c r="DH36" s="78">
        <f t="shared" si="317"/>
        <v>113.52358221737778</v>
      </c>
    </row>
    <row r="37" spans="1:112" x14ac:dyDescent="0.2">
      <c r="A37" s="45" t="s">
        <v>96</v>
      </c>
      <c r="B37" s="46" t="s">
        <v>50</v>
      </c>
      <c r="J37" s="70">
        <v>0.105</v>
      </c>
      <c r="K37" s="57">
        <v>0.11</v>
      </c>
      <c r="L37" s="57">
        <v>0.1275</v>
      </c>
      <c r="M37" s="73">
        <v>36.299999999999997</v>
      </c>
      <c r="N37" s="73">
        <v>38</v>
      </c>
      <c r="O37" s="73">
        <v>40</v>
      </c>
      <c r="Q37" s="59">
        <f t="shared" si="308"/>
        <v>1</v>
      </c>
      <c r="S37" s="59">
        <v>0</v>
      </c>
      <c r="T37" s="59">
        <f t="shared" si="308"/>
        <v>0.1</v>
      </c>
      <c r="U37" s="59">
        <v>0.3</v>
      </c>
      <c r="V37" s="57">
        <v>2.9499999999999998E-2</v>
      </c>
      <c r="W37" s="57">
        <v>3.5000000000000003E-2</v>
      </c>
      <c r="X37" s="57">
        <v>0.04</v>
      </c>
      <c r="Y37" s="59">
        <v>0</v>
      </c>
      <c r="Z37" s="60">
        <f t="shared" si="308"/>
        <v>0</v>
      </c>
      <c r="AA37" s="60">
        <v>0.2</v>
      </c>
      <c r="AB37" s="57">
        <v>0</v>
      </c>
      <c r="AC37" s="57">
        <f t="shared" si="308"/>
        <v>0</v>
      </c>
      <c r="AD37" s="57">
        <v>0</v>
      </c>
      <c r="AE37" s="59">
        <v>0.01</v>
      </c>
      <c r="AF37" s="59">
        <v>4.5999999999999999E-2</v>
      </c>
      <c r="AG37" s="59">
        <v>0.08</v>
      </c>
      <c r="AH37" s="59">
        <v>0</v>
      </c>
      <c r="AI37" s="64">
        <f t="shared" si="308"/>
        <v>365.2</v>
      </c>
      <c r="AJ37" s="64">
        <v>2000</v>
      </c>
      <c r="AK37" s="74">
        <v>0</v>
      </c>
      <c r="AL37" s="58">
        <f t="shared" si="308"/>
        <v>4</v>
      </c>
      <c r="AM37" s="62">
        <v>5</v>
      </c>
      <c r="AN37" s="62">
        <v>0</v>
      </c>
      <c r="AO37" s="59">
        <f t="shared" si="308"/>
        <v>0.11000000000000001</v>
      </c>
      <c r="AP37" s="59">
        <v>0.2</v>
      </c>
      <c r="AQ37" s="59">
        <f t="shared" si="308"/>
        <v>1.4999999999999999E-2</v>
      </c>
      <c r="AR37" s="65">
        <f>MIN(AR31,AR25,AR19,AR13,AR7)</f>
        <v>66106</v>
      </c>
      <c r="AS37" s="65">
        <f>AVERAGE(AS31,AS25,AS19,AS13,AS7)</f>
        <v>94993.5</v>
      </c>
      <c r="AT37" s="65">
        <f t="shared" si="318"/>
        <v>139576</v>
      </c>
      <c r="AU37" s="65">
        <f>MIN(AU31,AU25,AU19,AU13,AU7)</f>
        <v>157196.94138461538</v>
      </c>
      <c r="AV37" s="65">
        <f>AVERAGE(AV31,AV25,AV19,AV13,AV7)</f>
        <v>236288.82042307692</v>
      </c>
      <c r="AW37" s="65">
        <f t="shared" si="319"/>
        <v>332331.23138461541</v>
      </c>
      <c r="AX37" s="65">
        <f t="shared" si="320"/>
        <v>79.553107988165678</v>
      </c>
      <c r="AY37" s="65">
        <f t="shared" si="321"/>
        <v>119.57936256228588</v>
      </c>
      <c r="AZ37" s="65">
        <f t="shared" si="322"/>
        <v>168.18382155091874</v>
      </c>
      <c r="BA37" s="78">
        <f t="shared" si="323"/>
        <v>236080.60946153849</v>
      </c>
      <c r="BB37" s="78">
        <f t="shared" si="324"/>
        <v>236555.57696153846</v>
      </c>
      <c r="BC37" s="78">
        <f t="shared" si="325"/>
        <v>238217.96321153847</v>
      </c>
      <c r="BD37" s="78">
        <f t="shared" si="326"/>
        <v>119.47399264247899</v>
      </c>
      <c r="BE37" s="78">
        <f t="shared" si="309"/>
        <v>119.71436081049517</v>
      </c>
      <c r="BF37" s="78">
        <f t="shared" si="310"/>
        <v>120.55564939855185</v>
      </c>
      <c r="BG37" s="78">
        <f t="shared" si="327"/>
        <v>236555.57696153846</v>
      </c>
      <c r="BH37" s="78">
        <f t="shared" si="327"/>
        <v>236555.57696153846</v>
      </c>
      <c r="BI37" s="78">
        <f t="shared" si="327"/>
        <v>236555.57696153846</v>
      </c>
      <c r="BJ37" s="78">
        <f t="shared" si="328"/>
        <v>113.72864276997041</v>
      </c>
      <c r="BK37" s="78">
        <f t="shared" si="329"/>
        <v>119.71436081049517</v>
      </c>
      <c r="BL37" s="78">
        <f t="shared" si="330"/>
        <v>125.32081847930624</v>
      </c>
      <c r="BM37" s="78">
        <f t="shared" si="331"/>
        <v>227056.22696153849</v>
      </c>
      <c r="BN37" s="78">
        <f t="shared" si="332"/>
        <v>236555.57696153846</v>
      </c>
      <c r="BO37" s="78">
        <f t="shared" si="333"/>
        <v>255554.27696153848</v>
      </c>
      <c r="BP37" s="78">
        <f t="shared" si="334"/>
        <v>114.9069974501713</v>
      </c>
      <c r="BQ37" s="78">
        <f t="shared" si="335"/>
        <v>119.71436081049517</v>
      </c>
      <c r="BR37" s="78">
        <f t="shared" si="336"/>
        <v>129.32908753114293</v>
      </c>
      <c r="BS37" s="78">
        <f t="shared" si="337"/>
        <v>236033.11271153847</v>
      </c>
      <c r="BT37" s="78">
        <f t="shared" si="338"/>
        <v>236555.57696153846</v>
      </c>
      <c r="BU37" s="78">
        <f t="shared" si="339"/>
        <v>237030.54446153849</v>
      </c>
      <c r="BV37" s="78">
        <f t="shared" si="340"/>
        <v>119.44995582567736</v>
      </c>
      <c r="BW37" s="78">
        <f t="shared" si="311"/>
        <v>119.71436081049517</v>
      </c>
      <c r="BX37" s="78">
        <f t="shared" si="312"/>
        <v>119.95472897851138</v>
      </c>
      <c r="BY37" s="78">
        <f t="shared" si="341"/>
        <v>236555.57696153846</v>
      </c>
      <c r="BZ37" s="78">
        <f t="shared" si="342"/>
        <v>236555.57696153846</v>
      </c>
      <c r="CA37" s="78">
        <f t="shared" si="343"/>
        <v>255554.27696153848</v>
      </c>
      <c r="CB37" s="78">
        <f t="shared" si="344"/>
        <v>119.71436081049517</v>
      </c>
      <c r="CC37" s="78">
        <f t="shared" si="345"/>
        <v>119.71436081049517</v>
      </c>
      <c r="CD37" s="78">
        <f t="shared" si="346"/>
        <v>129.32908753114293</v>
      </c>
      <c r="CE37" s="78">
        <f t="shared" si="347"/>
        <v>236555.57696153846</v>
      </c>
      <c r="CF37" s="78">
        <f t="shared" si="348"/>
        <v>236555.57696153846</v>
      </c>
      <c r="CG37" s="78">
        <f t="shared" si="349"/>
        <v>236555.57696153846</v>
      </c>
      <c r="CH37" s="78">
        <f t="shared" si="350"/>
        <v>119.71436081049517</v>
      </c>
      <c r="CI37" s="78">
        <f t="shared" si="351"/>
        <v>119.71436081049517</v>
      </c>
      <c r="CJ37" s="78">
        <f t="shared" si="313"/>
        <v>119.71436081049517</v>
      </c>
      <c r="CK37" s="78">
        <f t="shared" si="352"/>
        <v>233135.81096153846</v>
      </c>
      <c r="CL37" s="78">
        <f t="shared" si="353"/>
        <v>236555.57696153846</v>
      </c>
      <c r="CM37" s="78">
        <f t="shared" si="354"/>
        <v>239785.35596153847</v>
      </c>
      <c r="CN37" s="78">
        <f t="shared" si="355"/>
        <v>117.98371000077857</v>
      </c>
      <c r="CO37" s="78">
        <f t="shared" si="356"/>
        <v>119.71436081049517</v>
      </c>
      <c r="CP37" s="78">
        <f t="shared" si="314"/>
        <v>121.3488643530053</v>
      </c>
      <c r="CQ37" s="78">
        <f t="shared" si="357"/>
        <v>236190.37696153848</v>
      </c>
      <c r="CR37" s="78">
        <f t="shared" si="358"/>
        <v>236555.57696153846</v>
      </c>
      <c r="CS37" s="78">
        <f t="shared" si="359"/>
        <v>238190.37696153848</v>
      </c>
      <c r="CT37" s="78">
        <f t="shared" si="360"/>
        <v>119.52954299672999</v>
      </c>
      <c r="CU37" s="78">
        <f t="shared" si="361"/>
        <v>119.71436081049517</v>
      </c>
      <c r="CV37" s="78">
        <f t="shared" si="315"/>
        <v>120.54168874571786</v>
      </c>
      <c r="CW37" s="78">
        <f t="shared" si="362"/>
        <v>228444.59350000002</v>
      </c>
      <c r="CX37" s="78">
        <f t="shared" si="363"/>
        <v>236555.57696153846</v>
      </c>
      <c r="CY37" s="78">
        <f t="shared" si="364"/>
        <v>238583.3228269231</v>
      </c>
      <c r="CZ37" s="78">
        <f t="shared" si="365"/>
        <v>115.60961209514171</v>
      </c>
      <c r="DA37" s="78">
        <f t="shared" si="366"/>
        <v>119.71436081049517</v>
      </c>
      <c r="DB37" s="78">
        <f t="shared" si="316"/>
        <v>120.74054798933355</v>
      </c>
      <c r="DC37" s="78">
        <f t="shared" si="367"/>
        <v>164730.14138461539</v>
      </c>
      <c r="DD37" s="78">
        <f t="shared" si="368"/>
        <v>236555.57696153846</v>
      </c>
      <c r="DE37" s="78">
        <f t="shared" si="369"/>
        <v>347404.81907692307</v>
      </c>
      <c r="DF37" s="78">
        <f t="shared" si="370"/>
        <v>83.365456166303332</v>
      </c>
      <c r="DG37" s="78">
        <f t="shared" si="371"/>
        <v>119.71436081049517</v>
      </c>
      <c r="DH37" s="78">
        <f t="shared" si="317"/>
        <v>175.81215540330115</v>
      </c>
    </row>
    <row r="38" spans="1:112" x14ac:dyDescent="0.2">
      <c r="A38" s="45" t="s">
        <v>96</v>
      </c>
      <c r="B38" s="46" t="s">
        <v>55</v>
      </c>
      <c r="J38" s="70">
        <v>0.105</v>
      </c>
      <c r="K38" s="57">
        <v>0.11</v>
      </c>
      <c r="L38" s="57">
        <v>0.1275</v>
      </c>
      <c r="M38" s="73">
        <v>36.299999999999997</v>
      </c>
      <c r="N38" s="73">
        <v>38</v>
      </c>
      <c r="O38" s="73">
        <v>40</v>
      </c>
      <c r="Q38" s="59">
        <f t="shared" si="308"/>
        <v>1</v>
      </c>
      <c r="S38" s="59">
        <v>0</v>
      </c>
      <c r="T38" s="59">
        <f t="shared" si="308"/>
        <v>0</v>
      </c>
      <c r="U38" s="59">
        <v>0.3</v>
      </c>
      <c r="V38" s="57">
        <v>2.9499999999999998E-2</v>
      </c>
      <c r="W38" s="57">
        <v>3.5000000000000003E-2</v>
      </c>
      <c r="X38" s="57">
        <v>0.04</v>
      </c>
      <c r="Y38" s="59">
        <v>0</v>
      </c>
      <c r="Z38" s="60">
        <v>0.1</v>
      </c>
      <c r="AA38" s="60">
        <v>0.2</v>
      </c>
      <c r="AB38" s="57">
        <v>0</v>
      </c>
      <c r="AC38" s="57">
        <f t="shared" si="308"/>
        <v>0.25480000000000003</v>
      </c>
      <c r="AD38" s="57">
        <v>0.4</v>
      </c>
      <c r="AE38" s="59">
        <v>0.01</v>
      </c>
      <c r="AF38" s="59">
        <v>4.5999999999999999E-2</v>
      </c>
      <c r="AG38" s="59">
        <v>0.08</v>
      </c>
      <c r="AH38" s="59">
        <v>0</v>
      </c>
      <c r="AI38" s="64">
        <v>28909</v>
      </c>
      <c r="AJ38" s="64">
        <v>28909</v>
      </c>
      <c r="AK38" s="74">
        <v>0</v>
      </c>
      <c r="AL38" s="58">
        <f t="shared" si="308"/>
        <v>4.4000000000000004</v>
      </c>
      <c r="AM38" s="62">
        <v>5</v>
      </c>
      <c r="AN38" s="62">
        <v>0</v>
      </c>
      <c r="AO38" s="59">
        <f t="shared" si="308"/>
        <v>0.10499999999999998</v>
      </c>
      <c r="AP38" s="59">
        <v>0.2</v>
      </c>
      <c r="AQ38" s="59">
        <f t="shared" si="308"/>
        <v>1.4999999999999999E-2</v>
      </c>
      <c r="AR38" s="65">
        <f>MIN(AR32,AR26,AR20,AR14,AR8)</f>
        <v>179078</v>
      </c>
      <c r="AS38" s="65">
        <f>AVERAGE(AS32,AS26,AS20,AS14,AS8)</f>
        <v>266292.27999999997</v>
      </c>
      <c r="AT38" s="65">
        <f t="shared" si="318"/>
        <v>386515</v>
      </c>
      <c r="AU38" s="65">
        <f>MIN(AU32,AU26,AU20,AU14,AU8)</f>
        <v>530998.29019230767</v>
      </c>
      <c r="AV38" s="65">
        <f>AVERAGE(AV32,AV26,AV20,AV14,AV8)</f>
        <v>750853.40438192314</v>
      </c>
      <c r="AW38" s="65">
        <f t="shared" si="319"/>
        <v>954322.78525000007</v>
      </c>
      <c r="AX38" s="65">
        <f t="shared" si="320"/>
        <v>268.72383106898161</v>
      </c>
      <c r="AY38" s="65">
        <f t="shared" si="321"/>
        <v>379.98654067911093</v>
      </c>
      <c r="AZ38" s="65">
        <f t="shared" si="322"/>
        <v>482.95687512651824</v>
      </c>
      <c r="BA38" s="78">
        <f t="shared" si="323"/>
        <v>758363.44260399987</v>
      </c>
      <c r="BB38" s="78">
        <f t="shared" si="324"/>
        <v>759694.90400399989</v>
      </c>
      <c r="BC38" s="78">
        <f t="shared" si="325"/>
        <v>764355.01890399994</v>
      </c>
      <c r="BD38" s="78">
        <f t="shared" si="326"/>
        <v>383.78716730971655</v>
      </c>
      <c r="BE38" s="78">
        <f t="shared" si="309"/>
        <v>384.46098380769229</v>
      </c>
      <c r="BF38" s="78">
        <f t="shared" si="310"/>
        <v>386.81934155060725</v>
      </c>
      <c r="BG38" s="78">
        <f t="shared" si="327"/>
        <v>759694.90400399989</v>
      </c>
      <c r="BH38" s="78">
        <f t="shared" si="327"/>
        <v>759694.90400399989</v>
      </c>
      <c r="BI38" s="78">
        <f t="shared" si="327"/>
        <v>759694.90400399989</v>
      </c>
      <c r="BJ38" s="78">
        <f t="shared" si="328"/>
        <v>365.23793461730764</v>
      </c>
      <c r="BK38" s="78">
        <f t="shared" si="329"/>
        <v>384.46098380769229</v>
      </c>
      <c r="BL38" s="78">
        <f t="shared" si="330"/>
        <v>402.46604365543544</v>
      </c>
      <c r="BM38" s="78">
        <f t="shared" si="331"/>
        <v>759694.90400399989</v>
      </c>
      <c r="BN38" s="78">
        <f t="shared" si="332"/>
        <v>759694.90400399989</v>
      </c>
      <c r="BO38" s="78">
        <f t="shared" si="333"/>
        <v>839582.5880039999</v>
      </c>
      <c r="BP38" s="78">
        <f t="shared" si="334"/>
        <v>384.46098380769229</v>
      </c>
      <c r="BQ38" s="78">
        <f t="shared" si="335"/>
        <v>384.46098380769229</v>
      </c>
      <c r="BR38" s="78">
        <f t="shared" si="336"/>
        <v>424.88997368623478</v>
      </c>
      <c r="BS38" s="78">
        <f t="shared" si="337"/>
        <v>758230.2964639999</v>
      </c>
      <c r="BT38" s="78">
        <f t="shared" si="338"/>
        <v>759694.90400399989</v>
      </c>
      <c r="BU38" s="78">
        <f t="shared" si="339"/>
        <v>761026.36540399992</v>
      </c>
      <c r="BV38" s="78">
        <f t="shared" si="340"/>
        <v>383.71978565991895</v>
      </c>
      <c r="BW38" s="78">
        <f t="shared" si="311"/>
        <v>384.46098380769229</v>
      </c>
      <c r="BX38" s="78">
        <f t="shared" si="312"/>
        <v>385.13480030566797</v>
      </c>
      <c r="BY38" s="78">
        <f t="shared" si="341"/>
        <v>733065.67600399989</v>
      </c>
      <c r="BZ38" s="78">
        <f t="shared" si="342"/>
        <v>759694.90400399989</v>
      </c>
      <c r="CA38" s="78">
        <f t="shared" si="343"/>
        <v>786324.1320039999</v>
      </c>
      <c r="CB38" s="78">
        <f t="shared" si="344"/>
        <v>370.98465384817808</v>
      </c>
      <c r="CC38" s="78">
        <f t="shared" si="345"/>
        <v>384.46098380769229</v>
      </c>
      <c r="CD38" s="78">
        <f t="shared" si="346"/>
        <v>397.93731376720643</v>
      </c>
      <c r="CE38" s="78">
        <f t="shared" si="347"/>
        <v>691843.63105999993</v>
      </c>
      <c r="CF38" s="78">
        <f t="shared" si="348"/>
        <v>759694.90400399989</v>
      </c>
      <c r="CG38" s="78">
        <f t="shared" si="349"/>
        <v>798360.54305999994</v>
      </c>
      <c r="CH38" s="78">
        <f t="shared" si="350"/>
        <v>350.12329507085013</v>
      </c>
      <c r="CI38" s="78">
        <f t="shared" si="351"/>
        <v>384.46098380769229</v>
      </c>
      <c r="CJ38" s="78">
        <f t="shared" si="313"/>
        <v>404.02861490890683</v>
      </c>
      <c r="CK38" s="78">
        <f t="shared" si="352"/>
        <v>750108.38192399987</v>
      </c>
      <c r="CL38" s="78">
        <f t="shared" si="353"/>
        <v>759694.90400399989</v>
      </c>
      <c r="CM38" s="78">
        <f t="shared" si="354"/>
        <v>768748.84152399981</v>
      </c>
      <c r="CN38" s="78">
        <f t="shared" si="355"/>
        <v>379.60950502226711</v>
      </c>
      <c r="CO38" s="78">
        <f t="shared" si="356"/>
        <v>384.46098380769229</v>
      </c>
      <c r="CP38" s="78">
        <f t="shared" si="314"/>
        <v>389.04293599392702</v>
      </c>
      <c r="CQ38" s="78">
        <f t="shared" si="357"/>
        <v>730785.90400399989</v>
      </c>
      <c r="CR38" s="78">
        <f t="shared" si="358"/>
        <v>759694.90400399989</v>
      </c>
      <c r="CS38" s="78">
        <f t="shared" si="359"/>
        <v>759694.90400399989</v>
      </c>
      <c r="CT38" s="78">
        <f t="shared" si="360"/>
        <v>369.83092307894731</v>
      </c>
      <c r="CU38" s="78">
        <f t="shared" si="361"/>
        <v>384.46098380769229</v>
      </c>
      <c r="CV38" s="78">
        <f t="shared" si="315"/>
        <v>384.46098380769229</v>
      </c>
      <c r="CW38" s="78">
        <f t="shared" si="362"/>
        <v>734796.57582399994</v>
      </c>
      <c r="CX38" s="78">
        <f t="shared" si="363"/>
        <v>759694.90400399989</v>
      </c>
      <c r="CY38" s="78">
        <f t="shared" si="364"/>
        <v>763090.13057399995</v>
      </c>
      <c r="CZ38" s="78">
        <f t="shared" si="365"/>
        <v>371.86061529554649</v>
      </c>
      <c r="DA38" s="78">
        <f t="shared" si="366"/>
        <v>384.46098380769229</v>
      </c>
      <c r="DB38" s="78">
        <f t="shared" si="316"/>
        <v>386.17921587753034</v>
      </c>
      <c r="DC38" s="78">
        <f t="shared" si="367"/>
        <v>520352.75540000002</v>
      </c>
      <c r="DD38" s="78">
        <f t="shared" si="368"/>
        <v>759694.90400399989</v>
      </c>
      <c r="DE38" s="78">
        <f t="shared" si="369"/>
        <v>1089622.1144999999</v>
      </c>
      <c r="DF38" s="78">
        <f t="shared" si="370"/>
        <v>263.33641467611341</v>
      </c>
      <c r="DG38" s="78">
        <f t="shared" si="371"/>
        <v>384.46098380769229</v>
      </c>
      <c r="DH38" s="78">
        <f t="shared" si="317"/>
        <v>551.42819559716588</v>
      </c>
    </row>
    <row r="39" spans="1:112" x14ac:dyDescent="0.2">
      <c r="AK39" s="74">
        <v>0</v>
      </c>
    </row>
    <row r="40" spans="1:112" x14ac:dyDescent="0.2">
      <c r="A40" s="45" t="s">
        <v>96</v>
      </c>
      <c r="B40" s="46" t="s">
        <v>33</v>
      </c>
      <c r="K40" s="47" t="str">
        <f>TEXT(K34, "0.0%") &amp; " (" &amp; TEXT(MIN(K28,K22,K16,K10,K4), "0.0%") &amp; " - " &amp; TEXT(MAX(K28,K22,K16,K10,K4), "0.0%") &amp; ")"</f>
        <v>11.0% (11.0% - 11.0%)</v>
      </c>
      <c r="L40" s="47"/>
      <c r="M40" s="47"/>
      <c r="N40" s="47" t="str">
        <f>TEXT(N34, "0.0") &amp; " (" &amp; TEXT(MIN(N28,N22,N16,N10,N4), "0.0") &amp; " - " &amp; TEXT(MAX(N28,N22,N16,N10,N4), "0.0") &amp; ")"</f>
        <v>38.0 (38.0 - 38.0)</v>
      </c>
      <c r="O40" s="47"/>
      <c r="P40" s="47"/>
      <c r="Q40" s="47" t="str">
        <f t="shared" ref="Q40:AF44" si="372">TEXT(Q34, "0.0%") &amp; " (" &amp; TEXT(MIN(Q28,Q22,Q16,Q10,Q4), "0.0%") &amp; " - " &amp; TEXT(MAX(Q28,Q22,Q16,Q10,Q4), "0.0%") &amp; ")"</f>
        <v>100.0% (100.0% - 100.0%)</v>
      </c>
      <c r="R40" s="47"/>
      <c r="S40" s="47"/>
      <c r="T40" s="47" t="str">
        <f t="shared" si="372"/>
        <v>10.0% (10.0% - 10.0%)</v>
      </c>
      <c r="U40" s="47"/>
      <c r="V40" s="72"/>
      <c r="W40" s="72" t="str">
        <f t="shared" si="372"/>
        <v>3.5% (3.5% - 3.5%)</v>
      </c>
      <c r="X40" s="72"/>
      <c r="Y40" s="47"/>
      <c r="Z40" s="47" t="str">
        <f t="shared" si="372"/>
        <v>0.0% (0.0% - 0.0%)</v>
      </c>
      <c r="AA40" s="47"/>
      <c r="AB40" s="72"/>
      <c r="AC40" s="72" t="str">
        <f t="shared" si="372"/>
        <v>0.0% (0.0% - 0.0%)</v>
      </c>
      <c r="AD40" s="72"/>
      <c r="AE40" s="47"/>
      <c r="AF40" s="47" t="str">
        <f t="shared" si="372"/>
        <v>4.6% (4.6% - 4.6%)</v>
      </c>
      <c r="AG40" s="47"/>
      <c r="AH40" s="47"/>
      <c r="AI40" s="47" t="str">
        <f>TEXT(AI34, "$0.0") &amp; " (" &amp; TEXT(MIN(AI28,AI22,AI16,AI10,AI4), "$0.0") &amp; " - " &amp; TEXT(MAX(AI28,AI22,AI16,AI10,AI4), "$0.0") &amp; ")"</f>
        <v>$365.2 ($0.0 - $1826.0)</v>
      </c>
      <c r="AJ40" s="47"/>
      <c r="AK40" s="76"/>
      <c r="AL40" s="47" t="str">
        <f>TEXT(AL34, "0.0") &amp; " (" &amp; TEXT(MIN(AL28,AL22,AL16,AL10,AL4), "0.0") &amp; " - " &amp; TEXT(MAX(AL28,AL22,AL16,AL10,AL4), "0.0") &amp; ")"</f>
        <v>4.0 (4.0 - 4.0)</v>
      </c>
      <c r="AM40" s="47"/>
      <c r="AN40" s="47"/>
      <c r="AO40" s="47" t="str">
        <f>TEXT(AO34, "0.0%") &amp; " (" &amp; TEXT(MIN(AO28,AO22,AO16,AO10,AO4), "0.0%") &amp; " - " &amp; TEXT(MAX(AO28,AO22,AO16,AO10,AO4), "0.0%") &amp; ")"</f>
        <v>7.5% (0.0% - 20.0%)</v>
      </c>
      <c r="AP40" s="47"/>
      <c r="AQ40" s="47" t="str">
        <f>TEXT(AQ34, "0.0%") &amp; " (" &amp; TEXT(MIN(AQ28,AQ22,AQ16,AQ10,AQ4), "0.0%") &amp; " - " &amp; TEXT(MAX(AQ28,AQ22,AQ16,AQ10,AQ4), "0.0%") &amp; ")"</f>
        <v>1.5% (1.5% - 1.5%)</v>
      </c>
      <c r="AR40" s="47" t="str">
        <f>"AUD " &amp; TEXT(AS34, "0,0") &amp; " (" &amp; TEXT(AR34, "0,0") &amp; " - " &amp; TEXT(AT34, "0,0") &amp; ")"</f>
        <v>AUD 78,369 (48,552 - 110,314)</v>
      </c>
      <c r="AU40" s="47" t="str">
        <f>"AUD " &amp; TEXT(AV34, "0,0") &amp; " (" &amp; TEXT(AU34, "0,0") &amp; " - " &amp; TEXT(AW34, "0,0") &amp; ")"</f>
        <v>AUD 192,590 (116,793 - 282,005)</v>
      </c>
      <c r="AX40" s="47" t="str">
        <f>"AUD " &amp; TEXT(AY34, "0,0") &amp; " (" &amp; TEXT(AX34, "0,0") &amp; " - " &amp; TEXT(AZ34, "0,0") &amp; ")"</f>
        <v>AUD 97 (59 - 143)</v>
      </c>
      <c r="BA40" s="47" t="str">
        <f>"AUD " &amp; TEXT(BB34, "0,0") &amp; " (" &amp; TEXT(BA34, "0,0") &amp; " - " &amp; TEXT(BC34, "0,0") &amp; ")"</f>
        <v>AUD 192,266 (191,874 - 193,638)</v>
      </c>
      <c r="BD40" s="47" t="str">
        <f>"AUD " &amp; TEXT(BE34, "0,0") &amp; " (" &amp; TEXT(BD34, "0,0") &amp; " - " &amp; TEXT(BF34, "0,0") &amp; ")"</f>
        <v>AUD 97 (97 - 98)</v>
      </c>
      <c r="BG40" s="47" t="str">
        <f t="shared" ref="BG40" si="373">"AUD " &amp; TEXT(BH34, "0,0") &amp; " (" &amp; TEXT(BG34, "0,0") &amp; " - " &amp; TEXT(BI34, "0,0") &amp; ")"</f>
        <v>AUD 192,266 (192,266 - 192,266)</v>
      </c>
      <c r="BJ40" s="47" t="str">
        <f t="shared" ref="BJ40" si="374">"AUD " &amp; TEXT(BK34, "0,0") &amp; " (" &amp; TEXT(BJ34, "0,0") &amp; " - " &amp; TEXT(BL34, "0,0") &amp; ")"</f>
        <v>AUD 97 (92 - 102)</v>
      </c>
      <c r="BM40" s="47" t="str">
        <f t="shared" ref="BM40" si="375">"AUD " &amp; TEXT(BN34, "0,0") &amp; " (" &amp; TEXT(BM34, "0,0") &amp; " - " &amp; TEXT(BO34, "0,0") &amp; ")"</f>
        <v>AUD 192,266 (184,429 - 207,940)</v>
      </c>
      <c r="BP40" s="47" t="str">
        <f t="shared" ref="BP40" si="376">"AUD " &amp; TEXT(BQ34, "0,0") &amp; " (" &amp; TEXT(BP34, "0,0") &amp; " - " &amp; TEXT(BR34, "0,0") &amp; ")"</f>
        <v>AUD 97 (93 - 105)</v>
      </c>
      <c r="BS40" s="47" t="str">
        <f t="shared" ref="BS40" si="377">"AUD " &amp; TEXT(BT34, "0,0") &amp; " (" &amp; TEXT(BS34, "0,0") &amp; " - " &amp; TEXT(BU34, "0,0") &amp; ")"</f>
        <v>AUD 192,266 (191,835 - 192,658)</v>
      </c>
      <c r="BV40" s="47" t="str">
        <f t="shared" ref="BV40" si="378">"AUD " &amp; TEXT(BW34, "0,0") &amp; " (" &amp; TEXT(BV34, "0,0") &amp; " - " &amp; TEXT(BX34, "0,0") &amp; ")"</f>
        <v>AUD 97 (97 - 97)</v>
      </c>
      <c r="BY40" s="47" t="str">
        <f t="shared" ref="BY40" si="379">"AUD " &amp; TEXT(BZ34, "0,0") &amp; " (" &amp; TEXT(BY34, "0,0") &amp; " - " &amp; TEXT(CA34, "0,0") &amp; ")"</f>
        <v>AUD 192,266 (192,266 - 207,940)</v>
      </c>
      <c r="CB40" s="47" t="str">
        <f t="shared" ref="CB40" si="380">"AUD " &amp; TEXT(CC34, "0,0") &amp; " (" &amp; TEXT(CB34, "0,0") &amp; " - " &amp; TEXT(CD34, "0,0") &amp; ")"</f>
        <v>AUD 97 (97 - 105)</v>
      </c>
      <c r="CE40" s="47" t="str">
        <f t="shared" ref="CE40" si="381">"AUD " &amp; TEXT(CF34, "0,0") &amp; " (" &amp; TEXT(CE34, "0,0") &amp; " - " &amp; TEXT(CG34, "0,0") &amp; ")"</f>
        <v>AUD 192,266 (192,266 - 192,266)</v>
      </c>
      <c r="CH40" s="47" t="str">
        <f t="shared" ref="CH40" si="382">"AUD " &amp; TEXT(CI34, "0,0") &amp; " (" &amp; TEXT(CH34, "0,0") &amp; " - " &amp; TEXT(CJ34, "0,0") &amp; ")"</f>
        <v>AUD 97 (97 - 97)</v>
      </c>
      <c r="CK40" s="47" t="str">
        <f t="shared" ref="CK40" si="383">"AUD " &amp; TEXT(CL34, "0,0") &amp; " (" &amp; TEXT(CK34, "0,0") &amp; " - " &amp; TEXT(CM34, "0,0") &amp; ")"</f>
        <v>AUD 192,266 (189,445 - 194,931)</v>
      </c>
      <c r="CN40" s="47" t="str">
        <f t="shared" ref="CN40" si="384">"AUD " &amp; TEXT(CO34, "0,0") &amp; " (" &amp; TEXT(CN34, "0,0") &amp; " - " &amp; TEXT(CP34, "0,0") &amp; ")"</f>
        <v>AUD 97 (96 - 99)</v>
      </c>
      <c r="CQ40" s="47" t="str">
        <f t="shared" ref="CQ40" si="385">"AUD " &amp; TEXT(CR34, "0,0") &amp; " (" &amp; TEXT(CQ34, "0,0") &amp; " - " &amp; TEXT(CS34, "0,0") &amp; ")"</f>
        <v>AUD 192,266 (191,901 - 193,901)</v>
      </c>
      <c r="CT40" s="47" t="str">
        <f t="shared" ref="CT40" si="386">"AUD " &amp; TEXT(CU34, "0,0") &amp; " (" &amp; TEXT(CT34, "0,0") &amp; " - " &amp; TEXT(CV34, "0,0") &amp; ")"</f>
        <v>AUD 97 (97 - 98)</v>
      </c>
      <c r="CW40" s="47" t="str">
        <f t="shared" ref="CW40" si="387">"AUD " &amp; TEXT(CX34, "0,0") &amp; " (" &amp; TEXT(CW34, "0,0") &amp; " - " &amp; TEXT(CY34, "0,0") &amp; ")"</f>
        <v>AUD 192,266 (185,786 - 193,886)</v>
      </c>
      <c r="CZ40" s="47" t="str">
        <f t="shared" ref="CZ40" si="388">"AUD " &amp; TEXT(DA34, "0,0") &amp; " (" &amp; TEXT(CZ34, "0,0") &amp; " - " &amp; TEXT(DB34, "0,0") &amp; ")"</f>
        <v>AUD 97 (94 - 98)</v>
      </c>
      <c r="DC40" s="47" t="str">
        <f t="shared" ref="DC40" si="389">"AUD " &amp; TEXT(DD34, "0,0") &amp; " (" &amp; TEXT(DC34, "0,0") &amp; " - " &amp; TEXT(DE34, "0,0") &amp; ")"</f>
        <v>AUD 192,266 (119,254 - 270,490)</v>
      </c>
      <c r="DF40" s="47" t="str">
        <f t="shared" ref="DF40" si="390">"AUD " &amp; TEXT(DG34, "0,0") &amp; " (" &amp; TEXT(DF34, "0,0") &amp; " - " &amp; TEXT(DH34, "0,0") &amp; ")"</f>
        <v>AUD 97 (60 - 137)</v>
      </c>
    </row>
    <row r="41" spans="1:112" x14ac:dyDescent="0.2">
      <c r="A41" s="45" t="s">
        <v>96</v>
      </c>
      <c r="B41" s="46" t="s">
        <v>40</v>
      </c>
      <c r="K41" s="47" t="str">
        <f t="shared" ref="K41:K44" si="391">TEXT(K35, "0.0%") &amp; " (" &amp; TEXT(MIN(K29,K23,K17,K11,K5), "0.0%") &amp; " - " &amp; TEXT(MAX(K29,K23,K17,K11,K5), "0.0%") &amp; ")"</f>
        <v>11.0% (11.0% - 11.0%)</v>
      </c>
      <c r="L41" s="47"/>
      <c r="M41" s="47"/>
      <c r="N41" s="47" t="str">
        <f t="shared" ref="N41:N44" si="392">TEXT(N35, "0.0") &amp; " (" &amp; TEXT(MIN(N29,N23,N17,N11,N5), "0.0") &amp; " - " &amp; TEXT(MAX(N29,N23,N17,N11,N5), "0.0") &amp; ")"</f>
        <v>38.0 (38.0 - 38.0)</v>
      </c>
      <c r="O41" s="47"/>
      <c r="P41" s="47"/>
      <c r="Q41" s="47" t="str">
        <f t="shared" si="372"/>
        <v>100.0% (100.0% - 100.0%)</v>
      </c>
      <c r="R41" s="47"/>
      <c r="S41" s="47"/>
      <c r="T41" s="47" t="str">
        <f t="shared" si="372"/>
        <v>10.0% (10.0% - 10.0%)</v>
      </c>
      <c r="U41" s="47"/>
      <c r="V41" s="72"/>
      <c r="W41" s="72" t="str">
        <f t="shared" si="372"/>
        <v>3.5% (3.5% - 3.5%)</v>
      </c>
      <c r="X41" s="72"/>
      <c r="Y41" s="47"/>
      <c r="Z41" s="47" t="str">
        <f t="shared" si="372"/>
        <v>0.0% (0.0% - 0.0%)</v>
      </c>
      <c r="AA41" s="47"/>
      <c r="AB41" s="72"/>
      <c r="AC41" s="72" t="str">
        <f t="shared" si="372"/>
        <v>0.0% (0.0% - 0.0%)</v>
      </c>
      <c r="AD41" s="72"/>
      <c r="AE41" s="47"/>
      <c r="AF41" s="47" t="str">
        <f t="shared" si="372"/>
        <v>4.6% (4.6% - 4.6%)</v>
      </c>
      <c r="AG41" s="47"/>
      <c r="AH41" s="47"/>
      <c r="AI41" s="47" t="str">
        <f t="shared" ref="AI41:AI44" si="393">TEXT(AI35, "$0.0") &amp; " (" &amp; TEXT(MIN(AI29,AI23,AI17,AI11,AI5), "$0.0") &amp; " - " &amp; TEXT(MAX(AI29,AI23,AI17,AI11,AI5), "$0.0") &amp; ")"</f>
        <v>$365.2 ($0.0 - $1826.0)</v>
      </c>
      <c r="AJ41" s="47"/>
      <c r="AK41" s="76"/>
      <c r="AL41" s="47" t="str">
        <f t="shared" ref="AL41:AL44" si="394">TEXT(AL35, "0.0") &amp; " (" &amp; TEXT(MIN(AL29,AL23,AL17,AL11,AL5), "0.0") &amp; " - " &amp; TEXT(MAX(AL29,AL23,AL17,AL11,AL5), "0.0") &amp; ")"</f>
        <v>4.4 (4.0 - 5.0)</v>
      </c>
      <c r="AM41" s="47"/>
      <c r="AN41" s="47"/>
      <c r="AO41" s="47" t="str">
        <f t="shared" ref="AO41:AQ44" si="395">TEXT(AO35, "0.0%") &amp; " (" &amp; TEXT(MIN(AO29,AO23,AO17,AO11,AO5), "0.0%") &amp; " - " &amp; TEXT(MAX(AO29,AO23,AO17,AO11,AO5), "0.0%") &amp; ")"</f>
        <v>11.0% (0.0% - 20.0%)</v>
      </c>
      <c r="AP41" s="47"/>
      <c r="AQ41" s="47" t="str">
        <f t="shared" si="395"/>
        <v>1.5% (1.5% - 1.5%)</v>
      </c>
      <c r="AR41" s="47" t="str">
        <f t="shared" ref="AR41:AR44" si="396">"AUD " &amp; TEXT(AS35, "0,0") &amp; " (" &amp; TEXT(AR35, "0,0") &amp; " - " &amp; TEXT(AT35, "0,0") &amp; ")"</f>
        <v>AUD 104,472 (61,204 - 142,553)</v>
      </c>
      <c r="AU41" s="47" t="str">
        <f t="shared" ref="AU41:AU44" si="397">"AUD " &amp; TEXT(AV35, "0,0") &amp; " (" &amp; TEXT(AU35, "0,0") &amp; " - " &amp; TEXT(AW35, "0,0") &amp; ")"</f>
        <v>AUD 261,024 (157,844 - 367,641)</v>
      </c>
      <c r="AX41" s="47" t="str">
        <f t="shared" ref="AX41:AX44" si="398">"AUD " &amp; TEXT(AY35, "0,0") &amp; " (" &amp; TEXT(AX35, "0,0") &amp; " - " &amp; TEXT(AZ35, "0,0") &amp; ")"</f>
        <v>AUD 132 (80 - 186)</v>
      </c>
      <c r="BA41" s="47" t="str">
        <f t="shared" ref="BA41:BA44" si="399">"AUD " &amp; TEXT(BB35, "0,0") &amp; " (" &amp; TEXT(BA35, "0,0") &amp; " - " &amp; TEXT(BC35, "0,0") &amp; ")"</f>
        <v>AUD 261,015 (260,493 - 262,843)</v>
      </c>
      <c r="BD41" s="47" t="str">
        <f t="shared" ref="BD41:BD44" si="400">"AUD " &amp; TEXT(BE35, "0,0") &amp; " (" &amp; TEXT(BD35, "0,0") &amp; " - " &amp; TEXT(BF35, "0,0") &amp; ")"</f>
        <v>AUD 132 (132 - 133)</v>
      </c>
      <c r="BG41" s="47" t="str">
        <f t="shared" ref="BG41:BG44" si="401">"AUD " &amp; TEXT(BH35, "0,0") &amp; " (" &amp; TEXT(BG35, "0,0") &amp; " - " &amp; TEXT(BI35, "0,0") &amp; ")"</f>
        <v>AUD 261,015 (261,015 - 261,015)</v>
      </c>
      <c r="BJ41" s="47" t="str">
        <f t="shared" ref="BJ41:BJ44" si="402">"AUD " &amp; TEXT(BK35, "0,0") &amp; " (" &amp; TEXT(BJ35, "0,0") &amp; " - " &amp; TEXT(BL35, "0,0") &amp; ")"</f>
        <v>AUD 132 (125 - 138)</v>
      </c>
      <c r="BM41" s="47" t="str">
        <f t="shared" ref="BM41:BM44" si="403">"AUD " &amp; TEXT(BN35, "0,0") &amp; " (" &amp; TEXT(BM35, "0,0") &amp; " - " &amp; TEXT(BO35, "0,0") &amp; ")"</f>
        <v>AUD 261,015 (250,568 - 281,910)</v>
      </c>
      <c r="BP41" s="47" t="str">
        <f t="shared" ref="BP41:BP44" si="404">"AUD " &amp; TEXT(BQ35, "0,0") &amp; " (" &amp; TEXT(BP35, "0,0") &amp; " - " &amp; TEXT(BR35, "0,0") &amp; ")"</f>
        <v>AUD 132 (127 - 143)</v>
      </c>
      <c r="BS41" s="47" t="str">
        <f t="shared" ref="BS41:BS44" si="405">"AUD " &amp; TEXT(BT35, "0,0") &amp; " (" &amp; TEXT(BS35, "0,0") &amp; " - " &amp; TEXT(BU35, "0,0") &amp; ")"</f>
        <v>AUD 261,015 (260,440 - 261,537)</v>
      </c>
      <c r="BV41" s="47" t="str">
        <f t="shared" ref="BV41:BV44" si="406">"AUD " &amp; TEXT(BW35, "0,0") &amp; " (" &amp; TEXT(BV35, "0,0") &amp; " - " &amp; TEXT(BX35, "0,0") &amp; ")"</f>
        <v>AUD 132 (132 - 132)</v>
      </c>
      <c r="BY41" s="47" t="str">
        <f t="shared" ref="BY41:BY44" si="407">"AUD " &amp; TEXT(BZ35, "0,0") &amp; " (" &amp; TEXT(BY35, "0,0") &amp; " - " &amp; TEXT(CA35, "0,0") &amp; ")"</f>
        <v>AUD 261,015 (261,015 - 281,910)</v>
      </c>
      <c r="CB41" s="47" t="str">
        <f t="shared" ref="CB41:CB44" si="408">"AUD " &amp; TEXT(CC35, "0,0") &amp; " (" &amp; TEXT(CB35, "0,0") &amp; " - " &amp; TEXT(CD35, "0,0") &amp; ")"</f>
        <v>AUD 132 (132 - 143)</v>
      </c>
      <c r="CE41" s="47" t="str">
        <f t="shared" ref="CE41:CE44" si="409">"AUD " &amp; TEXT(CF35, "0,0") &amp; " (" &amp; TEXT(CE35, "0,0") &amp; " - " &amp; TEXT(CG35, "0,0") &amp; ")"</f>
        <v>AUD 261,015 (261,015 - 261,015)</v>
      </c>
      <c r="CH41" s="47" t="str">
        <f t="shared" ref="CH41:CH44" si="410">"AUD " &amp; TEXT(CI35, "0,0") &amp; " (" &amp; TEXT(CH35, "0,0") &amp; " - " &amp; TEXT(CJ35, "0,0") &amp; ")"</f>
        <v>AUD 132 (132 - 132)</v>
      </c>
      <c r="CK41" s="47" t="str">
        <f t="shared" ref="CK41:CK44" si="411">"AUD " &amp; TEXT(CL35, "0,0") &amp; " (" &amp; TEXT(CK35, "0,0") &amp; " - " &amp; TEXT(CM35, "0,0") &amp; ")"</f>
        <v>AUD 261,015 (257,254 - 264,567)</v>
      </c>
      <c r="CN41" s="47" t="str">
        <f t="shared" ref="CN41:CN44" si="412">"AUD " &amp; TEXT(CO35, "0,0") &amp; " (" &amp; TEXT(CN35, "0,0") &amp; " - " &amp; TEXT(CP35, "0,0") &amp; ")"</f>
        <v>AUD 132 (130 - 134)</v>
      </c>
      <c r="CQ41" s="47" t="str">
        <f t="shared" ref="CQ41:CQ44" si="413">"AUD " &amp; TEXT(CR35, "0,0") &amp; " (" &amp; TEXT(CQ35, "0,0") &amp; " - " &amp; TEXT(CS35, "0,0") &amp; ")"</f>
        <v>AUD 261,015 (260,650 - 262,650)</v>
      </c>
      <c r="CT41" s="47" t="str">
        <f t="shared" ref="CT41:CT44" si="414">"AUD " &amp; TEXT(CU35, "0,0") &amp; " (" &amp; TEXT(CT35, "0,0") &amp; " - " &amp; TEXT(CV35, "0,0") &amp; ")"</f>
        <v>AUD 132 (132 - 133)</v>
      </c>
      <c r="CW41" s="47" t="str">
        <f t="shared" ref="CW41:CW44" si="415">"AUD " &amp; TEXT(CX35, "0,0") &amp; " (" &amp; TEXT(CW35, "0,0") &amp; " - " &amp; TEXT(CY35, "0,0") &amp; ")"</f>
        <v>AUD 261,015 (251,203 - 262,353)</v>
      </c>
      <c r="CZ41" s="47" t="str">
        <f t="shared" ref="CZ41:CZ44" si="416">"AUD " &amp; TEXT(DA35, "0,0") &amp; " (" &amp; TEXT(CZ35, "0,0") &amp; " - " &amp; TEXT(DB35, "0,0") &amp; ")"</f>
        <v>AUD 132 (127 - 133)</v>
      </c>
      <c r="DC41" s="47" t="str">
        <f t="shared" ref="DC41:DC44" si="417">"AUD " &amp; TEXT(DD35, "0,0") &amp; " (" &amp; TEXT(DC35, "0,0") &amp; " - " &amp; TEXT(DE35, "0,0") &amp; ")"</f>
        <v>AUD 261,015 (153,064 - 356,023)</v>
      </c>
      <c r="DF41" s="47" t="str">
        <f t="shared" ref="DF41:DF44" si="418">"AUD " &amp; TEXT(DG35, "0,0") &amp; " (" &amp; TEXT(DF35, "0,0") &amp; " - " &amp; TEXT(DH35, "0,0") &amp; ")"</f>
        <v>AUD 132 (77 - 180)</v>
      </c>
    </row>
    <row r="42" spans="1:112" x14ac:dyDescent="0.2">
      <c r="A42" s="45" t="s">
        <v>96</v>
      </c>
      <c r="B42" s="46" t="s">
        <v>47</v>
      </c>
      <c r="K42" s="47" t="str">
        <f t="shared" si="391"/>
        <v>11.0% (11.0% - 11.0%)</v>
      </c>
      <c r="L42" s="47"/>
      <c r="M42" s="47"/>
      <c r="N42" s="47" t="str">
        <f t="shared" si="392"/>
        <v>38.0 (38.0 - 38.0)</v>
      </c>
      <c r="O42" s="47"/>
      <c r="P42" s="47"/>
      <c r="Q42" s="47" t="str">
        <f t="shared" si="372"/>
        <v>100.0% (100.0% - 100.0%)</v>
      </c>
      <c r="R42" s="47"/>
      <c r="S42" s="47"/>
      <c r="T42" s="47" t="str">
        <f t="shared" si="372"/>
        <v>10.0% (10.0% - 10.0%)</v>
      </c>
      <c r="U42" s="47"/>
      <c r="V42" s="72"/>
      <c r="W42" s="72" t="str">
        <f t="shared" si="372"/>
        <v>3.5% (3.5% - 3.5%)</v>
      </c>
      <c r="X42" s="72"/>
      <c r="Y42" s="47"/>
      <c r="Z42" s="47" t="str">
        <f t="shared" si="372"/>
        <v>0.0% (0.0% - 0.0%)</v>
      </c>
      <c r="AA42" s="47"/>
      <c r="AB42" s="72"/>
      <c r="AC42" s="72" t="str">
        <f t="shared" si="372"/>
        <v>0.0% (0.0% - 0.0%)</v>
      </c>
      <c r="AD42" s="72"/>
      <c r="AE42" s="47"/>
      <c r="AF42" s="47" t="str">
        <f t="shared" si="372"/>
        <v>4.6% (4.6% - 4.6%)</v>
      </c>
      <c r="AG42" s="47"/>
      <c r="AH42" s="47"/>
      <c r="AI42" s="47" t="str">
        <f t="shared" si="393"/>
        <v>$365.2 ($0.0 - $1826.0)</v>
      </c>
      <c r="AJ42" s="47"/>
      <c r="AK42" s="76"/>
      <c r="AL42" s="47" t="str">
        <f t="shared" si="394"/>
        <v>4.0 (4.0 - 4.0)</v>
      </c>
      <c r="AM42" s="47"/>
      <c r="AN42" s="47"/>
      <c r="AO42" s="47" t="str">
        <f t="shared" si="395"/>
        <v>7.5% (0.0% - 20.0%)</v>
      </c>
      <c r="AP42" s="47"/>
      <c r="AQ42" s="47" t="str">
        <f t="shared" si="395"/>
        <v>1.5% (1.5% - 1.5%)</v>
      </c>
      <c r="AR42" s="47" t="str">
        <f t="shared" si="396"/>
        <v>AUD 65,203 (47,704 - 91,460)</v>
      </c>
      <c r="AU42" s="47" t="str">
        <f t="shared" si="397"/>
        <v>AUD 160,412 (114,089 - 233,807)</v>
      </c>
      <c r="AX42" s="47" t="str">
        <f t="shared" si="398"/>
        <v>AUD 81 (58 - 118)</v>
      </c>
      <c r="BA42" s="47" t="str">
        <f t="shared" si="399"/>
        <v>AUD 160,027 (159,701 - 161,168)</v>
      </c>
      <c r="BD42" s="47" t="str">
        <f t="shared" si="400"/>
        <v>AUD 81 (81 - 82)</v>
      </c>
      <c r="BG42" s="47" t="str">
        <f t="shared" si="401"/>
        <v>AUD 160,027 (160,027 - 160,027)</v>
      </c>
      <c r="BJ42" s="47" t="str">
        <f t="shared" si="402"/>
        <v>AUD 81 (77 - 85)</v>
      </c>
      <c r="BM42" s="47" t="str">
        <f t="shared" si="403"/>
        <v>AUD 160,027 (153,507 - 173,067)</v>
      </c>
      <c r="BP42" s="47" t="str">
        <f t="shared" si="404"/>
        <v>AUD 81 (78 - 88)</v>
      </c>
      <c r="BS42" s="47" t="str">
        <f t="shared" si="405"/>
        <v>AUD 160,027 (159,668 - 160,353)</v>
      </c>
      <c r="BV42" s="47" t="str">
        <f t="shared" si="406"/>
        <v>AUD 81 (81 - 81)</v>
      </c>
      <c r="BY42" s="47" t="str">
        <f t="shared" si="407"/>
        <v>AUD 160,027 (160,027 - 173,067)</v>
      </c>
      <c r="CB42" s="47" t="str">
        <f t="shared" si="408"/>
        <v>AUD 81 (81 - 88)</v>
      </c>
      <c r="CE42" s="47" t="str">
        <f t="shared" si="409"/>
        <v>AUD 160,027 (160,027 - 160,027)</v>
      </c>
      <c r="CH42" s="47" t="str">
        <f t="shared" si="410"/>
        <v>AUD 81 (81 - 81)</v>
      </c>
      <c r="CK42" s="47" t="str">
        <f t="shared" si="411"/>
        <v>AUD 160,027 (157,680 - 162,244)</v>
      </c>
      <c r="CN42" s="47" t="str">
        <f t="shared" si="412"/>
        <v>AUD 81 (80 - 82)</v>
      </c>
      <c r="CQ42" s="47" t="str">
        <f t="shared" si="413"/>
        <v>AUD 160,027 (159,662 - 161,662)</v>
      </c>
      <c r="CT42" s="47" t="str">
        <f t="shared" si="414"/>
        <v>AUD 81 (81 - 82)</v>
      </c>
      <c r="CW42" s="47" t="str">
        <f t="shared" si="415"/>
        <v>AUD 160,027 (154,635 - 161,375)</v>
      </c>
      <c r="CZ42" s="47" t="str">
        <f t="shared" si="416"/>
        <v>AUD 81 (78 - 82)</v>
      </c>
      <c r="DC42" s="47" t="str">
        <f t="shared" si="417"/>
        <v>AUD 160,027 (117,178 - 224,323)</v>
      </c>
      <c r="DF42" s="47" t="str">
        <f t="shared" si="418"/>
        <v>AUD 81 (59 - 114)</v>
      </c>
    </row>
    <row r="43" spans="1:112" x14ac:dyDescent="0.2">
      <c r="A43" s="45" t="s">
        <v>96</v>
      </c>
      <c r="B43" s="46" t="s">
        <v>50</v>
      </c>
      <c r="K43" s="47" t="str">
        <f t="shared" si="391"/>
        <v>11.0% (11.0% - 11.0%)</v>
      </c>
      <c r="L43" s="47"/>
      <c r="M43" s="47"/>
      <c r="N43" s="47" t="str">
        <f t="shared" si="392"/>
        <v>38.0 (38.0 - 38.0)</v>
      </c>
      <c r="O43" s="47"/>
      <c r="P43" s="47"/>
      <c r="Q43" s="47" t="str">
        <f t="shared" si="372"/>
        <v>100.0% (100.0% - 100.0%)</v>
      </c>
      <c r="R43" s="47"/>
      <c r="S43" s="47"/>
      <c r="T43" s="47" t="str">
        <f t="shared" si="372"/>
        <v>10.0% (10.0% - 10.0%)</v>
      </c>
      <c r="U43" s="47"/>
      <c r="V43" s="72"/>
      <c r="W43" s="72" t="str">
        <f t="shared" si="372"/>
        <v>3.5% (3.5% - 3.5%)</v>
      </c>
      <c r="X43" s="72"/>
      <c r="Y43" s="47"/>
      <c r="Z43" s="47" t="str">
        <f t="shared" si="372"/>
        <v>0.0% (0.0% - 0.0%)</v>
      </c>
      <c r="AA43" s="47"/>
      <c r="AB43" s="72"/>
      <c r="AC43" s="72" t="str">
        <f t="shared" si="372"/>
        <v>0.0% (0.0% - 0.0%)</v>
      </c>
      <c r="AD43" s="72"/>
      <c r="AE43" s="47"/>
      <c r="AF43" s="47" t="str">
        <f t="shared" si="372"/>
        <v>4.6% (4.6% - 4.6%)</v>
      </c>
      <c r="AG43" s="47"/>
      <c r="AH43" s="47"/>
      <c r="AI43" s="47" t="str">
        <f t="shared" si="393"/>
        <v>$365.2 ($0.0 - $1826.0)</v>
      </c>
      <c r="AJ43" s="47"/>
      <c r="AK43" s="76"/>
      <c r="AL43" s="47" t="str">
        <f t="shared" si="394"/>
        <v>4.0 (4.0 - 4.0)</v>
      </c>
      <c r="AM43" s="47"/>
      <c r="AN43" s="47"/>
      <c r="AO43" s="47" t="str">
        <f t="shared" si="395"/>
        <v>11.0% (0.0% - 20.0%)</v>
      </c>
      <c r="AP43" s="47"/>
      <c r="AQ43" s="47" t="str">
        <f t="shared" si="395"/>
        <v>1.5% (1.5% - 1.5%)</v>
      </c>
      <c r="AR43" s="47" t="str">
        <f t="shared" si="396"/>
        <v>AUD 94,994 (66,106 - 139,576)</v>
      </c>
      <c r="AU43" s="47" t="str">
        <f t="shared" si="397"/>
        <v>AUD 236,289 (157,197 - 332,331)</v>
      </c>
      <c r="AX43" s="47" t="str">
        <f t="shared" si="398"/>
        <v>AUD 120 (80 - 168)</v>
      </c>
      <c r="BA43" s="47" t="str">
        <f t="shared" si="399"/>
        <v>AUD 236,556 (236,081 - 238,218)</v>
      </c>
      <c r="BD43" s="47" t="str">
        <f t="shared" si="400"/>
        <v>AUD 120 (119 - 121)</v>
      </c>
      <c r="BG43" s="47" t="str">
        <f t="shared" si="401"/>
        <v>AUD 236,556 (236,556 - 236,556)</v>
      </c>
      <c r="BJ43" s="47" t="str">
        <f t="shared" si="402"/>
        <v>AUD 120 (114 - 125)</v>
      </c>
      <c r="BM43" s="47" t="str">
        <f t="shared" si="403"/>
        <v>AUD 236,556 (227,056 - 255,554)</v>
      </c>
      <c r="BP43" s="47" t="str">
        <f t="shared" si="404"/>
        <v>AUD 120 (115 - 129)</v>
      </c>
      <c r="BS43" s="47" t="str">
        <f t="shared" si="405"/>
        <v>AUD 236,556 (236,033 - 237,031)</v>
      </c>
      <c r="BV43" s="47" t="str">
        <f t="shared" si="406"/>
        <v>AUD 120 (119 - 120)</v>
      </c>
      <c r="BY43" s="47" t="str">
        <f t="shared" si="407"/>
        <v>AUD 236,556 (236,556 - 255,554)</v>
      </c>
      <c r="CB43" s="47" t="str">
        <f t="shared" si="408"/>
        <v>AUD 120 (120 - 129)</v>
      </c>
      <c r="CE43" s="47" t="str">
        <f t="shared" si="409"/>
        <v>AUD 236,556 (236,556 - 236,556)</v>
      </c>
      <c r="CH43" s="47" t="str">
        <f t="shared" si="410"/>
        <v>AUD 120 (120 - 120)</v>
      </c>
      <c r="CK43" s="47" t="str">
        <f t="shared" si="411"/>
        <v>AUD 236,556 (233,136 - 239,785)</v>
      </c>
      <c r="CN43" s="47" t="str">
        <f t="shared" si="412"/>
        <v>AUD 120 (118 - 121)</v>
      </c>
      <c r="CQ43" s="47" t="str">
        <f t="shared" si="413"/>
        <v>AUD 236,556 (236,190 - 238,190)</v>
      </c>
      <c r="CT43" s="47" t="str">
        <f t="shared" si="414"/>
        <v>AUD 120 (120 - 121)</v>
      </c>
      <c r="CW43" s="47" t="str">
        <f t="shared" si="415"/>
        <v>AUD 236,556 (228,445 - 238,583)</v>
      </c>
      <c r="CZ43" s="47" t="str">
        <f t="shared" si="416"/>
        <v>AUD 120 (116 - 121)</v>
      </c>
      <c r="DC43" s="47" t="str">
        <f t="shared" si="417"/>
        <v>AUD 236,556 (164,730 - 347,405)</v>
      </c>
      <c r="DF43" s="47" t="str">
        <f t="shared" si="418"/>
        <v>AUD 120 (83 - 176)</v>
      </c>
    </row>
    <row r="44" spans="1:112" x14ac:dyDescent="0.2">
      <c r="A44" s="45" t="s">
        <v>96</v>
      </c>
      <c r="B44" s="46" t="s">
        <v>55</v>
      </c>
      <c r="K44" s="47" t="str">
        <f t="shared" si="391"/>
        <v>11.0% (11.0% - 11.0%)</v>
      </c>
      <c r="L44" s="47"/>
      <c r="M44" s="47"/>
      <c r="N44" s="47" t="str">
        <f t="shared" si="392"/>
        <v>38.0 (38.0 - 38.0)</v>
      </c>
      <c r="O44" s="47"/>
      <c r="P44" s="47"/>
      <c r="Q44" s="47" t="str">
        <f t="shared" si="372"/>
        <v>100.0% (100.0% - 100.0%)</v>
      </c>
      <c r="R44" s="47"/>
      <c r="S44" s="47"/>
      <c r="T44" s="47" t="str">
        <f t="shared" si="372"/>
        <v>0.0% (0.0% - 0.0%)</v>
      </c>
      <c r="U44" s="47"/>
      <c r="V44" s="72"/>
      <c r="W44" s="72" t="str">
        <f t="shared" si="372"/>
        <v>3.5% (3.5% - 3.5%)</v>
      </c>
      <c r="X44" s="72"/>
      <c r="Y44" s="47"/>
      <c r="Z44" s="47" t="str">
        <f t="shared" si="372"/>
        <v>10.0% (10.0% - 10.0%)</v>
      </c>
      <c r="AA44" s="47"/>
      <c r="AB44" s="72"/>
      <c r="AC44" s="72" t="str">
        <f t="shared" si="372"/>
        <v>25.5% (0.0% - 60.0%)</v>
      </c>
      <c r="AD44" s="72"/>
      <c r="AE44" s="47"/>
      <c r="AF44" s="47" t="str">
        <f t="shared" si="372"/>
        <v>4.6% (4.6% - 4.6%)</v>
      </c>
      <c r="AG44" s="47"/>
      <c r="AH44" s="47"/>
      <c r="AI44" s="47" t="str">
        <f t="shared" si="393"/>
        <v>$28909.0 ($21500.0 - $38000.0)</v>
      </c>
      <c r="AJ44" s="47"/>
      <c r="AK44" s="76"/>
      <c r="AL44" s="47" t="str">
        <f t="shared" si="394"/>
        <v>4.4 (4.0 - 5.0)</v>
      </c>
      <c r="AM44" s="47"/>
      <c r="AN44" s="47"/>
      <c r="AO44" s="47" t="str">
        <f>TEXT(AO38, "0.0%") &amp; " (" &amp; TEXT(MIN(AO32,AO26,AO20,AO14,AO8), "0.0%") &amp; " - " &amp; TEXT(MAX(AO32,AO26,AO20,AO14,AO8), "0.0%") &amp; ")"</f>
        <v>10.5% (0.0% - 17.5%)</v>
      </c>
      <c r="AP44" s="47"/>
      <c r="AQ44" s="47" t="str">
        <f t="shared" si="395"/>
        <v>1.5% (1.5% - 1.5%)</v>
      </c>
      <c r="AR44" s="47" t="str">
        <f t="shared" si="396"/>
        <v>AUD 266,292 (179,078 - 386,515)</v>
      </c>
      <c r="AU44" s="47" t="str">
        <f t="shared" si="397"/>
        <v>AUD 750,853 (530,998 - 954,323)</v>
      </c>
      <c r="AX44" s="47" t="str">
        <f t="shared" si="398"/>
        <v>AUD 380 (269 - 483)</v>
      </c>
      <c r="BA44" s="47" t="str">
        <f t="shared" si="399"/>
        <v>AUD 759,695 (758,363 - 764,355)</v>
      </c>
      <c r="BD44" s="47" t="str">
        <f t="shared" si="400"/>
        <v>AUD 384 (384 - 387)</v>
      </c>
      <c r="BG44" s="47" t="str">
        <f t="shared" si="401"/>
        <v>AUD 759,695 (759,695 - 759,695)</v>
      </c>
      <c r="BJ44" s="47" t="str">
        <f t="shared" si="402"/>
        <v>AUD 384 (365 - 402)</v>
      </c>
      <c r="BM44" s="47" t="str">
        <f t="shared" si="403"/>
        <v>AUD 759,695 (759,695 - 839,583)</v>
      </c>
      <c r="BP44" s="47" t="str">
        <f t="shared" si="404"/>
        <v>AUD 384 (384 - 425)</v>
      </c>
      <c r="BS44" s="47" t="str">
        <f t="shared" si="405"/>
        <v>AUD 759,695 (758,230 - 761,026)</v>
      </c>
      <c r="BV44" s="47" t="str">
        <f t="shared" si="406"/>
        <v>AUD 384 (384 - 385)</v>
      </c>
      <c r="BY44" s="47" t="str">
        <f t="shared" si="407"/>
        <v>AUD 759,695 (733,066 - 786,324)</v>
      </c>
      <c r="CB44" s="47" t="str">
        <f t="shared" si="408"/>
        <v>AUD 384 (371 - 398)</v>
      </c>
      <c r="CE44" s="47" t="str">
        <f t="shared" si="409"/>
        <v>AUD 759,695 (691,844 - 798,361)</v>
      </c>
      <c r="CH44" s="47" t="str">
        <f t="shared" si="410"/>
        <v>AUD 384 (350 - 404)</v>
      </c>
      <c r="CK44" s="47" t="str">
        <f t="shared" si="411"/>
        <v>AUD 759,695 (750,108 - 768,749)</v>
      </c>
      <c r="CN44" s="47" t="str">
        <f t="shared" si="412"/>
        <v>AUD 384 (380 - 389)</v>
      </c>
      <c r="CQ44" s="47" t="str">
        <f t="shared" si="413"/>
        <v>AUD 759,695 (730,786 - 759,695)</v>
      </c>
      <c r="CT44" s="47" t="str">
        <f t="shared" si="414"/>
        <v>AUD 384 (370 - 384)</v>
      </c>
      <c r="CW44" s="47" t="str">
        <f t="shared" si="415"/>
        <v>AUD 759,695 (734,797 - 763,090)</v>
      </c>
      <c r="CZ44" s="47" t="str">
        <f t="shared" si="416"/>
        <v>AUD 384 (372 - 386)</v>
      </c>
      <c r="DC44" s="47" t="str">
        <f t="shared" si="417"/>
        <v>AUD 759,695 (520,353 - 1,089,622)</v>
      </c>
      <c r="DF44" s="47" t="str">
        <f t="shared" si="418"/>
        <v>AUD 384 (263 - 551)</v>
      </c>
    </row>
    <row r="45" spans="1:112" x14ac:dyDescent="0.2">
      <c r="K45" s="47"/>
      <c r="L45" s="47"/>
      <c r="M45" s="47"/>
      <c r="N45" s="47"/>
      <c r="O45" s="47"/>
      <c r="P45" s="47"/>
      <c r="Q45" s="47"/>
      <c r="R45" s="47"/>
      <c r="S45" s="47"/>
      <c r="T45" s="47"/>
      <c r="U45" s="47"/>
      <c r="V45" s="72"/>
      <c r="W45" s="72"/>
      <c r="X45" s="72"/>
      <c r="Y45" s="47"/>
      <c r="Z45" s="47"/>
      <c r="AA45" s="47"/>
      <c r="AB45" s="72"/>
      <c r="AC45" s="72"/>
      <c r="AD45" s="72"/>
      <c r="AE45" s="47"/>
      <c r="AF45" s="47"/>
      <c r="AG45" s="47"/>
      <c r="AH45" s="47"/>
      <c r="AI45" s="47"/>
      <c r="AJ45" s="47"/>
      <c r="AK45" s="76"/>
      <c r="AL45" s="47"/>
      <c r="AM45" s="47"/>
      <c r="AN45" s="47"/>
      <c r="AO45" s="47"/>
      <c r="AP45" s="47"/>
      <c r="AQ45" s="47"/>
      <c r="AR45" s="47"/>
      <c r="AU45" s="47"/>
      <c r="AX45" s="47"/>
    </row>
    <row r="46" spans="1:112" x14ac:dyDescent="0.2">
      <c r="A46" s="45" t="s">
        <v>102</v>
      </c>
    </row>
    <row r="47" spans="1:112" x14ac:dyDescent="0.2">
      <c r="A47" s="45" t="s">
        <v>32</v>
      </c>
      <c r="B47" s="46" t="s">
        <v>33</v>
      </c>
      <c r="K47" s="65">
        <f>(K4*$AS4)</f>
        <v>10446.59</v>
      </c>
      <c r="L47" s="65"/>
      <c r="M47" s="65"/>
      <c r="N47" s="68"/>
      <c r="O47" s="68"/>
      <c r="P47" s="68"/>
      <c r="Q47" s="69"/>
      <c r="R47" s="69"/>
      <c r="S47" s="69"/>
      <c r="T47" s="65">
        <f>(T4*$AS4)</f>
        <v>9496.9</v>
      </c>
      <c r="U47" s="65"/>
      <c r="V47" s="70"/>
      <c r="W47" s="70">
        <f>(W4*$AS4)</f>
        <v>3323.9150000000004</v>
      </c>
      <c r="X47" s="70"/>
      <c r="Y47" s="65"/>
      <c r="Z47" s="65">
        <f>(Z4*$AS4)</f>
        <v>0</v>
      </c>
      <c r="AA47" s="65"/>
      <c r="AB47" s="70"/>
      <c r="AC47" s="70">
        <f>(AC4*$AS4)</f>
        <v>0</v>
      </c>
      <c r="AD47" s="70"/>
      <c r="AE47" s="65"/>
      <c r="AF47" s="65">
        <f>(AF4*$AS4)</f>
        <v>4368.5739999999996</v>
      </c>
      <c r="AG47" s="65"/>
      <c r="AH47" s="65"/>
      <c r="AI47" s="65">
        <f>AI4</f>
        <v>0</v>
      </c>
      <c r="AJ47" s="65"/>
      <c r="AK47" s="77"/>
      <c r="AL47" s="65">
        <f>(AL4/52*$AS4)</f>
        <v>7305.3076923076924</v>
      </c>
      <c r="AM47" s="65"/>
      <c r="AN47" s="65"/>
      <c r="AO47" s="65">
        <f>(AO4*$AS4)</f>
        <v>16619.575000000001</v>
      </c>
      <c r="AP47" s="65"/>
      <c r="AQ47" s="56"/>
      <c r="AR47" s="65">
        <f>AR4</f>
        <v>79624</v>
      </c>
      <c r="AS47" s="65">
        <f t="shared" ref="AS47:AT47" si="419">AS4</f>
        <v>94969</v>
      </c>
      <c r="AT47" s="65">
        <f t="shared" si="419"/>
        <v>110314</v>
      </c>
    </row>
    <row r="48" spans="1:112" x14ac:dyDescent="0.2">
      <c r="A48" s="45" t="s">
        <v>32</v>
      </c>
      <c r="B48" s="46" t="s">
        <v>40</v>
      </c>
      <c r="K48" s="65">
        <f>(K5*$AS5)</f>
        <v>11206.624000000002</v>
      </c>
      <c r="L48" s="65"/>
      <c r="M48" s="65"/>
      <c r="N48" s="68"/>
      <c r="O48" s="68"/>
      <c r="P48" s="68"/>
      <c r="Q48" s="69"/>
      <c r="R48" s="69"/>
      <c r="S48" s="69"/>
      <c r="T48" s="65">
        <f t="shared" ref="T48:AF51" si="420">(T5*$AS5)</f>
        <v>10187.840000000002</v>
      </c>
      <c r="U48" s="65"/>
      <c r="V48" s="70"/>
      <c r="W48" s="70">
        <f t="shared" si="420"/>
        <v>3565.7440000000006</v>
      </c>
      <c r="X48" s="70"/>
      <c r="Y48" s="65"/>
      <c r="Z48" s="65">
        <f t="shared" si="420"/>
        <v>0</v>
      </c>
      <c r="AA48" s="65"/>
      <c r="AB48" s="70"/>
      <c r="AC48" s="70">
        <f t="shared" si="420"/>
        <v>0</v>
      </c>
      <c r="AD48" s="70"/>
      <c r="AE48" s="65"/>
      <c r="AF48" s="65">
        <f t="shared" si="420"/>
        <v>4686.4064000000008</v>
      </c>
      <c r="AG48" s="65"/>
      <c r="AH48" s="65"/>
      <c r="AI48" s="65">
        <f t="shared" ref="AI48:AI51" si="421">AI5</f>
        <v>0</v>
      </c>
      <c r="AJ48" s="65"/>
      <c r="AK48" s="77"/>
      <c r="AL48" s="65">
        <f t="shared" ref="AL48:AL51" si="422">(AL5/52*$AS5)</f>
        <v>9796.0000000000018</v>
      </c>
      <c r="AM48" s="65"/>
      <c r="AN48" s="65"/>
      <c r="AO48" s="65">
        <f t="shared" ref="AO48:AO51" si="423">(AO5*$AS5)</f>
        <v>17828.72</v>
      </c>
      <c r="AP48" s="65"/>
      <c r="AQ48" s="56"/>
      <c r="AR48" s="65">
        <f t="shared" ref="AR48:AT51" si="424">AR5</f>
        <v>61204</v>
      </c>
      <c r="AS48" s="65">
        <f t="shared" si="424"/>
        <v>101878.40000000001</v>
      </c>
      <c r="AT48" s="65">
        <f t="shared" si="424"/>
        <v>142552.80000000002</v>
      </c>
    </row>
    <row r="49" spans="1:76" s="64" customFormat="1" x14ac:dyDescent="0.2">
      <c r="A49" s="45" t="s">
        <v>32</v>
      </c>
      <c r="B49" s="46" t="s">
        <v>47</v>
      </c>
      <c r="C49" s="54"/>
      <c r="D49" s="45"/>
      <c r="E49" s="55"/>
      <c r="F49" s="45"/>
      <c r="G49" s="45"/>
      <c r="H49" s="56"/>
      <c r="I49" s="56"/>
      <c r="J49" s="56"/>
      <c r="K49" s="65">
        <f t="shared" ref="K49:K51" si="425">(K6*$AS6)</f>
        <v>8533.8549999999996</v>
      </c>
      <c r="L49" s="65"/>
      <c r="M49" s="65"/>
      <c r="N49" s="68"/>
      <c r="O49" s="68"/>
      <c r="P49" s="68"/>
      <c r="Q49" s="69"/>
      <c r="R49" s="69"/>
      <c r="S49" s="69"/>
      <c r="T49" s="65">
        <f t="shared" si="420"/>
        <v>7758.05</v>
      </c>
      <c r="U49" s="65"/>
      <c r="V49" s="70"/>
      <c r="W49" s="70">
        <f t="shared" si="420"/>
        <v>2715.3175000000001</v>
      </c>
      <c r="X49" s="70"/>
      <c r="Y49" s="65"/>
      <c r="Z49" s="65">
        <f t="shared" si="420"/>
        <v>0</v>
      </c>
      <c r="AA49" s="65"/>
      <c r="AB49" s="70"/>
      <c r="AC49" s="70">
        <f t="shared" si="420"/>
        <v>0</v>
      </c>
      <c r="AD49" s="70"/>
      <c r="AE49" s="65"/>
      <c r="AF49" s="65">
        <f t="shared" si="420"/>
        <v>3568.703</v>
      </c>
      <c r="AG49" s="65"/>
      <c r="AH49" s="65"/>
      <c r="AI49" s="65">
        <f t="shared" si="421"/>
        <v>0</v>
      </c>
      <c r="AJ49" s="65"/>
      <c r="AK49" s="77"/>
      <c r="AL49" s="65">
        <f t="shared" si="422"/>
        <v>5967.7307692307695</v>
      </c>
      <c r="AM49" s="65"/>
      <c r="AN49" s="65"/>
      <c r="AO49" s="65">
        <f t="shared" si="423"/>
        <v>13576.5875</v>
      </c>
      <c r="AP49" s="65"/>
      <c r="AQ49" s="56"/>
      <c r="AR49" s="65">
        <f t="shared" si="424"/>
        <v>63701</v>
      </c>
      <c r="AS49" s="65">
        <f t="shared" si="424"/>
        <v>77580.5</v>
      </c>
      <c r="AT49" s="65">
        <f t="shared" si="424"/>
        <v>91460</v>
      </c>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row>
    <row r="50" spans="1:76" s="64" customFormat="1" x14ac:dyDescent="0.2">
      <c r="A50" s="45" t="s">
        <v>32</v>
      </c>
      <c r="B50" s="46" t="s">
        <v>50</v>
      </c>
      <c r="C50" s="54"/>
      <c r="D50" s="45"/>
      <c r="E50" s="55"/>
      <c r="F50" s="45"/>
      <c r="G50" s="45"/>
      <c r="H50" s="56"/>
      <c r="I50" s="56"/>
      <c r="J50" s="56"/>
      <c r="K50" s="65">
        <f t="shared" si="425"/>
        <v>11204.710000000001</v>
      </c>
      <c r="L50" s="65"/>
      <c r="M50" s="65"/>
      <c r="N50" s="68"/>
      <c r="O50" s="68"/>
      <c r="P50" s="68"/>
      <c r="Q50" s="69"/>
      <c r="R50" s="69"/>
      <c r="S50" s="69"/>
      <c r="T50" s="65">
        <f t="shared" si="420"/>
        <v>10186.1</v>
      </c>
      <c r="U50" s="65"/>
      <c r="V50" s="70"/>
      <c r="W50" s="70">
        <f t="shared" si="420"/>
        <v>3565.1350000000002</v>
      </c>
      <c r="X50" s="70"/>
      <c r="Y50" s="65"/>
      <c r="Z50" s="65">
        <f t="shared" si="420"/>
        <v>0</v>
      </c>
      <c r="AA50" s="65"/>
      <c r="AB50" s="70"/>
      <c r="AC50" s="70">
        <f t="shared" si="420"/>
        <v>0</v>
      </c>
      <c r="AD50" s="70"/>
      <c r="AE50" s="65"/>
      <c r="AF50" s="65">
        <f t="shared" si="420"/>
        <v>4685.6059999999998</v>
      </c>
      <c r="AG50" s="65"/>
      <c r="AH50" s="65"/>
      <c r="AI50" s="65">
        <f t="shared" si="421"/>
        <v>0</v>
      </c>
      <c r="AJ50" s="65"/>
      <c r="AK50" s="77"/>
      <c r="AL50" s="65">
        <f t="shared" si="422"/>
        <v>7835.461538461539</v>
      </c>
      <c r="AM50" s="65"/>
      <c r="AN50" s="65"/>
      <c r="AO50" s="65">
        <f t="shared" si="423"/>
        <v>17825.674999999999</v>
      </c>
      <c r="AP50" s="65"/>
      <c r="AQ50" s="56"/>
      <c r="AR50" s="65">
        <f t="shared" si="424"/>
        <v>79624</v>
      </c>
      <c r="AS50" s="65">
        <f t="shared" si="424"/>
        <v>101861</v>
      </c>
      <c r="AT50" s="65">
        <f t="shared" si="424"/>
        <v>124098</v>
      </c>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row>
    <row r="51" spans="1:76" s="64" customFormat="1" x14ac:dyDescent="0.2">
      <c r="A51" s="45" t="s">
        <v>32</v>
      </c>
      <c r="B51" s="46" t="s">
        <v>55</v>
      </c>
      <c r="C51" s="54"/>
      <c r="D51" s="45"/>
      <c r="E51" s="55"/>
      <c r="F51" s="45"/>
      <c r="G51" s="45"/>
      <c r="H51" s="56"/>
      <c r="I51" s="56"/>
      <c r="J51" s="56"/>
      <c r="K51" s="65">
        <f t="shared" si="425"/>
        <v>32587.269000000004</v>
      </c>
      <c r="L51" s="65"/>
      <c r="M51" s="65"/>
      <c r="N51" s="68"/>
      <c r="O51" s="68"/>
      <c r="P51" s="68"/>
      <c r="Q51" s="69"/>
      <c r="R51" s="69"/>
      <c r="S51" s="69"/>
      <c r="T51" s="65">
        <f t="shared" si="420"/>
        <v>0</v>
      </c>
      <c r="U51" s="65"/>
      <c r="V51" s="70"/>
      <c r="W51" s="70">
        <f t="shared" si="420"/>
        <v>10368.676500000001</v>
      </c>
      <c r="X51" s="70"/>
      <c r="Y51" s="65"/>
      <c r="Z51" s="65">
        <f t="shared" si="420"/>
        <v>29624.790000000005</v>
      </c>
      <c r="AA51" s="65"/>
      <c r="AB51" s="70"/>
      <c r="AC51" s="70">
        <f t="shared" si="420"/>
        <v>0</v>
      </c>
      <c r="AD51" s="70"/>
      <c r="AE51" s="65"/>
      <c r="AF51" s="65">
        <f t="shared" si="420"/>
        <v>13627.403400000001</v>
      </c>
      <c r="AG51" s="65"/>
      <c r="AH51" s="65"/>
      <c r="AI51" s="65">
        <f t="shared" si="421"/>
        <v>29000.16</v>
      </c>
      <c r="AJ51" s="65"/>
      <c r="AK51" s="77"/>
      <c r="AL51" s="65">
        <f t="shared" si="422"/>
        <v>22788.300000000003</v>
      </c>
      <c r="AM51" s="65"/>
      <c r="AN51" s="65"/>
      <c r="AO51" s="65">
        <f t="shared" si="423"/>
        <v>51843.3825</v>
      </c>
      <c r="AP51" s="65"/>
      <c r="AQ51" s="56"/>
      <c r="AR51" s="65">
        <f t="shared" si="424"/>
        <v>249470</v>
      </c>
      <c r="AS51" s="65">
        <f t="shared" si="424"/>
        <v>296247.90000000002</v>
      </c>
      <c r="AT51" s="65">
        <f t="shared" si="424"/>
        <v>343025.8</v>
      </c>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row>
    <row r="52" spans="1:76" s="64" customFormat="1" x14ac:dyDescent="0.2">
      <c r="A52" s="45"/>
      <c r="B52" s="46"/>
      <c r="C52" s="54"/>
      <c r="D52" s="45"/>
      <c r="E52" s="55"/>
      <c r="F52" s="45"/>
      <c r="G52" s="45"/>
      <c r="H52" s="56"/>
      <c r="I52" s="56"/>
      <c r="J52" s="56"/>
      <c r="K52" s="70"/>
      <c r="L52" s="70"/>
      <c r="M52" s="70"/>
      <c r="N52" s="68"/>
      <c r="O52" s="68"/>
      <c r="P52" s="68"/>
      <c r="Q52" s="69"/>
      <c r="R52" s="69"/>
      <c r="S52" s="69"/>
      <c r="T52" s="69"/>
      <c r="U52" s="69"/>
      <c r="V52" s="70"/>
      <c r="W52" s="70"/>
      <c r="X52" s="70"/>
      <c r="Y52" s="69"/>
      <c r="Z52" s="71"/>
      <c r="AA52" s="71"/>
      <c r="AB52" s="70"/>
      <c r="AC52" s="70"/>
      <c r="AD52" s="70"/>
      <c r="AE52" s="69"/>
      <c r="AF52" s="69"/>
      <c r="AG52" s="69"/>
      <c r="AH52" s="69"/>
      <c r="AI52" s="67"/>
      <c r="AJ52" s="67"/>
      <c r="AK52" s="77"/>
      <c r="AL52" s="56"/>
      <c r="AM52" s="56"/>
      <c r="AN52" s="56"/>
      <c r="AO52" s="69"/>
      <c r="AP52" s="69"/>
      <c r="AQ52" s="56"/>
      <c r="AR52" s="65"/>
      <c r="AS52" s="65"/>
      <c r="AT52" s="65"/>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row>
    <row r="53" spans="1:76" s="64" customFormat="1" x14ac:dyDescent="0.2">
      <c r="A53" s="45" t="s">
        <v>62</v>
      </c>
      <c r="B53" s="46" t="s">
        <v>33</v>
      </c>
      <c r="C53" s="54"/>
      <c r="D53" s="45"/>
      <c r="E53" s="55"/>
      <c r="F53" s="45"/>
      <c r="G53" s="45"/>
      <c r="H53" s="56"/>
      <c r="I53" s="56"/>
      <c r="J53" s="56"/>
      <c r="K53" s="65">
        <f>(K10*$AS10)</f>
        <v>8544.0300000000007</v>
      </c>
      <c r="L53" s="65"/>
      <c r="M53" s="65"/>
      <c r="N53" s="68"/>
      <c r="O53" s="68"/>
      <c r="P53" s="68"/>
      <c r="Q53" s="69"/>
      <c r="R53" s="69"/>
      <c r="S53" s="69"/>
      <c r="T53" s="65">
        <f>(T10*$AS10)</f>
        <v>7767.3</v>
      </c>
      <c r="U53" s="65"/>
      <c r="V53" s="70"/>
      <c r="W53" s="70">
        <f>(W10*$AS10)</f>
        <v>2718.5550000000003</v>
      </c>
      <c r="X53" s="70"/>
      <c r="Y53" s="65"/>
      <c r="Z53" s="65">
        <f>(Z10*$AS10)</f>
        <v>0</v>
      </c>
      <c r="AA53" s="65"/>
      <c r="AB53" s="70"/>
      <c r="AC53" s="70">
        <f>(AC10*$AS10)</f>
        <v>0</v>
      </c>
      <c r="AD53" s="70"/>
      <c r="AE53" s="65"/>
      <c r="AF53" s="65">
        <f>(AF10*$AS10)</f>
        <v>3572.9580000000001</v>
      </c>
      <c r="AG53" s="65"/>
      <c r="AH53" s="65"/>
      <c r="AI53" s="65">
        <f>AI10</f>
        <v>0</v>
      </c>
      <c r="AJ53" s="65"/>
      <c r="AK53" s="77"/>
      <c r="AL53" s="65">
        <f>(AL10/52*$AS10)</f>
        <v>5974.8461538461543</v>
      </c>
      <c r="AM53" s="65"/>
      <c r="AN53" s="65"/>
      <c r="AO53" s="65">
        <f>(AO10*$AS10)</f>
        <v>0</v>
      </c>
      <c r="AP53" s="65"/>
      <c r="AQ53" s="56"/>
      <c r="AR53" s="65">
        <f>AR10</f>
        <v>54364</v>
      </c>
      <c r="AS53" s="65">
        <f t="shared" ref="AS53:AT53" si="426">AS10</f>
        <v>77673</v>
      </c>
      <c r="AT53" s="65">
        <f t="shared" si="426"/>
        <v>100982</v>
      </c>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row>
    <row r="54" spans="1:76" s="64" customFormat="1" x14ac:dyDescent="0.2">
      <c r="A54" s="45" t="s">
        <v>62</v>
      </c>
      <c r="B54" s="46" t="s">
        <v>40</v>
      </c>
      <c r="C54" s="54"/>
      <c r="D54" s="45"/>
      <c r="E54" s="55"/>
      <c r="F54" s="45"/>
      <c r="G54" s="45"/>
      <c r="H54" s="56"/>
      <c r="I54" s="56"/>
      <c r="J54" s="56"/>
      <c r="K54" s="65">
        <f t="shared" ref="K54:K57" si="427">(K11*$AS11)</f>
        <v>11466.18</v>
      </c>
      <c r="L54" s="65"/>
      <c r="M54" s="65"/>
      <c r="N54" s="68"/>
      <c r="O54" s="68"/>
      <c r="P54" s="68"/>
      <c r="Q54" s="69"/>
      <c r="R54" s="69"/>
      <c r="S54" s="69"/>
      <c r="T54" s="65">
        <f t="shared" ref="T54:AF57" si="428">(T11*$AS11)</f>
        <v>10423.800000000001</v>
      </c>
      <c r="U54" s="65"/>
      <c r="V54" s="70"/>
      <c r="W54" s="70">
        <f t="shared" si="428"/>
        <v>3648.3300000000004</v>
      </c>
      <c r="X54" s="70"/>
      <c r="Y54" s="65"/>
      <c r="Z54" s="65">
        <f t="shared" si="428"/>
        <v>0</v>
      </c>
      <c r="AA54" s="65"/>
      <c r="AB54" s="70"/>
      <c r="AC54" s="70">
        <f t="shared" si="428"/>
        <v>0</v>
      </c>
      <c r="AD54" s="70"/>
      <c r="AE54" s="65"/>
      <c r="AF54" s="65">
        <f t="shared" si="428"/>
        <v>4794.9480000000003</v>
      </c>
      <c r="AG54" s="65"/>
      <c r="AH54" s="65"/>
      <c r="AI54" s="65">
        <f t="shared" ref="AI54:AI57" si="429">AI11</f>
        <v>0</v>
      </c>
      <c r="AJ54" s="65"/>
      <c r="AK54" s="77"/>
      <c r="AL54" s="65">
        <f t="shared" ref="AL54:AL57" si="430">(AL11/52*$AS11)</f>
        <v>10022.884615384615</v>
      </c>
      <c r="AM54" s="65"/>
      <c r="AN54" s="65"/>
      <c r="AO54" s="65">
        <f t="shared" ref="AO54:AO57" si="431">(AO11*$AS11)</f>
        <v>0</v>
      </c>
      <c r="AP54" s="65"/>
      <c r="AQ54" s="56"/>
      <c r="AR54" s="65">
        <f t="shared" ref="AR54:AT57" si="432">AR11</f>
        <v>66386</v>
      </c>
      <c r="AS54" s="65">
        <f t="shared" si="432"/>
        <v>104238</v>
      </c>
      <c r="AT54" s="65">
        <f t="shared" si="432"/>
        <v>142090</v>
      </c>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row>
    <row r="55" spans="1:76" s="64" customFormat="1" x14ac:dyDescent="0.2">
      <c r="A55" s="45" t="s">
        <v>62</v>
      </c>
      <c r="B55" s="46" t="s">
        <v>47</v>
      </c>
      <c r="C55" s="54"/>
      <c r="D55" s="45"/>
      <c r="E55" s="55"/>
      <c r="F55" s="45"/>
      <c r="G55" s="45"/>
      <c r="H55" s="56"/>
      <c r="I55" s="56"/>
      <c r="J55" s="56"/>
      <c r="K55" s="65">
        <f t="shared" si="427"/>
        <v>6971.14</v>
      </c>
      <c r="L55" s="65"/>
      <c r="M55" s="65"/>
      <c r="N55" s="68"/>
      <c r="O55" s="68"/>
      <c r="P55" s="68"/>
      <c r="Q55" s="69"/>
      <c r="R55" s="69"/>
      <c r="S55" s="69"/>
      <c r="T55" s="65">
        <f t="shared" si="428"/>
        <v>6337.4000000000005</v>
      </c>
      <c r="U55" s="65"/>
      <c r="V55" s="70"/>
      <c r="W55" s="70">
        <f t="shared" si="428"/>
        <v>2218.09</v>
      </c>
      <c r="X55" s="70"/>
      <c r="Y55" s="65"/>
      <c r="Z55" s="65">
        <f t="shared" si="428"/>
        <v>0</v>
      </c>
      <c r="AA55" s="65"/>
      <c r="AB55" s="70"/>
      <c r="AC55" s="70">
        <f t="shared" si="428"/>
        <v>0</v>
      </c>
      <c r="AD55" s="70"/>
      <c r="AE55" s="65"/>
      <c r="AF55" s="65">
        <f t="shared" si="428"/>
        <v>2915.2039999999997</v>
      </c>
      <c r="AG55" s="65"/>
      <c r="AH55" s="65"/>
      <c r="AI55" s="65">
        <f t="shared" si="429"/>
        <v>0</v>
      </c>
      <c r="AJ55" s="65"/>
      <c r="AK55" s="77"/>
      <c r="AL55" s="65">
        <f t="shared" si="430"/>
        <v>4874.9230769230771</v>
      </c>
      <c r="AM55" s="65"/>
      <c r="AN55" s="65"/>
      <c r="AO55" s="65">
        <f t="shared" si="431"/>
        <v>0</v>
      </c>
      <c r="AP55" s="65"/>
      <c r="AQ55" s="56"/>
      <c r="AR55" s="65">
        <f t="shared" si="432"/>
        <v>56916</v>
      </c>
      <c r="AS55" s="65">
        <f t="shared" si="432"/>
        <v>63374</v>
      </c>
      <c r="AT55" s="65">
        <f t="shared" si="432"/>
        <v>69832</v>
      </c>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row>
    <row r="56" spans="1:76" s="64" customFormat="1" x14ac:dyDescent="0.2">
      <c r="A56" s="45" t="s">
        <v>62</v>
      </c>
      <c r="B56" s="46" t="s">
        <v>50</v>
      </c>
      <c r="C56" s="54"/>
      <c r="D56" s="45"/>
      <c r="E56" s="55"/>
      <c r="F56" s="45"/>
      <c r="G56" s="45"/>
      <c r="H56" s="56"/>
      <c r="I56" s="56"/>
      <c r="J56" s="56"/>
      <c r="K56" s="65">
        <f t="shared" si="427"/>
        <v>10074.625</v>
      </c>
      <c r="L56" s="65"/>
      <c r="M56" s="65"/>
      <c r="N56" s="68"/>
      <c r="O56" s="68"/>
      <c r="P56" s="68"/>
      <c r="Q56" s="69"/>
      <c r="R56" s="69"/>
      <c r="S56" s="69"/>
      <c r="T56" s="65">
        <f t="shared" si="428"/>
        <v>9158.75</v>
      </c>
      <c r="U56" s="65"/>
      <c r="V56" s="70"/>
      <c r="W56" s="70">
        <f t="shared" si="428"/>
        <v>3205.5625000000005</v>
      </c>
      <c r="X56" s="70"/>
      <c r="Y56" s="65"/>
      <c r="Z56" s="65">
        <f t="shared" si="428"/>
        <v>0</v>
      </c>
      <c r="AA56" s="65"/>
      <c r="AB56" s="70"/>
      <c r="AC56" s="70">
        <f t="shared" si="428"/>
        <v>0</v>
      </c>
      <c r="AD56" s="70"/>
      <c r="AE56" s="65"/>
      <c r="AF56" s="65">
        <f t="shared" si="428"/>
        <v>4213.0249999999996</v>
      </c>
      <c r="AG56" s="65"/>
      <c r="AH56" s="65"/>
      <c r="AI56" s="65">
        <f t="shared" si="429"/>
        <v>0</v>
      </c>
      <c r="AJ56" s="65"/>
      <c r="AK56" s="77"/>
      <c r="AL56" s="65">
        <f t="shared" si="430"/>
        <v>7045.1923076923085</v>
      </c>
      <c r="AM56" s="65"/>
      <c r="AN56" s="65"/>
      <c r="AO56" s="65">
        <f t="shared" si="431"/>
        <v>0</v>
      </c>
      <c r="AP56" s="65"/>
      <c r="AQ56" s="56"/>
      <c r="AR56" s="65">
        <f t="shared" si="432"/>
        <v>66386</v>
      </c>
      <c r="AS56" s="65">
        <f t="shared" si="432"/>
        <v>91587.5</v>
      </c>
      <c r="AT56" s="65">
        <f t="shared" si="432"/>
        <v>116789</v>
      </c>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row>
    <row r="57" spans="1:76" s="64" customFormat="1" x14ac:dyDescent="0.2">
      <c r="A57" s="45" t="s">
        <v>62</v>
      </c>
      <c r="B57" s="46" t="s">
        <v>55</v>
      </c>
      <c r="C57" s="54"/>
      <c r="D57" s="45"/>
      <c r="E57" s="55"/>
      <c r="F57" s="45"/>
      <c r="G57" s="45"/>
      <c r="H57" s="56"/>
      <c r="I57" s="56"/>
      <c r="J57" s="56"/>
      <c r="K57" s="65">
        <f t="shared" si="427"/>
        <v>28250.255000000001</v>
      </c>
      <c r="L57" s="65"/>
      <c r="M57" s="65"/>
      <c r="N57" s="68"/>
      <c r="O57" s="68"/>
      <c r="P57" s="68"/>
      <c r="Q57" s="69"/>
      <c r="R57" s="69"/>
      <c r="S57" s="69"/>
      <c r="T57" s="65">
        <f t="shared" si="428"/>
        <v>0</v>
      </c>
      <c r="U57" s="65"/>
      <c r="V57" s="70"/>
      <c r="W57" s="70">
        <f t="shared" si="428"/>
        <v>8988.7175000000007</v>
      </c>
      <c r="X57" s="70"/>
      <c r="Y57" s="65"/>
      <c r="Z57" s="65">
        <f t="shared" si="428"/>
        <v>25682.050000000003</v>
      </c>
      <c r="AA57" s="65"/>
      <c r="AB57" s="70"/>
      <c r="AC57" s="70">
        <f t="shared" si="428"/>
        <v>154092.29999999999</v>
      </c>
      <c r="AD57" s="70"/>
      <c r="AE57" s="65"/>
      <c r="AF57" s="65">
        <f t="shared" si="428"/>
        <v>11813.743</v>
      </c>
      <c r="AG57" s="65"/>
      <c r="AH57" s="65"/>
      <c r="AI57" s="65">
        <f t="shared" si="429"/>
        <v>26000</v>
      </c>
      <c r="AJ57" s="65"/>
      <c r="AK57" s="77"/>
      <c r="AL57" s="65">
        <f t="shared" si="430"/>
        <v>24694.278846153848</v>
      </c>
      <c r="AM57" s="65"/>
      <c r="AN57" s="65"/>
      <c r="AO57" s="65">
        <f t="shared" si="431"/>
        <v>44943.587499999994</v>
      </c>
      <c r="AP57" s="65"/>
      <c r="AQ57" s="56"/>
      <c r="AR57" s="65">
        <f t="shared" si="432"/>
        <v>221622</v>
      </c>
      <c r="AS57" s="65">
        <f t="shared" si="432"/>
        <v>256820.5</v>
      </c>
      <c r="AT57" s="65">
        <f t="shared" si="432"/>
        <v>292019</v>
      </c>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row>
    <row r="58" spans="1:76" s="64" customFormat="1" x14ac:dyDescent="0.2">
      <c r="A58" s="45"/>
      <c r="B58" s="46"/>
      <c r="C58" s="54"/>
      <c r="D58" s="45"/>
      <c r="E58" s="55"/>
      <c r="F58" s="45"/>
      <c r="G58" s="45"/>
      <c r="H58" s="56"/>
      <c r="I58" s="56"/>
      <c r="J58" s="56"/>
      <c r="K58" s="70"/>
      <c r="L58" s="70"/>
      <c r="M58" s="70"/>
      <c r="N58" s="68"/>
      <c r="O58" s="68"/>
      <c r="P58" s="68"/>
      <c r="Q58" s="69"/>
      <c r="R58" s="69"/>
      <c r="S58" s="69"/>
      <c r="T58" s="69"/>
      <c r="U58" s="69"/>
      <c r="V58" s="70"/>
      <c r="W58" s="70"/>
      <c r="X58" s="70"/>
      <c r="Y58" s="69"/>
      <c r="Z58" s="71"/>
      <c r="AA58" s="71"/>
      <c r="AB58" s="70"/>
      <c r="AC58" s="70"/>
      <c r="AD58" s="70"/>
      <c r="AE58" s="69"/>
      <c r="AF58" s="69"/>
      <c r="AG58" s="69"/>
      <c r="AH58" s="69"/>
      <c r="AI58" s="67"/>
      <c r="AJ58" s="67"/>
      <c r="AK58" s="77"/>
      <c r="AL58" s="56"/>
      <c r="AM58" s="56"/>
      <c r="AN58" s="56"/>
      <c r="AO58" s="69"/>
      <c r="AP58" s="69"/>
      <c r="AQ58" s="56"/>
      <c r="AR58" s="65"/>
      <c r="AS58" s="65"/>
      <c r="AT58" s="65"/>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row>
    <row r="59" spans="1:76" s="64" customFormat="1" x14ac:dyDescent="0.2">
      <c r="A59" s="45" t="s">
        <v>74</v>
      </c>
      <c r="B59" s="46" t="s">
        <v>33</v>
      </c>
      <c r="C59" s="54"/>
      <c r="D59" s="45"/>
      <c r="E59" s="55"/>
      <c r="F59" s="45"/>
      <c r="G59" s="45"/>
      <c r="H59" s="56"/>
      <c r="I59" s="56"/>
      <c r="J59" s="56"/>
      <c r="K59" s="65">
        <f>(K16*$AS16)</f>
        <v>8540.1316000000006</v>
      </c>
      <c r="L59" s="65"/>
      <c r="M59" s="65"/>
      <c r="N59" s="68"/>
      <c r="O59" s="68"/>
      <c r="P59" s="68"/>
      <c r="Q59" s="69"/>
      <c r="R59" s="69"/>
      <c r="S59" s="69"/>
      <c r="T59" s="65">
        <f>(T16*$AS16)</f>
        <v>7763.7560000000003</v>
      </c>
      <c r="U59" s="65"/>
      <c r="V59" s="70"/>
      <c r="W59" s="70">
        <f>(W16*$AS16)</f>
        <v>2717.3146000000002</v>
      </c>
      <c r="X59" s="70"/>
      <c r="Y59" s="65"/>
      <c r="Z59" s="65">
        <f>(Z16*$AS16)</f>
        <v>0</v>
      </c>
      <c r="AA59" s="65"/>
      <c r="AB59" s="70"/>
      <c r="AC59" s="70">
        <f>(AC16*$AS16)</f>
        <v>0</v>
      </c>
      <c r="AD59" s="70"/>
      <c r="AE59" s="65"/>
      <c r="AF59" s="65">
        <f>(AF16*$AS16)</f>
        <v>3571.3277599999997</v>
      </c>
      <c r="AG59" s="65"/>
      <c r="AH59" s="65"/>
      <c r="AI59" s="65">
        <f>AI16</f>
        <v>0</v>
      </c>
      <c r="AJ59" s="65"/>
      <c r="AK59" s="77"/>
      <c r="AL59" s="65">
        <f>(AL16/52*$AS16)</f>
        <v>5972.12</v>
      </c>
      <c r="AM59" s="65"/>
      <c r="AN59" s="65"/>
      <c r="AO59" s="65">
        <f>(AO16*$AS16)</f>
        <v>0</v>
      </c>
      <c r="AP59" s="65"/>
      <c r="AQ59" s="56"/>
      <c r="AR59" s="65">
        <f>AR16</f>
        <v>60017.880000000005</v>
      </c>
      <c r="AS59" s="65">
        <f t="shared" ref="AS59:AT59" si="433">AS16</f>
        <v>77637.56</v>
      </c>
      <c r="AT59" s="65">
        <f t="shared" si="433"/>
        <v>95257.239999999991</v>
      </c>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row>
    <row r="60" spans="1:76" s="64" customFormat="1" x14ac:dyDescent="0.2">
      <c r="A60" s="45" t="s">
        <v>74</v>
      </c>
      <c r="B60" s="46" t="s">
        <v>40</v>
      </c>
      <c r="C60" s="54"/>
      <c r="D60" s="45"/>
      <c r="E60" s="55"/>
      <c r="F60" s="45"/>
      <c r="G60" s="45"/>
      <c r="H60" s="56"/>
      <c r="I60" s="56"/>
      <c r="J60" s="56"/>
      <c r="K60" s="65">
        <f t="shared" ref="K60:K63" si="434">(K17*$AS17)</f>
        <v>11318.9648</v>
      </c>
      <c r="L60" s="65"/>
      <c r="M60" s="65"/>
      <c r="N60" s="68"/>
      <c r="O60" s="68"/>
      <c r="P60" s="68"/>
      <c r="Q60" s="69"/>
      <c r="R60" s="69"/>
      <c r="S60" s="69"/>
      <c r="T60" s="65">
        <f t="shared" ref="T60:AF63" si="435">(T17*$AS17)</f>
        <v>10289.968000000001</v>
      </c>
      <c r="U60" s="65"/>
      <c r="V60" s="70"/>
      <c r="W60" s="70">
        <f t="shared" si="435"/>
        <v>3601.4888000000001</v>
      </c>
      <c r="X60" s="70"/>
      <c r="Y60" s="65"/>
      <c r="Z60" s="65">
        <f t="shared" si="435"/>
        <v>0</v>
      </c>
      <c r="AA60" s="65"/>
      <c r="AB60" s="70"/>
      <c r="AC60" s="70">
        <f t="shared" si="435"/>
        <v>0</v>
      </c>
      <c r="AD60" s="70"/>
      <c r="AE60" s="65"/>
      <c r="AF60" s="65">
        <f t="shared" si="435"/>
        <v>4733.3852799999995</v>
      </c>
      <c r="AG60" s="65"/>
      <c r="AH60" s="65"/>
      <c r="AI60" s="65">
        <f t="shared" ref="AI60:AI63" si="436">AI17</f>
        <v>0</v>
      </c>
      <c r="AJ60" s="65"/>
      <c r="AK60" s="77"/>
      <c r="AL60" s="65">
        <f t="shared" ref="AL60:AL63" si="437">(AL17/52*$AS17)</f>
        <v>7915.36</v>
      </c>
      <c r="AM60" s="65"/>
      <c r="AN60" s="65"/>
      <c r="AO60" s="65">
        <f t="shared" ref="AO60:AO63" si="438">(AO17*$AS17)</f>
        <v>18007.443999999996</v>
      </c>
      <c r="AP60" s="65"/>
      <c r="AQ60" s="56"/>
      <c r="AR60" s="65">
        <f t="shared" ref="AR60:AT63" si="439">AR17</f>
        <v>67224.039999999994</v>
      </c>
      <c r="AS60" s="65">
        <f t="shared" si="439"/>
        <v>102899.68</v>
      </c>
      <c r="AT60" s="65">
        <f t="shared" si="439"/>
        <v>138575.32</v>
      </c>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row>
    <row r="61" spans="1:76" s="64" customFormat="1" x14ac:dyDescent="0.2">
      <c r="A61" s="45" t="s">
        <v>74</v>
      </c>
      <c r="B61" s="46" t="s">
        <v>47</v>
      </c>
      <c r="C61" s="54"/>
      <c r="D61" s="45"/>
      <c r="E61" s="55"/>
      <c r="F61" s="45"/>
      <c r="G61" s="45"/>
      <c r="H61" s="56"/>
      <c r="I61" s="56"/>
      <c r="J61" s="56"/>
      <c r="K61" s="65">
        <f t="shared" si="434"/>
        <v>6373.7387999999992</v>
      </c>
      <c r="L61" s="65"/>
      <c r="M61" s="65"/>
      <c r="N61" s="68"/>
      <c r="O61" s="68"/>
      <c r="P61" s="68"/>
      <c r="Q61" s="69"/>
      <c r="R61" s="69"/>
      <c r="S61" s="69"/>
      <c r="T61" s="65">
        <f t="shared" si="435"/>
        <v>5794.308</v>
      </c>
      <c r="U61" s="65"/>
      <c r="V61" s="70"/>
      <c r="W61" s="70">
        <f t="shared" si="435"/>
        <v>2028.0078000000001</v>
      </c>
      <c r="X61" s="70"/>
      <c r="Y61" s="65"/>
      <c r="Z61" s="65">
        <f t="shared" si="435"/>
        <v>0</v>
      </c>
      <c r="AA61" s="65"/>
      <c r="AB61" s="70"/>
      <c r="AC61" s="70">
        <f t="shared" si="435"/>
        <v>0</v>
      </c>
      <c r="AD61" s="70"/>
      <c r="AE61" s="65"/>
      <c r="AF61" s="65">
        <f t="shared" si="435"/>
        <v>2665.3816799999995</v>
      </c>
      <c r="AG61" s="65"/>
      <c r="AH61" s="65"/>
      <c r="AI61" s="65">
        <f t="shared" si="436"/>
        <v>0</v>
      </c>
      <c r="AJ61" s="65"/>
      <c r="AK61" s="77"/>
      <c r="AL61" s="65">
        <f t="shared" si="437"/>
        <v>4457.16</v>
      </c>
      <c r="AM61" s="65"/>
      <c r="AN61" s="65"/>
      <c r="AO61" s="65">
        <f t="shared" si="438"/>
        <v>0</v>
      </c>
      <c r="AP61" s="65"/>
      <c r="AQ61" s="56"/>
      <c r="AR61" s="65">
        <f t="shared" si="439"/>
        <v>48181.119999999995</v>
      </c>
      <c r="AS61" s="65">
        <f t="shared" si="439"/>
        <v>57943.079999999994</v>
      </c>
      <c r="AT61" s="65">
        <f t="shared" si="439"/>
        <v>67705.039999999994</v>
      </c>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row>
    <row r="62" spans="1:76" s="64" customFormat="1" x14ac:dyDescent="0.2">
      <c r="A62" s="45" t="s">
        <v>74</v>
      </c>
      <c r="B62" s="46" t="s">
        <v>50</v>
      </c>
      <c r="C62" s="54"/>
      <c r="D62" s="45"/>
      <c r="E62" s="55"/>
      <c r="F62" s="45"/>
      <c r="G62" s="45"/>
      <c r="H62" s="56"/>
      <c r="I62" s="56"/>
      <c r="J62" s="56"/>
      <c r="K62" s="65">
        <f t="shared" si="434"/>
        <v>9947.7950000000001</v>
      </c>
      <c r="L62" s="65"/>
      <c r="M62" s="65"/>
      <c r="N62" s="68"/>
      <c r="O62" s="68"/>
      <c r="P62" s="68"/>
      <c r="Q62" s="69"/>
      <c r="R62" s="69"/>
      <c r="S62" s="69"/>
      <c r="T62" s="65">
        <f t="shared" si="435"/>
        <v>9043.4500000000007</v>
      </c>
      <c r="U62" s="65"/>
      <c r="V62" s="70"/>
      <c r="W62" s="70">
        <f t="shared" si="435"/>
        <v>3165.2075000000004</v>
      </c>
      <c r="X62" s="70"/>
      <c r="Y62" s="65"/>
      <c r="Z62" s="65">
        <f t="shared" si="435"/>
        <v>0</v>
      </c>
      <c r="AA62" s="65"/>
      <c r="AB62" s="70"/>
      <c r="AC62" s="70">
        <f t="shared" si="435"/>
        <v>0</v>
      </c>
      <c r="AD62" s="70"/>
      <c r="AE62" s="65"/>
      <c r="AF62" s="65">
        <f t="shared" si="435"/>
        <v>4159.9870000000001</v>
      </c>
      <c r="AG62" s="65"/>
      <c r="AH62" s="65"/>
      <c r="AI62" s="65">
        <f t="shared" si="436"/>
        <v>0</v>
      </c>
      <c r="AJ62" s="65"/>
      <c r="AK62" s="77"/>
      <c r="AL62" s="65">
        <f t="shared" si="437"/>
        <v>6956.5</v>
      </c>
      <c r="AM62" s="65"/>
      <c r="AN62" s="65"/>
      <c r="AO62" s="65">
        <f t="shared" si="438"/>
        <v>15826.037499999999</v>
      </c>
      <c r="AP62" s="65"/>
      <c r="AQ62" s="56"/>
      <c r="AR62" s="65">
        <f t="shared" si="439"/>
        <v>66106</v>
      </c>
      <c r="AS62" s="65">
        <f t="shared" si="439"/>
        <v>90434.5</v>
      </c>
      <c r="AT62" s="65">
        <f t="shared" si="439"/>
        <v>114763</v>
      </c>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row>
    <row r="63" spans="1:76" s="64" customFormat="1" x14ac:dyDescent="0.2">
      <c r="A63" s="45" t="s">
        <v>74</v>
      </c>
      <c r="B63" s="46" t="s">
        <v>55</v>
      </c>
      <c r="C63" s="54"/>
      <c r="D63" s="45"/>
      <c r="E63" s="55"/>
      <c r="F63" s="45"/>
      <c r="G63" s="45"/>
      <c r="H63" s="56"/>
      <c r="I63" s="56"/>
      <c r="J63" s="56"/>
      <c r="K63" s="65">
        <f t="shared" si="434"/>
        <v>23155.99</v>
      </c>
      <c r="L63" s="65"/>
      <c r="M63" s="65"/>
      <c r="N63" s="68"/>
      <c r="O63" s="68"/>
      <c r="P63" s="68"/>
      <c r="Q63" s="69"/>
      <c r="R63" s="69"/>
      <c r="S63" s="69"/>
      <c r="T63" s="65">
        <f t="shared" si="435"/>
        <v>0</v>
      </c>
      <c r="U63" s="65"/>
      <c r="V63" s="70"/>
      <c r="W63" s="70">
        <f t="shared" si="435"/>
        <v>7367.8150000000005</v>
      </c>
      <c r="X63" s="70"/>
      <c r="Y63" s="65"/>
      <c r="Z63" s="65">
        <f t="shared" si="435"/>
        <v>21050.9</v>
      </c>
      <c r="AA63" s="65"/>
      <c r="AB63" s="70"/>
      <c r="AC63" s="70">
        <f t="shared" si="435"/>
        <v>36628.565999999999</v>
      </c>
      <c r="AD63" s="70"/>
      <c r="AE63" s="65"/>
      <c r="AF63" s="65">
        <f t="shared" si="435"/>
        <v>9683.4140000000007</v>
      </c>
      <c r="AG63" s="65"/>
      <c r="AH63" s="65"/>
      <c r="AI63" s="65">
        <f t="shared" si="436"/>
        <v>38000</v>
      </c>
      <c r="AJ63" s="65"/>
      <c r="AK63" s="77"/>
      <c r="AL63" s="65">
        <f t="shared" si="437"/>
        <v>20241.25</v>
      </c>
      <c r="AM63" s="65"/>
      <c r="AN63" s="65"/>
      <c r="AO63" s="65">
        <f t="shared" si="438"/>
        <v>36839.074999999997</v>
      </c>
      <c r="AP63" s="65"/>
      <c r="AQ63" s="56"/>
      <c r="AR63" s="65">
        <f t="shared" si="439"/>
        <v>179078</v>
      </c>
      <c r="AS63" s="65">
        <f t="shared" si="439"/>
        <v>210509</v>
      </c>
      <c r="AT63" s="65">
        <f t="shared" si="439"/>
        <v>241940</v>
      </c>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row>
    <row r="64" spans="1:76" s="64" customFormat="1" x14ac:dyDescent="0.2">
      <c r="A64" s="45"/>
      <c r="B64" s="46"/>
      <c r="C64" s="54"/>
      <c r="D64" s="45"/>
      <c r="E64" s="55"/>
      <c r="F64" s="45"/>
      <c r="G64" s="45"/>
      <c r="H64" s="56"/>
      <c r="I64" s="56"/>
      <c r="J64" s="56"/>
      <c r="K64" s="70"/>
      <c r="L64" s="70"/>
      <c r="M64" s="70"/>
      <c r="N64" s="68"/>
      <c r="O64" s="68"/>
      <c r="P64" s="68"/>
      <c r="Q64" s="69"/>
      <c r="R64" s="69"/>
      <c r="S64" s="69"/>
      <c r="T64" s="69"/>
      <c r="U64" s="69"/>
      <c r="V64" s="70"/>
      <c r="W64" s="70"/>
      <c r="X64" s="70"/>
      <c r="Y64" s="69"/>
      <c r="Z64" s="71"/>
      <c r="AA64" s="71"/>
      <c r="AB64" s="70"/>
      <c r="AC64" s="70"/>
      <c r="AD64" s="70"/>
      <c r="AE64" s="69"/>
      <c r="AF64" s="69"/>
      <c r="AG64" s="69"/>
      <c r="AH64" s="69"/>
      <c r="AI64" s="67"/>
      <c r="AJ64" s="67"/>
      <c r="AK64" s="77"/>
      <c r="AL64" s="56"/>
      <c r="AM64" s="56"/>
      <c r="AN64" s="56"/>
      <c r="AO64" s="69"/>
      <c r="AP64" s="69"/>
      <c r="AQ64" s="56"/>
      <c r="AR64" s="65"/>
      <c r="AS64" s="65"/>
      <c r="AT64" s="65"/>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row>
    <row r="65" spans="1:76" s="64" customFormat="1" x14ac:dyDescent="0.2">
      <c r="A65" s="45" t="s">
        <v>82</v>
      </c>
      <c r="B65" s="46" t="s">
        <v>33</v>
      </c>
      <c r="C65" s="54"/>
      <c r="D65" s="45"/>
      <c r="E65" s="55"/>
      <c r="F65" s="45"/>
      <c r="G65" s="45"/>
      <c r="H65" s="56"/>
      <c r="I65" s="56"/>
      <c r="J65" s="56"/>
      <c r="K65" s="65">
        <f>(K22*$AS22)</f>
        <v>7721.56</v>
      </c>
      <c r="L65" s="65"/>
      <c r="M65" s="65"/>
      <c r="N65" s="68"/>
      <c r="O65" s="68"/>
      <c r="P65" s="68"/>
      <c r="Q65" s="69"/>
      <c r="R65" s="69"/>
      <c r="S65" s="69"/>
      <c r="T65" s="65">
        <f>(T22*$AS22)</f>
        <v>7019.6</v>
      </c>
      <c r="U65" s="65"/>
      <c r="V65" s="70"/>
      <c r="W65" s="70">
        <f>(W22*$AS22)</f>
        <v>2456.86</v>
      </c>
      <c r="X65" s="70"/>
      <c r="Y65" s="65"/>
      <c r="Z65" s="65">
        <f>(Z22*$AS22)</f>
        <v>0</v>
      </c>
      <c r="AA65" s="65"/>
      <c r="AB65" s="70"/>
      <c r="AC65" s="70">
        <f>(AC22*$AS22)</f>
        <v>0</v>
      </c>
      <c r="AD65" s="70"/>
      <c r="AE65" s="65"/>
      <c r="AF65" s="65">
        <f>(AF22*$AS22)</f>
        <v>3229.0160000000001</v>
      </c>
      <c r="AG65" s="65"/>
      <c r="AH65" s="65"/>
      <c r="AI65" s="65">
        <f>AI22</f>
        <v>1826</v>
      </c>
      <c r="AJ65" s="65"/>
      <c r="AK65" s="77"/>
      <c r="AL65" s="65">
        <f>(AL22/52*$AS22)</f>
        <v>5399.6923076923076</v>
      </c>
      <c r="AM65" s="65"/>
      <c r="AN65" s="65"/>
      <c r="AO65" s="65">
        <f>(AO22*$AS22)</f>
        <v>0</v>
      </c>
      <c r="AP65" s="65"/>
      <c r="AQ65" s="56"/>
      <c r="AR65" s="65">
        <f>AR22</f>
        <v>48552</v>
      </c>
      <c r="AS65" s="65">
        <f t="shared" ref="AS65:AT65" si="440">AS22</f>
        <v>70196</v>
      </c>
      <c r="AT65" s="65">
        <f t="shared" si="440"/>
        <v>91840</v>
      </c>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row>
    <row r="66" spans="1:76" s="64" customFormat="1" x14ac:dyDescent="0.2">
      <c r="A66" s="45" t="s">
        <v>82</v>
      </c>
      <c r="B66" s="46" t="s">
        <v>40</v>
      </c>
      <c r="C66" s="54"/>
      <c r="D66" s="45"/>
      <c r="E66" s="55"/>
      <c r="F66" s="45"/>
      <c r="G66" s="45"/>
      <c r="H66" s="56"/>
      <c r="I66" s="56"/>
      <c r="J66" s="56"/>
      <c r="K66" s="65">
        <f t="shared" ref="K66:K69" si="441">(K23*$AS23)</f>
        <v>11473.385</v>
      </c>
      <c r="L66" s="65"/>
      <c r="M66" s="65"/>
      <c r="N66" s="68"/>
      <c r="O66" s="68"/>
      <c r="P66" s="68"/>
      <c r="Q66" s="69"/>
      <c r="R66" s="69"/>
      <c r="S66" s="69"/>
      <c r="T66" s="65">
        <f t="shared" ref="T66:AF69" si="442">(T23*$AS23)</f>
        <v>10430.35</v>
      </c>
      <c r="U66" s="65"/>
      <c r="V66" s="70"/>
      <c r="W66" s="70">
        <f t="shared" si="442"/>
        <v>3650.6225000000004</v>
      </c>
      <c r="X66" s="70"/>
      <c r="Y66" s="65"/>
      <c r="Z66" s="65">
        <f t="shared" si="442"/>
        <v>0</v>
      </c>
      <c r="AA66" s="65"/>
      <c r="AB66" s="70"/>
      <c r="AC66" s="70">
        <f t="shared" si="442"/>
        <v>0</v>
      </c>
      <c r="AD66" s="70"/>
      <c r="AE66" s="65"/>
      <c r="AF66" s="65">
        <f t="shared" si="442"/>
        <v>4797.9610000000002</v>
      </c>
      <c r="AG66" s="65"/>
      <c r="AH66" s="65"/>
      <c r="AI66" s="65">
        <f t="shared" ref="AI66:AI69" si="443">AI23</f>
        <v>1826</v>
      </c>
      <c r="AJ66" s="65"/>
      <c r="AK66" s="77"/>
      <c r="AL66" s="65">
        <f t="shared" ref="AL66:AL69" si="444">(AL23/52*$AS23)</f>
        <v>8023.3461538461543</v>
      </c>
      <c r="AM66" s="65"/>
      <c r="AN66" s="65"/>
      <c r="AO66" s="65">
        <f t="shared" ref="AO66:AO69" si="445">(AO23*$AS23)</f>
        <v>0</v>
      </c>
      <c r="AP66" s="65"/>
      <c r="AQ66" s="56"/>
      <c r="AR66" s="65">
        <f t="shared" ref="AR66:AT69" si="446">AR23</f>
        <v>69031</v>
      </c>
      <c r="AS66" s="65">
        <f t="shared" si="446"/>
        <v>104303.5</v>
      </c>
      <c r="AT66" s="65">
        <f t="shared" si="446"/>
        <v>139576</v>
      </c>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row>
    <row r="67" spans="1:76" s="64" customFormat="1" x14ac:dyDescent="0.2">
      <c r="A67" s="45" t="s">
        <v>82</v>
      </c>
      <c r="B67" s="46" t="s">
        <v>47</v>
      </c>
      <c r="C67" s="54"/>
      <c r="D67" s="45"/>
      <c r="E67" s="55"/>
      <c r="F67" s="45"/>
      <c r="G67" s="45"/>
      <c r="H67" s="56"/>
      <c r="I67" s="56"/>
      <c r="J67" s="56"/>
      <c r="K67" s="65">
        <f t="shared" si="441"/>
        <v>7018.2749999999996</v>
      </c>
      <c r="L67" s="65"/>
      <c r="M67" s="65"/>
      <c r="N67" s="68"/>
      <c r="O67" s="68"/>
      <c r="P67" s="68"/>
      <c r="Q67" s="69"/>
      <c r="R67" s="69"/>
      <c r="S67" s="69"/>
      <c r="T67" s="65">
        <f t="shared" si="442"/>
        <v>6380.25</v>
      </c>
      <c r="U67" s="65"/>
      <c r="V67" s="70"/>
      <c r="W67" s="70">
        <f t="shared" si="442"/>
        <v>2233.0875000000001</v>
      </c>
      <c r="X67" s="70"/>
      <c r="Y67" s="65"/>
      <c r="Z67" s="65">
        <f t="shared" si="442"/>
        <v>0</v>
      </c>
      <c r="AA67" s="65"/>
      <c r="AB67" s="70"/>
      <c r="AC67" s="70">
        <f t="shared" si="442"/>
        <v>0</v>
      </c>
      <c r="AD67" s="70"/>
      <c r="AE67" s="65"/>
      <c r="AF67" s="65">
        <f t="shared" si="442"/>
        <v>2934.915</v>
      </c>
      <c r="AG67" s="65"/>
      <c r="AH67" s="65"/>
      <c r="AI67" s="65">
        <f t="shared" si="443"/>
        <v>1826</v>
      </c>
      <c r="AJ67" s="65"/>
      <c r="AK67" s="77"/>
      <c r="AL67" s="65">
        <f t="shared" si="444"/>
        <v>4907.8846153846152</v>
      </c>
      <c r="AM67" s="65"/>
      <c r="AN67" s="65"/>
      <c r="AO67" s="65">
        <f t="shared" si="445"/>
        <v>0</v>
      </c>
      <c r="AP67" s="65"/>
      <c r="AQ67" s="56"/>
      <c r="AR67" s="65">
        <f t="shared" si="446"/>
        <v>47704</v>
      </c>
      <c r="AS67" s="65">
        <f t="shared" si="446"/>
        <v>63802.5</v>
      </c>
      <c r="AT67" s="65">
        <f t="shared" si="446"/>
        <v>79901</v>
      </c>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row>
    <row r="68" spans="1:76" s="64" customFormat="1" x14ac:dyDescent="0.2">
      <c r="A68" s="45" t="s">
        <v>82</v>
      </c>
      <c r="B68" s="46" t="s">
        <v>50</v>
      </c>
      <c r="C68" s="54"/>
      <c r="D68" s="45"/>
      <c r="E68" s="55"/>
      <c r="F68" s="45"/>
      <c r="G68" s="45"/>
      <c r="H68" s="56"/>
      <c r="I68" s="56"/>
      <c r="J68" s="56"/>
      <c r="K68" s="65">
        <f t="shared" si="441"/>
        <v>11473.385</v>
      </c>
      <c r="L68" s="65"/>
      <c r="M68" s="65"/>
      <c r="N68" s="68"/>
      <c r="O68" s="68"/>
      <c r="P68" s="68"/>
      <c r="Q68" s="69"/>
      <c r="R68" s="69"/>
      <c r="S68" s="69"/>
      <c r="T68" s="65">
        <f t="shared" si="442"/>
        <v>10430.35</v>
      </c>
      <c r="U68" s="65"/>
      <c r="V68" s="70"/>
      <c r="W68" s="70">
        <f t="shared" si="442"/>
        <v>3650.6225000000004</v>
      </c>
      <c r="X68" s="70"/>
      <c r="Y68" s="65"/>
      <c r="Z68" s="65">
        <f t="shared" si="442"/>
        <v>0</v>
      </c>
      <c r="AA68" s="65"/>
      <c r="AB68" s="70"/>
      <c r="AC68" s="70">
        <f t="shared" si="442"/>
        <v>0</v>
      </c>
      <c r="AD68" s="70"/>
      <c r="AE68" s="65"/>
      <c r="AF68" s="65">
        <f t="shared" si="442"/>
        <v>4797.9610000000002</v>
      </c>
      <c r="AG68" s="65"/>
      <c r="AH68" s="65"/>
      <c r="AI68" s="65">
        <f t="shared" si="443"/>
        <v>1826</v>
      </c>
      <c r="AJ68" s="65"/>
      <c r="AK68" s="77"/>
      <c r="AL68" s="65">
        <f t="shared" si="444"/>
        <v>8023.3461538461543</v>
      </c>
      <c r="AM68" s="65"/>
      <c r="AN68" s="65"/>
      <c r="AO68" s="65">
        <f t="shared" si="445"/>
        <v>0</v>
      </c>
      <c r="AP68" s="65"/>
      <c r="AQ68" s="56"/>
      <c r="AR68" s="65">
        <f t="shared" si="446"/>
        <v>69031</v>
      </c>
      <c r="AS68" s="65">
        <f t="shared" si="446"/>
        <v>104303.5</v>
      </c>
      <c r="AT68" s="65">
        <f t="shared" si="446"/>
        <v>139576</v>
      </c>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row>
    <row r="69" spans="1:76" s="64" customFormat="1" x14ac:dyDescent="0.2">
      <c r="A69" s="45" t="s">
        <v>82</v>
      </c>
      <c r="B69" s="46" t="s">
        <v>55</v>
      </c>
      <c r="C69" s="54"/>
      <c r="D69" s="45"/>
      <c r="E69" s="55"/>
      <c r="F69" s="45"/>
      <c r="G69" s="45"/>
      <c r="H69" s="56"/>
      <c r="I69" s="56"/>
      <c r="J69" s="56"/>
      <c r="K69" s="65">
        <f t="shared" si="441"/>
        <v>24832.28</v>
      </c>
      <c r="L69" s="65"/>
      <c r="M69" s="65"/>
      <c r="N69" s="68"/>
      <c r="O69" s="68"/>
      <c r="P69" s="68"/>
      <c r="Q69" s="69"/>
      <c r="R69" s="69"/>
      <c r="S69" s="69"/>
      <c r="T69" s="65">
        <f t="shared" si="442"/>
        <v>0</v>
      </c>
      <c r="U69" s="65"/>
      <c r="V69" s="70"/>
      <c r="W69" s="70">
        <f t="shared" si="442"/>
        <v>7901.1800000000012</v>
      </c>
      <c r="X69" s="70"/>
      <c r="Y69" s="65"/>
      <c r="Z69" s="65">
        <f t="shared" si="442"/>
        <v>22574.800000000003</v>
      </c>
      <c r="AA69" s="65"/>
      <c r="AB69" s="70"/>
      <c r="AC69" s="70">
        <f t="shared" si="442"/>
        <v>112874</v>
      </c>
      <c r="AD69" s="70"/>
      <c r="AE69" s="65"/>
      <c r="AF69" s="65">
        <f t="shared" si="442"/>
        <v>10384.407999999999</v>
      </c>
      <c r="AG69" s="65"/>
      <c r="AH69" s="65"/>
      <c r="AI69" s="65">
        <f t="shared" si="443"/>
        <v>21500</v>
      </c>
      <c r="AJ69" s="65"/>
      <c r="AK69" s="77"/>
      <c r="AL69" s="65">
        <f t="shared" si="444"/>
        <v>17365.23076923077</v>
      </c>
      <c r="AM69" s="65"/>
      <c r="AN69" s="65"/>
      <c r="AO69" s="65">
        <f t="shared" si="445"/>
        <v>0</v>
      </c>
      <c r="AP69" s="65"/>
      <c r="AQ69" s="56"/>
      <c r="AR69" s="65">
        <f t="shared" si="446"/>
        <v>189406</v>
      </c>
      <c r="AS69" s="65">
        <f t="shared" si="446"/>
        <v>225748</v>
      </c>
      <c r="AT69" s="65">
        <f t="shared" si="446"/>
        <v>262090</v>
      </c>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row>
    <row r="70" spans="1:76" s="64" customFormat="1" x14ac:dyDescent="0.2">
      <c r="A70" s="45"/>
      <c r="B70" s="46"/>
      <c r="C70" s="54"/>
      <c r="D70" s="45"/>
      <c r="E70" s="55"/>
      <c r="F70" s="45"/>
      <c r="G70" s="45"/>
      <c r="H70" s="56"/>
      <c r="I70" s="56"/>
      <c r="J70" s="56"/>
      <c r="K70" s="70"/>
      <c r="L70" s="70"/>
      <c r="M70" s="70"/>
      <c r="N70" s="68"/>
      <c r="O70" s="68"/>
      <c r="P70" s="68"/>
      <c r="Q70" s="69"/>
      <c r="R70" s="69"/>
      <c r="S70" s="69"/>
      <c r="T70" s="69"/>
      <c r="U70" s="69"/>
      <c r="V70" s="70"/>
      <c r="W70" s="70"/>
      <c r="X70" s="70"/>
      <c r="Y70" s="69"/>
      <c r="Z70" s="71"/>
      <c r="AA70" s="71"/>
      <c r="AB70" s="70"/>
      <c r="AC70" s="70"/>
      <c r="AD70" s="70"/>
      <c r="AE70" s="69"/>
      <c r="AF70" s="69"/>
      <c r="AG70" s="69"/>
      <c r="AH70" s="69"/>
      <c r="AI70" s="67"/>
      <c r="AJ70" s="67"/>
      <c r="AK70" s="77"/>
      <c r="AL70" s="56"/>
      <c r="AM70" s="56"/>
      <c r="AN70" s="56"/>
      <c r="AO70" s="69"/>
      <c r="AP70" s="69"/>
      <c r="AQ70" s="56"/>
      <c r="AR70" s="65"/>
      <c r="AS70" s="65"/>
      <c r="AT70" s="65"/>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row>
    <row r="71" spans="1:76" s="64" customFormat="1" x14ac:dyDescent="0.2">
      <c r="A71" s="45" t="s">
        <v>88</v>
      </c>
      <c r="B71" s="46" t="s">
        <v>33</v>
      </c>
      <c r="C71" s="54"/>
      <c r="D71" s="45"/>
      <c r="E71" s="55"/>
      <c r="F71" s="45"/>
      <c r="G71" s="45"/>
      <c r="H71" s="56"/>
      <c r="I71" s="56"/>
      <c r="J71" s="56"/>
      <c r="K71" s="65">
        <f>(K28*$AS28)</f>
        <v>7850.4800000000005</v>
      </c>
      <c r="L71" s="65"/>
      <c r="M71" s="65"/>
      <c r="N71" s="68"/>
      <c r="O71" s="68"/>
      <c r="P71" s="68"/>
      <c r="Q71" s="69"/>
      <c r="R71" s="69"/>
      <c r="S71" s="69"/>
      <c r="T71" s="65">
        <f>(T28*$AS28)</f>
        <v>7136.8</v>
      </c>
      <c r="U71" s="65"/>
      <c r="V71" s="70"/>
      <c r="W71" s="70">
        <f>(W28*$AS28)</f>
        <v>2497.88</v>
      </c>
      <c r="X71" s="70"/>
      <c r="Y71" s="65"/>
      <c r="Z71" s="65">
        <f>(Z28*$AS28)</f>
        <v>0</v>
      </c>
      <c r="AA71" s="65"/>
      <c r="AB71" s="70"/>
      <c r="AC71" s="70">
        <f>(AC28*$AS28)</f>
        <v>0</v>
      </c>
      <c r="AD71" s="70"/>
      <c r="AE71" s="65"/>
      <c r="AF71" s="65">
        <f>(AF28*$AS28)</f>
        <v>3282.9279999999999</v>
      </c>
      <c r="AG71" s="65"/>
      <c r="AH71" s="65"/>
      <c r="AI71" s="65">
        <f>AI28</f>
        <v>0</v>
      </c>
      <c r="AJ71" s="65"/>
      <c r="AK71" s="77"/>
      <c r="AL71" s="65">
        <f>(AL28/52*$AS28)</f>
        <v>5489.8461538461543</v>
      </c>
      <c r="AM71" s="65"/>
      <c r="AN71" s="65"/>
      <c r="AO71" s="65">
        <f>(AO28*$AS28)</f>
        <v>14273.6</v>
      </c>
      <c r="AP71" s="65"/>
      <c r="AQ71" s="56"/>
      <c r="AR71" s="65">
        <f>AR28</f>
        <v>57579</v>
      </c>
      <c r="AS71" s="65">
        <f t="shared" ref="AS71:AT71" si="447">AS28</f>
        <v>71368</v>
      </c>
      <c r="AT71" s="65">
        <f t="shared" si="447"/>
        <v>85157</v>
      </c>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row>
    <row r="72" spans="1:76" s="64" customFormat="1" x14ac:dyDescent="0.2">
      <c r="A72" s="45" t="s">
        <v>88</v>
      </c>
      <c r="B72" s="46" t="s">
        <v>40</v>
      </c>
      <c r="C72" s="54"/>
      <c r="D72" s="45"/>
      <c r="E72" s="55"/>
      <c r="F72" s="45"/>
      <c r="G72" s="45"/>
      <c r="H72" s="56"/>
      <c r="I72" s="56"/>
      <c r="J72" s="56"/>
      <c r="K72" s="65">
        <f t="shared" ref="K72:K75" si="448">(K29*$AS29)</f>
        <v>11994.51</v>
      </c>
      <c r="L72" s="65"/>
      <c r="M72" s="65"/>
      <c r="N72" s="68"/>
      <c r="O72" s="68"/>
      <c r="P72" s="68"/>
      <c r="Q72" s="69"/>
      <c r="R72" s="69"/>
      <c r="S72" s="69"/>
      <c r="T72" s="65">
        <f t="shared" ref="T72:AF75" si="449">(T29*$AS29)</f>
        <v>10904.1</v>
      </c>
      <c r="U72" s="65"/>
      <c r="V72" s="70"/>
      <c r="W72" s="70">
        <f t="shared" si="449"/>
        <v>3816.4350000000004</v>
      </c>
      <c r="X72" s="70"/>
      <c r="Y72" s="65"/>
      <c r="Z72" s="65">
        <f t="shared" si="449"/>
        <v>0</v>
      </c>
      <c r="AA72" s="65"/>
      <c r="AB72" s="70"/>
      <c r="AC72" s="70">
        <f t="shared" si="449"/>
        <v>0</v>
      </c>
      <c r="AD72" s="70"/>
      <c r="AE72" s="65"/>
      <c r="AF72" s="65">
        <f t="shared" si="449"/>
        <v>5015.8859999999995</v>
      </c>
      <c r="AG72" s="65"/>
      <c r="AH72" s="65"/>
      <c r="AI72" s="65">
        <f t="shared" ref="AI72:AI75" si="450">AI29</f>
        <v>0</v>
      </c>
      <c r="AJ72" s="65"/>
      <c r="AK72" s="77"/>
      <c r="AL72" s="65">
        <f t="shared" ref="AL72:AL75" si="451">(AL29/52*$AS29)</f>
        <v>8387.7692307692305</v>
      </c>
      <c r="AM72" s="65"/>
      <c r="AN72" s="65"/>
      <c r="AO72" s="65">
        <f t="shared" ref="AO72:AO75" si="452">(AO29*$AS29)</f>
        <v>21808.2</v>
      </c>
      <c r="AP72" s="65"/>
      <c r="AQ72" s="56"/>
      <c r="AR72" s="65">
        <f t="shared" ref="AR72:AT75" si="453">AR29</f>
        <v>77833</v>
      </c>
      <c r="AS72" s="65">
        <f t="shared" si="453"/>
        <v>109041</v>
      </c>
      <c r="AT72" s="65">
        <f t="shared" si="453"/>
        <v>140249</v>
      </c>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row>
    <row r="73" spans="1:76" s="64" customFormat="1" x14ac:dyDescent="0.2">
      <c r="A73" s="45" t="s">
        <v>88</v>
      </c>
      <c r="B73" s="46" t="s">
        <v>47</v>
      </c>
      <c r="C73" s="54"/>
      <c r="D73" s="45"/>
      <c r="E73" s="55"/>
      <c r="F73" s="45"/>
      <c r="G73" s="45"/>
      <c r="H73" s="56"/>
      <c r="I73" s="56"/>
      <c r="J73" s="56"/>
      <c r="K73" s="65">
        <f t="shared" si="448"/>
        <v>6964.54</v>
      </c>
      <c r="L73" s="65"/>
      <c r="M73" s="65"/>
      <c r="N73" s="68"/>
      <c r="O73" s="68"/>
      <c r="P73" s="68"/>
      <c r="Q73" s="69"/>
      <c r="R73" s="69"/>
      <c r="S73" s="69"/>
      <c r="T73" s="65">
        <f t="shared" si="449"/>
        <v>6331.4000000000005</v>
      </c>
      <c r="U73" s="65"/>
      <c r="V73" s="70"/>
      <c r="W73" s="70">
        <f t="shared" si="449"/>
        <v>2215.9900000000002</v>
      </c>
      <c r="X73" s="70"/>
      <c r="Y73" s="65"/>
      <c r="Z73" s="65">
        <f t="shared" si="449"/>
        <v>0</v>
      </c>
      <c r="AA73" s="65"/>
      <c r="AB73" s="70"/>
      <c r="AC73" s="70">
        <f t="shared" si="449"/>
        <v>0</v>
      </c>
      <c r="AD73" s="70"/>
      <c r="AE73" s="65"/>
      <c r="AF73" s="65">
        <f t="shared" si="449"/>
        <v>2912.444</v>
      </c>
      <c r="AG73" s="65"/>
      <c r="AH73" s="65"/>
      <c r="AI73" s="65">
        <f t="shared" si="450"/>
        <v>0</v>
      </c>
      <c r="AJ73" s="65"/>
      <c r="AK73" s="77"/>
      <c r="AL73" s="65">
        <f t="shared" si="451"/>
        <v>4870.3076923076924</v>
      </c>
      <c r="AM73" s="65"/>
      <c r="AN73" s="65"/>
      <c r="AO73" s="65">
        <f t="shared" si="452"/>
        <v>12662.800000000001</v>
      </c>
      <c r="AP73" s="65"/>
      <c r="AQ73" s="56"/>
      <c r="AR73" s="65">
        <f t="shared" si="453"/>
        <v>57579</v>
      </c>
      <c r="AS73" s="65">
        <f t="shared" si="453"/>
        <v>63314</v>
      </c>
      <c r="AT73" s="65">
        <f t="shared" si="453"/>
        <v>69049</v>
      </c>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row>
    <row r="74" spans="1:76" s="64" customFormat="1" x14ac:dyDescent="0.2">
      <c r="A74" s="45" t="s">
        <v>88</v>
      </c>
      <c r="B74" s="46" t="s">
        <v>50</v>
      </c>
      <c r="C74" s="54"/>
      <c r="D74" s="45"/>
      <c r="E74" s="55"/>
      <c r="F74" s="45"/>
      <c r="G74" s="45"/>
      <c r="H74" s="56"/>
      <c r="I74" s="56"/>
      <c r="J74" s="56"/>
      <c r="K74" s="65">
        <f t="shared" si="448"/>
        <v>9545.91</v>
      </c>
      <c r="L74" s="65"/>
      <c r="M74" s="65"/>
      <c r="N74" s="68"/>
      <c r="O74" s="68"/>
      <c r="P74" s="68"/>
      <c r="Q74" s="69"/>
      <c r="R74" s="69"/>
      <c r="S74" s="69"/>
      <c r="T74" s="65">
        <f t="shared" si="449"/>
        <v>8678.1</v>
      </c>
      <c r="U74" s="65"/>
      <c r="V74" s="70"/>
      <c r="W74" s="70">
        <f t="shared" si="449"/>
        <v>3037.3350000000005</v>
      </c>
      <c r="X74" s="70"/>
      <c r="Y74" s="65"/>
      <c r="Z74" s="65">
        <f t="shared" si="449"/>
        <v>0</v>
      </c>
      <c r="AA74" s="65"/>
      <c r="AB74" s="70"/>
      <c r="AC74" s="70">
        <f t="shared" si="449"/>
        <v>0</v>
      </c>
      <c r="AD74" s="70"/>
      <c r="AE74" s="65"/>
      <c r="AF74" s="65">
        <f t="shared" si="449"/>
        <v>3991.9259999999999</v>
      </c>
      <c r="AG74" s="65"/>
      <c r="AH74" s="65"/>
      <c r="AI74" s="65">
        <f t="shared" si="450"/>
        <v>0</v>
      </c>
      <c r="AJ74" s="65"/>
      <c r="AK74" s="77"/>
      <c r="AL74" s="65">
        <f t="shared" si="451"/>
        <v>6675.461538461539</v>
      </c>
      <c r="AM74" s="65"/>
      <c r="AN74" s="65"/>
      <c r="AO74" s="65">
        <f t="shared" si="452"/>
        <v>17356.2</v>
      </c>
      <c r="AP74" s="65"/>
      <c r="AQ74" s="56"/>
      <c r="AR74" s="65">
        <f t="shared" si="453"/>
        <v>79898</v>
      </c>
      <c r="AS74" s="65">
        <f t="shared" si="453"/>
        <v>86781</v>
      </c>
      <c r="AT74" s="65">
        <f t="shared" si="453"/>
        <v>93664</v>
      </c>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row>
    <row r="75" spans="1:76" s="64" customFormat="1" x14ac:dyDescent="0.2">
      <c r="A75" s="45" t="s">
        <v>88</v>
      </c>
      <c r="B75" s="46" t="s">
        <v>55</v>
      </c>
      <c r="C75" s="54"/>
      <c r="D75" s="45"/>
      <c r="E75" s="55"/>
      <c r="F75" s="45"/>
      <c r="G75" s="45"/>
      <c r="H75" s="56"/>
      <c r="I75" s="56"/>
      <c r="J75" s="56"/>
      <c r="K75" s="65">
        <f t="shared" si="448"/>
        <v>37634.959999999999</v>
      </c>
      <c r="L75" s="65"/>
      <c r="M75" s="65"/>
      <c r="N75" s="68"/>
      <c r="O75" s="68"/>
      <c r="P75" s="68"/>
      <c r="Q75" s="69"/>
      <c r="R75" s="69"/>
      <c r="S75" s="69"/>
      <c r="T75" s="65">
        <f t="shared" si="449"/>
        <v>0</v>
      </c>
      <c r="U75" s="65"/>
      <c r="V75" s="70"/>
      <c r="W75" s="70">
        <f t="shared" si="449"/>
        <v>11974.760000000002</v>
      </c>
      <c r="X75" s="70"/>
      <c r="Y75" s="65"/>
      <c r="Z75" s="65">
        <f t="shared" si="449"/>
        <v>34213.599999999999</v>
      </c>
      <c r="AA75" s="65"/>
      <c r="AB75" s="70"/>
      <c r="AC75" s="70">
        <f t="shared" si="449"/>
        <v>0</v>
      </c>
      <c r="AD75" s="70"/>
      <c r="AE75" s="65"/>
      <c r="AF75" s="65">
        <f t="shared" si="449"/>
        <v>15738.255999999999</v>
      </c>
      <c r="AG75" s="65"/>
      <c r="AH75" s="65"/>
      <c r="AI75" s="65">
        <f t="shared" si="450"/>
        <v>28909</v>
      </c>
      <c r="AJ75" s="65"/>
      <c r="AK75" s="77"/>
      <c r="AL75" s="65">
        <f t="shared" si="451"/>
        <v>26318.153846153848</v>
      </c>
      <c r="AM75" s="65"/>
      <c r="AN75" s="65"/>
      <c r="AO75" s="65">
        <f t="shared" si="452"/>
        <v>0</v>
      </c>
      <c r="AP75" s="65"/>
      <c r="AQ75" s="56"/>
      <c r="AR75" s="65">
        <f t="shared" si="453"/>
        <v>297757</v>
      </c>
      <c r="AS75" s="65">
        <f t="shared" si="453"/>
        <v>342136</v>
      </c>
      <c r="AT75" s="65">
        <f t="shared" si="453"/>
        <v>386515</v>
      </c>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row>
    <row r="76" spans="1:76" s="64" customFormat="1" x14ac:dyDescent="0.2">
      <c r="A76" s="45"/>
      <c r="B76" s="46"/>
      <c r="C76" s="54"/>
      <c r="D76" s="45"/>
      <c r="E76" s="55"/>
      <c r="F76" s="45"/>
      <c r="G76" s="45"/>
      <c r="H76" s="56"/>
      <c r="I76" s="56"/>
      <c r="J76" s="56"/>
      <c r="K76" s="65"/>
      <c r="L76" s="65"/>
      <c r="M76" s="65"/>
      <c r="N76" s="68"/>
      <c r="O76" s="68"/>
      <c r="P76" s="68"/>
      <c r="Q76" s="69"/>
      <c r="R76" s="69"/>
      <c r="S76" s="69"/>
      <c r="T76" s="65"/>
      <c r="U76" s="65"/>
      <c r="V76" s="70"/>
      <c r="W76" s="70"/>
      <c r="X76" s="70"/>
      <c r="Y76" s="65"/>
      <c r="Z76" s="65"/>
      <c r="AA76" s="65"/>
      <c r="AB76" s="70"/>
      <c r="AC76" s="70"/>
      <c r="AD76" s="70"/>
      <c r="AE76" s="65"/>
      <c r="AF76" s="65"/>
      <c r="AG76" s="65"/>
      <c r="AH76" s="65"/>
      <c r="AI76" s="65"/>
      <c r="AJ76" s="65"/>
      <c r="AK76" s="77"/>
      <c r="AL76" s="65"/>
      <c r="AM76" s="65"/>
      <c r="AN76" s="65"/>
      <c r="AO76" s="65"/>
      <c r="AP76" s="65"/>
      <c r="AQ76" s="56"/>
      <c r="AR76" s="65"/>
      <c r="AS76" s="65"/>
      <c r="AT76" s="65"/>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row>
    <row r="77" spans="1:76" s="64" customFormat="1" x14ac:dyDescent="0.2">
      <c r="A77" s="45" t="s">
        <v>96</v>
      </c>
      <c r="B77" s="46" t="s">
        <v>33</v>
      </c>
      <c r="C77" s="54"/>
      <c r="D77" s="45"/>
      <c r="E77" s="55"/>
      <c r="F77" s="45"/>
      <c r="G77" s="45"/>
      <c r="H77" s="56"/>
      <c r="I77" s="56"/>
      <c r="J77" s="56"/>
      <c r="K77" s="65">
        <f>AVERAGE(K28,K22,K16,K10,K4)*$AS4</f>
        <v>10446.590000000002</v>
      </c>
      <c r="L77" s="65"/>
      <c r="M77" s="65"/>
      <c r="N77" s="68"/>
      <c r="O77" s="68"/>
      <c r="P77" s="68"/>
      <c r="Q77" s="69"/>
      <c r="R77" s="69"/>
      <c r="S77" s="69"/>
      <c r="T77" s="65">
        <f>AVERAGE(T28,T22,T16,T10,T4)*$AS4</f>
        <v>9496.9</v>
      </c>
      <c r="U77" s="65"/>
      <c r="V77" s="70"/>
      <c r="W77" s="70">
        <f>AVERAGE(W28,W22,W16,W10,W4)*$AS4</f>
        <v>3323.9150000000004</v>
      </c>
      <c r="X77" s="70"/>
      <c r="Y77" s="65"/>
      <c r="Z77" s="65">
        <f>AVERAGE(Z28,Z22,Z16,Z10,Z4)*$AS4</f>
        <v>0</v>
      </c>
      <c r="AA77" s="65"/>
      <c r="AB77" s="70"/>
      <c r="AC77" s="70">
        <f>AVERAGE(AC28,AC22,AC16,AC10,AC4)*$AS4</f>
        <v>0</v>
      </c>
      <c r="AD77" s="70"/>
      <c r="AE77" s="65"/>
      <c r="AF77" s="65">
        <f>AVERAGE(AF28,AF22,AF16,AF10,AF4)*$AS4</f>
        <v>4368.5739999999996</v>
      </c>
      <c r="AG77" s="65"/>
      <c r="AH77" s="65"/>
      <c r="AI77" s="65">
        <f>AVERAGE(AI28,AI22,AI16,AI10,AI4)</f>
        <v>365.2</v>
      </c>
      <c r="AJ77" s="65"/>
      <c r="AK77" s="77"/>
      <c r="AL77" s="65">
        <f>AVERAGE(AL28,AL22,AL16,AL10,AL4)/52*$AS4</f>
        <v>7305.3076923076924</v>
      </c>
      <c r="AM77" s="65"/>
      <c r="AN77" s="65"/>
      <c r="AO77" s="65">
        <f>AVERAGE(AO28,AO22,AO16,AO10,AO4)*$AS4</f>
        <v>7122.6750000000002</v>
      </c>
      <c r="AP77" s="65"/>
      <c r="AQ77" s="56"/>
      <c r="AR77" s="65">
        <f>AVERAGE(AR28,AR22,AR16,AR10,AR4)</f>
        <v>60027.376000000004</v>
      </c>
      <c r="AS77" s="65">
        <f>AVERAGE(AS28,AS22,AS16,AS10,AS4)</f>
        <v>78368.712</v>
      </c>
      <c r="AT77" s="65">
        <f>AVERAGE(AT28,AT22,AT16,AT10,AT4)</f>
        <v>96710.047999999995</v>
      </c>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row>
    <row r="78" spans="1:76" s="64" customFormat="1" x14ac:dyDescent="0.2">
      <c r="A78" s="45" t="s">
        <v>96</v>
      </c>
      <c r="B78" s="46" t="s">
        <v>40</v>
      </c>
      <c r="C78" s="54"/>
      <c r="D78" s="45"/>
      <c r="E78" s="55"/>
      <c r="F78" s="45"/>
      <c r="G78" s="45"/>
      <c r="H78" s="56"/>
      <c r="I78" s="56"/>
      <c r="J78" s="56"/>
      <c r="K78" s="65">
        <f t="shared" ref="K78:K81" si="454">AVERAGE(K29,K23,K17,K11,K5)*$AS5</f>
        <v>11206.624000000002</v>
      </c>
      <c r="L78" s="65"/>
      <c r="M78" s="65"/>
      <c r="N78" s="68"/>
      <c r="O78" s="68"/>
      <c r="P78" s="68"/>
      <c r="Q78" s="69"/>
      <c r="R78" s="69"/>
      <c r="S78" s="69"/>
      <c r="T78" s="65">
        <f t="shared" ref="T78:AF81" si="455">AVERAGE(T29,T23,T17,T11,T5)*$AS5</f>
        <v>10187.840000000002</v>
      </c>
      <c r="U78" s="65"/>
      <c r="V78" s="70"/>
      <c r="W78" s="70">
        <f t="shared" si="455"/>
        <v>3565.7440000000006</v>
      </c>
      <c r="X78" s="70"/>
      <c r="Y78" s="65"/>
      <c r="Z78" s="65">
        <f t="shared" si="455"/>
        <v>0</v>
      </c>
      <c r="AA78" s="65"/>
      <c r="AB78" s="70"/>
      <c r="AC78" s="70">
        <f t="shared" si="455"/>
        <v>0</v>
      </c>
      <c r="AD78" s="70"/>
      <c r="AE78" s="65"/>
      <c r="AF78" s="65">
        <f t="shared" si="455"/>
        <v>4686.4064000000008</v>
      </c>
      <c r="AG78" s="65"/>
      <c r="AH78" s="65"/>
      <c r="AI78" s="65">
        <f t="shared" ref="AI78:AI81" si="456">AVERAGE(AI29,AI23,AI17,AI11,AI5)</f>
        <v>365.2</v>
      </c>
      <c r="AJ78" s="65"/>
      <c r="AK78" s="77"/>
      <c r="AL78" s="65">
        <f t="shared" ref="AL78:AL81" si="457">AVERAGE(AL29,AL23,AL17,AL11,AL5)/52*$AS5</f>
        <v>8620.4800000000014</v>
      </c>
      <c r="AM78" s="65"/>
      <c r="AN78" s="65"/>
      <c r="AO78" s="65">
        <f t="shared" ref="AO78:AO81" si="458">AVERAGE(AO29,AO23,AO17,AO11,AO5)*$AS5</f>
        <v>11206.624000000002</v>
      </c>
      <c r="AP78" s="65"/>
      <c r="AQ78" s="56"/>
      <c r="AR78" s="65">
        <f t="shared" ref="AR78:AT81" si="459">AVERAGE(AR29,AR23,AR17,AR11,AR5)</f>
        <v>68335.607999999993</v>
      </c>
      <c r="AS78" s="65">
        <f t="shared" si="459"/>
        <v>104472.11600000001</v>
      </c>
      <c r="AT78" s="65">
        <f t="shared" si="459"/>
        <v>140608.62400000001</v>
      </c>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row>
    <row r="79" spans="1:76" s="64" customFormat="1" x14ac:dyDescent="0.2">
      <c r="A79" s="45" t="s">
        <v>96</v>
      </c>
      <c r="B79" s="46" t="s">
        <v>47</v>
      </c>
      <c r="C79" s="54"/>
      <c r="D79" s="45"/>
      <c r="E79" s="55"/>
      <c r="F79" s="45"/>
      <c r="G79" s="45"/>
      <c r="H79" s="56"/>
      <c r="I79" s="56"/>
      <c r="J79" s="56"/>
      <c r="K79" s="65">
        <f t="shared" si="454"/>
        <v>8533.8550000000014</v>
      </c>
      <c r="L79" s="65"/>
      <c r="M79" s="65"/>
      <c r="N79" s="68"/>
      <c r="O79" s="68"/>
      <c r="P79" s="68"/>
      <c r="Q79" s="69"/>
      <c r="R79" s="69"/>
      <c r="S79" s="69"/>
      <c r="T79" s="65">
        <f t="shared" si="455"/>
        <v>7758.05</v>
      </c>
      <c r="U79" s="65"/>
      <c r="V79" s="70"/>
      <c r="W79" s="70">
        <f t="shared" si="455"/>
        <v>2715.3175000000001</v>
      </c>
      <c r="X79" s="70"/>
      <c r="Y79" s="65"/>
      <c r="Z79" s="65">
        <f t="shared" si="455"/>
        <v>0</v>
      </c>
      <c r="AA79" s="65"/>
      <c r="AB79" s="70"/>
      <c r="AC79" s="70">
        <f t="shared" si="455"/>
        <v>0</v>
      </c>
      <c r="AD79" s="70"/>
      <c r="AE79" s="65"/>
      <c r="AF79" s="65">
        <f t="shared" si="455"/>
        <v>3568.703</v>
      </c>
      <c r="AG79" s="65"/>
      <c r="AH79" s="65"/>
      <c r="AI79" s="65">
        <f t="shared" si="456"/>
        <v>365.2</v>
      </c>
      <c r="AJ79" s="65"/>
      <c r="AK79" s="77"/>
      <c r="AL79" s="65">
        <f t="shared" si="457"/>
        <v>5967.7307692307695</v>
      </c>
      <c r="AM79" s="65"/>
      <c r="AN79" s="65"/>
      <c r="AO79" s="65">
        <f t="shared" si="458"/>
        <v>5818.5374999999995</v>
      </c>
      <c r="AP79" s="65"/>
      <c r="AQ79" s="56"/>
      <c r="AR79" s="65">
        <f t="shared" si="459"/>
        <v>54816.224000000002</v>
      </c>
      <c r="AS79" s="65">
        <f t="shared" si="459"/>
        <v>65202.815999999992</v>
      </c>
      <c r="AT79" s="65">
        <f t="shared" si="459"/>
        <v>75589.407999999996</v>
      </c>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row>
    <row r="80" spans="1:76" s="64" customFormat="1" x14ac:dyDescent="0.2">
      <c r="A80" s="45" t="s">
        <v>96</v>
      </c>
      <c r="B80" s="46" t="s">
        <v>50</v>
      </c>
      <c r="C80" s="54"/>
      <c r="D80" s="45"/>
      <c r="E80" s="55"/>
      <c r="F80" s="45"/>
      <c r="G80" s="45"/>
      <c r="H80" s="56"/>
      <c r="I80" s="56"/>
      <c r="J80" s="56"/>
      <c r="K80" s="65">
        <f t="shared" si="454"/>
        <v>11204.710000000001</v>
      </c>
      <c r="L80" s="65"/>
      <c r="M80" s="65"/>
      <c r="N80" s="68"/>
      <c r="O80" s="68"/>
      <c r="P80" s="68"/>
      <c r="Q80" s="69"/>
      <c r="R80" s="69"/>
      <c r="S80" s="69"/>
      <c r="T80" s="65">
        <f t="shared" si="455"/>
        <v>10186.1</v>
      </c>
      <c r="U80" s="65"/>
      <c r="V80" s="70"/>
      <c r="W80" s="70">
        <f t="shared" si="455"/>
        <v>3565.1350000000002</v>
      </c>
      <c r="X80" s="70"/>
      <c r="Y80" s="65"/>
      <c r="Z80" s="65">
        <f t="shared" si="455"/>
        <v>0</v>
      </c>
      <c r="AA80" s="65"/>
      <c r="AB80" s="70"/>
      <c r="AC80" s="70">
        <f t="shared" si="455"/>
        <v>0</v>
      </c>
      <c r="AD80" s="70"/>
      <c r="AE80" s="65"/>
      <c r="AF80" s="65">
        <f t="shared" si="455"/>
        <v>4685.6059999999998</v>
      </c>
      <c r="AG80" s="65"/>
      <c r="AH80" s="65"/>
      <c r="AI80" s="65">
        <f t="shared" si="456"/>
        <v>365.2</v>
      </c>
      <c r="AJ80" s="65"/>
      <c r="AK80" s="77"/>
      <c r="AL80" s="65">
        <f t="shared" si="457"/>
        <v>7835.461538461539</v>
      </c>
      <c r="AM80" s="65"/>
      <c r="AN80" s="65"/>
      <c r="AO80" s="65">
        <f t="shared" si="458"/>
        <v>11204.710000000001</v>
      </c>
      <c r="AP80" s="65"/>
      <c r="AQ80" s="56"/>
      <c r="AR80" s="65">
        <f t="shared" si="459"/>
        <v>72209</v>
      </c>
      <c r="AS80" s="65">
        <f t="shared" si="459"/>
        <v>94993.5</v>
      </c>
      <c r="AT80" s="65">
        <f t="shared" si="459"/>
        <v>117778</v>
      </c>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row>
    <row r="81" spans="1:76" s="64" customFormat="1" x14ac:dyDescent="0.2">
      <c r="A81" s="45" t="s">
        <v>96</v>
      </c>
      <c r="B81" s="46" t="s">
        <v>55</v>
      </c>
      <c r="C81" s="54"/>
      <c r="D81" s="45"/>
      <c r="E81" s="55"/>
      <c r="F81" s="45"/>
      <c r="G81" s="45"/>
      <c r="H81" s="56"/>
      <c r="I81" s="56"/>
      <c r="J81" s="56"/>
      <c r="K81" s="65">
        <f t="shared" si="454"/>
        <v>32587.269000000008</v>
      </c>
      <c r="L81" s="65"/>
      <c r="M81" s="65"/>
      <c r="N81" s="68"/>
      <c r="O81" s="68"/>
      <c r="P81" s="68"/>
      <c r="Q81" s="69"/>
      <c r="R81" s="69"/>
      <c r="S81" s="69"/>
      <c r="T81" s="65">
        <f t="shared" si="455"/>
        <v>0</v>
      </c>
      <c r="U81" s="65"/>
      <c r="V81" s="70"/>
      <c r="W81" s="70">
        <f t="shared" si="455"/>
        <v>10368.676500000001</v>
      </c>
      <c r="X81" s="70"/>
      <c r="Y81" s="65"/>
      <c r="Z81" s="65">
        <f t="shared" si="455"/>
        <v>29624.790000000005</v>
      </c>
      <c r="AA81" s="65"/>
      <c r="AB81" s="70"/>
      <c r="AC81" s="70">
        <f t="shared" si="455"/>
        <v>75483.964920000013</v>
      </c>
      <c r="AD81" s="70"/>
      <c r="AE81" s="65"/>
      <c r="AF81" s="65">
        <f t="shared" si="455"/>
        <v>13627.403400000001</v>
      </c>
      <c r="AG81" s="65"/>
      <c r="AH81" s="65"/>
      <c r="AI81" s="65">
        <f t="shared" si="456"/>
        <v>28681.832000000002</v>
      </c>
      <c r="AJ81" s="65"/>
      <c r="AK81" s="77"/>
      <c r="AL81" s="65">
        <f t="shared" si="457"/>
        <v>25067.130000000005</v>
      </c>
      <c r="AM81" s="65"/>
      <c r="AN81" s="65"/>
      <c r="AO81" s="65">
        <f t="shared" si="458"/>
        <v>31106.029499999997</v>
      </c>
      <c r="AP81" s="65"/>
      <c r="AQ81" s="56"/>
      <c r="AR81" s="65">
        <f t="shared" si="459"/>
        <v>227466.6</v>
      </c>
      <c r="AS81" s="65">
        <f t="shared" si="459"/>
        <v>266292.27999999997</v>
      </c>
      <c r="AT81" s="65">
        <f t="shared" si="459"/>
        <v>305117.96000000002</v>
      </c>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row>
    <row r="82" spans="1:76" s="64" customFormat="1" x14ac:dyDescent="0.2">
      <c r="A82" s="45"/>
      <c r="B82" s="46"/>
      <c r="C82" s="54"/>
      <c r="D82" s="45"/>
      <c r="E82" s="55"/>
      <c r="F82" s="45"/>
      <c r="G82" s="45"/>
      <c r="H82" s="56"/>
      <c r="I82" s="56"/>
      <c r="J82" s="56"/>
      <c r="N82" s="58"/>
      <c r="O82" s="58"/>
      <c r="P82" s="58"/>
      <c r="Q82" s="59"/>
      <c r="R82" s="59"/>
      <c r="S82" s="59"/>
      <c r="V82" s="57"/>
      <c r="W82" s="57"/>
      <c r="X82" s="57"/>
      <c r="AB82" s="57"/>
      <c r="AC82" s="57"/>
      <c r="AD82" s="57"/>
      <c r="AK82" s="74"/>
      <c r="AQ82" s="62"/>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row>
    <row r="83" spans="1:76" s="64" customFormat="1" x14ac:dyDescent="0.2">
      <c r="A83" s="45" t="s">
        <v>96</v>
      </c>
      <c r="B83" s="46" t="s">
        <v>33</v>
      </c>
      <c r="C83" s="54"/>
      <c r="D83" s="45"/>
      <c r="E83" s="55"/>
      <c r="F83" s="45"/>
      <c r="G83" s="45"/>
      <c r="H83" s="56"/>
      <c r="I83" s="56"/>
      <c r="J83" s="56"/>
      <c r="K83" s="47" t="str">
        <f>TEXT((AVERAGE(K28,K22,K16,K10,K4)*$AS4), "$0,0") &amp; " (" &amp; TEXT((MIN(K28,K22,K16,K10,K4)*$AS4), "0,0") &amp; " - " &amp; TEXT((MAX(K28,K22,K16,K10,K4)*$AS4), "0,0") &amp; ")"</f>
        <v>$10,447 (10,447 - 10,447)</v>
      </c>
      <c r="L83" s="47"/>
      <c r="M83" s="47"/>
      <c r="N83" s="58"/>
      <c r="O83" s="58"/>
      <c r="P83" s="58"/>
      <c r="Q83" s="59"/>
      <c r="R83" s="59"/>
      <c r="S83" s="59"/>
      <c r="T83" s="47" t="str">
        <f t="shared" ref="T83:AF87" si="460">TEXT((AVERAGE(T28,T22,T16,T10,T4)*$AS4), "$0,0") &amp; " (" &amp; TEXT((MIN(T28,T22,T16,T10,T4)*$AS4), "0,0") &amp; " - " &amp; TEXT((MAX(T28,T22,T16,T10,T4)*$AS4), "0,0") &amp; ")"</f>
        <v>$9,497 (9,497 - 9,497)</v>
      </c>
      <c r="U83" s="47"/>
      <c r="V83" s="72"/>
      <c r="W83" s="72" t="str">
        <f t="shared" si="460"/>
        <v>$3,324 (3,324 - 3,324)</v>
      </c>
      <c r="X83" s="72"/>
      <c r="Y83" s="47"/>
      <c r="Z83" s="47" t="str">
        <f>TEXT((AVERAGE(Z28,Z22,Z16,Z10,Z4)*$AS4), "$0") &amp; " (" &amp; TEXT((MIN(Z28,Z22,Z16,Z10,Z4)*$AS4), "0") &amp; " - " &amp; TEXT((MAX(Z28,Z22,Z16,Z10,Z4)*$AS4), "0") &amp; ")"</f>
        <v>$0 (0 - 0)</v>
      </c>
      <c r="AA83" s="47"/>
      <c r="AB83" s="72"/>
      <c r="AC83" s="72" t="str">
        <f>TEXT((AVERAGE(AC28,AC22,AC16,AC10,AC4)*$AS4), "$0") &amp; " (" &amp; TEXT((MIN(AC28,AC22,AC16,AC10,AC4)*$AS4), "0") &amp; " - " &amp; TEXT((MAX(AC28,AC22,AC16,AC10,AC4)*$AS4), "0") &amp; ")"</f>
        <v>$0 (0 - 0)</v>
      </c>
      <c r="AD83" s="72"/>
      <c r="AE83" s="47"/>
      <c r="AF83" s="47" t="str">
        <f>TEXT((AVERAGE(AF28,AF22,AF16,AF10,AF4)*$AS4), "$0,0") &amp; " (" &amp; TEXT((MIN(AF28,AF22,AF16,AF10,AF4)*$AS4), "0,0") &amp; " - " &amp; TEXT((MAX(AF28,AF22,AF16,AF10,AF4)*$AS4), "0,0") &amp; ")"</f>
        <v>$4,369 (4,369 - 4,369)</v>
      </c>
      <c r="AG83" s="47"/>
      <c r="AH83" s="47"/>
      <c r="AI83" s="47" t="str">
        <f>TEXT((AVERAGE(AI28,AI22,AI16,AI10,AI4)), "$0,0") &amp; " (" &amp; TEXT((MIN(AI28,AI22,AI16,AI10,AI4)), "0,0") &amp; " - " &amp; TEXT((MAX(AI28,AI22,AI16,AI10,AI4)), "0,0") &amp; ")"</f>
        <v>$365 (00 - 1,826)</v>
      </c>
      <c r="AJ83" s="47"/>
      <c r="AK83" s="76"/>
      <c r="AL83" s="47" t="str">
        <f>TEXT((AVERAGE(AL28,AL22,AL16,AL10,AL4)/52*$AS4), "$0,0") &amp; " (" &amp; TEXT((MIN(AL28,AL22,AL16,AL10,AL4)/52*$AS4), "0,0") &amp; " - " &amp; TEXT((MAX(AL28,AL22,AL16,AL10,AL4)*$AS4)/52, "0,0") &amp; ")"</f>
        <v>$7,305 (7,305 - 7,305)</v>
      </c>
      <c r="AM83" s="47"/>
      <c r="AN83" s="47"/>
      <c r="AO83" s="47" t="str">
        <f>TEXT((AVERAGE(AO28,AO22,AO16,AO10,AO4)*$AS4), "$0,0") &amp; " (" &amp; TEXT((MIN(AO28,AO22,AO16,AO10,AO4)*$AS4), "0,0") &amp; " - " &amp; TEXT((MAX(AO28,AO22,AO16,AO10,AO4)*$AS4), "0,0") &amp; ")"</f>
        <v>$7,123 (00 - 18,994)</v>
      </c>
      <c r="AP83" s="47"/>
      <c r="AQ83" s="62"/>
      <c r="AR83" s="47" t="str">
        <f>TEXT((AVERAGE(AR28,AR22,AR16,AR10,AR4)), "$0,0") &amp; " (" &amp; TEXT((MIN(AR28,AR22,AR16,AR10,AR4)), "0,0") &amp; " - " &amp; TEXT((MAX(AR28,AR22,AR16,AR10,AR4)), "0,0") &amp; ")"</f>
        <v>$60,027 (48,552 - 79,624)</v>
      </c>
      <c r="AS83" s="47" t="str">
        <f t="shared" ref="AS83:AT83" si="461">TEXT((AVERAGE(AS28,AS22,AS16,AS10,AS4)), "$0,0") &amp; " (" &amp; TEXT((MIN(AS28,AS22,AS16,AS10,AS4)), "0,0") &amp; " - " &amp; TEXT((MAX(AS28,AS22,AS16,AS10,AS4)), "0,0") &amp; ")"</f>
        <v>$78,369 (70,196 - 94,969)</v>
      </c>
      <c r="AT83" s="47" t="str">
        <f t="shared" si="461"/>
        <v>$96,710 (85,157 - 110,314)</v>
      </c>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row>
    <row r="84" spans="1:76" s="64" customFormat="1" x14ac:dyDescent="0.2">
      <c r="A84" s="45" t="s">
        <v>96</v>
      </c>
      <c r="B84" s="46" t="s">
        <v>40</v>
      </c>
      <c r="C84" s="54"/>
      <c r="D84" s="45"/>
      <c r="E84" s="55"/>
      <c r="F84" s="45"/>
      <c r="G84" s="45"/>
      <c r="H84" s="56"/>
      <c r="I84" s="56"/>
      <c r="J84" s="56"/>
      <c r="K84" s="47" t="str">
        <f>TEXT((AVERAGE(K29,K23,K17,K11,K5)*$AS5), "$0,0") &amp; " (" &amp; TEXT((MIN(K29,K23,K17,K11,K5)*$AS5), "0,0") &amp; " - " &amp; TEXT((MAX(K29,K23,K17,K11,K5)*$AS5), "0,0") &amp; ")"</f>
        <v>$11,207 (11,207 - 11,207)</v>
      </c>
      <c r="L84" s="47"/>
      <c r="M84" s="47"/>
      <c r="N84" s="58"/>
      <c r="O84" s="58"/>
      <c r="P84" s="58"/>
      <c r="Q84" s="59"/>
      <c r="R84" s="59"/>
      <c r="S84" s="59"/>
      <c r="T84" s="47" t="str">
        <f t="shared" si="460"/>
        <v>$10,188 (10,188 - 10,188)</v>
      </c>
      <c r="U84" s="47"/>
      <c r="V84" s="72"/>
      <c r="W84" s="72" t="str">
        <f t="shared" si="460"/>
        <v>$3,566 (3,566 - 3,566)</v>
      </c>
      <c r="X84" s="72"/>
      <c r="Y84" s="47"/>
      <c r="Z84" s="47" t="str">
        <f t="shared" ref="Z84:AC86" si="462">TEXT((AVERAGE(Z29,Z23,Z17,Z11,Z5)*$AS5), "$0") &amp; " (" &amp; TEXT((MIN(Z29,Z23,Z17,Z11,Z5)*$AS5), "0") &amp; " - " &amp; TEXT((MAX(Z29,Z23,Z17,Z11,Z5)*$AS5), "0") &amp; ")"</f>
        <v>$0 (0 - 0)</v>
      </c>
      <c r="AA84" s="47"/>
      <c r="AB84" s="72"/>
      <c r="AC84" s="72" t="str">
        <f t="shared" si="462"/>
        <v>$0 (0 - 0)</v>
      </c>
      <c r="AD84" s="72"/>
      <c r="AE84" s="47"/>
      <c r="AF84" s="47" t="str">
        <f>TEXT((AVERAGE(AF29,AF23,AF17,AF11,AF5)*$AS5), "$0,0") &amp; " (" &amp; TEXT((MIN(AF29,AF23,AF17,AF11,AF5)*$AS5), "0,0") &amp; " - " &amp; TEXT((MAX(AF29,AF23,AF17,AF11,AF5)*$AS5), "0,0") &amp; ")"</f>
        <v>$4,686 (4,686 - 4,686)</v>
      </c>
      <c r="AG84" s="47"/>
      <c r="AH84" s="47"/>
      <c r="AI84" s="47" t="str">
        <f>TEXT((AVERAGE(AI29,AI23,AI17,AI11,AI5)), "$0,0") &amp; " (" &amp; TEXT((MIN(AI29,AI23,AI17,AI11,AI5)), "0,0") &amp; " - " &amp; TEXT((MAX(AI29,AI23,AI17,AI11,AI5)), "0,0") &amp; ")"</f>
        <v>$365 (00 - 1,826)</v>
      </c>
      <c r="AJ84" s="47"/>
      <c r="AK84" s="76"/>
      <c r="AL84" s="47" t="str">
        <f>TEXT((AVERAGE(AL29,AL23,AL17,AL11,AL5)/52*$AS5), "$0,0") &amp; " (" &amp; TEXT((MIN(AL29,AL23,AL17,AL11,AL5)/52*$AS5), "0,0") &amp; " - " &amp; TEXT((MAX(AL29,AL23,AL17,AL11,AL5)*$AS5)/52, "0,0") &amp; ")"</f>
        <v>$8,620 (7,837 - 9,796)</v>
      </c>
      <c r="AM84" s="47"/>
      <c r="AN84" s="47"/>
      <c r="AO84" s="47" t="str">
        <f>TEXT((AVERAGE(AO29,AO23,AO17,AO11,AO5)*$AS5), "$0,0") &amp; " (" &amp; TEXT((MIN(AO29,AO23,AO17,AO11,AO5)*$AS5), "0,0") &amp; " - " &amp; TEXT((MAX(AO29,AO23,AO17,AO11,AO5)*$AS5), "0,0") &amp; ")"</f>
        <v>$11,207 (00 - 20,376)</v>
      </c>
      <c r="AP84" s="47"/>
      <c r="AQ84" s="62"/>
      <c r="AR84" s="47" t="str">
        <f t="shared" ref="AR84:AT87" si="463">TEXT((AVERAGE(AR29,AR23,AR17,AR11,AR5)), "$0,0") &amp; " (" &amp; TEXT((MIN(AR29,AR23,AR17,AR11,AR5)), "0,0") &amp; " - " &amp; TEXT((MAX(AR29,AR23,AR17,AR11,AR5)), "0,0") &amp; ")"</f>
        <v>$68,336 (61,204 - 77,833)</v>
      </c>
      <c r="AS84" s="47" t="str">
        <f t="shared" si="463"/>
        <v>$104,472 (101,878 - 109,041)</v>
      </c>
      <c r="AT84" s="47" t="str">
        <f t="shared" si="463"/>
        <v>$140,609 (138,575 - 142,553)</v>
      </c>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row>
    <row r="85" spans="1:76" s="64" customFormat="1" x14ac:dyDescent="0.2">
      <c r="A85" s="45" t="s">
        <v>96</v>
      </c>
      <c r="B85" s="46" t="s">
        <v>47</v>
      </c>
      <c r="C85" s="54"/>
      <c r="D85" s="45"/>
      <c r="E85" s="55"/>
      <c r="F85" s="45"/>
      <c r="G85" s="45"/>
      <c r="H85" s="56"/>
      <c r="I85" s="56"/>
      <c r="J85" s="56"/>
      <c r="K85" s="47" t="str">
        <f>TEXT((AVERAGE(K30,K24,K18,K12,K6)*$AS6), "$0,0") &amp; " (" &amp; TEXT((MIN(K30,K24,K18,K12,K6)*$AS6), "0,0") &amp; " - " &amp; TEXT((MAX(K30,K24,K18,K12,K6)*$AS6), "0,0") &amp; ")"</f>
        <v>$8,534 (8,534 - 8,534)</v>
      </c>
      <c r="L85" s="47"/>
      <c r="M85" s="47"/>
      <c r="N85" s="58"/>
      <c r="O85" s="58"/>
      <c r="P85" s="58"/>
      <c r="Q85" s="59"/>
      <c r="R85" s="59"/>
      <c r="S85" s="59"/>
      <c r="T85" s="47" t="str">
        <f t="shared" si="460"/>
        <v>$7,758 (7,758 - 7,758)</v>
      </c>
      <c r="U85" s="47"/>
      <c r="V85" s="72"/>
      <c r="W85" s="72" t="str">
        <f t="shared" si="460"/>
        <v>$2,715 (2,715 - 2,715)</v>
      </c>
      <c r="X85" s="72"/>
      <c r="Y85" s="47"/>
      <c r="Z85" s="47" t="str">
        <f t="shared" si="462"/>
        <v>$0 (0 - 0)</v>
      </c>
      <c r="AA85" s="47"/>
      <c r="AB85" s="72"/>
      <c r="AC85" s="72" t="str">
        <f t="shared" si="462"/>
        <v>$0 (0 - 0)</v>
      </c>
      <c r="AD85" s="72"/>
      <c r="AE85" s="47"/>
      <c r="AF85" s="47" t="str">
        <f>TEXT((AVERAGE(AF30,AF24,AF18,AF12,AF6)*$AS6), "$0,0") &amp; " (" &amp; TEXT((MIN(AF30,AF24,AF18,AF12,AF6)*$AS6), "0,0") &amp; " - " &amp; TEXT((MAX(AF30,AF24,AF18,AF12,AF6)*$AS6), "0,0") &amp; ")"</f>
        <v>$3,569 (3,569 - 3,569)</v>
      </c>
      <c r="AG85" s="47"/>
      <c r="AH85" s="47"/>
      <c r="AI85" s="47" t="str">
        <f>TEXT((AVERAGE(AI30,AI24,AI18,AI12,AI6)), "$0,0") &amp; " (" &amp; TEXT((MIN(AI30,AI24,AI18,AI12,AI6)), "0,0") &amp; " - " &amp; TEXT((MAX(AI30,AI24,AI18,AI12,AI6)), "0,0") &amp; ")"</f>
        <v>$365 (00 - 1,826)</v>
      </c>
      <c r="AJ85" s="47"/>
      <c r="AK85" s="76"/>
      <c r="AL85" s="47" t="str">
        <f>TEXT((AVERAGE(AL30,AL24,AL18,AL12,AL6)/52*$AS6), "$0,0") &amp; " (" &amp; TEXT((MIN(AL30,AL24,AL18,AL12,AL6)/52*$AS6), "0,0") &amp; " - " &amp; TEXT((MAX(AL30,AL24,AL18,AL12,AL6)*$AS6)/52, "0,0") &amp; ")"</f>
        <v>$5,968 (5,968 - 5,968)</v>
      </c>
      <c r="AM85" s="47"/>
      <c r="AN85" s="47"/>
      <c r="AO85" s="47" t="str">
        <f>TEXT((AVERAGE(AO30,AO24,AO18,AO12,AO6)*$AS6), "$0,0") &amp; " (" &amp; TEXT((MIN(AO30,AO24,AO18,AO12,AO6)*$AS6), "0,0") &amp; " - " &amp; TEXT((MAX(AO30,AO24,AO18,AO12,AO6)*$AS6), "0,0") &amp; ")"</f>
        <v>$5,819 (00 - 15,516)</v>
      </c>
      <c r="AP85" s="47"/>
      <c r="AQ85" s="62"/>
      <c r="AR85" s="47" t="str">
        <f t="shared" si="463"/>
        <v>$54,816 (47,704 - 63,701)</v>
      </c>
      <c r="AS85" s="47" t="str">
        <f t="shared" si="463"/>
        <v>$65,203 (57,943 - 77,581)</v>
      </c>
      <c r="AT85" s="47" t="str">
        <f t="shared" si="463"/>
        <v>$75,589 (67,705 - 91,460)</v>
      </c>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row>
    <row r="86" spans="1:76" s="64" customFormat="1" x14ac:dyDescent="0.2">
      <c r="A86" s="45" t="s">
        <v>96</v>
      </c>
      <c r="B86" s="46" t="s">
        <v>50</v>
      </c>
      <c r="C86" s="54"/>
      <c r="D86" s="45"/>
      <c r="E86" s="55"/>
      <c r="F86" s="45"/>
      <c r="G86" s="45"/>
      <c r="H86" s="56"/>
      <c r="I86" s="56"/>
      <c r="J86" s="56"/>
      <c r="K86" s="47" t="str">
        <f>TEXT((AVERAGE(K31,K25,K19,K13,K7)*$AS7), "$0,0") &amp; " (" &amp; TEXT((MIN(K31,K25,K19,K13,K7)*$AS7), "0,0") &amp; " - " &amp; TEXT((MAX(K31,K25,K19,K13,K7)*$AS7), "0,0") &amp; ")"</f>
        <v>$11,205 (11,205 - 11,205)</v>
      </c>
      <c r="L86" s="47"/>
      <c r="M86" s="47"/>
      <c r="N86" s="58"/>
      <c r="O86" s="58"/>
      <c r="P86" s="58"/>
      <c r="Q86" s="59"/>
      <c r="R86" s="59"/>
      <c r="S86" s="59"/>
      <c r="T86" s="47" t="str">
        <f t="shared" si="460"/>
        <v>$10,186 (10,186 - 10,186)</v>
      </c>
      <c r="U86" s="47"/>
      <c r="V86" s="72"/>
      <c r="W86" s="72" t="str">
        <f t="shared" si="460"/>
        <v>$3,565 (3,565 - 3,565)</v>
      </c>
      <c r="X86" s="72"/>
      <c r="Y86" s="47"/>
      <c r="Z86" s="47" t="str">
        <f t="shared" si="462"/>
        <v>$0 (0 - 0)</v>
      </c>
      <c r="AA86" s="47"/>
      <c r="AB86" s="72"/>
      <c r="AC86" s="72" t="str">
        <f t="shared" si="462"/>
        <v>$0 (0 - 0)</v>
      </c>
      <c r="AD86" s="72"/>
      <c r="AE86" s="47"/>
      <c r="AF86" s="47" t="str">
        <f>TEXT((AVERAGE(AF31,AF25,AF19,AF13,AF7)*$AS7), "$0,0") &amp; " (" &amp; TEXT((MIN(AF31,AF25,AF19,AF13,AF7)*$AS7), "0,0") &amp; " - " &amp; TEXT((MAX(AF31,AF25,AF19,AF13,AF7)*$AS7), "0,0") &amp; ")"</f>
        <v>$4,686 (4,686 - 4,686)</v>
      </c>
      <c r="AG86" s="47"/>
      <c r="AH86" s="47"/>
      <c r="AI86" s="47" t="str">
        <f>TEXT((AVERAGE(AI31,AI25,AI19,AI13,AI7)), "$0,0") &amp; " (" &amp; TEXT((MIN(AI31,AI25,AI19,AI13,AI7)), "0,0") &amp; " - " &amp; TEXT((MAX(AI31,AI25,AI19,AI13,AI7)), "0,0") &amp; ")"</f>
        <v>$365 (00 - 1,826)</v>
      </c>
      <c r="AJ86" s="47"/>
      <c r="AK86" s="76"/>
      <c r="AL86" s="47" t="str">
        <f>TEXT((AVERAGE(AL31,AL25,AL19,AL13,AL7)/52*$AS7), "$0,0") &amp; " (" &amp; TEXT((MIN(AL31,AL25,AL19,AL13,AL7)/52*$AS7), "0,0") &amp; " - " &amp; TEXT((MAX(AL31,AL25,AL19,AL13,AL7)*$AS7)/52, "0,0") &amp; ")"</f>
        <v>$7,835 (7,835 - 7,835)</v>
      </c>
      <c r="AM86" s="47"/>
      <c r="AN86" s="47"/>
      <c r="AO86" s="47" t="str">
        <f>TEXT((AVERAGE(AO31,AO25,AO19,AO13,AO7)*$AS7), "$0,0") &amp; " (" &amp; TEXT((MIN(AO31,AO25,AO19,AO13,AO7)*$AS7), "0,0") &amp; " - " &amp; TEXT((MAX(AO31,AO25,AO19,AO13,AO7)*$AS7), "0,0") &amp; ")"</f>
        <v>$11,205 (00 - 20,372)</v>
      </c>
      <c r="AP86" s="47"/>
      <c r="AQ86" s="62"/>
      <c r="AR86" s="47" t="str">
        <f t="shared" si="463"/>
        <v>$72,209 (66,106 - 79,898)</v>
      </c>
      <c r="AS86" s="47" t="str">
        <f t="shared" si="463"/>
        <v>$94,994 (86,781 - 104,304)</v>
      </c>
      <c r="AT86" s="47" t="str">
        <f t="shared" si="463"/>
        <v>$117,778 (93,664 - 139,576)</v>
      </c>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row>
    <row r="87" spans="1:76" s="64" customFormat="1" x14ac:dyDescent="0.2">
      <c r="A87" s="45" t="s">
        <v>96</v>
      </c>
      <c r="B87" s="46" t="s">
        <v>55</v>
      </c>
      <c r="C87" s="54"/>
      <c r="D87" s="45"/>
      <c r="E87" s="55"/>
      <c r="F87" s="45"/>
      <c r="G87" s="45"/>
      <c r="H87" s="56"/>
      <c r="I87" s="56"/>
      <c r="J87" s="56"/>
      <c r="K87" s="47" t="str">
        <f>TEXT((AVERAGE(K32,K26,K20,K14,K8)*$AS8), "$0,0") &amp; " (" &amp; TEXT((MIN(K32,K26,K20,K14,K8)*$AS8), "0,0") &amp; " - " &amp; TEXT((MAX(K32,K26,K20,K14,K8)*$AS8), "0,0") &amp; ")"</f>
        <v>$32,587 (32,587 - 32,587)</v>
      </c>
      <c r="L87" s="47"/>
      <c r="M87" s="47"/>
      <c r="N87" s="58"/>
      <c r="O87" s="58"/>
      <c r="P87" s="58"/>
      <c r="Q87" s="59"/>
      <c r="R87" s="59"/>
      <c r="S87" s="59"/>
      <c r="T87" s="47" t="str">
        <f t="shared" si="460"/>
        <v>$00 (00 - 00)</v>
      </c>
      <c r="U87" s="47"/>
      <c r="V87" s="72"/>
      <c r="W87" s="72" t="str">
        <f t="shared" si="460"/>
        <v>$10,369 (10,369 - 10,369)</v>
      </c>
      <c r="X87" s="72"/>
      <c r="Y87" s="47"/>
      <c r="Z87" s="47" t="str">
        <f t="shared" si="460"/>
        <v>$29,625 (29,625 - 29,625)</v>
      </c>
      <c r="AA87" s="47"/>
      <c r="AB87" s="72"/>
      <c r="AC87" s="72" t="str">
        <f t="shared" si="460"/>
        <v>$75,484 (00 - 177,749)</v>
      </c>
      <c r="AD87" s="72"/>
      <c r="AE87" s="47"/>
      <c r="AF87" s="47" t="str">
        <f t="shared" si="460"/>
        <v>$13,627 (13,627 - 13,627)</v>
      </c>
      <c r="AG87" s="47"/>
      <c r="AH87" s="47"/>
      <c r="AI87" s="47" t="str">
        <f>TEXT((AVERAGE(AI32,AI26,AI20,AI14,AI8)), "$0,0") &amp; " (" &amp; TEXT((MIN(AI32,AI26,AI20,AI14,AI8)), "0,0") &amp; " - " &amp; TEXT((MAX(AI32,AI26,AI20,AI14,AI8)), "0,0") &amp; ")"</f>
        <v>$28,682 (21,500 - 38,000)</v>
      </c>
      <c r="AJ87" s="47"/>
      <c r="AK87" s="76"/>
      <c r="AL87" s="47" t="str">
        <f>TEXT((AVERAGE(AL32,AL26,AL20,AL14,AL8)/52*$AS8), "$0,0") &amp; " (" &amp; TEXT((MIN(AL32,AL26,AL20,AL14,AL8)/52*$AS8), "0,0") &amp; " - " &amp; TEXT((MAX(AL32,AL26,AL20,AL14,AL8)*$AS8)/52, "0,0") &amp; ")"</f>
        <v>$25,067 (22,788 - 28,485)</v>
      </c>
      <c r="AM87" s="47"/>
      <c r="AN87" s="47"/>
      <c r="AO87" s="47" t="str">
        <f>TEXT((AVERAGE(AO32,AO26,AO20,AO14,AO8)*$AS8), "$0,0") &amp; " (" &amp; TEXT((MIN(AO32,AO26,AO20,AO14,AO8)*$AS8), "0,0") &amp; " - " &amp; TEXT((MAX(AO32,AO26,AO20,AO14,AO8)*$AS8), "0,0") &amp; ")"</f>
        <v>$31,106 (00 - 51,843)</v>
      </c>
      <c r="AP87" s="47"/>
      <c r="AQ87" s="62"/>
      <c r="AR87" s="47" t="str">
        <f t="shared" si="463"/>
        <v>$227,467 (179,078 - 297,757)</v>
      </c>
      <c r="AS87" s="47" t="str">
        <f t="shared" si="463"/>
        <v>$266,292 (210,509 - 342,136)</v>
      </c>
      <c r="AT87" s="47" t="str">
        <f t="shared" si="463"/>
        <v>$305,118 (241,940 - 386,515)</v>
      </c>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row>
    <row r="88" spans="1:76" s="64" customFormat="1" x14ac:dyDescent="0.2">
      <c r="A88" s="45"/>
      <c r="B88" s="46"/>
      <c r="C88" s="54"/>
      <c r="D88" s="45"/>
      <c r="E88" s="55"/>
      <c r="F88" s="45"/>
      <c r="G88" s="45"/>
      <c r="H88" s="56"/>
      <c r="I88" s="56"/>
      <c r="J88" s="56"/>
      <c r="K88" s="47"/>
      <c r="L88" s="47"/>
      <c r="M88" s="47"/>
      <c r="N88" s="58"/>
      <c r="O88" s="58"/>
      <c r="P88" s="58"/>
      <c r="Q88" s="59"/>
      <c r="R88" s="59"/>
      <c r="S88" s="59"/>
      <c r="T88" s="47"/>
      <c r="U88" s="47"/>
      <c r="V88" s="72"/>
      <c r="W88" s="72"/>
      <c r="X88" s="72"/>
      <c r="Y88" s="47"/>
      <c r="Z88" s="47"/>
      <c r="AA88" s="47"/>
      <c r="AB88" s="72"/>
      <c r="AC88" s="72"/>
      <c r="AD88" s="72"/>
      <c r="AE88" s="47"/>
      <c r="AF88" s="47"/>
      <c r="AG88" s="47"/>
      <c r="AH88" s="47"/>
      <c r="AI88" s="47"/>
      <c r="AJ88" s="47"/>
      <c r="AK88" s="76"/>
      <c r="AL88" s="47"/>
      <c r="AM88" s="47"/>
      <c r="AN88" s="47"/>
      <c r="AO88" s="47"/>
      <c r="AP88" s="47"/>
      <c r="AQ88" s="62"/>
      <c r="AR88" s="47"/>
      <c r="AS88" s="47"/>
      <c r="AT88" s="47"/>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row>
    <row r="89" spans="1:76" s="64" customFormat="1" x14ac:dyDescent="0.2">
      <c r="A89" s="45" t="s">
        <v>103</v>
      </c>
      <c r="B89" s="46"/>
      <c r="C89" s="54"/>
      <c r="D89" s="45"/>
      <c r="E89" s="55"/>
      <c r="F89" s="45"/>
      <c r="G89" s="45"/>
      <c r="H89" s="56"/>
      <c r="I89" s="56"/>
      <c r="J89" s="56"/>
      <c r="K89" s="57"/>
      <c r="L89" s="57"/>
      <c r="M89" s="57"/>
      <c r="N89" s="58"/>
      <c r="O89" s="58"/>
      <c r="P89" s="58"/>
      <c r="Q89" s="59"/>
      <c r="R89" s="59"/>
      <c r="S89" s="59"/>
      <c r="T89" s="59"/>
      <c r="U89" s="59"/>
      <c r="V89" s="57"/>
      <c r="W89" s="57"/>
      <c r="X89" s="57"/>
      <c r="Y89" s="59"/>
      <c r="Z89" s="60"/>
      <c r="AA89" s="60"/>
      <c r="AB89" s="57"/>
      <c r="AC89" s="57"/>
      <c r="AD89" s="57"/>
      <c r="AE89" s="59"/>
      <c r="AF89" s="59"/>
      <c r="AG89" s="59"/>
      <c r="AH89" s="59"/>
      <c r="AI89" s="61"/>
      <c r="AJ89" s="61"/>
      <c r="AK89" s="74"/>
      <c r="AL89" s="62"/>
      <c r="AM89" s="62"/>
      <c r="AN89" s="62"/>
      <c r="AO89" s="59"/>
      <c r="AP89" s="59"/>
      <c r="AQ89" s="62"/>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row>
    <row r="90" spans="1:76" s="64" customFormat="1" x14ac:dyDescent="0.2">
      <c r="A90" s="45" t="s">
        <v>32</v>
      </c>
      <c r="B90" s="46" t="s">
        <v>33</v>
      </c>
      <c r="C90" s="54"/>
      <c r="D90" s="45"/>
      <c r="E90" s="55"/>
      <c r="F90" s="45"/>
      <c r="G90" s="45"/>
      <c r="H90" s="56"/>
      <c r="I90" s="56"/>
      <c r="J90" s="56"/>
      <c r="K90" s="59">
        <f>(K4*$AS4)/$AV4</f>
        <v>4.3029518851743748E-2</v>
      </c>
      <c r="L90" s="59"/>
      <c r="M90" s="59"/>
      <c r="N90" s="58"/>
      <c r="O90" s="58"/>
      <c r="P90" s="58"/>
      <c r="Q90" s="59"/>
      <c r="R90" s="59"/>
      <c r="S90" s="59"/>
      <c r="T90" s="59">
        <f>(T4*$AS4)/$AV4</f>
        <v>3.9117744410676135E-2</v>
      </c>
      <c r="U90" s="59"/>
      <c r="V90" s="57"/>
      <c r="W90" s="57">
        <f>(W4*$AS4)/$AV4</f>
        <v>1.369121054373665E-2</v>
      </c>
      <c r="X90" s="57"/>
      <c r="Y90" s="59"/>
      <c r="Z90" s="59">
        <f>(Z4*$AS4)/$AV4</f>
        <v>0</v>
      </c>
      <c r="AA90" s="59"/>
      <c r="AB90" s="57"/>
      <c r="AC90" s="57">
        <f>(AC4*$AS4)/$AV4</f>
        <v>0</v>
      </c>
      <c r="AD90" s="57"/>
      <c r="AE90" s="59"/>
      <c r="AF90" s="59">
        <f>(AF4*$AS4)/$AV4</f>
        <v>1.7994162428911022E-2</v>
      </c>
      <c r="AG90" s="59"/>
      <c r="AH90" s="59"/>
      <c r="AI90" s="59">
        <f>(AI4)/$AV4</f>
        <v>0</v>
      </c>
      <c r="AJ90" s="59"/>
      <c r="AK90" s="74"/>
      <c r="AL90" s="59">
        <f>(AL4/52*$AS4)/$AV4</f>
        <v>3.0090572623597028E-2</v>
      </c>
      <c r="AM90" s="59"/>
      <c r="AN90" s="59"/>
      <c r="AO90" s="59">
        <f>(AO4*$AS4)/$AV4</f>
        <v>6.8456052718683241E-2</v>
      </c>
      <c r="AP90" s="59"/>
      <c r="AQ90" s="62"/>
      <c r="AR90" s="59">
        <f t="shared" ref="AR90:AT93" si="464">(AR4)/$AV4</f>
        <v>0.32797136759949841</v>
      </c>
      <c r="AS90" s="59">
        <f t="shared" si="464"/>
        <v>0.39117744410676136</v>
      </c>
      <c r="AT90" s="59">
        <f t="shared" si="464"/>
        <v>0.45438352061402432</v>
      </c>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row>
    <row r="91" spans="1:76" s="64" customFormat="1" x14ac:dyDescent="0.2">
      <c r="A91" s="45" t="s">
        <v>32</v>
      </c>
      <c r="B91" s="46" t="s">
        <v>40</v>
      </c>
      <c r="C91" s="54"/>
      <c r="D91" s="45"/>
      <c r="E91" s="55"/>
      <c r="F91" s="45"/>
      <c r="G91" s="45"/>
      <c r="H91" s="56"/>
      <c r="I91" s="56"/>
      <c r="J91" s="56"/>
      <c r="K91" s="59">
        <f t="shared" ref="K91:K94" si="465">(K5*$AS5)/$AV5</f>
        <v>4.2652508817585956E-2</v>
      </c>
      <c r="L91" s="59"/>
      <c r="M91" s="59"/>
      <c r="N91" s="58"/>
      <c r="O91" s="58"/>
      <c r="P91" s="58"/>
      <c r="Q91" s="59"/>
      <c r="R91" s="59"/>
      <c r="S91" s="59"/>
      <c r="T91" s="59">
        <f t="shared" ref="T91:AF94" si="466">(T5*$AS5)/$AV5</f>
        <v>3.8775008015987239E-2</v>
      </c>
      <c r="U91" s="59"/>
      <c r="V91" s="57"/>
      <c r="W91" s="57">
        <f t="shared" si="466"/>
        <v>1.3571252805595532E-2</v>
      </c>
      <c r="X91" s="57"/>
      <c r="Y91" s="59"/>
      <c r="Z91" s="59">
        <f t="shared" si="466"/>
        <v>0</v>
      </c>
      <c r="AA91" s="59"/>
      <c r="AB91" s="57"/>
      <c r="AC91" s="57">
        <f t="shared" si="466"/>
        <v>0</v>
      </c>
      <c r="AD91" s="57"/>
      <c r="AE91" s="59"/>
      <c r="AF91" s="59">
        <f t="shared" si="466"/>
        <v>1.7836503687354129E-2</v>
      </c>
      <c r="AG91" s="59"/>
      <c r="AH91" s="59"/>
      <c r="AI91" s="59">
        <f t="shared" ref="AI91:AI94" si="467">(AI5)/$AV5</f>
        <v>0</v>
      </c>
      <c r="AJ91" s="59"/>
      <c r="AK91" s="74"/>
      <c r="AL91" s="59">
        <f t="shared" ref="AL91:AL94" si="468">(AL5/52*$AS5)/$AV5</f>
        <v>3.7283661553833884E-2</v>
      </c>
      <c r="AM91" s="59"/>
      <c r="AN91" s="59"/>
      <c r="AO91" s="59">
        <f t="shared" ref="AO91:AO94" si="469">(AO5*$AS5)/$AV5</f>
        <v>6.7856264027977661E-2</v>
      </c>
      <c r="AP91" s="59"/>
      <c r="AQ91" s="62"/>
      <c r="AR91" s="59">
        <f t="shared" si="464"/>
        <v>0.23294295852805721</v>
      </c>
      <c r="AS91" s="59">
        <f t="shared" si="464"/>
        <v>0.38775008015987233</v>
      </c>
      <c r="AT91" s="59">
        <f t="shared" si="464"/>
        <v>0.54255720179168743</v>
      </c>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row>
    <row r="92" spans="1:76" s="64" customFormat="1" x14ac:dyDescent="0.2">
      <c r="A92" s="45" t="s">
        <v>32</v>
      </c>
      <c r="B92" s="46" t="s">
        <v>47</v>
      </c>
      <c r="C92" s="54"/>
      <c r="D92" s="45"/>
      <c r="E92" s="55"/>
      <c r="F92" s="45"/>
      <c r="G92" s="45"/>
      <c r="H92" s="56"/>
      <c r="I92" s="56"/>
      <c r="J92" s="56"/>
      <c r="K92" s="59">
        <f t="shared" si="465"/>
        <v>4.3029518851743748E-2</v>
      </c>
      <c r="L92" s="59"/>
      <c r="M92" s="59"/>
      <c r="N92" s="58"/>
      <c r="O92" s="58"/>
      <c r="P92" s="58"/>
      <c r="Q92" s="59"/>
      <c r="R92" s="59"/>
      <c r="S92" s="59"/>
      <c r="T92" s="59">
        <f t="shared" si="466"/>
        <v>3.9117744410676135E-2</v>
      </c>
      <c r="U92" s="59"/>
      <c r="V92" s="57"/>
      <c r="W92" s="57">
        <f t="shared" si="466"/>
        <v>1.3691210543736648E-2</v>
      </c>
      <c r="X92" s="57"/>
      <c r="Y92" s="59"/>
      <c r="Z92" s="59">
        <f t="shared" si="466"/>
        <v>0</v>
      </c>
      <c r="AA92" s="59"/>
      <c r="AB92" s="57"/>
      <c r="AC92" s="57">
        <f t="shared" si="466"/>
        <v>0</v>
      </c>
      <c r="AD92" s="57"/>
      <c r="AE92" s="59"/>
      <c r="AF92" s="59">
        <f t="shared" si="466"/>
        <v>1.7994162428911022E-2</v>
      </c>
      <c r="AG92" s="59"/>
      <c r="AH92" s="59"/>
      <c r="AI92" s="59">
        <f t="shared" si="467"/>
        <v>0</v>
      </c>
      <c r="AJ92" s="59"/>
      <c r="AK92" s="74"/>
      <c r="AL92" s="59">
        <f t="shared" si="468"/>
        <v>3.0090572623597028E-2</v>
      </c>
      <c r="AM92" s="59"/>
      <c r="AN92" s="59"/>
      <c r="AO92" s="59">
        <f t="shared" si="469"/>
        <v>6.8456052718683241E-2</v>
      </c>
      <c r="AP92" s="59"/>
      <c r="AQ92" s="62"/>
      <c r="AR92" s="59">
        <f t="shared" si="464"/>
        <v>0.3211940418925478</v>
      </c>
      <c r="AS92" s="59">
        <f t="shared" si="464"/>
        <v>0.39117744410676136</v>
      </c>
      <c r="AT92" s="59">
        <f t="shared" si="464"/>
        <v>0.46116084632097493</v>
      </c>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row>
    <row r="93" spans="1:76" s="64" customFormat="1" x14ac:dyDescent="0.2">
      <c r="A93" s="45" t="s">
        <v>32</v>
      </c>
      <c r="B93" s="46" t="s">
        <v>50</v>
      </c>
      <c r="C93" s="54"/>
      <c r="D93" s="45"/>
      <c r="E93" s="55"/>
      <c r="F93" s="45"/>
      <c r="G93" s="45"/>
      <c r="H93" s="56"/>
      <c r="I93" s="56"/>
      <c r="J93" s="56"/>
      <c r="K93" s="59">
        <f t="shared" si="465"/>
        <v>4.3029518851743755E-2</v>
      </c>
      <c r="L93" s="59"/>
      <c r="M93" s="59"/>
      <c r="N93" s="58"/>
      <c r="O93" s="58"/>
      <c r="P93" s="58"/>
      <c r="Q93" s="59"/>
      <c r="R93" s="59"/>
      <c r="S93" s="59"/>
      <c r="T93" s="59">
        <f t="shared" si="466"/>
        <v>3.9117744410676135E-2</v>
      </c>
      <c r="U93" s="59"/>
      <c r="V93" s="57"/>
      <c r="W93" s="57">
        <f t="shared" si="466"/>
        <v>1.3691210543736648E-2</v>
      </c>
      <c r="X93" s="57"/>
      <c r="Y93" s="59"/>
      <c r="Z93" s="59">
        <f t="shared" si="466"/>
        <v>0</v>
      </c>
      <c r="AA93" s="59"/>
      <c r="AB93" s="57"/>
      <c r="AC93" s="57">
        <f t="shared" si="466"/>
        <v>0</v>
      </c>
      <c r="AD93" s="57"/>
      <c r="AE93" s="59"/>
      <c r="AF93" s="59">
        <f t="shared" si="466"/>
        <v>1.7994162428911022E-2</v>
      </c>
      <c r="AG93" s="59"/>
      <c r="AH93" s="59"/>
      <c r="AI93" s="59">
        <f t="shared" si="467"/>
        <v>0</v>
      </c>
      <c r="AJ93" s="59"/>
      <c r="AK93" s="74"/>
      <c r="AL93" s="59">
        <f t="shared" si="468"/>
        <v>3.0090572623597028E-2</v>
      </c>
      <c r="AM93" s="59"/>
      <c r="AN93" s="59"/>
      <c r="AO93" s="59">
        <f t="shared" si="469"/>
        <v>6.8456052718683227E-2</v>
      </c>
      <c r="AP93" s="59"/>
      <c r="AQ93" s="62"/>
      <c r="AR93" s="59">
        <f t="shared" si="464"/>
        <v>0.30578055202243021</v>
      </c>
      <c r="AS93" s="59">
        <f t="shared" si="464"/>
        <v>0.39117744410676136</v>
      </c>
      <c r="AT93" s="59">
        <f t="shared" si="464"/>
        <v>0.47657433619109246</v>
      </c>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row>
    <row r="94" spans="1:76" s="64" customFormat="1" x14ac:dyDescent="0.2">
      <c r="A94" s="45" t="s">
        <v>32</v>
      </c>
      <c r="B94" s="46" t="s">
        <v>55</v>
      </c>
      <c r="C94" s="54"/>
      <c r="D94" s="45"/>
      <c r="E94" s="55"/>
      <c r="F94" s="45"/>
      <c r="G94" s="45"/>
      <c r="H94" s="56"/>
      <c r="I94" s="56"/>
      <c r="J94" s="56"/>
      <c r="K94" s="59">
        <f t="shared" si="465"/>
        <v>4.1442560608432884E-2</v>
      </c>
      <c r="L94" s="59"/>
      <c r="M94" s="59"/>
      <c r="N94" s="58"/>
      <c r="O94" s="58"/>
      <c r="P94" s="58"/>
      <c r="Q94" s="59"/>
      <c r="R94" s="59"/>
      <c r="S94" s="59"/>
      <c r="T94" s="59">
        <f t="shared" si="466"/>
        <v>0</v>
      </c>
      <c r="U94" s="59"/>
      <c r="V94" s="57"/>
      <c r="W94" s="57">
        <f t="shared" si="466"/>
        <v>1.3186269284501371E-2</v>
      </c>
      <c r="X94" s="57"/>
      <c r="Y94" s="59"/>
      <c r="Z94" s="59">
        <f t="shared" si="466"/>
        <v>3.7675055098575348E-2</v>
      </c>
      <c r="AA94" s="59"/>
      <c r="AB94" s="57"/>
      <c r="AC94" s="57">
        <f t="shared" si="466"/>
        <v>0</v>
      </c>
      <c r="AD94" s="57"/>
      <c r="AE94" s="59"/>
      <c r="AF94" s="59">
        <f t="shared" si="466"/>
        <v>1.7330525345344659E-2</v>
      </c>
      <c r="AG94" s="59"/>
      <c r="AH94" s="59"/>
      <c r="AI94" s="59">
        <f t="shared" si="467"/>
        <v>3.6880687622342666E-2</v>
      </c>
      <c r="AJ94" s="59"/>
      <c r="AK94" s="74"/>
      <c r="AL94" s="59">
        <f t="shared" si="468"/>
        <v>2.898081161428873E-2</v>
      </c>
      <c r="AM94" s="59"/>
      <c r="AN94" s="59"/>
      <c r="AO94" s="59">
        <f t="shared" si="469"/>
        <v>6.5931346422506851E-2</v>
      </c>
      <c r="AP94" s="59"/>
      <c r="AQ94" s="62"/>
      <c r="AR94" s="59">
        <f>(AR8)/$AV8</f>
        <v>0.31726118549503945</v>
      </c>
      <c r="AS94" s="59">
        <f>(AS8)/$AV8</f>
        <v>0.37675055098575344</v>
      </c>
      <c r="AT94" s="59">
        <f>(AT8)/$AV8</f>
        <v>0.43623991647646737</v>
      </c>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row>
    <row r="95" spans="1:76" s="64" customFormat="1" x14ac:dyDescent="0.2">
      <c r="A95" s="45"/>
      <c r="B95" s="46"/>
      <c r="C95" s="54"/>
      <c r="D95" s="45"/>
      <c r="E95" s="55"/>
      <c r="F95" s="45"/>
      <c r="G95" s="45"/>
      <c r="H95" s="56"/>
      <c r="I95" s="56"/>
      <c r="J95" s="56"/>
      <c r="K95" s="57"/>
      <c r="L95" s="57"/>
      <c r="M95" s="57"/>
      <c r="N95" s="58"/>
      <c r="O95" s="58"/>
      <c r="P95" s="58"/>
      <c r="Q95" s="59"/>
      <c r="R95" s="59"/>
      <c r="S95" s="59"/>
      <c r="T95" s="57"/>
      <c r="U95" s="57"/>
      <c r="V95" s="57"/>
      <c r="W95" s="57"/>
      <c r="X95" s="57"/>
      <c r="Y95" s="57"/>
      <c r="Z95" s="57"/>
      <c r="AA95" s="57"/>
      <c r="AB95" s="57"/>
      <c r="AC95" s="57"/>
      <c r="AD95" s="57"/>
      <c r="AE95" s="57"/>
      <c r="AF95" s="57"/>
      <c r="AG95" s="57"/>
      <c r="AH95" s="57"/>
      <c r="AI95" s="61"/>
      <c r="AJ95" s="61"/>
      <c r="AK95" s="74"/>
      <c r="AL95" s="59"/>
      <c r="AM95" s="59"/>
      <c r="AN95" s="59"/>
      <c r="AO95" s="57"/>
      <c r="AP95" s="57"/>
      <c r="AQ95" s="62"/>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row>
    <row r="96" spans="1:76" s="64" customFormat="1" x14ac:dyDescent="0.2">
      <c r="A96" s="45" t="s">
        <v>62</v>
      </c>
      <c r="B96" s="46" t="s">
        <v>33</v>
      </c>
      <c r="C96" s="54"/>
      <c r="D96" s="45"/>
      <c r="E96" s="55"/>
      <c r="F96" s="45"/>
      <c r="G96" s="45"/>
      <c r="H96" s="56"/>
      <c r="I96" s="56"/>
      <c r="J96" s="56"/>
      <c r="K96" s="59">
        <f>(K10*$AS10)/$AV10</f>
        <v>4.6454211740246235E-2</v>
      </c>
      <c r="L96" s="59"/>
      <c r="M96" s="59"/>
      <c r="N96" s="58"/>
      <c r="O96" s="58"/>
      <c r="P96" s="58"/>
      <c r="Q96" s="59"/>
      <c r="R96" s="59"/>
      <c r="S96" s="59"/>
      <c r="T96" s="59">
        <f>(T10*$AS10)/$AV10</f>
        <v>4.2231101582042033E-2</v>
      </c>
      <c r="U96" s="59"/>
      <c r="V96" s="57"/>
      <c r="W96" s="57">
        <f>(W10*$AS10)/$AV10</f>
        <v>1.4780885553714712E-2</v>
      </c>
      <c r="X96" s="57"/>
      <c r="Y96" s="59"/>
      <c r="Z96" s="59">
        <f>(Z10*$AS10)/$AV10</f>
        <v>0</v>
      </c>
      <c r="AA96" s="59"/>
      <c r="AB96" s="57"/>
      <c r="AC96" s="57">
        <f>(AC10*$AS10)/$AV10</f>
        <v>0</v>
      </c>
      <c r="AD96" s="57"/>
      <c r="AE96" s="59"/>
      <c r="AF96" s="59">
        <f>(AF10*$AS10)/$AV10</f>
        <v>1.9426306727739335E-2</v>
      </c>
      <c r="AG96" s="59"/>
      <c r="AH96" s="59"/>
      <c r="AI96" s="59">
        <f>(AI10)/$AV10</f>
        <v>0</v>
      </c>
      <c r="AJ96" s="59"/>
      <c r="AK96" s="74"/>
      <c r="AL96" s="59">
        <f>(AL10/52*$AS10)/$AV10</f>
        <v>3.2485462755416951E-2</v>
      </c>
      <c r="AM96" s="59"/>
      <c r="AN96" s="59"/>
      <c r="AO96" s="59">
        <f>(AO10*$AS10)/$AV10</f>
        <v>0</v>
      </c>
      <c r="AP96" s="59"/>
      <c r="AQ96" s="62"/>
      <c r="AR96" s="59">
        <f>(AR10)/$AV10</f>
        <v>0.29557910810785382</v>
      </c>
      <c r="AS96" s="59">
        <f>(AS10)/$AV10</f>
        <v>0.4223110158204203</v>
      </c>
      <c r="AT96" s="59">
        <f>(AT10)/$AV10</f>
        <v>0.54904292353298678</v>
      </c>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row>
    <row r="97" spans="1:76" s="64" customFormat="1" x14ac:dyDescent="0.2">
      <c r="A97" s="45" t="s">
        <v>62</v>
      </c>
      <c r="B97" s="46" t="s">
        <v>40</v>
      </c>
      <c r="C97" s="54"/>
      <c r="D97" s="45"/>
      <c r="E97" s="55"/>
      <c r="F97" s="45"/>
      <c r="G97" s="45"/>
      <c r="H97" s="56"/>
      <c r="I97" s="56"/>
      <c r="J97" s="56"/>
      <c r="K97" s="59">
        <f t="shared" ref="K97:K100" si="470">(K11*$AS11)/$AV11</f>
        <v>4.6079979376792445E-2</v>
      </c>
      <c r="L97" s="59"/>
      <c r="M97" s="59"/>
      <c r="N97" s="58"/>
      <c r="O97" s="58"/>
      <c r="P97" s="58"/>
      <c r="Q97" s="59"/>
      <c r="R97" s="59"/>
      <c r="S97" s="59"/>
      <c r="T97" s="59">
        <f t="shared" ref="T97:AF100" si="471">(T11*$AS11)/$AV11</f>
        <v>4.1890890342538588E-2</v>
      </c>
      <c r="U97" s="59"/>
      <c r="V97" s="57"/>
      <c r="W97" s="57">
        <f t="shared" si="471"/>
        <v>1.4661811619888507E-2</v>
      </c>
      <c r="X97" s="57"/>
      <c r="Y97" s="59"/>
      <c r="Z97" s="59">
        <f t="shared" si="471"/>
        <v>0</v>
      </c>
      <c r="AA97" s="59"/>
      <c r="AB97" s="57"/>
      <c r="AC97" s="57">
        <f t="shared" si="471"/>
        <v>0</v>
      </c>
      <c r="AD97" s="57"/>
      <c r="AE97" s="59"/>
      <c r="AF97" s="59">
        <f t="shared" si="471"/>
        <v>1.9269809557567751E-2</v>
      </c>
      <c r="AG97" s="59"/>
      <c r="AH97" s="59"/>
      <c r="AI97" s="59">
        <f t="shared" ref="AI97:AI100" si="472">(AI11)/$AV11</f>
        <v>0</v>
      </c>
      <c r="AJ97" s="59"/>
      <c r="AK97" s="74"/>
      <c r="AL97" s="59">
        <f t="shared" ref="AL97:AL100" si="473">(AL11/52*$AS11)/$AV11</f>
        <v>4.0279702252440951E-2</v>
      </c>
      <c r="AM97" s="59"/>
      <c r="AN97" s="59"/>
      <c r="AO97" s="59">
        <f t="shared" ref="AO97:AO100" si="474">(AO11*$AS11)/$AV11</f>
        <v>0</v>
      </c>
      <c r="AP97" s="59"/>
      <c r="AQ97" s="62"/>
      <c r="AR97" s="59">
        <f t="shared" ref="AR97:AT100" si="475">(AR11)/$AV11</f>
        <v>0.26679029205086119</v>
      </c>
      <c r="AS97" s="59">
        <f t="shared" si="475"/>
        <v>0.41890890342538584</v>
      </c>
      <c r="AT97" s="59">
        <f t="shared" si="475"/>
        <v>0.57102751479991054</v>
      </c>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row>
    <row r="98" spans="1:76" s="64" customFormat="1" x14ac:dyDescent="0.2">
      <c r="A98" s="45" t="s">
        <v>62</v>
      </c>
      <c r="B98" s="46" t="s">
        <v>47</v>
      </c>
      <c r="C98" s="54"/>
      <c r="D98" s="45"/>
      <c r="E98" s="55"/>
      <c r="F98" s="45"/>
      <c r="G98" s="45"/>
      <c r="H98" s="56"/>
      <c r="I98" s="56"/>
      <c r="J98" s="56"/>
      <c r="K98" s="59">
        <f t="shared" si="470"/>
        <v>4.6454211740246248E-2</v>
      </c>
      <c r="L98" s="59"/>
      <c r="M98" s="59"/>
      <c r="N98" s="58"/>
      <c r="O98" s="58"/>
      <c r="P98" s="58"/>
      <c r="Q98" s="59"/>
      <c r="R98" s="59"/>
      <c r="S98" s="59"/>
      <c r="T98" s="59">
        <f t="shared" si="471"/>
        <v>4.223110158204204E-2</v>
      </c>
      <c r="U98" s="59"/>
      <c r="V98" s="57"/>
      <c r="W98" s="57">
        <f t="shared" si="471"/>
        <v>1.4780885553714715E-2</v>
      </c>
      <c r="X98" s="57"/>
      <c r="Y98" s="59"/>
      <c r="Z98" s="59">
        <f t="shared" si="471"/>
        <v>0</v>
      </c>
      <c r="AA98" s="59"/>
      <c r="AB98" s="57"/>
      <c r="AC98" s="57">
        <f t="shared" si="471"/>
        <v>0</v>
      </c>
      <c r="AD98" s="57"/>
      <c r="AE98" s="59"/>
      <c r="AF98" s="59">
        <f t="shared" si="471"/>
        <v>1.9426306727739335E-2</v>
      </c>
      <c r="AG98" s="59"/>
      <c r="AH98" s="59"/>
      <c r="AI98" s="59">
        <f t="shared" si="472"/>
        <v>0</v>
      </c>
      <c r="AJ98" s="59"/>
      <c r="AK98" s="74"/>
      <c r="AL98" s="59">
        <f t="shared" si="473"/>
        <v>3.2485462755416958E-2</v>
      </c>
      <c r="AM98" s="59"/>
      <c r="AN98" s="59"/>
      <c r="AO98" s="59">
        <f t="shared" si="474"/>
        <v>0</v>
      </c>
      <c r="AP98" s="59"/>
      <c r="AQ98" s="62"/>
      <c r="AR98" s="59">
        <f t="shared" si="475"/>
        <v>0.37927626118652835</v>
      </c>
      <c r="AS98" s="59">
        <f t="shared" si="475"/>
        <v>0.42231101582042041</v>
      </c>
      <c r="AT98" s="59">
        <f t="shared" si="475"/>
        <v>0.46534577045431247</v>
      </c>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row>
    <row r="99" spans="1:76" s="64" customFormat="1" x14ac:dyDescent="0.2">
      <c r="A99" s="45" t="s">
        <v>62</v>
      </c>
      <c r="B99" s="46" t="s">
        <v>50</v>
      </c>
      <c r="C99" s="54"/>
      <c r="D99" s="45"/>
      <c r="E99" s="55"/>
      <c r="F99" s="45"/>
      <c r="G99" s="45"/>
      <c r="H99" s="56"/>
      <c r="I99" s="56"/>
      <c r="J99" s="56"/>
      <c r="K99" s="59">
        <f t="shared" si="470"/>
        <v>4.6454211740246248E-2</v>
      </c>
      <c r="L99" s="59"/>
      <c r="M99" s="59"/>
      <c r="N99" s="58"/>
      <c r="O99" s="58"/>
      <c r="P99" s="58"/>
      <c r="Q99" s="59"/>
      <c r="R99" s="59"/>
      <c r="S99" s="59"/>
      <c r="T99" s="59">
        <f t="shared" si="471"/>
        <v>4.223110158204204E-2</v>
      </c>
      <c r="U99" s="59"/>
      <c r="V99" s="57"/>
      <c r="W99" s="57">
        <f t="shared" si="471"/>
        <v>1.4780885553714717E-2</v>
      </c>
      <c r="X99" s="57"/>
      <c r="Y99" s="59"/>
      <c r="Z99" s="59">
        <f t="shared" si="471"/>
        <v>0</v>
      </c>
      <c r="AA99" s="59"/>
      <c r="AB99" s="57"/>
      <c r="AC99" s="57">
        <f t="shared" si="471"/>
        <v>0</v>
      </c>
      <c r="AD99" s="57"/>
      <c r="AE99" s="59"/>
      <c r="AF99" s="59">
        <f t="shared" si="471"/>
        <v>1.9426306727739338E-2</v>
      </c>
      <c r="AG99" s="59"/>
      <c r="AH99" s="59"/>
      <c r="AI99" s="59">
        <f t="shared" si="472"/>
        <v>0</v>
      </c>
      <c r="AJ99" s="59"/>
      <c r="AK99" s="74"/>
      <c r="AL99" s="59">
        <f t="shared" si="473"/>
        <v>3.2485462755416958E-2</v>
      </c>
      <c r="AM99" s="59"/>
      <c r="AN99" s="59"/>
      <c r="AO99" s="59">
        <f t="shared" si="474"/>
        <v>0</v>
      </c>
      <c r="AP99" s="59"/>
      <c r="AQ99" s="62"/>
      <c r="AR99" s="59">
        <f t="shared" si="475"/>
        <v>0.3061066094855131</v>
      </c>
      <c r="AS99" s="59">
        <f t="shared" si="475"/>
        <v>0.42231101582042041</v>
      </c>
      <c r="AT99" s="59">
        <f t="shared" si="475"/>
        <v>0.53851542215532777</v>
      </c>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row>
    <row r="100" spans="1:76" s="64" customFormat="1" x14ac:dyDescent="0.2">
      <c r="A100" s="45" t="s">
        <v>62</v>
      </c>
      <c r="B100" s="46" t="s">
        <v>55</v>
      </c>
      <c r="C100" s="54"/>
      <c r="D100" s="45"/>
      <c r="E100" s="55"/>
      <c r="F100" s="45"/>
      <c r="G100" s="45"/>
      <c r="H100" s="56"/>
      <c r="I100" s="56"/>
      <c r="J100" s="56"/>
      <c r="K100" s="59">
        <f t="shared" si="470"/>
        <v>3.353434844636545E-2</v>
      </c>
      <c r="L100" s="59"/>
      <c r="M100" s="59"/>
      <c r="N100" s="58"/>
      <c r="O100" s="58"/>
      <c r="P100" s="58"/>
      <c r="Q100" s="59"/>
      <c r="R100" s="59"/>
      <c r="S100" s="59"/>
      <c r="T100" s="59">
        <f t="shared" si="471"/>
        <v>0</v>
      </c>
      <c r="U100" s="59"/>
      <c r="V100" s="57"/>
      <c r="W100" s="57">
        <f t="shared" si="471"/>
        <v>1.0670019960207189E-2</v>
      </c>
      <c r="X100" s="57"/>
      <c r="Y100" s="59"/>
      <c r="Z100" s="59">
        <f t="shared" si="471"/>
        <v>3.0485771314877681E-2</v>
      </c>
      <c r="AA100" s="59"/>
      <c r="AB100" s="57"/>
      <c r="AC100" s="57">
        <f t="shared" si="471"/>
        <v>0.18291462788926605</v>
      </c>
      <c r="AD100" s="57"/>
      <c r="AE100" s="59"/>
      <c r="AF100" s="59">
        <f t="shared" si="471"/>
        <v>1.4023454804843733E-2</v>
      </c>
      <c r="AG100" s="59"/>
      <c r="AH100" s="59"/>
      <c r="AI100" s="59">
        <f t="shared" si="472"/>
        <v>3.0863192548368206E-2</v>
      </c>
      <c r="AJ100" s="59"/>
      <c r="AK100" s="74"/>
      <c r="AL100" s="59">
        <f t="shared" si="473"/>
        <v>2.9313241648920848E-2</v>
      </c>
      <c r="AM100" s="59"/>
      <c r="AN100" s="59"/>
      <c r="AO100" s="59">
        <f t="shared" si="474"/>
        <v>5.335009980103593E-2</v>
      </c>
      <c r="AP100" s="59"/>
      <c r="AQ100" s="62"/>
      <c r="AR100" s="59">
        <f t="shared" si="475"/>
        <v>0.26307547919055607</v>
      </c>
      <c r="AS100" s="59">
        <f t="shared" si="475"/>
        <v>0.3048577131487768</v>
      </c>
      <c r="AT100" s="59">
        <f t="shared" si="475"/>
        <v>0.34663994710699747</v>
      </c>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row>
    <row r="101" spans="1:76" s="64" customFormat="1" x14ac:dyDescent="0.2">
      <c r="A101" s="45"/>
      <c r="B101" s="46"/>
      <c r="C101" s="54"/>
      <c r="D101" s="45"/>
      <c r="E101" s="55"/>
      <c r="F101" s="45"/>
      <c r="G101" s="45"/>
      <c r="H101" s="56"/>
      <c r="I101" s="56"/>
      <c r="J101" s="56"/>
      <c r="K101" s="57"/>
      <c r="L101" s="57"/>
      <c r="M101" s="57"/>
      <c r="N101" s="58"/>
      <c r="O101" s="58"/>
      <c r="P101" s="58"/>
      <c r="Q101" s="59"/>
      <c r="R101" s="59"/>
      <c r="S101" s="59"/>
      <c r="T101" s="57"/>
      <c r="U101" s="57"/>
      <c r="V101" s="57"/>
      <c r="W101" s="57"/>
      <c r="X101" s="57"/>
      <c r="Y101" s="57"/>
      <c r="Z101" s="57"/>
      <c r="AA101" s="57"/>
      <c r="AB101" s="57"/>
      <c r="AC101" s="57"/>
      <c r="AD101" s="57"/>
      <c r="AE101" s="57"/>
      <c r="AF101" s="57"/>
      <c r="AG101" s="57"/>
      <c r="AH101" s="57"/>
      <c r="AI101" s="61"/>
      <c r="AJ101" s="61"/>
      <c r="AK101" s="74"/>
      <c r="AL101" s="59"/>
      <c r="AM101" s="59"/>
      <c r="AN101" s="59"/>
      <c r="AO101" s="57"/>
      <c r="AP101" s="57"/>
      <c r="AQ101" s="62"/>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row>
    <row r="102" spans="1:76" s="64" customFormat="1" x14ac:dyDescent="0.2">
      <c r="A102" s="45" t="s">
        <v>74</v>
      </c>
      <c r="B102" s="46" t="s">
        <v>33</v>
      </c>
      <c r="C102" s="54"/>
      <c r="D102" s="45"/>
      <c r="E102" s="55"/>
      <c r="F102" s="45"/>
      <c r="G102" s="45"/>
      <c r="H102" s="56"/>
      <c r="I102" s="56"/>
      <c r="J102" s="56"/>
      <c r="K102" s="59">
        <f>(K16*$AS16)/$AV16</f>
        <v>4.6454211740246248E-2</v>
      </c>
      <c r="L102" s="59"/>
      <c r="M102" s="59"/>
      <c r="N102" s="58"/>
      <c r="O102" s="58"/>
      <c r="P102" s="58"/>
      <c r="Q102" s="59"/>
      <c r="R102" s="59"/>
      <c r="S102" s="59"/>
      <c r="T102" s="59">
        <f>(T16*$AS16)/$AV16</f>
        <v>4.2231101582042047E-2</v>
      </c>
      <c r="U102" s="59"/>
      <c r="V102" s="57"/>
      <c r="W102" s="57">
        <f>(W16*$AS16)/$AV16</f>
        <v>1.4780885553714715E-2</v>
      </c>
      <c r="X102" s="57"/>
      <c r="Y102" s="59"/>
      <c r="Z102" s="59">
        <f>(Z16*$AS16)/$AV16</f>
        <v>0</v>
      </c>
      <c r="AA102" s="59"/>
      <c r="AB102" s="57"/>
      <c r="AC102" s="57">
        <f>(AC16*$AS16)/$AV16</f>
        <v>0</v>
      </c>
      <c r="AD102" s="57"/>
      <c r="AE102" s="59"/>
      <c r="AF102" s="59">
        <f>(AF16*$AS16)/$AV16</f>
        <v>1.9426306727739338E-2</v>
      </c>
      <c r="AG102" s="59"/>
      <c r="AH102" s="59"/>
      <c r="AI102" s="59">
        <f>(AI16)/$AV16</f>
        <v>0</v>
      </c>
      <c r="AJ102" s="59"/>
      <c r="AK102" s="74"/>
      <c r="AL102" s="59">
        <f>(AL16/52*$AS16)/$AV16</f>
        <v>3.2485462755416958E-2</v>
      </c>
      <c r="AM102" s="59"/>
      <c r="AN102" s="59"/>
      <c r="AO102" s="59">
        <f>(AO16*$AS16)/$AV16</f>
        <v>0</v>
      </c>
      <c r="AP102" s="59"/>
      <c r="AQ102" s="62"/>
      <c r="AR102" s="59">
        <f>(AR16)/$AV16</f>
        <v>0.32646842417752564</v>
      </c>
      <c r="AS102" s="59">
        <f>(AS16)/$AV16</f>
        <v>0.42231101582042041</v>
      </c>
      <c r="AT102" s="59">
        <f>(AT16)/$AV16</f>
        <v>0.51815360746331518</v>
      </c>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row>
    <row r="103" spans="1:76" s="64" customFormat="1" x14ac:dyDescent="0.2">
      <c r="A103" s="45" t="s">
        <v>74</v>
      </c>
      <c r="B103" s="46" t="s">
        <v>40</v>
      </c>
      <c r="C103" s="54"/>
      <c r="D103" s="45"/>
      <c r="E103" s="55"/>
      <c r="F103" s="45"/>
      <c r="G103" s="45"/>
      <c r="H103" s="56"/>
      <c r="I103" s="56"/>
      <c r="J103" s="56"/>
      <c r="K103" s="59">
        <f t="shared" ref="K103:K106" si="476">(K17*$AS17)/$AV17</f>
        <v>4.3029518851743748E-2</v>
      </c>
      <c r="L103" s="59"/>
      <c r="M103" s="59"/>
      <c r="N103" s="58"/>
      <c r="O103" s="58"/>
      <c r="P103" s="58"/>
      <c r="Q103" s="59"/>
      <c r="R103" s="59"/>
      <c r="S103" s="59"/>
      <c r="T103" s="59">
        <f t="shared" ref="T103:AF106" si="477">(T17*$AS17)/$AV17</f>
        <v>3.9117744410676135E-2</v>
      </c>
      <c r="U103" s="59"/>
      <c r="V103" s="57"/>
      <c r="W103" s="57">
        <f t="shared" si="477"/>
        <v>1.3691210543736648E-2</v>
      </c>
      <c r="X103" s="57"/>
      <c r="Y103" s="59"/>
      <c r="Z103" s="59">
        <f t="shared" si="477"/>
        <v>0</v>
      </c>
      <c r="AA103" s="59"/>
      <c r="AB103" s="57"/>
      <c r="AC103" s="57">
        <f t="shared" si="477"/>
        <v>0</v>
      </c>
      <c r="AD103" s="57"/>
      <c r="AE103" s="59"/>
      <c r="AF103" s="59">
        <f t="shared" si="477"/>
        <v>1.7994162428911019E-2</v>
      </c>
      <c r="AG103" s="59"/>
      <c r="AH103" s="59"/>
      <c r="AI103" s="59">
        <f t="shared" ref="AI103:AI106" si="478">(AI17)/$AV17</f>
        <v>0</v>
      </c>
      <c r="AJ103" s="59"/>
      <c r="AK103" s="74"/>
      <c r="AL103" s="59">
        <f t="shared" ref="AL103:AL106" si="479">(AL17/52*$AS17)/$AV17</f>
        <v>3.0090572623597024E-2</v>
      </c>
      <c r="AM103" s="59"/>
      <c r="AN103" s="59"/>
      <c r="AO103" s="59">
        <f t="shared" ref="AO103:AO106" si="480">(AO17*$AS17)/$AV17</f>
        <v>6.8456052718683214E-2</v>
      </c>
      <c r="AP103" s="59"/>
      <c r="AQ103" s="62"/>
      <c r="AR103" s="59">
        <f t="shared" ref="AR103:AT106" si="481">(AR17)/$AV17</f>
        <v>0.25555500415288646</v>
      </c>
      <c r="AS103" s="59">
        <f t="shared" si="481"/>
        <v>0.39117744410676131</v>
      </c>
      <c r="AT103" s="59">
        <f t="shared" si="481"/>
        <v>0.52679988406063627</v>
      </c>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row>
    <row r="104" spans="1:76" s="64" customFormat="1" x14ac:dyDescent="0.2">
      <c r="A104" s="45" t="s">
        <v>74</v>
      </c>
      <c r="B104" s="46" t="s">
        <v>47</v>
      </c>
      <c r="C104" s="54"/>
      <c r="D104" s="45"/>
      <c r="E104" s="55"/>
      <c r="F104" s="45"/>
      <c r="G104" s="45"/>
      <c r="H104" s="56"/>
      <c r="I104" s="56"/>
      <c r="J104" s="56"/>
      <c r="K104" s="59">
        <f t="shared" si="476"/>
        <v>4.6454211740246235E-2</v>
      </c>
      <c r="L104" s="59"/>
      <c r="M104" s="59"/>
      <c r="N104" s="58"/>
      <c r="O104" s="58"/>
      <c r="P104" s="58"/>
      <c r="Q104" s="59"/>
      <c r="R104" s="59"/>
      <c r="S104" s="59"/>
      <c r="T104" s="59">
        <f t="shared" si="477"/>
        <v>4.2231101582042033E-2</v>
      </c>
      <c r="U104" s="59"/>
      <c r="V104" s="57"/>
      <c r="W104" s="57">
        <f t="shared" si="477"/>
        <v>1.4780885553714714E-2</v>
      </c>
      <c r="X104" s="57"/>
      <c r="Y104" s="59"/>
      <c r="Z104" s="59">
        <f t="shared" si="477"/>
        <v>0</v>
      </c>
      <c r="AA104" s="59"/>
      <c r="AB104" s="57"/>
      <c r="AC104" s="57">
        <f t="shared" si="477"/>
        <v>0</v>
      </c>
      <c r="AD104" s="57"/>
      <c r="AE104" s="59"/>
      <c r="AF104" s="59">
        <f t="shared" si="477"/>
        <v>1.9426306727739331E-2</v>
      </c>
      <c r="AG104" s="59"/>
      <c r="AH104" s="59"/>
      <c r="AI104" s="59">
        <f t="shared" si="478"/>
        <v>0</v>
      </c>
      <c r="AJ104" s="59"/>
      <c r="AK104" s="74"/>
      <c r="AL104" s="59">
        <f t="shared" si="479"/>
        <v>3.2485462755416951E-2</v>
      </c>
      <c r="AM104" s="59"/>
      <c r="AN104" s="59"/>
      <c r="AO104" s="59">
        <f t="shared" si="480"/>
        <v>0</v>
      </c>
      <c r="AP104" s="59"/>
      <c r="AQ104" s="62"/>
      <c r="AR104" s="59">
        <f t="shared" si="481"/>
        <v>0.35116217036729097</v>
      </c>
      <c r="AS104" s="59">
        <f t="shared" si="481"/>
        <v>0.4223110158204203</v>
      </c>
      <c r="AT104" s="59">
        <f t="shared" si="481"/>
        <v>0.49345986127354968</v>
      </c>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row>
    <row r="105" spans="1:76" s="64" customFormat="1" x14ac:dyDescent="0.2">
      <c r="A105" s="45" t="s">
        <v>74</v>
      </c>
      <c r="B105" s="46" t="s">
        <v>50</v>
      </c>
      <c r="C105" s="54"/>
      <c r="D105" s="45"/>
      <c r="E105" s="55"/>
      <c r="F105" s="45"/>
      <c r="G105" s="45"/>
      <c r="H105" s="56"/>
      <c r="I105" s="56"/>
      <c r="J105" s="56"/>
      <c r="K105" s="59">
        <f t="shared" si="476"/>
        <v>4.3029518851743748E-2</v>
      </c>
      <c r="L105" s="59"/>
      <c r="M105" s="59"/>
      <c r="N105" s="58"/>
      <c r="O105" s="58"/>
      <c r="P105" s="58"/>
      <c r="Q105" s="59"/>
      <c r="R105" s="59"/>
      <c r="S105" s="59"/>
      <c r="T105" s="59">
        <f t="shared" si="477"/>
        <v>3.9117744410676142E-2</v>
      </c>
      <c r="U105" s="59"/>
      <c r="V105" s="57"/>
      <c r="W105" s="57">
        <f t="shared" si="477"/>
        <v>1.369121054373665E-2</v>
      </c>
      <c r="X105" s="57"/>
      <c r="Y105" s="59"/>
      <c r="Z105" s="59">
        <f t="shared" si="477"/>
        <v>0</v>
      </c>
      <c r="AA105" s="59"/>
      <c r="AB105" s="57"/>
      <c r="AC105" s="57">
        <f t="shared" si="477"/>
        <v>0</v>
      </c>
      <c r="AD105" s="57"/>
      <c r="AE105" s="59"/>
      <c r="AF105" s="59">
        <f t="shared" si="477"/>
        <v>1.7994162428911022E-2</v>
      </c>
      <c r="AG105" s="59"/>
      <c r="AH105" s="59"/>
      <c r="AI105" s="59">
        <f t="shared" si="478"/>
        <v>0</v>
      </c>
      <c r="AJ105" s="59"/>
      <c r="AK105" s="74"/>
      <c r="AL105" s="59">
        <f t="shared" si="479"/>
        <v>3.0090572623597028E-2</v>
      </c>
      <c r="AM105" s="59"/>
      <c r="AN105" s="59"/>
      <c r="AO105" s="59">
        <f t="shared" si="480"/>
        <v>6.8456052718683227E-2</v>
      </c>
      <c r="AP105" s="59"/>
      <c r="AQ105" s="62"/>
      <c r="AR105" s="59">
        <f t="shared" si="481"/>
        <v>0.28594370644081146</v>
      </c>
      <c r="AS105" s="59">
        <f t="shared" si="481"/>
        <v>0.39117744410676136</v>
      </c>
      <c r="AT105" s="59">
        <f t="shared" si="481"/>
        <v>0.49641118177271121</v>
      </c>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row>
    <row r="106" spans="1:76" s="64" customFormat="1" x14ac:dyDescent="0.2">
      <c r="A106" s="45" t="s">
        <v>74</v>
      </c>
      <c r="B106" s="46" t="s">
        <v>55</v>
      </c>
      <c r="C106" s="54"/>
      <c r="D106" s="45"/>
      <c r="E106" s="55"/>
      <c r="F106" s="45"/>
      <c r="G106" s="45"/>
      <c r="H106" s="56"/>
      <c r="I106" s="56"/>
      <c r="J106" s="56"/>
      <c r="K106" s="59">
        <f t="shared" si="476"/>
        <v>3.7497925471031306E-2</v>
      </c>
      <c r="L106" s="59"/>
      <c r="M106" s="59"/>
      <c r="N106" s="58"/>
      <c r="O106" s="58"/>
      <c r="P106" s="58"/>
      <c r="Q106" s="59"/>
      <c r="R106" s="59"/>
      <c r="S106" s="59"/>
      <c r="T106" s="59">
        <f t="shared" si="477"/>
        <v>0</v>
      </c>
      <c r="U106" s="59"/>
      <c r="V106" s="57"/>
      <c r="W106" s="57">
        <f t="shared" si="477"/>
        <v>1.1931158104419052E-2</v>
      </c>
      <c r="X106" s="57"/>
      <c r="Y106" s="59"/>
      <c r="Z106" s="59">
        <f>(Z20*$AS20)/$AV20</f>
        <v>3.4089023155483004E-2</v>
      </c>
      <c r="AA106" s="59"/>
      <c r="AB106" s="57"/>
      <c r="AC106" s="57">
        <f t="shared" si="477"/>
        <v>5.9314900290540422E-2</v>
      </c>
      <c r="AD106" s="57"/>
      <c r="AE106" s="59"/>
      <c r="AF106" s="59">
        <f t="shared" si="477"/>
        <v>1.5680950651522182E-2</v>
      </c>
      <c r="AG106" s="59"/>
      <c r="AH106" s="59"/>
      <c r="AI106" s="59">
        <f t="shared" si="478"/>
        <v>6.1535748110928948E-2</v>
      </c>
      <c r="AJ106" s="59"/>
      <c r="AK106" s="74"/>
      <c r="AL106" s="59">
        <f t="shared" si="479"/>
        <v>3.2777906880272122E-2</v>
      </c>
      <c r="AM106" s="59"/>
      <c r="AN106" s="59"/>
      <c r="AO106" s="59">
        <f t="shared" si="480"/>
        <v>5.9655790522095249E-2</v>
      </c>
      <c r="AP106" s="59"/>
      <c r="AQ106" s="62"/>
      <c r="AR106" s="59">
        <f t="shared" si="481"/>
        <v>0.28999207105812985</v>
      </c>
      <c r="AS106" s="59">
        <f t="shared" si="481"/>
        <v>0.34089023155483006</v>
      </c>
      <c r="AT106" s="59">
        <f t="shared" si="481"/>
        <v>0.39178839205153027</v>
      </c>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row>
    <row r="107" spans="1:76" s="64" customFormat="1" x14ac:dyDescent="0.2">
      <c r="A107" s="45"/>
      <c r="B107" s="46"/>
      <c r="C107" s="54"/>
      <c r="D107" s="45"/>
      <c r="E107" s="55"/>
      <c r="F107" s="45"/>
      <c r="G107" s="45"/>
      <c r="H107" s="56"/>
      <c r="I107" s="56"/>
      <c r="J107" s="56"/>
      <c r="K107" s="57"/>
      <c r="L107" s="57"/>
      <c r="M107" s="57"/>
      <c r="N107" s="58"/>
      <c r="O107" s="58"/>
      <c r="P107" s="58"/>
      <c r="Q107" s="59"/>
      <c r="R107" s="59"/>
      <c r="S107" s="59"/>
      <c r="T107" s="57"/>
      <c r="U107" s="57"/>
      <c r="V107" s="57"/>
      <c r="W107" s="57"/>
      <c r="X107" s="57"/>
      <c r="Y107" s="57"/>
      <c r="Z107" s="57"/>
      <c r="AA107" s="57"/>
      <c r="AB107" s="57"/>
      <c r="AC107" s="57"/>
      <c r="AD107" s="57"/>
      <c r="AE107" s="57"/>
      <c r="AF107" s="57"/>
      <c r="AG107" s="57"/>
      <c r="AH107" s="57"/>
      <c r="AI107" s="61"/>
      <c r="AJ107" s="61"/>
      <c r="AK107" s="74"/>
      <c r="AL107" s="59"/>
      <c r="AM107" s="59"/>
      <c r="AN107" s="59"/>
      <c r="AO107" s="57"/>
      <c r="AP107" s="57"/>
      <c r="AQ107" s="62"/>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row>
    <row r="108" spans="1:76" s="64" customFormat="1" x14ac:dyDescent="0.2">
      <c r="A108" s="45" t="s">
        <v>82</v>
      </c>
      <c r="B108" s="46" t="s">
        <v>33</v>
      </c>
      <c r="C108" s="54"/>
      <c r="D108" s="45"/>
      <c r="E108" s="55"/>
      <c r="F108" s="45"/>
      <c r="G108" s="45"/>
      <c r="H108" s="56"/>
      <c r="I108" s="56"/>
      <c r="J108" s="56"/>
      <c r="K108" s="59">
        <f>(K22*$AS22)/$AV22</f>
        <v>4.5949433092966258E-2</v>
      </c>
      <c r="L108" s="59"/>
      <c r="M108" s="59"/>
      <c r="N108" s="58"/>
      <c r="O108" s="58"/>
      <c r="P108" s="58"/>
      <c r="Q108" s="59"/>
      <c r="R108" s="59"/>
      <c r="S108" s="59"/>
      <c r="T108" s="59">
        <f>(T22*$AS22)/$AV22</f>
        <v>4.1772211902696595E-2</v>
      </c>
      <c r="U108" s="59"/>
      <c r="V108" s="57"/>
      <c r="W108" s="57">
        <f>(W22*$AS22)/$AV22</f>
        <v>1.462027416594381E-2</v>
      </c>
      <c r="X108" s="57"/>
      <c r="Y108" s="59"/>
      <c r="Z108" s="59">
        <f>(Z22*$AS22)/$AV22</f>
        <v>0</v>
      </c>
      <c r="AA108" s="59"/>
      <c r="AB108" s="57"/>
      <c r="AC108" s="57">
        <f>(AC22*$AS22)/$AV22</f>
        <v>0</v>
      </c>
      <c r="AD108" s="57"/>
      <c r="AE108" s="59"/>
      <c r="AF108" s="59">
        <f>(AF22*$AS22)/$AV22</f>
        <v>1.9215217475240434E-2</v>
      </c>
      <c r="AG108" s="59"/>
      <c r="AH108" s="59"/>
      <c r="AI108" s="59">
        <f>(AI22)/$AV22</f>
        <v>1.0866154614839019E-2</v>
      </c>
      <c r="AJ108" s="59"/>
      <c r="AK108" s="74"/>
      <c r="AL108" s="59">
        <f>(AL22/52*$AS22)/$AV22</f>
        <v>3.2132470694381993E-2</v>
      </c>
      <c r="AM108" s="59"/>
      <c r="AN108" s="59"/>
      <c r="AO108" s="59">
        <f>(AO22*$AS22)/$AV22</f>
        <v>0</v>
      </c>
      <c r="AP108" s="59"/>
      <c r="AQ108" s="62"/>
      <c r="AR108" s="59">
        <f>(AR22)/$AV22</f>
        <v>0.28892307714110849</v>
      </c>
      <c r="AS108" s="59">
        <f>(AS22)/$AV22</f>
        <v>0.41772211902696593</v>
      </c>
      <c r="AT108" s="59">
        <f>(AT22)/$AV22</f>
        <v>0.54652116091282343</v>
      </c>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row>
    <row r="109" spans="1:76" s="64" customFormat="1" x14ac:dyDescent="0.2">
      <c r="A109" s="45" t="s">
        <v>82</v>
      </c>
      <c r="B109" s="46" t="s">
        <v>40</v>
      </c>
      <c r="C109" s="54"/>
      <c r="D109" s="45"/>
      <c r="E109" s="55"/>
      <c r="F109" s="45"/>
      <c r="G109" s="45"/>
      <c r="H109" s="56"/>
      <c r="I109" s="56"/>
      <c r="J109" s="56"/>
      <c r="K109" s="59">
        <f t="shared" ref="K109:K112" si="482">(K23*$AS23)/$AV23</f>
        <v>4.6113285548002488E-2</v>
      </c>
      <c r="L109" s="59"/>
      <c r="M109" s="59"/>
      <c r="N109" s="58"/>
      <c r="O109" s="58"/>
      <c r="P109" s="58"/>
      <c r="Q109" s="59"/>
      <c r="R109" s="59"/>
      <c r="S109" s="59"/>
      <c r="T109" s="59">
        <f t="shared" ref="T109:AF112" si="483">(T23*$AS23)/$AV23</f>
        <v>4.1921168680002265E-2</v>
      </c>
      <c r="U109" s="59"/>
      <c r="V109" s="57"/>
      <c r="W109" s="57">
        <f t="shared" si="483"/>
        <v>1.4672409038000794E-2</v>
      </c>
      <c r="X109" s="57"/>
      <c r="Y109" s="59"/>
      <c r="Z109" s="59">
        <f t="shared" si="483"/>
        <v>0</v>
      </c>
      <c r="AA109" s="59"/>
      <c r="AB109" s="57"/>
      <c r="AC109" s="57">
        <f t="shared" si="483"/>
        <v>0</v>
      </c>
      <c r="AD109" s="57"/>
      <c r="AE109" s="59"/>
      <c r="AF109" s="59">
        <f t="shared" si="483"/>
        <v>1.9283737592801043E-2</v>
      </c>
      <c r="AG109" s="59"/>
      <c r="AH109" s="59"/>
      <c r="AI109" s="59">
        <f t="shared" ref="AI109:AI112" si="484">(AI23)/$AV23</f>
        <v>7.3389727103773247E-3</v>
      </c>
      <c r="AJ109" s="59"/>
      <c r="AK109" s="74"/>
      <c r="AL109" s="59">
        <f t="shared" ref="AL109:AL112" si="485">(AL23/52*$AS23)/$AV23</f>
        <v>3.2247052830770971E-2</v>
      </c>
      <c r="AM109" s="59"/>
      <c r="AN109" s="59"/>
      <c r="AO109" s="59">
        <f t="shared" ref="AO109:AO112" si="486">(AO23*$AS23)/$AV23</f>
        <v>0</v>
      </c>
      <c r="AP109" s="59"/>
      <c r="AQ109" s="62"/>
      <c r="AR109" s="59">
        <f t="shared" ref="AR109:AT112" si="487">(AR23)/$AV23</f>
        <v>0.27744612550386477</v>
      </c>
      <c r="AS109" s="59">
        <f t="shared" si="487"/>
        <v>0.41921168680002263</v>
      </c>
      <c r="AT109" s="59">
        <f t="shared" si="487"/>
        <v>0.56097724809618044</v>
      </c>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row>
    <row r="110" spans="1:76" s="64" customFormat="1" x14ac:dyDescent="0.2">
      <c r="A110" s="45" t="s">
        <v>82</v>
      </c>
      <c r="B110" s="46" t="s">
        <v>47</v>
      </c>
      <c r="C110" s="54"/>
      <c r="D110" s="45"/>
      <c r="E110" s="55"/>
      <c r="F110" s="45"/>
      <c r="G110" s="45"/>
      <c r="H110" s="56"/>
      <c r="I110" s="56"/>
      <c r="J110" s="56"/>
      <c r="K110" s="59">
        <f t="shared" si="482"/>
        <v>4.5899454459492318E-2</v>
      </c>
      <c r="L110" s="59"/>
      <c r="M110" s="59"/>
      <c r="N110" s="58"/>
      <c r="O110" s="58"/>
      <c r="P110" s="58"/>
      <c r="Q110" s="59"/>
      <c r="R110" s="59"/>
      <c r="S110" s="59"/>
      <c r="T110" s="59">
        <f t="shared" si="483"/>
        <v>4.1726776781356653E-2</v>
      </c>
      <c r="U110" s="59"/>
      <c r="V110" s="57"/>
      <c r="W110" s="57">
        <f t="shared" si="483"/>
        <v>1.4604371873474829E-2</v>
      </c>
      <c r="X110" s="57"/>
      <c r="Y110" s="59"/>
      <c r="Z110" s="59">
        <f t="shared" si="483"/>
        <v>0</v>
      </c>
      <c r="AA110" s="59"/>
      <c r="AB110" s="57"/>
      <c r="AC110" s="57">
        <f t="shared" si="483"/>
        <v>0</v>
      </c>
      <c r="AD110" s="57"/>
      <c r="AE110" s="59"/>
      <c r="AF110" s="59">
        <f t="shared" si="483"/>
        <v>1.9194317319424059E-2</v>
      </c>
      <c r="AG110" s="59"/>
      <c r="AH110" s="59"/>
      <c r="AI110" s="59">
        <f t="shared" si="484"/>
        <v>1.1942023338075662E-2</v>
      </c>
      <c r="AJ110" s="59"/>
      <c r="AK110" s="74"/>
      <c r="AL110" s="59">
        <f t="shared" si="485"/>
        <v>3.209752060104358E-2</v>
      </c>
      <c r="AM110" s="59"/>
      <c r="AN110" s="59"/>
      <c r="AO110" s="59">
        <f t="shared" si="486"/>
        <v>0</v>
      </c>
      <c r="AP110" s="59"/>
      <c r="AQ110" s="62"/>
      <c r="AR110" s="59">
        <f t="shared" si="487"/>
        <v>0.31198372470950791</v>
      </c>
      <c r="AS110" s="59">
        <f t="shared" si="487"/>
        <v>0.4172677678135665</v>
      </c>
      <c r="AT110" s="59">
        <f t="shared" si="487"/>
        <v>0.52255181091762515</v>
      </c>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row>
    <row r="111" spans="1:76" s="64" customFormat="1" x14ac:dyDescent="0.2">
      <c r="A111" s="45" t="s">
        <v>82</v>
      </c>
      <c r="B111" s="46" t="s">
        <v>50</v>
      </c>
      <c r="C111" s="54"/>
      <c r="D111" s="45"/>
      <c r="E111" s="55"/>
      <c r="F111" s="45"/>
      <c r="G111" s="45"/>
      <c r="H111" s="56"/>
      <c r="I111" s="56"/>
      <c r="J111" s="56"/>
      <c r="K111" s="59">
        <f t="shared" si="482"/>
        <v>4.6113285548002488E-2</v>
      </c>
      <c r="L111" s="59"/>
      <c r="M111" s="59"/>
      <c r="N111" s="58"/>
      <c r="O111" s="58"/>
      <c r="P111" s="58"/>
      <c r="Q111" s="59"/>
      <c r="R111" s="59"/>
      <c r="S111" s="59"/>
      <c r="T111" s="59">
        <f t="shared" si="483"/>
        <v>4.1921168680002265E-2</v>
      </c>
      <c r="U111" s="59"/>
      <c r="V111" s="57"/>
      <c r="W111" s="57">
        <f t="shared" si="483"/>
        <v>1.4672409038000794E-2</v>
      </c>
      <c r="X111" s="57"/>
      <c r="Y111" s="59"/>
      <c r="Z111" s="59">
        <f t="shared" si="483"/>
        <v>0</v>
      </c>
      <c r="AA111" s="59"/>
      <c r="AB111" s="57"/>
      <c r="AC111" s="57">
        <f t="shared" si="483"/>
        <v>0</v>
      </c>
      <c r="AD111" s="57"/>
      <c r="AE111" s="59"/>
      <c r="AF111" s="59">
        <f t="shared" si="483"/>
        <v>1.9283737592801043E-2</v>
      </c>
      <c r="AG111" s="59"/>
      <c r="AH111" s="59"/>
      <c r="AI111" s="59">
        <f t="shared" si="484"/>
        <v>7.3389727103773247E-3</v>
      </c>
      <c r="AJ111" s="59"/>
      <c r="AK111" s="74"/>
      <c r="AL111" s="59">
        <f t="shared" si="485"/>
        <v>3.2247052830770971E-2</v>
      </c>
      <c r="AM111" s="59"/>
      <c r="AN111" s="59"/>
      <c r="AO111" s="59">
        <f t="shared" si="486"/>
        <v>0</v>
      </c>
      <c r="AP111" s="59"/>
      <c r="AQ111" s="62"/>
      <c r="AR111" s="59">
        <f t="shared" si="487"/>
        <v>0.27744612550386477</v>
      </c>
      <c r="AS111" s="59">
        <f t="shared" si="487"/>
        <v>0.41921168680002263</v>
      </c>
      <c r="AT111" s="59">
        <f t="shared" si="487"/>
        <v>0.56097724809618044</v>
      </c>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row>
    <row r="112" spans="1:76" s="64" customFormat="1" x14ac:dyDescent="0.2">
      <c r="A112" s="45" t="s">
        <v>82</v>
      </c>
      <c r="B112" s="46" t="s">
        <v>55</v>
      </c>
      <c r="C112" s="54"/>
      <c r="D112" s="45"/>
      <c r="E112" s="55"/>
      <c r="F112" s="45"/>
      <c r="G112" s="45"/>
      <c r="H112" s="56"/>
      <c r="I112" s="56"/>
      <c r="J112" s="56"/>
      <c r="K112" s="59">
        <f t="shared" si="482"/>
        <v>3.7122506096231349E-2</v>
      </c>
      <c r="L112" s="59"/>
      <c r="M112" s="59"/>
      <c r="N112" s="58"/>
      <c r="O112" s="58"/>
      <c r="P112" s="58"/>
      <c r="Q112" s="59"/>
      <c r="R112" s="59"/>
      <c r="S112" s="59"/>
      <c r="T112" s="59">
        <f t="shared" si="483"/>
        <v>0</v>
      </c>
      <c r="U112" s="59"/>
      <c r="V112" s="57"/>
      <c r="W112" s="57">
        <f t="shared" si="483"/>
        <v>1.1811706485164523E-2</v>
      </c>
      <c r="X112" s="57"/>
      <c r="Y112" s="59"/>
      <c r="Z112" s="59">
        <f t="shared" si="483"/>
        <v>3.3747732814755779E-2</v>
      </c>
      <c r="AA112" s="59"/>
      <c r="AB112" s="57"/>
      <c r="AC112" s="57">
        <f t="shared" si="483"/>
        <v>0.16873866407377888</v>
      </c>
      <c r="AD112" s="57"/>
      <c r="AE112" s="59"/>
      <c r="AF112" s="59">
        <f t="shared" si="483"/>
        <v>1.5523957094787655E-2</v>
      </c>
      <c r="AG112" s="59"/>
      <c r="AH112" s="59"/>
      <c r="AI112" s="59">
        <f t="shared" si="484"/>
        <v>3.214098266727719E-2</v>
      </c>
      <c r="AJ112" s="59"/>
      <c r="AK112" s="74"/>
      <c r="AL112" s="59">
        <f t="shared" si="485"/>
        <v>2.5959794472889059E-2</v>
      </c>
      <c r="AM112" s="59"/>
      <c r="AN112" s="59"/>
      <c r="AO112" s="59">
        <f t="shared" si="486"/>
        <v>0</v>
      </c>
      <c r="AP112" s="59"/>
      <c r="AQ112" s="62"/>
      <c r="AR112" s="59">
        <f t="shared" si="487"/>
        <v>0.28314860293387462</v>
      </c>
      <c r="AS112" s="59">
        <f t="shared" si="487"/>
        <v>0.33747732814755776</v>
      </c>
      <c r="AT112" s="59">
        <f t="shared" si="487"/>
        <v>0.39180605336124091</v>
      </c>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row>
    <row r="113" spans="1:76" s="64" customFormat="1" x14ac:dyDescent="0.2">
      <c r="A113" s="45"/>
      <c r="B113" s="46"/>
      <c r="C113" s="54"/>
      <c r="D113" s="45"/>
      <c r="E113" s="55"/>
      <c r="F113" s="45"/>
      <c r="G113" s="45"/>
      <c r="H113" s="56"/>
      <c r="I113" s="56"/>
      <c r="J113" s="56"/>
      <c r="K113" s="57"/>
      <c r="L113" s="57"/>
      <c r="M113" s="57"/>
      <c r="N113" s="58"/>
      <c r="O113" s="58"/>
      <c r="P113" s="58"/>
      <c r="Q113" s="59"/>
      <c r="R113" s="59"/>
      <c r="S113" s="59"/>
      <c r="T113" s="57"/>
      <c r="U113" s="57"/>
      <c r="V113" s="57"/>
      <c r="W113" s="57"/>
      <c r="X113" s="57"/>
      <c r="Y113" s="57"/>
      <c r="Z113" s="57"/>
      <c r="AA113" s="57"/>
      <c r="AB113" s="57"/>
      <c r="AC113" s="57"/>
      <c r="AD113" s="57"/>
      <c r="AE113" s="57"/>
      <c r="AF113" s="57"/>
      <c r="AG113" s="57"/>
      <c r="AH113" s="57"/>
      <c r="AI113" s="61"/>
      <c r="AJ113" s="61"/>
      <c r="AK113" s="74"/>
      <c r="AL113" s="59"/>
      <c r="AM113" s="59"/>
      <c r="AN113" s="59"/>
      <c r="AO113" s="57"/>
      <c r="AP113" s="57"/>
      <c r="AQ113" s="62"/>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row>
    <row r="114" spans="1:76" s="64" customFormat="1" x14ac:dyDescent="0.2">
      <c r="A114" s="45" t="s">
        <v>88</v>
      </c>
      <c r="B114" s="46" t="s">
        <v>33</v>
      </c>
      <c r="C114" s="54"/>
      <c r="D114" s="45"/>
      <c r="E114" s="55"/>
      <c r="F114" s="45"/>
      <c r="G114" s="45"/>
      <c r="H114" s="56"/>
      <c r="I114" s="56"/>
      <c r="J114" s="56"/>
      <c r="K114" s="59">
        <f>(K28*$AS28)/$AV28</f>
        <v>4.2581067802161809E-2</v>
      </c>
      <c r="L114" s="59"/>
      <c r="M114" s="59"/>
      <c r="N114" s="58"/>
      <c r="O114" s="58"/>
      <c r="P114" s="58"/>
      <c r="Q114" s="59"/>
      <c r="R114" s="59"/>
      <c r="S114" s="59"/>
      <c r="T114" s="59">
        <f>(T28*$AS28)/$AV28</f>
        <v>3.8710061638328915E-2</v>
      </c>
      <c r="U114" s="59"/>
      <c r="V114" s="57"/>
      <c r="W114" s="57">
        <f>(W28*$AS28)/$AV28</f>
        <v>1.3548521573415122E-2</v>
      </c>
      <c r="X114" s="57"/>
      <c r="Y114" s="59"/>
      <c r="Z114" s="59">
        <f>(Z28*$AS28)/$AV28</f>
        <v>0</v>
      </c>
      <c r="AA114" s="59"/>
      <c r="AB114" s="57"/>
      <c r="AC114" s="57">
        <f>(AC28*$AS28)/$AV28</f>
        <v>0</v>
      </c>
      <c r="AD114" s="57"/>
      <c r="AE114" s="59"/>
      <c r="AF114" s="59">
        <f>(AF28*$AS28)/$AV28</f>
        <v>1.7806628353631303E-2</v>
      </c>
      <c r="AG114" s="59"/>
      <c r="AH114" s="59"/>
      <c r="AI114" s="59">
        <f>(AI28)/$AV28</f>
        <v>0</v>
      </c>
      <c r="AJ114" s="59"/>
      <c r="AK114" s="74"/>
      <c r="AL114" s="59">
        <f>(AL28/52*$AS28)/$AV28</f>
        <v>2.9776970491022247E-2</v>
      </c>
      <c r="AM114" s="59"/>
      <c r="AN114" s="59"/>
      <c r="AO114" s="59">
        <f>(AO28*$AS28)/$AV28</f>
        <v>7.7420123276657829E-2</v>
      </c>
      <c r="AP114" s="59"/>
      <c r="AQ114" s="62"/>
      <c r="AR114" s="59">
        <f>(AR28)/$AV28</f>
        <v>0.31230896747468623</v>
      </c>
      <c r="AS114" s="59">
        <f>(AS28)/$AV28</f>
        <v>0.38710061638328919</v>
      </c>
      <c r="AT114" s="59">
        <f>(AT28)/$AV28</f>
        <v>0.46189226529189209</v>
      </c>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row>
    <row r="115" spans="1:76" s="64" customFormat="1" x14ac:dyDescent="0.2">
      <c r="A115" s="45" t="s">
        <v>88</v>
      </c>
      <c r="B115" s="46" t="s">
        <v>40</v>
      </c>
      <c r="C115" s="54"/>
      <c r="D115" s="45"/>
      <c r="E115" s="55"/>
      <c r="F115" s="45"/>
      <c r="G115" s="45"/>
      <c r="H115" s="56"/>
      <c r="I115" s="56"/>
      <c r="J115" s="56"/>
      <c r="K115" s="59">
        <f t="shared" ref="K115:K118" si="488">(K29*$AS29)/$AV29</f>
        <v>4.2581067802161809E-2</v>
      </c>
      <c r="L115" s="59"/>
      <c r="M115" s="59"/>
      <c r="N115" s="58"/>
      <c r="O115" s="58"/>
      <c r="P115" s="58"/>
      <c r="Q115" s="59"/>
      <c r="R115" s="59"/>
      <c r="S115" s="59"/>
      <c r="T115" s="59">
        <f t="shared" ref="T115:AF118" si="489">(T29*$AS29)/$AV29</f>
        <v>3.8710061638328915E-2</v>
      </c>
      <c r="U115" s="59"/>
      <c r="V115" s="57"/>
      <c r="W115" s="57">
        <f t="shared" si="489"/>
        <v>1.3548521573415122E-2</v>
      </c>
      <c r="X115" s="57"/>
      <c r="Y115" s="59"/>
      <c r="Z115" s="59">
        <f t="shared" si="489"/>
        <v>0</v>
      </c>
      <c r="AA115" s="59"/>
      <c r="AB115" s="57"/>
      <c r="AC115" s="57">
        <f t="shared" si="489"/>
        <v>0</v>
      </c>
      <c r="AD115" s="57"/>
      <c r="AE115" s="59"/>
      <c r="AF115" s="59">
        <f t="shared" si="489"/>
        <v>1.7806628353631299E-2</v>
      </c>
      <c r="AG115" s="59"/>
      <c r="AH115" s="59"/>
      <c r="AI115" s="59">
        <f t="shared" ref="AI115:AI118" si="490">(AI29)/$AV29</f>
        <v>0</v>
      </c>
      <c r="AJ115" s="59"/>
      <c r="AK115" s="74"/>
      <c r="AL115" s="59">
        <f t="shared" ref="AL115:AL118" si="491">(AL29/52*$AS29)/$AV29</f>
        <v>2.9776970491022244E-2</v>
      </c>
      <c r="AM115" s="59"/>
      <c r="AN115" s="59"/>
      <c r="AO115" s="59">
        <f t="shared" ref="AO115:AO118" si="492">(AO29*$AS29)/$AV29</f>
        <v>7.7420123276657829E-2</v>
      </c>
      <c r="AP115" s="59"/>
      <c r="AQ115" s="62"/>
      <c r="AR115" s="59">
        <f t="shared" ref="AR115:AT118" si="493">(AR29)/$AV29</f>
        <v>0.27631076636274926</v>
      </c>
      <c r="AS115" s="59">
        <f t="shared" si="493"/>
        <v>0.38710061638328919</v>
      </c>
      <c r="AT115" s="59">
        <f t="shared" si="493"/>
        <v>0.49789046640382906</v>
      </c>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row>
    <row r="116" spans="1:76" s="64" customFormat="1" x14ac:dyDescent="0.2">
      <c r="A116" s="45" t="s">
        <v>88</v>
      </c>
      <c r="B116" s="46" t="s">
        <v>47</v>
      </c>
      <c r="C116" s="54"/>
      <c r="D116" s="45"/>
      <c r="E116" s="55"/>
      <c r="F116" s="45"/>
      <c r="G116" s="45"/>
      <c r="H116" s="56"/>
      <c r="I116" s="56"/>
      <c r="J116" s="56"/>
      <c r="K116" s="59">
        <f t="shared" si="488"/>
        <v>4.2581067802161809E-2</v>
      </c>
      <c r="L116" s="59"/>
      <c r="M116" s="59"/>
      <c r="N116" s="58"/>
      <c r="O116" s="58"/>
      <c r="P116" s="58"/>
      <c r="Q116" s="59"/>
      <c r="R116" s="59"/>
      <c r="S116" s="59"/>
      <c r="T116" s="59">
        <f t="shared" si="489"/>
        <v>3.8710061638328921E-2</v>
      </c>
      <c r="U116" s="59"/>
      <c r="V116" s="57"/>
      <c r="W116" s="57">
        <f t="shared" si="489"/>
        <v>1.3548521573415124E-2</v>
      </c>
      <c r="X116" s="57"/>
      <c r="Y116" s="59"/>
      <c r="Z116" s="59">
        <f t="shared" si="489"/>
        <v>0</v>
      </c>
      <c r="AA116" s="59"/>
      <c r="AB116" s="57"/>
      <c r="AC116" s="57">
        <f t="shared" si="489"/>
        <v>0</v>
      </c>
      <c r="AD116" s="57"/>
      <c r="AE116" s="59"/>
      <c r="AF116" s="59">
        <f t="shared" si="489"/>
        <v>1.7806628353631303E-2</v>
      </c>
      <c r="AG116" s="59"/>
      <c r="AH116" s="59"/>
      <c r="AI116" s="59">
        <f t="shared" si="490"/>
        <v>0</v>
      </c>
      <c r="AJ116" s="59"/>
      <c r="AK116" s="74"/>
      <c r="AL116" s="59">
        <f t="shared" si="491"/>
        <v>2.9776970491022244E-2</v>
      </c>
      <c r="AM116" s="59"/>
      <c r="AN116" s="59"/>
      <c r="AO116" s="59">
        <f t="shared" si="492"/>
        <v>7.7420123276657843E-2</v>
      </c>
      <c r="AP116" s="59"/>
      <c r="AQ116" s="62"/>
      <c r="AR116" s="59">
        <f t="shared" si="493"/>
        <v>0.35203693323330398</v>
      </c>
      <c r="AS116" s="59">
        <f t="shared" si="493"/>
        <v>0.38710061638328919</v>
      </c>
      <c r="AT116" s="59">
        <f t="shared" si="493"/>
        <v>0.42216429953327439</v>
      </c>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row>
    <row r="117" spans="1:76" s="64" customFormat="1" x14ac:dyDescent="0.2">
      <c r="A117" s="45" t="s">
        <v>88</v>
      </c>
      <c r="B117" s="46" t="s">
        <v>50</v>
      </c>
      <c r="C117" s="54"/>
      <c r="D117" s="45"/>
      <c r="E117" s="55"/>
      <c r="F117" s="45"/>
      <c r="G117" s="45"/>
      <c r="H117" s="56"/>
      <c r="I117" s="56"/>
      <c r="J117" s="56"/>
      <c r="K117" s="59">
        <f t="shared" si="488"/>
        <v>4.2581067802161802E-2</v>
      </c>
      <c r="L117" s="59"/>
      <c r="M117" s="59"/>
      <c r="N117" s="58"/>
      <c r="O117" s="58"/>
      <c r="P117" s="58"/>
      <c r="Q117" s="59"/>
      <c r="R117" s="59"/>
      <c r="S117" s="59"/>
      <c r="T117" s="59">
        <f t="shared" si="489"/>
        <v>3.8710061638328915E-2</v>
      </c>
      <c r="U117" s="59"/>
      <c r="V117" s="57"/>
      <c r="W117" s="57">
        <f t="shared" si="489"/>
        <v>1.3548521573415122E-2</v>
      </c>
      <c r="X117" s="57"/>
      <c r="Y117" s="59"/>
      <c r="Z117" s="59">
        <f t="shared" si="489"/>
        <v>0</v>
      </c>
      <c r="AA117" s="59"/>
      <c r="AB117" s="57"/>
      <c r="AC117" s="57">
        <f t="shared" si="489"/>
        <v>0</v>
      </c>
      <c r="AD117" s="57"/>
      <c r="AE117" s="59"/>
      <c r="AF117" s="59">
        <f t="shared" si="489"/>
        <v>1.7806628353631299E-2</v>
      </c>
      <c r="AG117" s="59"/>
      <c r="AH117" s="59"/>
      <c r="AI117" s="59">
        <f t="shared" si="490"/>
        <v>0</v>
      </c>
      <c r="AJ117" s="59"/>
      <c r="AK117" s="74"/>
      <c r="AL117" s="59">
        <f t="shared" si="491"/>
        <v>2.9776970491022244E-2</v>
      </c>
      <c r="AM117" s="59"/>
      <c r="AN117" s="59"/>
      <c r="AO117" s="59">
        <f t="shared" si="492"/>
        <v>7.7420123276657829E-2</v>
      </c>
      <c r="AP117" s="59"/>
      <c r="AQ117" s="62"/>
      <c r="AR117" s="59">
        <f t="shared" si="493"/>
        <v>0.35639788718489113</v>
      </c>
      <c r="AS117" s="59">
        <f t="shared" si="493"/>
        <v>0.38710061638328913</v>
      </c>
      <c r="AT117" s="59">
        <f t="shared" si="493"/>
        <v>0.41780334558168719</v>
      </c>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row>
    <row r="118" spans="1:76" s="64" customFormat="1" x14ac:dyDescent="0.2">
      <c r="A118" s="45" t="s">
        <v>88</v>
      </c>
      <c r="B118" s="46" t="s">
        <v>55</v>
      </c>
      <c r="C118" s="54"/>
      <c r="D118" s="45"/>
      <c r="E118" s="55"/>
      <c r="F118" s="45"/>
      <c r="G118" s="45"/>
      <c r="H118" s="56"/>
      <c r="I118" s="56"/>
      <c r="J118" s="56"/>
      <c r="K118" s="59">
        <f t="shared" si="488"/>
        <v>4.4853678239596032E-2</v>
      </c>
      <c r="L118" s="59"/>
      <c r="M118" s="59"/>
      <c r="N118" s="58"/>
      <c r="O118" s="58"/>
      <c r="P118" s="58"/>
      <c r="Q118" s="59"/>
      <c r="R118" s="59"/>
      <c r="S118" s="59"/>
      <c r="T118" s="59">
        <f t="shared" si="489"/>
        <v>0</v>
      </c>
      <c r="U118" s="59"/>
      <c r="V118" s="57"/>
      <c r="W118" s="57">
        <f t="shared" si="489"/>
        <v>1.4271624894416923E-2</v>
      </c>
      <c r="X118" s="57"/>
      <c r="Y118" s="59"/>
      <c r="Z118" s="59">
        <f t="shared" si="489"/>
        <v>4.0776071126905483E-2</v>
      </c>
      <c r="AA118" s="59"/>
      <c r="AB118" s="57"/>
      <c r="AC118" s="57">
        <f t="shared" si="489"/>
        <v>0</v>
      </c>
      <c r="AD118" s="57"/>
      <c r="AE118" s="59"/>
      <c r="AF118" s="59">
        <f t="shared" si="489"/>
        <v>1.8756992718376525E-2</v>
      </c>
      <c r="AG118" s="59"/>
      <c r="AH118" s="59"/>
      <c r="AI118" s="59">
        <f t="shared" si="490"/>
        <v>3.4454001923437193E-2</v>
      </c>
      <c r="AJ118" s="59"/>
      <c r="AK118" s="74"/>
      <c r="AL118" s="59">
        <f t="shared" si="491"/>
        <v>3.1366208559158067E-2</v>
      </c>
      <c r="AM118" s="59"/>
      <c r="AN118" s="59"/>
      <c r="AO118" s="59">
        <f t="shared" si="492"/>
        <v>0</v>
      </c>
      <c r="AP118" s="59"/>
      <c r="AQ118" s="62"/>
      <c r="AR118" s="59">
        <f t="shared" si="493"/>
        <v>0.35486942650098197</v>
      </c>
      <c r="AS118" s="59">
        <f t="shared" si="493"/>
        <v>0.40776071126905489</v>
      </c>
      <c r="AT118" s="59">
        <f t="shared" si="493"/>
        <v>0.46065199603712775</v>
      </c>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row>
    <row r="120" spans="1:76" s="64" customFormat="1" x14ac:dyDescent="0.2">
      <c r="A120" s="45" t="s">
        <v>96</v>
      </c>
      <c r="B120" s="46" t="s">
        <v>33</v>
      </c>
      <c r="C120" s="54"/>
      <c r="D120" s="45"/>
      <c r="E120" s="55"/>
      <c r="F120" s="45"/>
      <c r="G120" s="45"/>
      <c r="H120" s="56"/>
      <c r="I120" s="56"/>
      <c r="J120" s="56"/>
      <c r="K120" s="72" t="str">
        <f>TEXT((AVERAGE(K28,K22,K16,K10,K4)*$AS4/$AV4), "0.0%") &amp; " (" &amp; TEXT((MIN(K28,K22,K16,K10,K4)*$AS4/$AV4), "0.0%") &amp; " - " &amp; TEXT((MAX(K28,K22,K16,K10,K4)*$AS4/$AV4), "0.0%") &amp; ")"</f>
        <v>4.3% (4.3% - 4.3%)</v>
      </c>
      <c r="L120" s="72"/>
      <c r="M120" s="72"/>
      <c r="N120" s="58"/>
      <c r="O120" s="58"/>
      <c r="P120" s="58"/>
      <c r="Q120" s="59"/>
      <c r="R120" s="59"/>
      <c r="S120" s="59"/>
      <c r="T120" s="72" t="str">
        <f>TEXT((AVERAGE(T28,T22,T16,T10,T4)*$AS4/$AV4), "0.0%") &amp; " (" &amp; TEXT((MIN(T28,T22,T16,T10,T4)*$AS4/$AV4), "0.0%") &amp; " - " &amp; TEXT((MAX(T28,T22,T16,T10,T4)*$AS4/$AV4), "0.0%") &amp; ")"</f>
        <v>3.9% (3.9% - 3.9%)</v>
      </c>
      <c r="U120" s="72"/>
      <c r="V120" s="72"/>
      <c r="W120" s="72" t="str">
        <f>TEXT((AVERAGE(W28,W22,W16,W10,W4)*$AS4/$AV4), "0.0%") &amp; " (" &amp; TEXT((MIN(W28,W22,W16,W10,W4)*$AS4/$AV4), "0.0%") &amp; " - " &amp; TEXT((MAX(W28,W22,W16,W10,W4)*$AS4/$AV4), "0.0%") &amp; ")"</f>
        <v>1.4% (1.4% - 1.4%)</v>
      </c>
      <c r="X120" s="72"/>
      <c r="Y120" s="72"/>
      <c r="Z120" s="72" t="str">
        <f>TEXT((AVERAGE(Z28,Z22,Z16,Z10,Z4)*$AS4/$AV4), "0.0%") &amp; " (" &amp; TEXT((MIN(Z28,Z22,Z16,Z10,Z4)*$AS4/$AV4), "0.0%") &amp; " - " &amp; TEXT((MAX(Z28,Z22,Z16,Z10,Z4)*$AS4/$AV4), "0.0%") &amp; ")"</f>
        <v>0.0% (0.0% - 0.0%)</v>
      </c>
      <c r="AA120" s="72"/>
      <c r="AB120" s="72"/>
      <c r="AC120" s="72" t="str">
        <f>TEXT((AVERAGE(AC28,AC22,AC16,AC10,AC4)*$AS4/$AV4), "0.0%") &amp; " (" &amp; TEXT((MIN(AC28,AC22,AC16,AC10,AC4)*$AS4/$AV4), "0.0%") &amp; " - " &amp; TEXT((MAX(AC28,AC22,AC16,AC10,AC4)*$AS4/$AV4), "0.0%") &amp; ")"</f>
        <v>0.0% (0.0% - 0.0%)</v>
      </c>
      <c r="AD120" s="72"/>
      <c r="AE120" s="72"/>
      <c r="AF120" s="72" t="str">
        <f>TEXT((AVERAGE(AF28,AF22,AF16,AF10,AF4)*$AS4/$AV4), "0.0%") &amp; " (" &amp; TEXT((MIN(AF28,AF22,AF16,AF10,AF4)*$AS4/$AV4), "0.0%") &amp; " - " &amp; TEXT((MAX(AF28,AF22,AF16,AF10,AF4)*$AS4/$AV4), "0.0%") &amp; ")"</f>
        <v>1.8% (1.8% - 1.8%)</v>
      </c>
      <c r="AG120" s="72"/>
      <c r="AH120" s="72"/>
      <c r="AI120" s="72" t="str">
        <f>TEXT((AVERAGE(AI28,AI22,AI16,AI10,AI4)/$AV4), "0.0%") &amp; " (" &amp; TEXT((MIN(AI28,AI22,AI16,AI10,AI4)/$AV4), "0.0%") &amp; " - " &amp; TEXT((MAX(AI28,AI22,AI16,AI10,AI4)/$AV4), "0.0%") &amp; ")"</f>
        <v>0.2% (0.0% - 0.8%)</v>
      </c>
      <c r="AJ120" s="72"/>
      <c r="AK120" s="76"/>
      <c r="AL120" s="72" t="str">
        <f>TEXT((AVERAGE(AL28,AL22,AL16,AL10,AL4)/52*$AS4/$AV4), "0.0%") &amp; " (" &amp; TEXT((MIN(AL28,AL22,AL16,AL10,AL4)/52*$AS4/$AV4), "0.0%") &amp; " - " &amp; TEXT((MAX(AL28,AL22,AL16,AL10,AL4)/52*$AS4/$AV4), "0.0%") &amp; ")"</f>
        <v>3.0% (3.0% - 3.0%)</v>
      </c>
      <c r="AM120" s="72"/>
      <c r="AN120" s="72"/>
      <c r="AO120" s="72" t="str">
        <f>TEXT((AVERAGE(AO28,AO22,AO16,AO10,AO4)*$AS4/$AV4), "0.0%") &amp; " (" &amp; TEXT((MIN(AO28,AO22,AO16,AO10,AO4)*$AS4/$AV4), "0.0%") &amp; " - " &amp; TEXT((MAX(AO28,AO22,AO16,AO10,AO4)*$AS4/$AV4), "0.0%") &amp; ")"</f>
        <v>2.9% (0.0% - 7.8%)</v>
      </c>
      <c r="AP120" s="72"/>
      <c r="AQ120" s="62"/>
      <c r="AR120" s="72" t="str">
        <f>TEXT((AVERAGE(AR28,AR22,AR16,AR10,AR4)/$AV4), "0.0%") &amp; " (" &amp; TEXT((MIN(AR28,AR22,AR16,AR10,AR4)/$AV4), "0.0%") &amp; " - " &amp; TEXT((MAX(AR28,AR22,AR16,AR10,AR4)/$AV4), "0.0%") &amp; ")"</f>
        <v>24.7% (20.0% - 32.8%)</v>
      </c>
      <c r="AS120" s="72" t="str">
        <f>TEXT((AVERAGE(AS28,AS22,AS16,AS10,AS4)/$AV4), "0.0%") &amp; " (" &amp; TEXT((MIN(AS28,AS22,AS16,AS10,AS4)/$AV4), "0.0%") &amp; " - " &amp; TEXT((MAX(AS28,AS22,AS16,AS10,AS4)/$AV4), "0.0%") &amp; ")"</f>
        <v>32.3% (28.9% - 39.1%)</v>
      </c>
      <c r="AT120" s="72" t="str">
        <f>TEXT((AVERAGE(AT28,AT22,AT16,AT10,AT4)/$AV4), "0.0%") &amp; " (" &amp; TEXT((MIN(AT28,AT22,AT16,AT10,AT4)/$AV4), "0.0%") &amp; " - " &amp; TEXT((MAX(AT28,AT22,AT16,AT10,AT4)/$AV4), "0.0%") &amp; ")"</f>
        <v>39.8% (35.1% - 45.4%)</v>
      </c>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row>
    <row r="121" spans="1:76" s="64" customFormat="1" x14ac:dyDescent="0.2">
      <c r="A121" s="45" t="s">
        <v>96</v>
      </c>
      <c r="B121" s="46" t="s">
        <v>40</v>
      </c>
      <c r="C121" s="54"/>
      <c r="D121" s="45"/>
      <c r="E121" s="55"/>
      <c r="F121" s="45"/>
      <c r="G121" s="45"/>
      <c r="H121" s="56"/>
      <c r="I121" s="56"/>
      <c r="J121" s="56"/>
      <c r="K121" s="72" t="str">
        <f>TEXT((AVERAGE(K29,K23,K17,K11,K5)*$AS5/$AV5), "0.0%") &amp; " (" &amp; TEXT((MIN(K29,K23,K17,K11,K5)*$AS5/$AV5), "0.0%") &amp; " - " &amp; TEXT((MAX(K29,K23,K17,K11,K5)*$AS5/$AV5), "0.0%") &amp; ")"</f>
        <v>4.3% (4.3% - 4.3%)</v>
      </c>
      <c r="L121" s="72"/>
      <c r="M121" s="72"/>
      <c r="N121" s="58"/>
      <c r="O121" s="58"/>
      <c r="P121" s="58"/>
      <c r="Q121" s="59"/>
      <c r="R121" s="59"/>
      <c r="S121" s="59"/>
      <c r="T121" s="72" t="str">
        <f t="shared" ref="T121:AF124" si="494">TEXT((AVERAGE(T29,T23,T17,T11,T5)*$AS5/$AV5), "0.0%") &amp; " (" &amp; TEXT((MIN(T29,T23,T17,T11,T5)*$AS5/$AV5), "0.0%") &amp; " - " &amp; TEXT((MAX(T29,T23,T17,T11,T5)*$AS5/$AV5), "0.0%") &amp; ")"</f>
        <v>3.9% (3.9% - 3.9%)</v>
      </c>
      <c r="U121" s="72"/>
      <c r="V121" s="72"/>
      <c r="W121" s="72" t="str">
        <f t="shared" si="494"/>
        <v>1.4% (1.4% - 1.4%)</v>
      </c>
      <c r="X121" s="72"/>
      <c r="Y121" s="72"/>
      <c r="Z121" s="72" t="str">
        <f t="shared" si="494"/>
        <v>0.0% (0.0% - 0.0%)</v>
      </c>
      <c r="AA121" s="72"/>
      <c r="AB121" s="72"/>
      <c r="AC121" s="72" t="str">
        <f t="shared" si="494"/>
        <v>0.0% (0.0% - 0.0%)</v>
      </c>
      <c r="AD121" s="72"/>
      <c r="AE121" s="72"/>
      <c r="AF121" s="72" t="str">
        <f t="shared" si="494"/>
        <v>1.8% (1.8% - 1.8%)</v>
      </c>
      <c r="AG121" s="72"/>
      <c r="AH121" s="72"/>
      <c r="AI121" s="72" t="str">
        <f t="shared" ref="AI121:AI124" si="495">TEXT((AVERAGE(AI29,AI23,AI17,AI11,AI5)/$AV5), "0.0%") &amp; " (" &amp; TEXT((MIN(AI29,AI23,AI17,AI11,AI5)/$AV5), "0.0%") &amp; " - " &amp; TEXT((MAX(AI29,AI23,AI17,AI11,AI5)/$AV5), "0.0%") &amp; ")"</f>
        <v>0.1% (0.0% - 0.7%)</v>
      </c>
      <c r="AJ121" s="72"/>
      <c r="AK121" s="76"/>
      <c r="AL121" s="72" t="str">
        <f t="shared" ref="AL121:AL124" si="496">TEXT((AVERAGE(AL29,AL23,AL17,AL11,AL5)/52*$AS5/$AV5), "0.0%") &amp; " (" &amp; TEXT((MIN(AL29,AL23,AL17,AL11,AL5)/52*$AS5/$AV5), "0.0%") &amp; " - " &amp; TEXT((MAX(AL29,AL23,AL17,AL11,AL5)/52*$AS5/$AV5), "0.0%") &amp; ")"</f>
        <v>3.3% (3.0% - 3.7%)</v>
      </c>
      <c r="AM121" s="72"/>
      <c r="AN121" s="72"/>
      <c r="AO121" s="72" t="str">
        <f t="shared" ref="AO121:AO124" si="497">TEXT((AVERAGE(AO29,AO23,AO17,AO11,AO5)*$AS5/$AV5), "0.0%") &amp; " (" &amp; TEXT((MIN(AO29,AO23,AO17,AO11,AO5)*$AS5/$AV5), "0.0%") &amp; " - " &amp; TEXT((MAX(AO29,AO23,AO17,AO11,AO5)*$AS5/$AV5), "0.0%") &amp; ")"</f>
        <v>4.3% (0.0% - 7.8%)</v>
      </c>
      <c r="AP121" s="72"/>
      <c r="AQ121" s="62"/>
      <c r="AR121" s="72" t="str">
        <f t="shared" ref="AR121:AT124" si="498">TEXT((AVERAGE(AR29,AR23,AR17,AR11,AR5)/$AV5), "0.0%") &amp; " (" &amp; TEXT((MIN(AR29,AR23,AR17,AR11,AR5)/$AV5), "0.0%") &amp; " - " &amp; TEXT((MAX(AR29,AR23,AR17,AR11,AR5)/$AV5), "0.0%") &amp; ")"</f>
        <v>26.0% (23.3% - 29.6%)</v>
      </c>
      <c r="AS121" s="72" t="str">
        <f t="shared" si="498"/>
        <v>39.8% (38.8% - 41.5%)</v>
      </c>
      <c r="AT121" s="72" t="str">
        <f t="shared" si="498"/>
        <v>53.5% (52.7% - 54.3%)</v>
      </c>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row>
    <row r="122" spans="1:76" s="64" customFormat="1" x14ac:dyDescent="0.2">
      <c r="A122" s="45" t="s">
        <v>96</v>
      </c>
      <c r="B122" s="46" t="s">
        <v>47</v>
      </c>
      <c r="C122" s="54"/>
      <c r="D122" s="45"/>
      <c r="E122" s="55"/>
      <c r="F122" s="45"/>
      <c r="G122" s="45"/>
      <c r="H122" s="56"/>
      <c r="I122" s="56"/>
      <c r="J122" s="56"/>
      <c r="K122" s="72" t="str">
        <f>TEXT((AVERAGE(K30,K24,K18,K12,K6)*$AS6/$AV6), "0.0%") &amp; " (" &amp; TEXT((MIN(K30,K24,K18,K12,K6)*$AS6/$AV6), "0.0%") &amp; " - " &amp; TEXT((MAX(K30,K24,K18,K12,K6)*$AS6/$AV6), "0.0%") &amp; ")"</f>
        <v>4.3% (4.3% - 4.3%)</v>
      </c>
      <c r="L122" s="72"/>
      <c r="M122" s="72"/>
      <c r="N122" s="58"/>
      <c r="O122" s="58"/>
      <c r="P122" s="58"/>
      <c r="Q122" s="59"/>
      <c r="R122" s="59"/>
      <c r="S122" s="59"/>
      <c r="T122" s="72" t="str">
        <f t="shared" si="494"/>
        <v>3.9% (3.9% - 3.9%)</v>
      </c>
      <c r="U122" s="72"/>
      <c r="V122" s="72"/>
      <c r="W122" s="72" t="str">
        <f t="shared" si="494"/>
        <v>1.4% (1.4% - 1.4%)</v>
      </c>
      <c r="X122" s="72"/>
      <c r="Y122" s="72"/>
      <c r="Z122" s="72" t="str">
        <f t="shared" si="494"/>
        <v>0.0% (0.0% - 0.0%)</v>
      </c>
      <c r="AA122" s="72"/>
      <c r="AB122" s="72"/>
      <c r="AC122" s="72" t="str">
        <f t="shared" si="494"/>
        <v>0.0% (0.0% - 0.0%)</v>
      </c>
      <c r="AD122" s="72"/>
      <c r="AE122" s="72"/>
      <c r="AF122" s="72" t="str">
        <f t="shared" si="494"/>
        <v>1.8% (1.8% - 1.8%)</v>
      </c>
      <c r="AG122" s="72"/>
      <c r="AH122" s="72"/>
      <c r="AI122" s="72" t="str">
        <f t="shared" si="495"/>
        <v>0.2% (0.0% - 0.9%)</v>
      </c>
      <c r="AJ122" s="72"/>
      <c r="AK122" s="76"/>
      <c r="AL122" s="72" t="str">
        <f t="shared" si="496"/>
        <v>3.0% (3.0% - 3.0%)</v>
      </c>
      <c r="AM122" s="72"/>
      <c r="AN122" s="72"/>
      <c r="AO122" s="72" t="str">
        <f t="shared" si="497"/>
        <v>2.9% (0.0% - 7.8%)</v>
      </c>
      <c r="AP122" s="72"/>
      <c r="AQ122" s="62"/>
      <c r="AR122" s="72" t="str">
        <f t="shared" si="498"/>
        <v>27.6% (24.1% - 32.1%)</v>
      </c>
      <c r="AS122" s="72" t="str">
        <f t="shared" si="498"/>
        <v>32.9% (29.2% - 39.1%)</v>
      </c>
      <c r="AT122" s="72" t="str">
        <f t="shared" si="498"/>
        <v>38.1% (34.1% - 46.1%)</v>
      </c>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row>
    <row r="123" spans="1:76" s="64" customFormat="1" x14ac:dyDescent="0.2">
      <c r="A123" s="45" t="s">
        <v>96</v>
      </c>
      <c r="B123" s="46" t="s">
        <v>50</v>
      </c>
      <c r="C123" s="54"/>
      <c r="D123" s="45"/>
      <c r="E123" s="55"/>
      <c r="F123" s="45"/>
      <c r="G123" s="45"/>
      <c r="H123" s="56"/>
      <c r="I123" s="56"/>
      <c r="J123" s="56"/>
      <c r="K123" s="72" t="str">
        <f>TEXT((AVERAGE(K31,K25,K19,K13,K7)*$AS7/$AV7), "0.0%") &amp; " (" &amp; TEXT((MIN(K31,K25,K19,K13,K7)*$AS7/$AV7), "0.0%") &amp; " - " &amp; TEXT((MAX(K31,K25,K19,K13,K7)*$AS7/$AV7), "0.0%") &amp; ")"</f>
        <v>4.3% (4.3% - 4.3%)</v>
      </c>
      <c r="L123" s="72"/>
      <c r="M123" s="72"/>
      <c r="N123" s="58"/>
      <c r="O123" s="58"/>
      <c r="P123" s="58"/>
      <c r="Q123" s="59"/>
      <c r="R123" s="59"/>
      <c r="S123" s="59"/>
      <c r="T123" s="72" t="str">
        <f t="shared" si="494"/>
        <v>3.9% (3.9% - 3.9%)</v>
      </c>
      <c r="U123" s="72"/>
      <c r="V123" s="72"/>
      <c r="W123" s="72" t="str">
        <f t="shared" si="494"/>
        <v>1.4% (1.4% - 1.4%)</v>
      </c>
      <c r="X123" s="72"/>
      <c r="Y123" s="72"/>
      <c r="Z123" s="72" t="str">
        <f t="shared" si="494"/>
        <v>0.0% (0.0% - 0.0%)</v>
      </c>
      <c r="AA123" s="72"/>
      <c r="AB123" s="72"/>
      <c r="AC123" s="72" t="str">
        <f t="shared" si="494"/>
        <v>0.0% (0.0% - 0.0%)</v>
      </c>
      <c r="AD123" s="72"/>
      <c r="AE123" s="72"/>
      <c r="AF123" s="72" t="str">
        <f t="shared" si="494"/>
        <v>1.8% (1.8% - 1.8%)</v>
      </c>
      <c r="AG123" s="72"/>
      <c r="AH123" s="72"/>
      <c r="AI123" s="72" t="str">
        <f t="shared" si="495"/>
        <v>0.1% (0.0% - 0.7%)</v>
      </c>
      <c r="AJ123" s="72"/>
      <c r="AK123" s="76"/>
      <c r="AL123" s="72" t="str">
        <f t="shared" si="496"/>
        <v>3.0% (3.0% - 3.0%)</v>
      </c>
      <c r="AM123" s="72"/>
      <c r="AN123" s="72"/>
      <c r="AO123" s="72" t="str">
        <f t="shared" si="497"/>
        <v>4.3% (0.0% - 7.8%)</v>
      </c>
      <c r="AP123" s="72"/>
      <c r="AQ123" s="62"/>
      <c r="AR123" s="72" t="str">
        <f t="shared" si="498"/>
        <v>27.7% (25.4% - 30.7%)</v>
      </c>
      <c r="AS123" s="72" t="str">
        <f t="shared" si="498"/>
        <v>36.5% (33.3% - 40.1%)</v>
      </c>
      <c r="AT123" s="72" t="str">
        <f t="shared" si="498"/>
        <v>45.2% (36.0% - 53.6%)</v>
      </c>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row>
    <row r="124" spans="1:76" s="64" customFormat="1" x14ac:dyDescent="0.2">
      <c r="A124" s="45" t="s">
        <v>96</v>
      </c>
      <c r="B124" s="46" t="s">
        <v>55</v>
      </c>
      <c r="C124" s="54"/>
      <c r="D124" s="45"/>
      <c r="E124" s="55"/>
      <c r="F124" s="45"/>
      <c r="G124" s="45"/>
      <c r="H124" s="56"/>
      <c r="I124" s="56"/>
      <c r="J124" s="56"/>
      <c r="K124" s="72" t="str">
        <f>TEXT((AVERAGE(K32,K26,K20,K14,K8)*$AS8/$AV8), "0.0%") &amp; " (" &amp; TEXT((MIN(K32,K26,K20,K14,K8)*$AS8/$AV8), "0.0%") &amp; " - " &amp; TEXT((MAX(K32,K26,K20,K14,K8)*$AS8/$AV8), "0.0%") &amp; ")"</f>
        <v>4.1% (4.1% - 4.1%)</v>
      </c>
      <c r="L124" s="72"/>
      <c r="M124" s="72"/>
      <c r="N124" s="58"/>
      <c r="O124" s="58"/>
      <c r="P124" s="58"/>
      <c r="Q124" s="59"/>
      <c r="R124" s="59"/>
      <c r="S124" s="59"/>
      <c r="T124" s="72" t="str">
        <f t="shared" si="494"/>
        <v>0.0% (0.0% - 0.0%)</v>
      </c>
      <c r="U124" s="72"/>
      <c r="V124" s="72"/>
      <c r="W124" s="72" t="str">
        <f t="shared" si="494"/>
        <v>1.3% (1.3% - 1.3%)</v>
      </c>
      <c r="X124" s="72"/>
      <c r="Y124" s="72"/>
      <c r="Z124" s="72" t="str">
        <f t="shared" si="494"/>
        <v>3.8% (3.8% - 3.8%)</v>
      </c>
      <c r="AA124" s="72"/>
      <c r="AB124" s="72"/>
      <c r="AC124" s="72" t="str">
        <f t="shared" si="494"/>
        <v>9.6% (0.0% - 22.6%)</v>
      </c>
      <c r="AD124" s="72"/>
      <c r="AE124" s="72"/>
      <c r="AF124" s="72" t="str">
        <f t="shared" si="494"/>
        <v>1.7% (1.7% - 1.7%)</v>
      </c>
      <c r="AG124" s="72"/>
      <c r="AH124" s="72"/>
      <c r="AI124" s="72" t="str">
        <f t="shared" si="495"/>
        <v>3.6% (2.7% - 4.8%)</v>
      </c>
      <c r="AJ124" s="72"/>
      <c r="AK124" s="76"/>
      <c r="AL124" s="72" t="str">
        <f t="shared" si="496"/>
        <v>3.2% (2.9% - 3.6%)</v>
      </c>
      <c r="AM124" s="72"/>
      <c r="AN124" s="72"/>
      <c r="AO124" s="72" t="str">
        <f t="shared" si="497"/>
        <v>4.0% (0.0% - 6.6%)</v>
      </c>
      <c r="AP124" s="72"/>
      <c r="AQ124" s="62"/>
      <c r="AR124" s="72" t="str">
        <f t="shared" si="498"/>
        <v>28.9% (22.8% - 37.9%)</v>
      </c>
      <c r="AS124" s="72" t="str">
        <f t="shared" si="498"/>
        <v>33.9% (26.8% - 43.5%)</v>
      </c>
      <c r="AT124" s="72" t="str">
        <f t="shared" si="498"/>
        <v>38.8% (30.8% - 49.2%)</v>
      </c>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row>
  </sheetData>
  <mergeCells count="45">
    <mergeCell ref="CK1:CP1"/>
    <mergeCell ref="CK2:CM2"/>
    <mergeCell ref="CN2:CP2"/>
    <mergeCell ref="DC1:DH1"/>
    <mergeCell ref="DC2:DE2"/>
    <mergeCell ref="DF2:DH2"/>
    <mergeCell ref="CQ1:CV1"/>
    <mergeCell ref="CQ2:CS2"/>
    <mergeCell ref="CT2:CV2"/>
    <mergeCell ref="CW1:DB1"/>
    <mergeCell ref="CW2:CY2"/>
    <mergeCell ref="CZ2:DB2"/>
    <mergeCell ref="BY1:CD1"/>
    <mergeCell ref="BY2:CA2"/>
    <mergeCell ref="CB2:CD2"/>
    <mergeCell ref="CE1:CJ1"/>
    <mergeCell ref="CE2:CG2"/>
    <mergeCell ref="CH2:CJ2"/>
    <mergeCell ref="BM1:BR1"/>
    <mergeCell ref="BM2:BO2"/>
    <mergeCell ref="BP2:BR2"/>
    <mergeCell ref="BS1:BX1"/>
    <mergeCell ref="BS2:BU2"/>
    <mergeCell ref="BV2:BX2"/>
    <mergeCell ref="BA1:BF1"/>
    <mergeCell ref="BA2:BC2"/>
    <mergeCell ref="BD2:BF2"/>
    <mergeCell ref="BG1:BL1"/>
    <mergeCell ref="BG2:BI2"/>
    <mergeCell ref="BJ2:BL2"/>
    <mergeCell ref="J2:L2"/>
    <mergeCell ref="M2:O2"/>
    <mergeCell ref="P2:R2"/>
    <mergeCell ref="S2:U2"/>
    <mergeCell ref="V2:X2"/>
    <mergeCell ref="Y2:AA2"/>
    <mergeCell ref="AK2:AM2"/>
    <mergeCell ref="AR1:AZ1"/>
    <mergeCell ref="AR2:AT2"/>
    <mergeCell ref="AU2:AW2"/>
    <mergeCell ref="AX2:AZ2"/>
    <mergeCell ref="AB2:AD2"/>
    <mergeCell ref="AE2:AG2"/>
    <mergeCell ref="AH2:AJ2"/>
    <mergeCell ref="AN2:AP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7AF6-8FF0-0149-8775-752D6DBD8BCC}">
  <dimension ref="A1:BP33"/>
  <sheetViews>
    <sheetView workbookViewId="0">
      <selection sqref="A1:BP33"/>
    </sheetView>
  </sheetViews>
  <sheetFormatPr baseColWidth="10" defaultColWidth="11" defaultRowHeight="16" x14ac:dyDescent="0.2"/>
  <sheetData>
    <row r="1" spans="1:68" x14ac:dyDescent="0.2">
      <c r="C1" s="44" t="s">
        <v>185</v>
      </c>
      <c r="D1" s="44"/>
      <c r="E1" s="44"/>
      <c r="F1" s="44"/>
      <c r="G1" s="44"/>
      <c r="H1" s="44"/>
      <c r="I1" s="44" t="s">
        <v>186</v>
      </c>
      <c r="J1" s="44"/>
      <c r="K1" s="44"/>
      <c r="L1" s="44"/>
      <c r="M1" s="44"/>
      <c r="N1" s="44"/>
      <c r="O1" s="44" t="s">
        <v>187</v>
      </c>
      <c r="P1" s="44"/>
      <c r="Q1" s="44"/>
      <c r="R1" s="44"/>
      <c r="S1" s="44"/>
      <c r="T1" s="44"/>
      <c r="U1" s="44" t="s">
        <v>188</v>
      </c>
      <c r="V1" s="44"/>
      <c r="W1" s="44"/>
      <c r="X1" s="44"/>
      <c r="Y1" s="44"/>
      <c r="Z1" s="44"/>
      <c r="AA1" s="44" t="s">
        <v>189</v>
      </c>
      <c r="AB1" s="44"/>
      <c r="AC1" s="44"/>
      <c r="AD1" s="44"/>
      <c r="AE1" s="44"/>
      <c r="AF1" s="44"/>
      <c r="AG1" s="44" t="s">
        <v>190</v>
      </c>
      <c r="AH1" s="44"/>
      <c r="AI1" s="44"/>
      <c r="AJ1" s="44"/>
      <c r="AK1" s="44"/>
      <c r="AL1" s="44"/>
      <c r="AM1" s="44" t="s">
        <v>191</v>
      </c>
      <c r="AN1" s="44"/>
      <c r="AO1" s="44"/>
      <c r="AP1" s="44"/>
      <c r="AQ1" s="44"/>
      <c r="AR1" s="44"/>
      <c r="AS1" s="44" t="s">
        <v>192</v>
      </c>
      <c r="AT1" s="44"/>
      <c r="AU1" s="44"/>
      <c r="AV1" s="44"/>
      <c r="AW1" s="44"/>
      <c r="AX1" s="44"/>
      <c r="AY1" s="44" t="s">
        <v>193</v>
      </c>
      <c r="AZ1" s="44"/>
      <c r="BA1" s="44"/>
      <c r="BB1" s="44"/>
      <c r="BC1" s="44"/>
      <c r="BD1" s="44"/>
      <c r="BE1" s="44" t="s">
        <v>194</v>
      </c>
      <c r="BF1" s="44"/>
      <c r="BG1" s="44"/>
      <c r="BH1" s="44"/>
      <c r="BI1" s="44"/>
      <c r="BJ1" s="44"/>
      <c r="BK1" s="44" t="s">
        <v>195</v>
      </c>
      <c r="BL1" s="44"/>
      <c r="BM1" s="44"/>
      <c r="BN1" s="44"/>
      <c r="BO1" s="44"/>
      <c r="BP1" s="44"/>
    </row>
    <row r="2" spans="1:68" x14ac:dyDescent="0.2">
      <c r="A2" t="s">
        <v>5</v>
      </c>
      <c r="B2" t="s">
        <v>6</v>
      </c>
      <c r="C2" s="44" t="s">
        <v>11</v>
      </c>
      <c r="D2" s="44"/>
      <c r="E2" s="44"/>
      <c r="F2" s="44" t="s">
        <v>12</v>
      </c>
      <c r="G2" s="44"/>
      <c r="H2" s="44"/>
      <c r="I2" s="44" t="s">
        <v>11</v>
      </c>
      <c r="J2" s="44"/>
      <c r="K2" s="44"/>
      <c r="L2" s="44" t="s">
        <v>12</v>
      </c>
      <c r="M2" s="44"/>
      <c r="N2" s="44"/>
      <c r="O2" s="44" t="s">
        <v>11</v>
      </c>
      <c r="P2" s="44"/>
      <c r="Q2" s="44"/>
      <c r="R2" s="44" t="s">
        <v>12</v>
      </c>
      <c r="S2" s="44"/>
      <c r="T2" s="44"/>
      <c r="U2" s="44" t="s">
        <v>11</v>
      </c>
      <c r="V2" s="44"/>
      <c r="W2" s="44"/>
      <c r="X2" s="44" t="s">
        <v>12</v>
      </c>
      <c r="Y2" s="44"/>
      <c r="Z2" s="44"/>
      <c r="AA2" s="44" t="s">
        <v>11</v>
      </c>
      <c r="AB2" s="44"/>
      <c r="AC2" s="44"/>
      <c r="AD2" s="44" t="s">
        <v>12</v>
      </c>
      <c r="AE2" s="44"/>
      <c r="AF2" s="44"/>
      <c r="AG2" s="44" t="s">
        <v>11</v>
      </c>
      <c r="AH2" s="44"/>
      <c r="AI2" s="44"/>
      <c r="AJ2" s="44" t="s">
        <v>12</v>
      </c>
      <c r="AK2" s="44"/>
      <c r="AL2" s="44"/>
      <c r="AM2" s="44" t="s">
        <v>11</v>
      </c>
      <c r="AN2" s="44"/>
      <c r="AO2" s="44"/>
      <c r="AP2" s="44" t="s">
        <v>12</v>
      </c>
      <c r="AQ2" s="44"/>
      <c r="AR2" s="44"/>
      <c r="AS2" s="44" t="s">
        <v>11</v>
      </c>
      <c r="AT2" s="44"/>
      <c r="AU2" s="44"/>
      <c r="AV2" s="44" t="s">
        <v>12</v>
      </c>
      <c r="AW2" s="44"/>
      <c r="AX2" s="44"/>
      <c r="AY2" s="44" t="s">
        <v>11</v>
      </c>
      <c r="AZ2" s="44"/>
      <c r="BA2" s="44"/>
      <c r="BB2" s="44" t="s">
        <v>12</v>
      </c>
      <c r="BC2" s="44"/>
      <c r="BD2" s="44"/>
      <c r="BE2" s="44" t="s">
        <v>11</v>
      </c>
      <c r="BF2" s="44"/>
      <c r="BG2" s="44"/>
      <c r="BH2" s="44" t="s">
        <v>12</v>
      </c>
      <c r="BI2" s="44"/>
      <c r="BJ2" s="44"/>
      <c r="BK2" s="44" t="s">
        <v>11</v>
      </c>
      <c r="BL2" s="44"/>
      <c r="BM2" s="44"/>
      <c r="BN2" s="44" t="s">
        <v>12</v>
      </c>
      <c r="BO2" s="44"/>
      <c r="BP2" s="44"/>
    </row>
    <row r="3" spans="1:68" x14ac:dyDescent="0.2">
      <c r="C3" s="44" t="s">
        <v>29</v>
      </c>
      <c r="D3" s="44" t="s">
        <v>56</v>
      </c>
      <c r="E3" s="44" t="s">
        <v>31</v>
      </c>
      <c r="F3" s="44" t="s">
        <v>29</v>
      </c>
      <c r="G3" s="44" t="s">
        <v>56</v>
      </c>
      <c r="H3" s="44" t="s">
        <v>31</v>
      </c>
      <c r="I3" s="44" t="s">
        <v>29</v>
      </c>
      <c r="J3" s="44" t="s">
        <v>56</v>
      </c>
      <c r="K3" s="44" t="s">
        <v>31</v>
      </c>
      <c r="L3" s="44" t="s">
        <v>29</v>
      </c>
      <c r="M3" s="44" t="s">
        <v>56</v>
      </c>
      <c r="N3" s="44" t="s">
        <v>31</v>
      </c>
      <c r="O3" s="44" t="s">
        <v>29</v>
      </c>
      <c r="P3" s="44" t="s">
        <v>56</v>
      </c>
      <c r="Q3" s="44" t="s">
        <v>31</v>
      </c>
      <c r="R3" s="44" t="s">
        <v>29</v>
      </c>
      <c r="S3" s="44" t="s">
        <v>56</v>
      </c>
      <c r="T3" s="44" t="s">
        <v>31</v>
      </c>
      <c r="U3" s="44" t="s">
        <v>29</v>
      </c>
      <c r="V3" s="44" t="s">
        <v>56</v>
      </c>
      <c r="W3" s="44" t="s">
        <v>31</v>
      </c>
      <c r="X3" s="44" t="s">
        <v>29</v>
      </c>
      <c r="Y3" s="44" t="s">
        <v>56</v>
      </c>
      <c r="Z3" s="44" t="s">
        <v>31</v>
      </c>
      <c r="AA3" s="44" t="s">
        <v>29</v>
      </c>
      <c r="AB3" s="44" t="s">
        <v>56</v>
      </c>
      <c r="AC3" s="44" t="s">
        <v>31</v>
      </c>
      <c r="AD3" s="44" t="s">
        <v>29</v>
      </c>
      <c r="AE3" s="44" t="s">
        <v>56</v>
      </c>
      <c r="AF3" s="44" t="s">
        <v>31</v>
      </c>
      <c r="AG3" s="44" t="s">
        <v>29</v>
      </c>
      <c r="AH3" s="44" t="s">
        <v>56</v>
      </c>
      <c r="AI3" s="44" t="s">
        <v>31</v>
      </c>
      <c r="AJ3" s="44" t="s">
        <v>29</v>
      </c>
      <c r="AK3" s="44" t="s">
        <v>56</v>
      </c>
      <c r="AL3" s="44" t="s">
        <v>31</v>
      </c>
      <c r="AM3" s="44" t="s">
        <v>29</v>
      </c>
      <c r="AN3" s="44" t="s">
        <v>56</v>
      </c>
      <c r="AO3" s="44" t="s">
        <v>31</v>
      </c>
      <c r="AP3" s="44" t="s">
        <v>29</v>
      </c>
      <c r="AQ3" s="44" t="s">
        <v>56</v>
      </c>
      <c r="AR3" s="44" t="s">
        <v>31</v>
      </c>
      <c r="AS3" s="44" t="s">
        <v>29</v>
      </c>
      <c r="AT3" s="44" t="s">
        <v>56</v>
      </c>
      <c r="AU3" s="44" t="s">
        <v>31</v>
      </c>
      <c r="AV3" s="44" t="s">
        <v>29</v>
      </c>
      <c r="AW3" s="44" t="s">
        <v>56</v>
      </c>
      <c r="AX3" s="44" t="s">
        <v>31</v>
      </c>
      <c r="AY3" s="44" t="s">
        <v>29</v>
      </c>
      <c r="AZ3" s="44" t="s">
        <v>56</v>
      </c>
      <c r="BA3" s="44" t="s">
        <v>31</v>
      </c>
      <c r="BB3" s="44" t="s">
        <v>29</v>
      </c>
      <c r="BC3" s="44" t="s">
        <v>56</v>
      </c>
      <c r="BD3" s="44" t="s">
        <v>31</v>
      </c>
      <c r="BE3" s="44" t="s">
        <v>29</v>
      </c>
      <c r="BF3" s="44" t="s">
        <v>56</v>
      </c>
      <c r="BG3" s="44" t="s">
        <v>31</v>
      </c>
      <c r="BH3" s="44" t="s">
        <v>29</v>
      </c>
      <c r="BI3" s="44" t="s">
        <v>56</v>
      </c>
      <c r="BJ3" s="44" t="s">
        <v>31</v>
      </c>
      <c r="BK3" s="44" t="s">
        <v>29</v>
      </c>
      <c r="BL3" s="44" t="s">
        <v>56</v>
      </c>
      <c r="BM3" s="44" t="s">
        <v>31</v>
      </c>
      <c r="BN3" s="44" t="s">
        <v>29</v>
      </c>
      <c r="BO3" s="44" t="s">
        <v>56</v>
      </c>
      <c r="BP3" s="44" t="s">
        <v>31</v>
      </c>
    </row>
    <row r="4" spans="1:68" x14ac:dyDescent="0.2">
      <c r="A4" t="s">
        <v>32</v>
      </c>
      <c r="B4" t="s">
        <v>33</v>
      </c>
      <c r="C4" s="65">
        <v>203549.5686153846</v>
      </c>
      <c r="D4" s="65">
        <v>242777.29053846153</v>
      </c>
      <c r="E4" s="65">
        <v>282005.01246153843</v>
      </c>
      <c r="F4" s="65">
        <v>103.01091529118654</v>
      </c>
      <c r="G4" s="65">
        <v>122.86300128464651</v>
      </c>
      <c r="H4" s="65">
        <v>142.71508727810649</v>
      </c>
      <c r="I4" s="78">
        <v>242302.4455384615</v>
      </c>
      <c r="J4" s="78">
        <v>242777.29053846153</v>
      </c>
      <c r="K4" s="78">
        <v>244439.24803846152</v>
      </c>
      <c r="L4" s="78">
        <v>122.62269511055743</v>
      </c>
      <c r="M4" s="78">
        <v>122.86300128464651</v>
      </c>
      <c r="N4" s="78">
        <v>123.70407289395826</v>
      </c>
      <c r="O4" s="78">
        <v>242777.29053846153</v>
      </c>
      <c r="P4" s="78">
        <v>242777.29053846153</v>
      </c>
      <c r="Q4" s="78">
        <v>242777.29053846153</v>
      </c>
      <c r="R4" s="78">
        <v>116.7198512204142</v>
      </c>
      <c r="S4" s="78">
        <v>122.86300128464651</v>
      </c>
      <c r="T4" s="78">
        <v>128.61691594536001</v>
      </c>
      <c r="U4" s="78">
        <v>233280.39053846151</v>
      </c>
      <c r="V4" s="78">
        <v>242777.29053846153</v>
      </c>
      <c r="W4" s="78">
        <v>261771.09053846155</v>
      </c>
      <c r="X4" s="78">
        <v>118.05687780286515</v>
      </c>
      <c r="Y4" s="78">
        <v>122.86300128464651</v>
      </c>
      <c r="Z4" s="78">
        <v>132.47524824820928</v>
      </c>
      <c r="AA4" s="78">
        <v>242254.96103846154</v>
      </c>
      <c r="AB4" s="78">
        <v>242777.29053846153</v>
      </c>
      <c r="AC4" s="78">
        <v>243252.1355384615</v>
      </c>
      <c r="AD4" s="78">
        <v>122.59866449314855</v>
      </c>
      <c r="AE4" s="78">
        <v>122.86300128464651</v>
      </c>
      <c r="AF4" s="78">
        <v>123.10330745873559</v>
      </c>
      <c r="AG4" s="78">
        <v>242777.29053846153</v>
      </c>
      <c r="AH4" s="78">
        <v>242777.29053846153</v>
      </c>
      <c r="AI4" s="78">
        <v>261771.09053846152</v>
      </c>
      <c r="AJ4" s="78">
        <v>122.86300128464651</v>
      </c>
      <c r="AK4" s="78">
        <v>122.86300128464651</v>
      </c>
      <c r="AL4" s="78">
        <v>132.47524824820925</v>
      </c>
      <c r="AM4" s="78">
        <v>242777.29053846153</v>
      </c>
      <c r="AN4" s="78">
        <v>242777.29053846153</v>
      </c>
      <c r="AO4" s="78">
        <v>242777.29053846153</v>
      </c>
      <c r="AP4" s="78">
        <v>122.86300128464651</v>
      </c>
      <c r="AQ4" s="78">
        <v>122.86300128464651</v>
      </c>
      <c r="AR4" s="78">
        <v>122.86300128464651</v>
      </c>
      <c r="AS4" s="78">
        <v>239358.40653846151</v>
      </c>
      <c r="AT4" s="78">
        <v>242777.29053846153</v>
      </c>
      <c r="AU4" s="78">
        <v>246006.23653846153</v>
      </c>
      <c r="AV4" s="78">
        <v>121.13279683120523</v>
      </c>
      <c r="AW4" s="78">
        <v>122.86300128464651</v>
      </c>
      <c r="AX4" s="78">
        <v>124.49708326845219</v>
      </c>
      <c r="AY4" s="78">
        <v>242777.29053846153</v>
      </c>
      <c r="AZ4" s="78">
        <v>242777.29053846153</v>
      </c>
      <c r="BA4" s="78">
        <v>244777.29053846153</v>
      </c>
      <c r="BB4" s="78">
        <v>122.86300128464651</v>
      </c>
      <c r="BC4" s="78">
        <v>122.86300128464651</v>
      </c>
      <c r="BD4" s="78">
        <v>123.87514703363439</v>
      </c>
      <c r="BE4" s="78">
        <v>234193.55399999997</v>
      </c>
      <c r="BF4" s="78">
        <v>242777.29053846153</v>
      </c>
      <c r="BG4" s="78">
        <v>244923.22467307691</v>
      </c>
      <c r="BH4" s="78">
        <v>118.51900506072874</v>
      </c>
      <c r="BI4" s="78">
        <v>122.86300128464651</v>
      </c>
      <c r="BJ4" s="78">
        <v>123.94900034062596</v>
      </c>
      <c r="BK4" s="78">
        <v>224879.28669230768</v>
      </c>
      <c r="BL4" s="78">
        <v>242777.29053846153</v>
      </c>
      <c r="BM4" s="78">
        <v>245334.14823076921</v>
      </c>
      <c r="BN4" s="78">
        <v>113.80530703052007</v>
      </c>
      <c r="BO4" s="78">
        <v>122.86300128464651</v>
      </c>
      <c r="BP4" s="78">
        <v>124.15695760666459</v>
      </c>
    </row>
    <row r="5" spans="1:68" x14ac:dyDescent="0.2">
      <c r="A5" t="s">
        <v>32</v>
      </c>
      <c r="B5" t="s">
        <v>40</v>
      </c>
      <c r="C5" s="65">
        <v>157843.93900000001</v>
      </c>
      <c r="D5" s="65">
        <v>262742.43440000003</v>
      </c>
      <c r="E5" s="65">
        <v>367640.92980000004</v>
      </c>
      <c r="F5" s="65">
        <v>79.880535931174094</v>
      </c>
      <c r="G5" s="65">
        <v>132.9668190283401</v>
      </c>
      <c r="H5" s="65">
        <v>186.05310212550611</v>
      </c>
      <c r="I5" s="78">
        <v>262233.04240000003</v>
      </c>
      <c r="J5" s="78">
        <v>262742.43440000003</v>
      </c>
      <c r="K5" s="78">
        <v>264525.30640000006</v>
      </c>
      <c r="L5" s="78">
        <v>132.7090295546559</v>
      </c>
      <c r="M5" s="78">
        <v>132.9668190283401</v>
      </c>
      <c r="N5" s="78">
        <v>133.86908218623486</v>
      </c>
      <c r="O5" s="78">
        <v>262742.43440000003</v>
      </c>
      <c r="P5" s="78">
        <v>262742.43440000003</v>
      </c>
      <c r="Q5" s="78">
        <v>262742.43440000003</v>
      </c>
      <c r="R5" s="78">
        <v>126.31847807692309</v>
      </c>
      <c r="S5" s="78">
        <v>132.9668190283401</v>
      </c>
      <c r="T5" s="78">
        <v>139.19391523627888</v>
      </c>
      <c r="U5" s="78">
        <v>252554.59440000006</v>
      </c>
      <c r="V5" s="78">
        <v>262742.43440000003</v>
      </c>
      <c r="W5" s="78">
        <v>283118.11440000008</v>
      </c>
      <c r="X5" s="78">
        <v>127.8110295546559</v>
      </c>
      <c r="Y5" s="78">
        <v>132.9668190283401</v>
      </c>
      <c r="Z5" s="78">
        <v>143.27839797570854</v>
      </c>
      <c r="AA5" s="78">
        <v>262182.10320000007</v>
      </c>
      <c r="AB5" s="78">
        <v>262742.43440000003</v>
      </c>
      <c r="AC5" s="78">
        <v>263251.82640000002</v>
      </c>
      <c r="AD5" s="78">
        <v>132.68325060728748</v>
      </c>
      <c r="AE5" s="78">
        <v>132.9668190283401</v>
      </c>
      <c r="AF5" s="78">
        <v>133.22460850202432</v>
      </c>
      <c r="AG5" s="78">
        <v>262742.43440000003</v>
      </c>
      <c r="AH5" s="78">
        <v>262742.43440000003</v>
      </c>
      <c r="AI5" s="78">
        <v>283118.11440000008</v>
      </c>
      <c r="AJ5" s="78">
        <v>132.9668190283401</v>
      </c>
      <c r="AK5" s="78">
        <v>132.9668190283401</v>
      </c>
      <c r="AL5" s="78">
        <v>143.27839797570854</v>
      </c>
      <c r="AM5" s="78">
        <v>262742.43440000003</v>
      </c>
      <c r="AN5" s="78">
        <v>262742.43440000003</v>
      </c>
      <c r="AO5" s="78">
        <v>262742.43440000003</v>
      </c>
      <c r="AP5" s="78">
        <v>132.9668190283401</v>
      </c>
      <c r="AQ5" s="78">
        <v>132.9668190283401</v>
      </c>
      <c r="AR5" s="78">
        <v>132.9668190283401</v>
      </c>
      <c r="AS5" s="78">
        <v>259074.81200000003</v>
      </c>
      <c r="AT5" s="78">
        <v>262742.43440000003</v>
      </c>
      <c r="AU5" s="78">
        <v>266206.30000000005</v>
      </c>
      <c r="AV5" s="78">
        <v>131.11073481781378</v>
      </c>
      <c r="AW5" s="78">
        <v>132.9668190283401</v>
      </c>
      <c r="AX5" s="78">
        <v>134.71978744939275</v>
      </c>
      <c r="AY5" s="78">
        <v>262742.43440000003</v>
      </c>
      <c r="AZ5" s="78">
        <v>262742.43440000003</v>
      </c>
      <c r="BA5" s="78">
        <v>264742.43440000003</v>
      </c>
      <c r="BB5" s="78">
        <v>132.9668190283401</v>
      </c>
      <c r="BC5" s="78">
        <v>132.9668190283401</v>
      </c>
      <c r="BD5" s="78">
        <v>133.97896477732795</v>
      </c>
      <c r="BE5" s="78">
        <v>251232.13440000004</v>
      </c>
      <c r="BF5" s="78">
        <v>262742.43440000003</v>
      </c>
      <c r="BG5" s="78">
        <v>262742.43440000003</v>
      </c>
      <c r="BH5" s="78">
        <v>127.14176842105266</v>
      </c>
      <c r="BI5" s="78">
        <v>132.9668190283401</v>
      </c>
      <c r="BJ5" s="78">
        <v>132.9668190283401</v>
      </c>
      <c r="BK5" s="78">
        <v>243199.41440000004</v>
      </c>
      <c r="BL5" s="78">
        <v>262742.43440000003</v>
      </c>
      <c r="BM5" s="78">
        <v>265534.29440000001</v>
      </c>
      <c r="BN5" s="78">
        <v>123.07662672064778</v>
      </c>
      <c r="BO5" s="78">
        <v>132.9668190283401</v>
      </c>
      <c r="BP5" s="78">
        <v>134.37970364372472</v>
      </c>
    </row>
    <row r="6" spans="1:68" x14ac:dyDescent="0.2">
      <c r="A6" t="s">
        <v>32</v>
      </c>
      <c r="B6" t="s">
        <v>47</v>
      </c>
      <c r="C6" s="65">
        <v>162844.25638461538</v>
      </c>
      <c r="D6" s="65">
        <v>198325.59665384615</v>
      </c>
      <c r="E6" s="65">
        <v>233806.93692307692</v>
      </c>
      <c r="F6" s="65">
        <v>82.411060923388348</v>
      </c>
      <c r="G6" s="65">
        <v>100.3672047843351</v>
      </c>
      <c r="H6" s="65">
        <v>118.32334864528184</v>
      </c>
      <c r="I6" s="78">
        <v>197937.69415384615</v>
      </c>
      <c r="J6" s="78">
        <v>198325.59665384615</v>
      </c>
      <c r="K6" s="78">
        <v>199683.25540384615</v>
      </c>
      <c r="L6" s="78">
        <v>100.17089785113671</v>
      </c>
      <c r="M6" s="78">
        <v>100.3672047843351</v>
      </c>
      <c r="N6" s="78">
        <v>101.05427905052943</v>
      </c>
      <c r="O6" s="78">
        <v>198325.59665384615</v>
      </c>
      <c r="P6" s="78">
        <v>198325.59665384615</v>
      </c>
      <c r="Q6" s="78">
        <v>198325.59665384615</v>
      </c>
      <c r="R6" s="78">
        <v>95.34884454511834</v>
      </c>
      <c r="S6" s="78">
        <v>100.3672047843351</v>
      </c>
      <c r="T6" s="78">
        <v>105.06759729489626</v>
      </c>
      <c r="U6" s="78">
        <v>190567.54665384616</v>
      </c>
      <c r="V6" s="78">
        <v>198325.59665384615</v>
      </c>
      <c r="W6" s="78">
        <v>213841.69665384613</v>
      </c>
      <c r="X6" s="78">
        <v>96.441066120367495</v>
      </c>
      <c r="Y6" s="78">
        <v>100.3672047843351</v>
      </c>
      <c r="Z6" s="78">
        <v>108.21948211227031</v>
      </c>
      <c r="AA6" s="78">
        <v>197898.90390384616</v>
      </c>
      <c r="AB6" s="78">
        <v>198325.59665384615</v>
      </c>
      <c r="AC6" s="78">
        <v>198713.49915384615</v>
      </c>
      <c r="AD6" s="78">
        <v>100.15126715781689</v>
      </c>
      <c r="AE6" s="78">
        <v>100.3672047843351</v>
      </c>
      <c r="AF6" s="78">
        <v>100.56351171753347</v>
      </c>
      <c r="AG6" s="78">
        <v>198325.59665384615</v>
      </c>
      <c r="AH6" s="78">
        <v>198325.59665384615</v>
      </c>
      <c r="AI6" s="78">
        <v>213841.69665384616</v>
      </c>
      <c r="AJ6" s="78">
        <v>100.3672047843351</v>
      </c>
      <c r="AK6" s="78">
        <v>100.3672047843351</v>
      </c>
      <c r="AL6" s="78">
        <v>108.21948211227031</v>
      </c>
      <c r="AM6" s="78">
        <v>198325.59665384615</v>
      </c>
      <c r="AN6" s="78">
        <v>198325.59665384615</v>
      </c>
      <c r="AO6" s="78">
        <v>198325.59665384615</v>
      </c>
      <c r="AP6" s="78">
        <v>100.3672047843351</v>
      </c>
      <c r="AQ6" s="78">
        <v>100.3672047843351</v>
      </c>
      <c r="AR6" s="78">
        <v>100.3672047843351</v>
      </c>
      <c r="AS6" s="78">
        <v>195532.69865384616</v>
      </c>
      <c r="AT6" s="78">
        <v>198325.59665384615</v>
      </c>
      <c r="AU6" s="78">
        <v>200963.33365384617</v>
      </c>
      <c r="AV6" s="78">
        <v>98.953794865306762</v>
      </c>
      <c r="AW6" s="78">
        <v>100.3672047843351</v>
      </c>
      <c r="AX6" s="78">
        <v>101.70209193008409</v>
      </c>
      <c r="AY6" s="78">
        <v>198325.59665384615</v>
      </c>
      <c r="AZ6" s="78">
        <v>198325.59665384615</v>
      </c>
      <c r="BA6" s="78">
        <v>200325.59665384615</v>
      </c>
      <c r="BB6" s="78">
        <v>100.3672047843351</v>
      </c>
      <c r="BC6" s="78">
        <v>100.3672047843351</v>
      </c>
      <c r="BD6" s="78">
        <v>101.37935053332295</v>
      </c>
      <c r="BE6" s="78">
        <v>191313.51300000001</v>
      </c>
      <c r="BF6" s="78">
        <v>198325.59665384615</v>
      </c>
      <c r="BG6" s="78">
        <v>200078.61756730772</v>
      </c>
      <c r="BH6" s="78">
        <v>96.818579453441302</v>
      </c>
      <c r="BI6" s="78">
        <v>100.3672047843351</v>
      </c>
      <c r="BJ6" s="78">
        <v>101.25436111705856</v>
      </c>
      <c r="BK6" s="78">
        <v>183704.65626923076</v>
      </c>
      <c r="BL6" s="78">
        <v>198325.59665384615</v>
      </c>
      <c r="BM6" s="78">
        <v>200414.30242307691</v>
      </c>
      <c r="BN6" s="78">
        <v>92.967943456088449</v>
      </c>
      <c r="BO6" s="78">
        <v>100.3672047843351</v>
      </c>
      <c r="BP6" s="78">
        <v>101.42424211694176</v>
      </c>
    </row>
    <row r="7" spans="1:68" x14ac:dyDescent="0.2">
      <c r="A7" t="s">
        <v>32</v>
      </c>
      <c r="B7" t="s">
        <v>50</v>
      </c>
      <c r="C7" s="65">
        <v>203549.5686153846</v>
      </c>
      <c r="D7" s="65">
        <v>260395.89330769231</v>
      </c>
      <c r="E7" s="65">
        <v>317242.21799999999</v>
      </c>
      <c r="F7" s="65">
        <v>103.01091529118654</v>
      </c>
      <c r="G7" s="65">
        <v>131.77929823263781</v>
      </c>
      <c r="H7" s="65">
        <v>160.54768117408906</v>
      </c>
      <c r="I7" s="78">
        <v>259886.58830769232</v>
      </c>
      <c r="J7" s="78">
        <v>260395.89330769231</v>
      </c>
      <c r="K7" s="78">
        <v>262178.46080769226</v>
      </c>
      <c r="L7" s="78">
        <v>131.5215527872937</v>
      </c>
      <c r="M7" s="78">
        <v>131.77929823263781</v>
      </c>
      <c r="N7" s="78">
        <v>132.68140729134223</v>
      </c>
      <c r="O7" s="78">
        <v>260395.89330769231</v>
      </c>
      <c r="P7" s="78">
        <v>260395.89330769231</v>
      </c>
      <c r="Q7" s="78">
        <v>260395.89330769231</v>
      </c>
      <c r="R7" s="78">
        <v>125.19033332100591</v>
      </c>
      <c r="S7" s="78">
        <v>131.77929823263781</v>
      </c>
      <c r="T7" s="78">
        <v>137.95078051901478</v>
      </c>
      <c r="U7" s="78">
        <v>250209.79330769231</v>
      </c>
      <c r="V7" s="78">
        <v>260395.89330769231</v>
      </c>
      <c r="W7" s="78">
        <v>280768.09330769232</v>
      </c>
      <c r="X7" s="78">
        <v>126.62438932575522</v>
      </c>
      <c r="Y7" s="78">
        <v>131.77929823263781</v>
      </c>
      <c r="Z7" s="78">
        <v>142.08911604640301</v>
      </c>
      <c r="AA7" s="78">
        <v>259835.6578076923</v>
      </c>
      <c r="AB7" s="78">
        <v>260395.89330769231</v>
      </c>
      <c r="AC7" s="78">
        <v>260905.19830769234</v>
      </c>
      <c r="AD7" s="78">
        <v>131.49577824275926</v>
      </c>
      <c r="AE7" s="78">
        <v>131.77929823263781</v>
      </c>
      <c r="AF7" s="78">
        <v>132.03704367798196</v>
      </c>
      <c r="AG7" s="78">
        <v>260395.89330769231</v>
      </c>
      <c r="AH7" s="78">
        <v>260395.89330769231</v>
      </c>
      <c r="AI7" s="78">
        <v>280768.09330769232</v>
      </c>
      <c r="AJ7" s="78">
        <v>131.77929823263781</v>
      </c>
      <c r="AK7" s="78">
        <v>131.77929823263781</v>
      </c>
      <c r="AL7" s="78">
        <v>142.08911604640301</v>
      </c>
      <c r="AM7" s="78">
        <v>260395.89330769231</v>
      </c>
      <c r="AN7" s="78">
        <v>260395.89330769231</v>
      </c>
      <c r="AO7" s="78">
        <v>260395.89330769231</v>
      </c>
      <c r="AP7" s="78">
        <v>131.77929823263781</v>
      </c>
      <c r="AQ7" s="78">
        <v>131.77929823263781</v>
      </c>
      <c r="AR7" s="78">
        <v>131.77929823263781</v>
      </c>
      <c r="AS7" s="78">
        <v>256728.89730769233</v>
      </c>
      <c r="AT7" s="78">
        <v>260395.89330769231</v>
      </c>
      <c r="AU7" s="78">
        <v>263859.16730769235</v>
      </c>
      <c r="AV7" s="78">
        <v>129.92353102616008</v>
      </c>
      <c r="AW7" s="78">
        <v>131.77929823263781</v>
      </c>
      <c r="AX7" s="78">
        <v>133.53196726097792</v>
      </c>
      <c r="AY7" s="78">
        <v>260395.89330769231</v>
      </c>
      <c r="AZ7" s="78">
        <v>260395.89330769231</v>
      </c>
      <c r="BA7" s="78">
        <v>262395.89330769231</v>
      </c>
      <c r="BB7" s="78">
        <v>131.77929823263781</v>
      </c>
      <c r="BC7" s="78">
        <v>131.77929823263781</v>
      </c>
      <c r="BD7" s="78">
        <v>132.79144398162566</v>
      </c>
      <c r="BE7" s="78">
        <v>251189.22600000002</v>
      </c>
      <c r="BF7" s="78">
        <v>260395.89330769231</v>
      </c>
      <c r="BG7" s="78">
        <v>262697.5601346154</v>
      </c>
      <c r="BH7" s="78">
        <v>127.1200536437247</v>
      </c>
      <c r="BI7" s="78">
        <v>131.77929823263781</v>
      </c>
      <c r="BJ7" s="78">
        <v>132.94410937986609</v>
      </c>
      <c r="BK7" s="78">
        <v>241199.01253846154</v>
      </c>
      <c r="BL7" s="78">
        <v>260395.89330769231</v>
      </c>
      <c r="BM7" s="78">
        <v>263138.30484615383</v>
      </c>
      <c r="BN7" s="78">
        <v>122.064277600436</v>
      </c>
      <c r="BO7" s="78">
        <v>131.77929823263781</v>
      </c>
      <c r="BP7" s="78">
        <v>133.16715832295233</v>
      </c>
    </row>
    <row r="8" spans="1:68" x14ac:dyDescent="0.2">
      <c r="A8" t="s">
        <v>32</v>
      </c>
      <c r="B8" t="s">
        <v>55</v>
      </c>
      <c r="C8" s="65">
        <v>666741.42999999993</v>
      </c>
      <c r="D8" s="65">
        <v>786323.73390000011</v>
      </c>
      <c r="E8" s="65">
        <v>905906.03779999993</v>
      </c>
      <c r="F8" s="65">
        <v>337.41975202429148</v>
      </c>
      <c r="G8" s="65">
        <v>397.93711229757093</v>
      </c>
      <c r="H8" s="65">
        <v>458.45447257085021</v>
      </c>
      <c r="I8" s="78">
        <v>784842.49439999997</v>
      </c>
      <c r="J8" s="78">
        <v>786323.73390000011</v>
      </c>
      <c r="K8" s="78">
        <v>791508.07215000002</v>
      </c>
      <c r="L8" s="78">
        <v>397.18749716599189</v>
      </c>
      <c r="M8" s="78">
        <v>397.93711229757093</v>
      </c>
      <c r="N8" s="78">
        <v>400.56076525809715</v>
      </c>
      <c r="O8" s="78">
        <v>786323.73390000011</v>
      </c>
      <c r="P8" s="78">
        <v>786323.73390000011</v>
      </c>
      <c r="Q8" s="78">
        <v>786323.73390000011</v>
      </c>
      <c r="R8" s="78">
        <v>378.04025668269236</v>
      </c>
      <c r="S8" s="78">
        <v>397.93711229757093</v>
      </c>
      <c r="T8" s="78">
        <v>416.57328560076297</v>
      </c>
      <c r="U8" s="78">
        <v>786323.73390000011</v>
      </c>
      <c r="V8" s="78">
        <v>786323.73390000011</v>
      </c>
      <c r="W8" s="78">
        <v>875198.10389999999</v>
      </c>
      <c r="X8" s="78">
        <v>397.93711229757093</v>
      </c>
      <c r="Y8" s="78">
        <v>397.93711229757093</v>
      </c>
      <c r="Z8" s="78">
        <v>442.91402019230765</v>
      </c>
      <c r="AA8" s="78">
        <v>784694.37045000005</v>
      </c>
      <c r="AB8" s="78">
        <v>786323.73390000011</v>
      </c>
      <c r="AC8" s="78">
        <v>787804.97340000002</v>
      </c>
      <c r="AD8" s="78">
        <v>397.11253565283403</v>
      </c>
      <c r="AE8" s="78">
        <v>397.93711229757093</v>
      </c>
      <c r="AF8" s="78">
        <v>398.68672742914981</v>
      </c>
      <c r="AG8" s="78">
        <v>756698.94390000007</v>
      </c>
      <c r="AH8" s="78">
        <v>786323.73390000011</v>
      </c>
      <c r="AI8" s="78">
        <v>815948.52390000015</v>
      </c>
      <c r="AJ8" s="78">
        <v>382.94480966599195</v>
      </c>
      <c r="AK8" s="78">
        <v>397.93711229757093</v>
      </c>
      <c r="AL8" s="78">
        <v>412.92941492914986</v>
      </c>
      <c r="AM8" s="78">
        <v>786323.73390000011</v>
      </c>
      <c r="AN8" s="78">
        <v>786323.73390000011</v>
      </c>
      <c r="AO8" s="78">
        <v>786323.73390000011</v>
      </c>
      <c r="AP8" s="78">
        <v>397.93711229757093</v>
      </c>
      <c r="AQ8" s="78">
        <v>397.93711229757093</v>
      </c>
      <c r="AR8" s="78">
        <v>397.93711229757093</v>
      </c>
      <c r="AS8" s="78">
        <v>775658.80949999997</v>
      </c>
      <c r="AT8" s="78">
        <v>786323.73390000011</v>
      </c>
      <c r="AU8" s="78">
        <v>796396.16250000009</v>
      </c>
      <c r="AV8" s="78">
        <v>392.53988335020239</v>
      </c>
      <c r="AW8" s="78">
        <v>397.93711229757093</v>
      </c>
      <c r="AX8" s="78">
        <v>403.03449519230776</v>
      </c>
      <c r="AY8" s="78">
        <v>757323.57390000008</v>
      </c>
      <c r="AZ8" s="78">
        <v>786323.73390000011</v>
      </c>
      <c r="BA8" s="78">
        <v>786323.57390000008</v>
      </c>
      <c r="BB8" s="78">
        <v>383.26091796558705</v>
      </c>
      <c r="BC8" s="78">
        <v>397.93711229757093</v>
      </c>
      <c r="BD8" s="78">
        <v>397.93703132591099</v>
      </c>
      <c r="BE8" s="78">
        <v>759547.48140000005</v>
      </c>
      <c r="BF8" s="78">
        <v>786323.73390000011</v>
      </c>
      <c r="BG8" s="78">
        <v>793017.79702500021</v>
      </c>
      <c r="BH8" s="78">
        <v>384.38637722672064</v>
      </c>
      <c r="BI8" s="78">
        <v>397.93711229757093</v>
      </c>
      <c r="BJ8" s="78">
        <v>401.32479606528352</v>
      </c>
      <c r="BK8" s="78">
        <v>730492.39890000003</v>
      </c>
      <c r="BL8" s="78">
        <v>786323.73390000011</v>
      </c>
      <c r="BM8" s="78">
        <v>794299.63890000002</v>
      </c>
      <c r="BN8" s="78">
        <v>369.68238810728747</v>
      </c>
      <c r="BO8" s="78">
        <v>397.93711229757093</v>
      </c>
      <c r="BP8" s="78">
        <v>401.97350146761136</v>
      </c>
    </row>
    <row r="9" spans="1:68" x14ac:dyDescent="0.2">
      <c r="A9" t="s">
        <v>62</v>
      </c>
      <c r="B9" t="s">
        <v>33</v>
      </c>
      <c r="C9" s="65">
        <v>128729.77015384616</v>
      </c>
      <c r="D9" s="65">
        <v>183923.68915384618</v>
      </c>
      <c r="E9" s="65">
        <v>239117.60815384614</v>
      </c>
      <c r="F9" s="65">
        <v>65.146644814699471</v>
      </c>
      <c r="G9" s="65">
        <v>93.078790057614455</v>
      </c>
      <c r="H9" s="65">
        <v>121.01093530052941</v>
      </c>
      <c r="I9" s="78">
        <v>183535.32415384613</v>
      </c>
      <c r="J9" s="78">
        <v>183923.68915384618</v>
      </c>
      <c r="K9" s="78">
        <v>185282.96665384615</v>
      </c>
      <c r="L9" s="78">
        <v>92.882249065711605</v>
      </c>
      <c r="M9" s="78">
        <v>93.078790057614455</v>
      </c>
      <c r="N9" s="78">
        <v>93.76668352927436</v>
      </c>
      <c r="O9" s="78">
        <v>183923.68915384618</v>
      </c>
      <c r="P9" s="78">
        <v>183923.68915384618</v>
      </c>
      <c r="Q9" s="78">
        <v>183923.68915384618</v>
      </c>
      <c r="R9" s="78">
        <v>88.424850554733737</v>
      </c>
      <c r="S9" s="78">
        <v>93.078790057614455</v>
      </c>
      <c r="T9" s="78">
        <v>97.437851850946274</v>
      </c>
      <c r="U9" s="78">
        <v>176156.38915384613</v>
      </c>
      <c r="V9" s="78">
        <v>183923.68915384618</v>
      </c>
      <c r="W9" s="78">
        <v>199458.28915384616</v>
      </c>
      <c r="X9" s="78">
        <v>89.147970219557763</v>
      </c>
      <c r="Y9" s="78">
        <v>93.078790057614455</v>
      </c>
      <c r="Z9" s="78">
        <v>100.94042973372781</v>
      </c>
      <c r="AA9" s="78">
        <v>183496.48765384615</v>
      </c>
      <c r="AB9" s="78">
        <v>183923.68915384618</v>
      </c>
      <c r="AC9" s="78">
        <v>184312.05415384617</v>
      </c>
      <c r="AD9" s="78">
        <v>92.862594966521328</v>
      </c>
      <c r="AE9" s="78">
        <v>93.078790057614455</v>
      </c>
      <c r="AF9" s="78">
        <v>93.275331049517291</v>
      </c>
      <c r="AG9" s="78">
        <v>183923.68915384618</v>
      </c>
      <c r="AH9" s="78">
        <v>183923.68915384618</v>
      </c>
      <c r="AI9" s="78">
        <v>199458.28915384616</v>
      </c>
      <c r="AJ9" s="78">
        <v>93.078790057614455</v>
      </c>
      <c r="AK9" s="78">
        <v>93.078790057614455</v>
      </c>
      <c r="AL9" s="78">
        <v>100.94042973372781</v>
      </c>
      <c r="AM9" s="78">
        <v>183923.68915384618</v>
      </c>
      <c r="AN9" s="78">
        <v>183923.68915384618</v>
      </c>
      <c r="AO9" s="78">
        <v>183923.68915384618</v>
      </c>
      <c r="AP9" s="78">
        <v>93.078790057614455</v>
      </c>
      <c r="AQ9" s="78">
        <v>93.078790057614455</v>
      </c>
      <c r="AR9" s="78">
        <v>93.078790057614455</v>
      </c>
      <c r="AS9" s="78">
        <v>181127.46115384618</v>
      </c>
      <c r="AT9" s="78">
        <v>183923.68915384618</v>
      </c>
      <c r="AU9" s="78">
        <v>186564.57115384616</v>
      </c>
      <c r="AV9" s="78">
        <v>91.66369491591405</v>
      </c>
      <c r="AW9" s="78">
        <v>93.078790057614455</v>
      </c>
      <c r="AX9" s="78">
        <v>94.415268802553726</v>
      </c>
      <c r="AY9" s="78">
        <v>183923.68915384618</v>
      </c>
      <c r="AZ9" s="78">
        <v>183923.68915384618</v>
      </c>
      <c r="BA9" s="78">
        <v>185923.68915384618</v>
      </c>
      <c r="BB9" s="78">
        <v>93.078790057614455</v>
      </c>
      <c r="BC9" s="78">
        <v>93.078790057614455</v>
      </c>
      <c r="BD9" s="78">
        <v>94.090935806602317</v>
      </c>
      <c r="BE9" s="78">
        <v>177948.84299999999</v>
      </c>
      <c r="BF9" s="78">
        <v>183923.68915384618</v>
      </c>
      <c r="BG9" s="78">
        <v>185417.40069230771</v>
      </c>
      <c r="BH9" s="78">
        <v>90.055082489878529</v>
      </c>
      <c r="BI9" s="78">
        <v>93.078790057614455</v>
      </c>
      <c r="BJ9" s="78">
        <v>93.834716949548437</v>
      </c>
      <c r="BK9" s="78">
        <v>183923.68915384618</v>
      </c>
      <c r="BL9" s="78">
        <v>183923.68915384618</v>
      </c>
      <c r="BM9" s="78">
        <v>200653.25838461539</v>
      </c>
      <c r="BN9" s="78">
        <v>93.078790057614455</v>
      </c>
      <c r="BO9" s="78">
        <v>93.078790057614455</v>
      </c>
      <c r="BP9" s="78">
        <v>101.54517124727499</v>
      </c>
    </row>
    <row r="10" spans="1:68" x14ac:dyDescent="0.2">
      <c r="A10" t="s">
        <v>62</v>
      </c>
      <c r="B10" t="s">
        <v>40</v>
      </c>
      <c r="C10" s="65">
        <v>158473.59523076925</v>
      </c>
      <c r="D10" s="65">
        <v>248832.14261538463</v>
      </c>
      <c r="E10" s="65">
        <v>339190.69000000006</v>
      </c>
      <c r="F10" s="65">
        <v>80.199187869822495</v>
      </c>
      <c r="G10" s="65">
        <v>125.92719767985052</v>
      </c>
      <c r="H10" s="65">
        <v>171.65520748987856</v>
      </c>
      <c r="I10" s="78">
        <v>248310.95261538462</v>
      </c>
      <c r="J10" s="78">
        <v>248832.14261538463</v>
      </c>
      <c r="K10" s="78">
        <v>250656.30761538463</v>
      </c>
      <c r="L10" s="78">
        <v>125.66343755839303</v>
      </c>
      <c r="M10" s="78">
        <v>125.92719767985052</v>
      </c>
      <c r="N10" s="78">
        <v>126.85035810495174</v>
      </c>
      <c r="O10" s="78">
        <v>248832.14261538463</v>
      </c>
      <c r="P10" s="78">
        <v>248832.14261538463</v>
      </c>
      <c r="Q10" s="78">
        <v>248832.14261538463</v>
      </c>
      <c r="R10" s="78">
        <v>119.630837795858</v>
      </c>
      <c r="S10" s="78">
        <v>125.92719767985052</v>
      </c>
      <c r="T10" s="78">
        <v>131.82461465108321</v>
      </c>
      <c r="U10" s="78">
        <v>238408.34261538461</v>
      </c>
      <c r="V10" s="78">
        <v>248832.14261538463</v>
      </c>
      <c r="W10" s="78">
        <v>269679.74261538463</v>
      </c>
      <c r="X10" s="78">
        <v>120.65199525070071</v>
      </c>
      <c r="Y10" s="78">
        <v>125.92719767985052</v>
      </c>
      <c r="Z10" s="78">
        <v>136.47760253815014</v>
      </c>
      <c r="AA10" s="78">
        <v>248258.83361538462</v>
      </c>
      <c r="AB10" s="78">
        <v>248832.14261538463</v>
      </c>
      <c r="AC10" s="78">
        <v>249353.33261538463</v>
      </c>
      <c r="AD10" s="78">
        <v>125.63706154624728</v>
      </c>
      <c r="AE10" s="78">
        <v>125.92719767985052</v>
      </c>
      <c r="AF10" s="78">
        <v>126.190957801308</v>
      </c>
      <c r="AG10" s="78">
        <v>248832.14261538463</v>
      </c>
      <c r="AH10" s="78">
        <v>248832.14261538463</v>
      </c>
      <c r="AI10" s="78">
        <v>269679.74261538463</v>
      </c>
      <c r="AJ10" s="78">
        <v>125.92719767985052</v>
      </c>
      <c r="AK10" s="78">
        <v>125.92719767985052</v>
      </c>
      <c r="AL10" s="78">
        <v>136.47760253815014</v>
      </c>
      <c r="AM10" s="78">
        <v>248832.14261538463</v>
      </c>
      <c r="AN10" s="78">
        <v>248832.14261538463</v>
      </c>
      <c r="AO10" s="78">
        <v>248832.14261538463</v>
      </c>
      <c r="AP10" s="78">
        <v>125.92719767985052</v>
      </c>
      <c r="AQ10" s="78">
        <v>125.92719767985052</v>
      </c>
      <c r="AR10" s="78">
        <v>125.92719767985052</v>
      </c>
      <c r="AS10" s="78">
        <v>245079.57461538463</v>
      </c>
      <c r="AT10" s="78">
        <v>248832.14261538463</v>
      </c>
      <c r="AU10" s="78">
        <v>252376.23461538463</v>
      </c>
      <c r="AV10" s="78">
        <v>124.02812480535658</v>
      </c>
      <c r="AW10" s="78">
        <v>125.92719767985052</v>
      </c>
      <c r="AX10" s="78">
        <v>127.72076650576145</v>
      </c>
      <c r="AY10" s="78">
        <v>248832.14261538463</v>
      </c>
      <c r="AZ10" s="78">
        <v>248832.14261538463</v>
      </c>
      <c r="BA10" s="78">
        <v>250832.14261538463</v>
      </c>
      <c r="BB10" s="78">
        <v>125.92719767985052</v>
      </c>
      <c r="BC10" s="78">
        <v>125.92719767985052</v>
      </c>
      <c r="BD10" s="78">
        <v>126.93934342883837</v>
      </c>
      <c r="BE10" s="78">
        <v>238809.258</v>
      </c>
      <c r="BF10" s="78">
        <v>248832.14261538463</v>
      </c>
      <c r="BG10" s="78">
        <v>248832.14261538463</v>
      </c>
      <c r="BH10" s="78">
        <v>120.85488765182187</v>
      </c>
      <c r="BI10" s="78">
        <v>125.92719767985052</v>
      </c>
      <c r="BJ10" s="78">
        <v>125.92719767985052</v>
      </c>
      <c r="BK10" s="78">
        <v>248832.14261538463</v>
      </c>
      <c r="BL10" s="78">
        <v>248832.14261538463</v>
      </c>
      <c r="BM10" s="78">
        <v>271684.31953846151</v>
      </c>
      <c r="BN10" s="78">
        <v>125.92719767985052</v>
      </c>
      <c r="BO10" s="78">
        <v>125.92719767985052</v>
      </c>
      <c r="BP10" s="78">
        <v>137.49206454375582</v>
      </c>
    </row>
    <row r="11" spans="1:68" x14ac:dyDescent="0.2">
      <c r="A11" t="s">
        <v>62</v>
      </c>
      <c r="B11" t="s">
        <v>47</v>
      </c>
      <c r="C11" s="65">
        <v>134772.70984615386</v>
      </c>
      <c r="D11" s="65">
        <v>150064.75707692307</v>
      </c>
      <c r="E11" s="65">
        <v>165356.80430769228</v>
      </c>
      <c r="F11" s="65">
        <v>68.20481267517907</v>
      </c>
      <c r="G11" s="65">
        <v>75.94370297415135</v>
      </c>
      <c r="H11" s="65">
        <v>83.682593273123629</v>
      </c>
      <c r="I11" s="78">
        <v>149747.88707692307</v>
      </c>
      <c r="J11" s="78">
        <v>150064.75707692307</v>
      </c>
      <c r="K11" s="78">
        <v>151173.80207692308</v>
      </c>
      <c r="L11" s="78">
        <v>75.783343662410459</v>
      </c>
      <c r="M11" s="78">
        <v>75.94370297415135</v>
      </c>
      <c r="N11" s="78">
        <v>76.504960565244474</v>
      </c>
      <c r="O11" s="78">
        <v>150064.75707692307</v>
      </c>
      <c r="P11" s="78">
        <v>150064.75707692307</v>
      </c>
      <c r="Q11" s="78">
        <v>150064.75707692307</v>
      </c>
      <c r="R11" s="78">
        <v>72.14651782544378</v>
      </c>
      <c r="S11" s="78">
        <v>75.94370297415135</v>
      </c>
      <c r="T11" s="78">
        <v>79.50029512445596</v>
      </c>
      <c r="U11" s="78">
        <v>143727.35707692307</v>
      </c>
      <c r="V11" s="78">
        <v>150064.75707692307</v>
      </c>
      <c r="W11" s="78">
        <v>162739.55707692308</v>
      </c>
      <c r="X11" s="78">
        <v>72.736516739333538</v>
      </c>
      <c r="Y11" s="78">
        <v>75.94370297415135</v>
      </c>
      <c r="Z11" s="78">
        <v>82.358075443786987</v>
      </c>
      <c r="AA11" s="78">
        <v>149716.20007692307</v>
      </c>
      <c r="AB11" s="78">
        <v>150064.75707692307</v>
      </c>
      <c r="AC11" s="78">
        <v>150381.62707692309</v>
      </c>
      <c r="AD11" s="78">
        <v>75.767307731236372</v>
      </c>
      <c r="AE11" s="78">
        <v>75.94370297415135</v>
      </c>
      <c r="AF11" s="78">
        <v>76.104062285892255</v>
      </c>
      <c r="AG11" s="78">
        <v>150064.75707692307</v>
      </c>
      <c r="AH11" s="78">
        <v>150064.75707692307</v>
      </c>
      <c r="AI11" s="78">
        <v>162739.55707692308</v>
      </c>
      <c r="AJ11" s="78">
        <v>75.94370297415135</v>
      </c>
      <c r="AK11" s="78">
        <v>75.94370297415135</v>
      </c>
      <c r="AL11" s="78">
        <v>82.358075443786987</v>
      </c>
      <c r="AM11" s="78">
        <v>150064.75707692307</v>
      </c>
      <c r="AN11" s="78">
        <v>150064.75707692307</v>
      </c>
      <c r="AO11" s="78">
        <v>150064.75707692307</v>
      </c>
      <c r="AP11" s="78">
        <v>75.94370297415135</v>
      </c>
      <c r="AQ11" s="78">
        <v>75.94370297415135</v>
      </c>
      <c r="AR11" s="78">
        <v>75.94370297415135</v>
      </c>
      <c r="AS11" s="78">
        <v>147783.29307692306</v>
      </c>
      <c r="AT11" s="78">
        <v>150064.75707692307</v>
      </c>
      <c r="AU11" s="78">
        <v>152219.47307692305</v>
      </c>
      <c r="AV11" s="78">
        <v>74.789115929616926</v>
      </c>
      <c r="AW11" s="78">
        <v>75.94370297415135</v>
      </c>
      <c r="AX11" s="78">
        <v>77.034146293989394</v>
      </c>
      <c r="AY11" s="78">
        <v>150064.75707692307</v>
      </c>
      <c r="AZ11" s="78">
        <v>150064.75707692307</v>
      </c>
      <c r="BA11" s="78">
        <v>152064.75707692307</v>
      </c>
      <c r="BB11" s="78">
        <v>75.94370297415135</v>
      </c>
      <c r="BC11" s="78">
        <v>75.94370297415135</v>
      </c>
      <c r="BD11" s="78">
        <v>76.955848723139198</v>
      </c>
      <c r="BE11" s="78">
        <v>145189.83399999997</v>
      </c>
      <c r="BF11" s="78">
        <v>150064.75707692307</v>
      </c>
      <c r="BG11" s="78">
        <v>151283.48784615385</v>
      </c>
      <c r="BH11" s="78">
        <v>73.476636639676101</v>
      </c>
      <c r="BI11" s="78">
        <v>75.94370297415135</v>
      </c>
      <c r="BJ11" s="78">
        <v>76.560469557770162</v>
      </c>
      <c r="BK11" s="78">
        <v>150064.75707692307</v>
      </c>
      <c r="BL11" s="78">
        <v>150064.75707692307</v>
      </c>
      <c r="BM11" s="78">
        <v>163714.54169230768</v>
      </c>
      <c r="BN11" s="78">
        <v>75.94370297415135</v>
      </c>
      <c r="BO11" s="78">
        <v>75.94370297415135</v>
      </c>
      <c r="BP11" s="78">
        <v>82.85148871068202</v>
      </c>
    </row>
    <row r="12" spans="1:68" x14ac:dyDescent="0.2">
      <c r="A12" t="s">
        <v>62</v>
      </c>
      <c r="B12" t="s">
        <v>50</v>
      </c>
      <c r="C12" s="65">
        <v>157196.94138461538</v>
      </c>
      <c r="D12" s="65">
        <v>216872.15480769228</v>
      </c>
      <c r="E12" s="65">
        <v>276547.36823076918</v>
      </c>
      <c r="F12" s="65">
        <v>79.553107988165678</v>
      </c>
      <c r="G12" s="65">
        <v>109.75311478122079</v>
      </c>
      <c r="H12" s="65">
        <v>139.95312157427591</v>
      </c>
      <c r="I12" s="78">
        <v>216414.21730769228</v>
      </c>
      <c r="J12" s="78">
        <v>216872.15480769228</v>
      </c>
      <c r="K12" s="78">
        <v>218474.93605769228</v>
      </c>
      <c r="L12" s="78">
        <v>109.52136503425723</v>
      </c>
      <c r="M12" s="78">
        <v>109.75311478122079</v>
      </c>
      <c r="N12" s="78">
        <v>110.56423889559325</v>
      </c>
      <c r="O12" s="78">
        <v>216872.15480769228</v>
      </c>
      <c r="P12" s="78">
        <v>216872.15480769228</v>
      </c>
      <c r="Q12" s="78">
        <v>216872.15480769228</v>
      </c>
      <c r="R12" s="78">
        <v>104.26545904215975</v>
      </c>
      <c r="S12" s="78">
        <v>109.75311478122079</v>
      </c>
      <c r="T12" s="78">
        <v>114.89306781505208</v>
      </c>
      <c r="U12" s="78">
        <v>207713.40480769228</v>
      </c>
      <c r="V12" s="78">
        <v>216872.15480769228</v>
      </c>
      <c r="W12" s="78">
        <v>235189.65480769228</v>
      </c>
      <c r="X12" s="78">
        <v>105.11811984194954</v>
      </c>
      <c r="Y12" s="78">
        <v>109.75311478122079</v>
      </c>
      <c r="Z12" s="78">
        <v>119.02310465976329</v>
      </c>
      <c r="AA12" s="78">
        <v>216368.42355769229</v>
      </c>
      <c r="AB12" s="78">
        <v>216872.15480769228</v>
      </c>
      <c r="AC12" s="78">
        <v>217330.09230769228</v>
      </c>
      <c r="AD12" s="78">
        <v>109.49819005956088</v>
      </c>
      <c r="AE12" s="78">
        <v>109.75311478122079</v>
      </c>
      <c r="AF12" s="78">
        <v>109.98486452818435</v>
      </c>
      <c r="AG12" s="78">
        <v>216872.15480769228</v>
      </c>
      <c r="AH12" s="78">
        <v>216872.15480769228</v>
      </c>
      <c r="AI12" s="78">
        <v>235189.65480769228</v>
      </c>
      <c r="AJ12" s="78">
        <v>109.75311478122079</v>
      </c>
      <c r="AK12" s="78">
        <v>109.75311478122079</v>
      </c>
      <c r="AL12" s="78">
        <v>119.02310465976329</v>
      </c>
      <c r="AM12" s="78">
        <v>216872.15480769228</v>
      </c>
      <c r="AN12" s="78">
        <v>216872.15480769228</v>
      </c>
      <c r="AO12" s="78">
        <v>216872.15480769228</v>
      </c>
      <c r="AP12" s="78">
        <v>109.75311478122079</v>
      </c>
      <c r="AQ12" s="78">
        <v>109.75311478122079</v>
      </c>
      <c r="AR12" s="78">
        <v>109.75311478122079</v>
      </c>
      <c r="AS12" s="78">
        <v>213575.00480769231</v>
      </c>
      <c r="AT12" s="78">
        <v>216872.15480769228</v>
      </c>
      <c r="AU12" s="78">
        <v>219986.12980769231</v>
      </c>
      <c r="AV12" s="78">
        <v>108.08451660308315</v>
      </c>
      <c r="AW12" s="78">
        <v>109.75311478122079</v>
      </c>
      <c r="AX12" s="78">
        <v>111.32901306057302</v>
      </c>
      <c r="AY12" s="78">
        <v>216872.15480769228</v>
      </c>
      <c r="AZ12" s="78">
        <v>216872.15480769228</v>
      </c>
      <c r="BA12" s="78">
        <v>218872.15480769228</v>
      </c>
      <c r="BB12" s="78">
        <v>109.75311478122079</v>
      </c>
      <c r="BC12" s="78">
        <v>109.75311478122079</v>
      </c>
      <c r="BD12" s="78">
        <v>110.76526053020864</v>
      </c>
      <c r="BE12" s="78">
        <v>209826.96249999999</v>
      </c>
      <c r="BF12" s="78">
        <v>216872.15480769228</v>
      </c>
      <c r="BG12" s="78">
        <v>218633.4528846154</v>
      </c>
      <c r="BH12" s="78">
        <v>106.18773405870445</v>
      </c>
      <c r="BI12" s="78">
        <v>109.75311478122079</v>
      </c>
      <c r="BJ12" s="78">
        <v>110.6444599618499</v>
      </c>
      <c r="BK12" s="78">
        <v>216872.15480769228</v>
      </c>
      <c r="BL12" s="78">
        <v>216872.15480769228</v>
      </c>
      <c r="BM12" s="78">
        <v>236598.69326923075</v>
      </c>
      <c r="BN12" s="78">
        <v>109.75311478122079</v>
      </c>
      <c r="BO12" s="78">
        <v>109.75311478122079</v>
      </c>
      <c r="BP12" s="78">
        <v>119.73618080426657</v>
      </c>
    </row>
    <row r="13" spans="1:68" x14ac:dyDescent="0.2">
      <c r="A13" t="s">
        <v>62</v>
      </c>
      <c r="B13" t="s">
        <v>55</v>
      </c>
      <c r="C13" s="65">
        <v>730532.07603846164</v>
      </c>
      <c r="D13" s="65">
        <v>842427.43064423092</v>
      </c>
      <c r="E13" s="65">
        <v>954322.78525000007</v>
      </c>
      <c r="F13" s="65">
        <v>369.70246763080041</v>
      </c>
      <c r="G13" s="65">
        <v>426.32967137865938</v>
      </c>
      <c r="H13" s="65">
        <v>482.95687512651824</v>
      </c>
      <c r="I13" s="78">
        <v>841143.32814423088</v>
      </c>
      <c r="J13" s="78">
        <v>842427.43064423092</v>
      </c>
      <c r="K13" s="78">
        <v>846921.78939423081</v>
      </c>
      <c r="L13" s="78">
        <v>425.67982193533953</v>
      </c>
      <c r="M13" s="78">
        <v>426.32967137865938</v>
      </c>
      <c r="N13" s="78">
        <v>428.60414443027872</v>
      </c>
      <c r="O13" s="78">
        <v>842427.43064423092</v>
      </c>
      <c r="P13" s="78">
        <v>842427.43064423092</v>
      </c>
      <c r="Q13" s="78">
        <v>842427.43064423092</v>
      </c>
      <c r="R13" s="78">
        <v>405.01318780972645</v>
      </c>
      <c r="S13" s="78">
        <v>426.32967137865938</v>
      </c>
      <c r="T13" s="78">
        <v>446.29552375727434</v>
      </c>
      <c r="U13" s="78">
        <v>842427.43064423092</v>
      </c>
      <c r="V13" s="78">
        <v>842427.43064423092</v>
      </c>
      <c r="W13" s="78">
        <v>919473.58064423082</v>
      </c>
      <c r="X13" s="78">
        <v>426.32967137865938</v>
      </c>
      <c r="Y13" s="78">
        <v>426.32967137865938</v>
      </c>
      <c r="Z13" s="78">
        <v>465.32063797784957</v>
      </c>
      <c r="AA13" s="78">
        <v>841014.91789423081</v>
      </c>
      <c r="AB13" s="78">
        <v>842427.43064423092</v>
      </c>
      <c r="AC13" s="78">
        <v>843711.53314423084</v>
      </c>
      <c r="AD13" s="78">
        <v>425.61483699100745</v>
      </c>
      <c r="AE13" s="78">
        <v>426.32967137865938</v>
      </c>
      <c r="AF13" s="78">
        <v>426.97952082197918</v>
      </c>
      <c r="AG13" s="78">
        <v>816745.38064423087</v>
      </c>
      <c r="AH13" s="78">
        <v>842427.43064423092</v>
      </c>
      <c r="AI13" s="78">
        <v>868109.48064423096</v>
      </c>
      <c r="AJ13" s="78">
        <v>413.33268251226258</v>
      </c>
      <c r="AK13" s="78">
        <v>426.32967137865938</v>
      </c>
      <c r="AL13" s="78">
        <v>439.32666024505613</v>
      </c>
      <c r="AM13" s="78">
        <v>765381.28064423078</v>
      </c>
      <c r="AN13" s="78">
        <v>842427.43064423092</v>
      </c>
      <c r="AO13" s="78">
        <v>860404.86564423097</v>
      </c>
      <c r="AP13" s="78">
        <v>387.33870477946903</v>
      </c>
      <c r="AQ13" s="78">
        <v>426.32967137865938</v>
      </c>
      <c r="AR13" s="78">
        <v>435.42756358513714</v>
      </c>
      <c r="AS13" s="78">
        <v>833181.89264423086</v>
      </c>
      <c r="AT13" s="78">
        <v>842427.43064423092</v>
      </c>
      <c r="AU13" s="78">
        <v>851159.3276442308</v>
      </c>
      <c r="AV13" s="78">
        <v>421.65075538675649</v>
      </c>
      <c r="AW13" s="78">
        <v>426.32967137865938</v>
      </c>
      <c r="AX13" s="78">
        <v>430.74864759323418</v>
      </c>
      <c r="AY13" s="78">
        <v>816427.43064423092</v>
      </c>
      <c r="AZ13" s="78">
        <v>842427.43064423092</v>
      </c>
      <c r="BA13" s="78">
        <v>842427.43064423092</v>
      </c>
      <c r="BB13" s="78">
        <v>413.1717766418173</v>
      </c>
      <c r="BC13" s="78">
        <v>426.32967137865938</v>
      </c>
      <c r="BD13" s="78">
        <v>426.32967137865938</v>
      </c>
      <c r="BE13" s="78">
        <v>813411.65300000005</v>
      </c>
      <c r="BF13" s="78">
        <v>842427.43064423092</v>
      </c>
      <c r="BG13" s="78">
        <v>842427.43064423092</v>
      </c>
      <c r="BH13" s="78">
        <v>411.64557338056682</v>
      </c>
      <c r="BI13" s="78">
        <v>426.32967137865938</v>
      </c>
      <c r="BJ13" s="78">
        <v>426.32967137865938</v>
      </c>
      <c r="BK13" s="78">
        <v>793162.3443461539</v>
      </c>
      <c r="BL13" s="78">
        <v>842427.43064423092</v>
      </c>
      <c r="BM13" s="78">
        <v>849465.30011538463</v>
      </c>
      <c r="BN13" s="78">
        <v>401.39794754360014</v>
      </c>
      <c r="BO13" s="78">
        <v>426.32967137865938</v>
      </c>
      <c r="BP13" s="78">
        <v>429.89134621223917</v>
      </c>
    </row>
    <row r="14" spans="1:68" x14ac:dyDescent="0.2">
      <c r="A14" t="s">
        <v>74</v>
      </c>
      <c r="B14" t="s">
        <v>33</v>
      </c>
      <c r="C14" s="65">
        <v>142117.72308</v>
      </c>
      <c r="D14" s="65">
        <v>183839.76995999998</v>
      </c>
      <c r="E14" s="65">
        <v>225561.81683999998</v>
      </c>
      <c r="F14" s="65">
        <v>71.921924635627533</v>
      </c>
      <c r="G14" s="65">
        <v>93.036320829959507</v>
      </c>
      <c r="H14" s="65">
        <v>114.1507170242915</v>
      </c>
      <c r="I14" s="78">
        <v>183451.58215999999</v>
      </c>
      <c r="J14" s="78">
        <v>183839.76995999998</v>
      </c>
      <c r="K14" s="78">
        <v>185198.42725999997</v>
      </c>
      <c r="L14" s="78">
        <v>92.839869514170047</v>
      </c>
      <c r="M14" s="78">
        <v>93.036320829959507</v>
      </c>
      <c r="N14" s="78">
        <v>93.72390043522266</v>
      </c>
      <c r="O14" s="78">
        <v>183839.76995999998</v>
      </c>
      <c r="P14" s="78">
        <v>183839.76995999998</v>
      </c>
      <c r="Q14" s="78">
        <v>183839.76995999998</v>
      </c>
      <c r="R14" s="78">
        <v>88.384504788461527</v>
      </c>
      <c r="S14" s="78">
        <v>93.036320829959507</v>
      </c>
      <c r="T14" s="78">
        <v>97.393393706293708</v>
      </c>
      <c r="U14" s="78">
        <v>176076.01395999998</v>
      </c>
      <c r="V14" s="78">
        <v>183839.76995999998</v>
      </c>
      <c r="W14" s="78">
        <v>199367.28195999999</v>
      </c>
      <c r="X14" s="78">
        <v>89.107294514170036</v>
      </c>
      <c r="Y14" s="78">
        <v>93.036320829959507</v>
      </c>
      <c r="Z14" s="78">
        <v>100.89437346153845</v>
      </c>
      <c r="AA14" s="78">
        <v>183412.76337999996</v>
      </c>
      <c r="AB14" s="78">
        <v>183839.76995999998</v>
      </c>
      <c r="AC14" s="78">
        <v>184227.95775999996</v>
      </c>
      <c r="AD14" s="78">
        <v>92.820224382591078</v>
      </c>
      <c r="AE14" s="78">
        <v>93.036320829959507</v>
      </c>
      <c r="AF14" s="78">
        <v>93.232772145748967</v>
      </c>
      <c r="AG14" s="78">
        <v>183839.76995999998</v>
      </c>
      <c r="AH14" s="78">
        <v>183839.76995999998</v>
      </c>
      <c r="AI14" s="78">
        <v>199367.28195999999</v>
      </c>
      <c r="AJ14" s="78">
        <v>93.036320829959507</v>
      </c>
      <c r="AK14" s="78">
        <v>93.036320829959507</v>
      </c>
      <c r="AL14" s="78">
        <v>100.89437346153845</v>
      </c>
      <c r="AM14" s="78">
        <v>183839.76995999998</v>
      </c>
      <c r="AN14" s="78">
        <v>183839.76995999998</v>
      </c>
      <c r="AO14" s="78">
        <v>183839.76995999998</v>
      </c>
      <c r="AP14" s="78">
        <v>93.036320829959507</v>
      </c>
      <c r="AQ14" s="78">
        <v>93.036320829959507</v>
      </c>
      <c r="AR14" s="78">
        <v>93.036320829959507</v>
      </c>
      <c r="AS14" s="78">
        <v>181044.81779999996</v>
      </c>
      <c r="AT14" s="78">
        <v>183839.76995999998</v>
      </c>
      <c r="AU14" s="78">
        <v>186479.44699999999</v>
      </c>
      <c r="AV14" s="78">
        <v>91.621871356275278</v>
      </c>
      <c r="AW14" s="78">
        <v>93.036320829959507</v>
      </c>
      <c r="AX14" s="78">
        <v>94.372189777327932</v>
      </c>
      <c r="AY14" s="78">
        <v>183839.76995999998</v>
      </c>
      <c r="AZ14" s="78">
        <v>183839.76995999998</v>
      </c>
      <c r="BA14" s="78">
        <v>185839.76995999998</v>
      </c>
      <c r="BB14" s="78">
        <v>93.036320829959507</v>
      </c>
      <c r="BC14" s="78">
        <v>93.036320829959507</v>
      </c>
      <c r="BD14" s="78">
        <v>94.048466578947355</v>
      </c>
      <c r="BE14" s="78">
        <v>177867.64995999998</v>
      </c>
      <c r="BF14" s="78">
        <v>183839.76995999998</v>
      </c>
      <c r="BG14" s="78">
        <v>185332.79995999997</v>
      </c>
      <c r="BH14" s="78">
        <v>90.01399289473683</v>
      </c>
      <c r="BI14" s="78">
        <v>93.036320829959507</v>
      </c>
      <c r="BJ14" s="78">
        <v>93.791902813765176</v>
      </c>
      <c r="BK14" s="78">
        <v>183839.76995999998</v>
      </c>
      <c r="BL14" s="78">
        <v>183839.76995999998</v>
      </c>
      <c r="BM14" s="78">
        <v>200561.70595999999</v>
      </c>
      <c r="BN14" s="78">
        <v>93.036320829959507</v>
      </c>
      <c r="BO14" s="78">
        <v>93.036320829959507</v>
      </c>
      <c r="BP14" s="78">
        <v>101.49883904858298</v>
      </c>
    </row>
    <row r="15" spans="1:68" x14ac:dyDescent="0.2">
      <c r="A15" t="s">
        <v>74</v>
      </c>
      <c r="B15" t="s">
        <v>40</v>
      </c>
      <c r="C15" s="65">
        <v>171850.50164</v>
      </c>
      <c r="D15" s="65">
        <v>263051.15888</v>
      </c>
      <c r="E15" s="65">
        <v>354251.81612000003</v>
      </c>
      <c r="F15" s="65">
        <v>86.96887734817814</v>
      </c>
      <c r="G15" s="65">
        <v>133.12305611336032</v>
      </c>
      <c r="H15" s="65">
        <v>179.27723487854254</v>
      </c>
      <c r="I15" s="78">
        <v>262536.66047999996</v>
      </c>
      <c r="J15" s="78">
        <v>263051.15888</v>
      </c>
      <c r="K15" s="78">
        <v>264851.90327999997</v>
      </c>
      <c r="L15" s="78">
        <v>132.8626824291498</v>
      </c>
      <c r="M15" s="78">
        <v>133.12305611336032</v>
      </c>
      <c r="N15" s="78">
        <v>134.03436400809716</v>
      </c>
      <c r="O15" s="78">
        <v>263051.15888</v>
      </c>
      <c r="P15" s="78">
        <v>263051.15888</v>
      </c>
      <c r="Q15" s="78">
        <v>263051.15888</v>
      </c>
      <c r="R15" s="78">
        <v>126.46690330769232</v>
      </c>
      <c r="S15" s="78">
        <v>133.12305611336032</v>
      </c>
      <c r="T15" s="78">
        <v>139.35746920957831</v>
      </c>
      <c r="U15" s="78">
        <v>252761.19088000001</v>
      </c>
      <c r="V15" s="78">
        <v>263051.15888</v>
      </c>
      <c r="W15" s="78">
        <v>283631.09487999999</v>
      </c>
      <c r="X15" s="78">
        <v>127.91558242914981</v>
      </c>
      <c r="Y15" s="78">
        <v>133.12305611336032</v>
      </c>
      <c r="Z15" s="78">
        <v>143.53800348178137</v>
      </c>
      <c r="AA15" s="78">
        <v>262485.21063999995</v>
      </c>
      <c r="AB15" s="78">
        <v>263051.15888</v>
      </c>
      <c r="AC15" s="78">
        <v>263565.65727999998</v>
      </c>
      <c r="AD15" s="78">
        <v>132.83664506072873</v>
      </c>
      <c r="AE15" s="78">
        <v>133.12305611336032</v>
      </c>
      <c r="AF15" s="78">
        <v>133.38342979757084</v>
      </c>
      <c r="AG15" s="78">
        <v>263051.15888</v>
      </c>
      <c r="AH15" s="78">
        <v>263051.15888</v>
      </c>
      <c r="AI15" s="78">
        <v>283631.09487999999</v>
      </c>
      <c r="AJ15" s="78">
        <v>133.12305611336032</v>
      </c>
      <c r="AK15" s="78">
        <v>133.12305611336032</v>
      </c>
      <c r="AL15" s="78">
        <v>143.53800348178137</v>
      </c>
      <c r="AM15" s="78">
        <v>263051.15888</v>
      </c>
      <c r="AN15" s="78">
        <v>263051.15888</v>
      </c>
      <c r="AO15" s="78">
        <v>263051.15888</v>
      </c>
      <c r="AP15" s="78">
        <v>133.12305611336032</v>
      </c>
      <c r="AQ15" s="78">
        <v>133.12305611336032</v>
      </c>
      <c r="AR15" s="78">
        <v>133.12305611336032</v>
      </c>
      <c r="AS15" s="78">
        <v>259346.77039999998</v>
      </c>
      <c r="AT15" s="78">
        <v>263051.15888</v>
      </c>
      <c r="AU15" s="78">
        <v>266549.74800000002</v>
      </c>
      <c r="AV15" s="78">
        <v>131.24836558704453</v>
      </c>
      <c r="AW15" s="78">
        <v>133.12305611336032</v>
      </c>
      <c r="AX15" s="78">
        <v>134.89359716599191</v>
      </c>
      <c r="AY15" s="78">
        <v>263051.15888</v>
      </c>
      <c r="AZ15" s="78">
        <v>263051.15888</v>
      </c>
      <c r="BA15" s="78">
        <v>265051.15888</v>
      </c>
      <c r="BB15" s="78">
        <v>133.12305611336032</v>
      </c>
      <c r="BC15" s="78">
        <v>133.12305611336032</v>
      </c>
      <c r="BD15" s="78">
        <v>134.13520186234817</v>
      </c>
      <c r="BE15" s="78">
        <v>253750.61087999999</v>
      </c>
      <c r="BF15" s="78">
        <v>263051.15888</v>
      </c>
      <c r="BG15" s="78">
        <v>265376.29587999999</v>
      </c>
      <c r="BH15" s="78">
        <v>128.41630105263158</v>
      </c>
      <c r="BI15" s="78">
        <v>133.12305611336032</v>
      </c>
      <c r="BJ15" s="78">
        <v>134.2997448785425</v>
      </c>
      <c r="BK15" s="78">
        <v>243658.52688000002</v>
      </c>
      <c r="BL15" s="78">
        <v>263051.15888</v>
      </c>
      <c r="BM15" s="78">
        <v>265821.53487999999</v>
      </c>
      <c r="BN15" s="78">
        <v>123.30897109311742</v>
      </c>
      <c r="BO15" s="78">
        <v>133.12305611336032</v>
      </c>
      <c r="BP15" s="78">
        <v>134.5250682591093</v>
      </c>
    </row>
    <row r="16" spans="1:68" x14ac:dyDescent="0.2">
      <c r="A16" t="s">
        <v>74</v>
      </c>
      <c r="B16" t="s">
        <v>47</v>
      </c>
      <c r="C16" s="65">
        <v>114089.18591999999</v>
      </c>
      <c r="D16" s="65">
        <v>137204.75628</v>
      </c>
      <c r="E16" s="65">
        <v>160320.32663999998</v>
      </c>
      <c r="F16" s="65">
        <v>57.737442267206475</v>
      </c>
      <c r="G16" s="65">
        <v>69.435605404858308</v>
      </c>
      <c r="H16" s="65">
        <v>81.133768542510111</v>
      </c>
      <c r="I16" s="78">
        <v>136915.04087999999</v>
      </c>
      <c r="J16" s="78">
        <v>137204.75628</v>
      </c>
      <c r="K16" s="78">
        <v>138218.76017999998</v>
      </c>
      <c r="L16" s="78">
        <v>69.288988299595133</v>
      </c>
      <c r="M16" s="78">
        <v>69.435605404858308</v>
      </c>
      <c r="N16" s="78">
        <v>69.948765273279335</v>
      </c>
      <c r="O16" s="78">
        <v>137204.75628</v>
      </c>
      <c r="P16" s="78">
        <v>137204.75628</v>
      </c>
      <c r="Q16" s="78">
        <v>137204.75628</v>
      </c>
      <c r="R16" s="78">
        <v>65.963825134615391</v>
      </c>
      <c r="S16" s="78">
        <v>69.435605404858308</v>
      </c>
      <c r="T16" s="78">
        <v>72.687410616656081</v>
      </c>
      <c r="U16" s="78">
        <v>131410.44828000001</v>
      </c>
      <c r="V16" s="78">
        <v>137204.75628</v>
      </c>
      <c r="W16" s="78">
        <v>148793.37228000001</v>
      </c>
      <c r="X16" s="78">
        <v>66.503263299595147</v>
      </c>
      <c r="Y16" s="78">
        <v>69.435605404858308</v>
      </c>
      <c r="Z16" s="78">
        <v>75.300289615384628</v>
      </c>
      <c r="AA16" s="78">
        <v>136886.06933999999</v>
      </c>
      <c r="AB16" s="78">
        <v>137204.75628</v>
      </c>
      <c r="AC16" s="78">
        <v>137494.47167999999</v>
      </c>
      <c r="AD16" s="78">
        <v>69.274326589068821</v>
      </c>
      <c r="AE16" s="78">
        <v>69.435605404858308</v>
      </c>
      <c r="AF16" s="78">
        <v>69.58222251012144</v>
      </c>
      <c r="AG16" s="78">
        <v>137204.75628</v>
      </c>
      <c r="AH16" s="78">
        <v>137204.75628</v>
      </c>
      <c r="AI16" s="78">
        <v>148793.37228000001</v>
      </c>
      <c r="AJ16" s="78">
        <v>69.435605404858308</v>
      </c>
      <c r="AK16" s="78">
        <v>69.435605404858308</v>
      </c>
      <c r="AL16" s="78">
        <v>75.300289615384628</v>
      </c>
      <c r="AM16" s="78">
        <v>137204.75628</v>
      </c>
      <c r="AN16" s="78">
        <v>137204.75628</v>
      </c>
      <c r="AO16" s="78">
        <v>137204.75628</v>
      </c>
      <c r="AP16" s="78">
        <v>69.435605404858308</v>
      </c>
      <c r="AQ16" s="78">
        <v>69.435605404858308</v>
      </c>
      <c r="AR16" s="78">
        <v>69.435605404858308</v>
      </c>
      <c r="AS16" s="78">
        <v>135118.80540000001</v>
      </c>
      <c r="AT16" s="78">
        <v>137204.75628</v>
      </c>
      <c r="AU16" s="78">
        <v>139174.821</v>
      </c>
      <c r="AV16" s="78">
        <v>68.379962246963572</v>
      </c>
      <c r="AW16" s="78">
        <v>69.435605404858308</v>
      </c>
      <c r="AX16" s="78">
        <v>70.432601720647767</v>
      </c>
      <c r="AY16" s="78">
        <v>137204.75628</v>
      </c>
      <c r="AZ16" s="78">
        <v>137204.75628</v>
      </c>
      <c r="BA16" s="78">
        <v>139204.75628</v>
      </c>
      <c r="BB16" s="78">
        <v>69.435605404858308</v>
      </c>
      <c r="BC16" s="78">
        <v>69.435605404858308</v>
      </c>
      <c r="BD16" s="78">
        <v>70.447751153846156</v>
      </c>
      <c r="BE16" s="78">
        <v>132747.59628</v>
      </c>
      <c r="BF16" s="78">
        <v>137204.75628</v>
      </c>
      <c r="BG16" s="78">
        <v>138319.04628000001</v>
      </c>
      <c r="BH16" s="78">
        <v>67.179957631578944</v>
      </c>
      <c r="BI16" s="78">
        <v>69.435605404858308</v>
      </c>
      <c r="BJ16" s="78">
        <v>69.999517348178145</v>
      </c>
      <c r="BK16" s="78">
        <v>137204.75628</v>
      </c>
      <c r="BL16" s="78">
        <v>137204.75628</v>
      </c>
      <c r="BM16" s="78">
        <v>149684.80427999998</v>
      </c>
      <c r="BN16" s="78">
        <v>69.435605404858308</v>
      </c>
      <c r="BO16" s="78">
        <v>69.435605404858308</v>
      </c>
      <c r="BP16" s="78">
        <v>75.751419170040478</v>
      </c>
    </row>
    <row r="17" spans="1:68" x14ac:dyDescent="0.2">
      <c r="A17" t="s">
        <v>74</v>
      </c>
      <c r="B17" t="s">
        <v>50</v>
      </c>
      <c r="C17" s="65">
        <v>168992.36138461542</v>
      </c>
      <c r="D17" s="65">
        <v>231185.3645</v>
      </c>
      <c r="E17" s="65">
        <v>293378.36761538463</v>
      </c>
      <c r="F17" s="65">
        <v>85.522450093428859</v>
      </c>
      <c r="G17" s="65">
        <v>116.99664195344128</v>
      </c>
      <c r="H17" s="65">
        <v>148.47083381345377</v>
      </c>
      <c r="I17" s="78">
        <v>230733.19199999998</v>
      </c>
      <c r="J17" s="78">
        <v>231185.3645</v>
      </c>
      <c r="K17" s="78">
        <v>232767.96824999998</v>
      </c>
      <c r="L17" s="78">
        <v>116.76780971659917</v>
      </c>
      <c r="M17" s="78">
        <v>116.99664195344128</v>
      </c>
      <c r="N17" s="78">
        <v>117.79755478238866</v>
      </c>
      <c r="O17" s="78">
        <v>231185.3645</v>
      </c>
      <c r="P17" s="78">
        <v>231185.3645</v>
      </c>
      <c r="Q17" s="78">
        <v>231185.3645</v>
      </c>
      <c r="R17" s="78">
        <v>111.14680985576922</v>
      </c>
      <c r="S17" s="78">
        <v>116.99664195344128</v>
      </c>
      <c r="T17" s="78">
        <v>122.47582353252808</v>
      </c>
      <c r="U17" s="78">
        <v>222141.91450000001</v>
      </c>
      <c r="V17" s="78">
        <v>231185.3645</v>
      </c>
      <c r="W17" s="78">
        <v>249272.26449999999</v>
      </c>
      <c r="X17" s="78">
        <v>112.4199972165992</v>
      </c>
      <c r="Y17" s="78">
        <v>116.99664195344128</v>
      </c>
      <c r="Z17" s="78">
        <v>126.14993142712549</v>
      </c>
      <c r="AA17" s="78">
        <v>230687.97474999999</v>
      </c>
      <c r="AB17" s="78">
        <v>231185.3645</v>
      </c>
      <c r="AC17" s="78">
        <v>231637.53700000001</v>
      </c>
      <c r="AD17" s="78">
        <v>116.74492649291498</v>
      </c>
      <c r="AE17" s="78">
        <v>116.99664195344128</v>
      </c>
      <c r="AF17" s="78">
        <v>117.22547419028339</v>
      </c>
      <c r="AG17" s="78">
        <v>231185.3645</v>
      </c>
      <c r="AH17" s="78">
        <v>231185.3645</v>
      </c>
      <c r="AI17" s="78">
        <v>249272.26449999999</v>
      </c>
      <c r="AJ17" s="78">
        <v>116.99664195344128</v>
      </c>
      <c r="AK17" s="78">
        <v>116.99664195344128</v>
      </c>
      <c r="AL17" s="78">
        <v>126.14993142712549</v>
      </c>
      <c r="AM17" s="78">
        <v>231185.3645</v>
      </c>
      <c r="AN17" s="78">
        <v>231185.3645</v>
      </c>
      <c r="AO17" s="78">
        <v>231185.3645</v>
      </c>
      <c r="AP17" s="78">
        <v>116.99664195344128</v>
      </c>
      <c r="AQ17" s="78">
        <v>116.99664195344128</v>
      </c>
      <c r="AR17" s="78">
        <v>116.99664195344128</v>
      </c>
      <c r="AS17" s="78">
        <v>227929.7225</v>
      </c>
      <c r="AT17" s="78">
        <v>231185.3645</v>
      </c>
      <c r="AU17" s="78">
        <v>234260.13750000001</v>
      </c>
      <c r="AV17" s="78">
        <v>115.34904984817814</v>
      </c>
      <c r="AW17" s="78">
        <v>116.99664195344128</v>
      </c>
      <c r="AX17" s="78">
        <v>118.55270116396763</v>
      </c>
      <c r="AY17" s="78">
        <v>231185.3645</v>
      </c>
      <c r="AZ17" s="78">
        <v>231185.3645</v>
      </c>
      <c r="BA17" s="78">
        <v>233185.3645</v>
      </c>
      <c r="BB17" s="78">
        <v>116.99664195344128</v>
      </c>
      <c r="BC17" s="78">
        <v>116.99664195344128</v>
      </c>
      <c r="BD17" s="78">
        <v>118.00878770242916</v>
      </c>
      <c r="BE17" s="78">
        <v>223011.47700000001</v>
      </c>
      <c r="BF17" s="78">
        <v>231185.3645</v>
      </c>
      <c r="BG17" s="78">
        <v>233228.83637500001</v>
      </c>
      <c r="BH17" s="78">
        <v>112.86005921052632</v>
      </c>
      <c r="BI17" s="78">
        <v>116.99664195344128</v>
      </c>
      <c r="BJ17" s="78">
        <v>118.03078763917004</v>
      </c>
      <c r="BK17" s="78">
        <v>214141.93949999998</v>
      </c>
      <c r="BL17" s="78">
        <v>231185.3645</v>
      </c>
      <c r="BM17" s="78">
        <v>233620.13949999999</v>
      </c>
      <c r="BN17" s="78">
        <v>108.37142687246961</v>
      </c>
      <c r="BO17" s="78">
        <v>116.99664195344128</v>
      </c>
      <c r="BP17" s="78">
        <v>118.22881553643724</v>
      </c>
    </row>
    <row r="18" spans="1:68" x14ac:dyDescent="0.2">
      <c r="A18" t="s">
        <v>74</v>
      </c>
      <c r="B18" t="s">
        <v>55</v>
      </c>
      <c r="C18" s="65">
        <v>530998.29019230767</v>
      </c>
      <c r="D18" s="65">
        <v>617527.22875000001</v>
      </c>
      <c r="E18" s="65">
        <v>704056.16730769235</v>
      </c>
      <c r="F18" s="65">
        <v>268.72383106898161</v>
      </c>
      <c r="G18" s="65">
        <v>312.51377973178137</v>
      </c>
      <c r="H18" s="65">
        <v>356.30372839458113</v>
      </c>
      <c r="I18" s="78">
        <v>616474.68375000008</v>
      </c>
      <c r="J18" s="78">
        <v>617527.22875000001</v>
      </c>
      <c r="K18" s="78">
        <v>621211.13624999998</v>
      </c>
      <c r="L18" s="78">
        <v>311.98111525809719</v>
      </c>
      <c r="M18" s="78">
        <v>312.51377973178137</v>
      </c>
      <c r="N18" s="78">
        <v>314.37810538967608</v>
      </c>
      <c r="O18" s="78">
        <v>617527.22875000001</v>
      </c>
      <c r="P18" s="78">
        <v>617527.22875000001</v>
      </c>
      <c r="Q18" s="78">
        <v>617527.22875000001</v>
      </c>
      <c r="R18" s="78">
        <v>296.8880907451923</v>
      </c>
      <c r="S18" s="78">
        <v>312.51377973178137</v>
      </c>
      <c r="T18" s="78">
        <v>327.14941128946816</v>
      </c>
      <c r="U18" s="78">
        <v>617527.22875000001</v>
      </c>
      <c r="V18" s="78">
        <v>617527.22875000001</v>
      </c>
      <c r="W18" s="78">
        <v>680679.92875000008</v>
      </c>
      <c r="X18" s="78">
        <v>312.51377973178137</v>
      </c>
      <c r="Y18" s="78">
        <v>312.51377973178137</v>
      </c>
      <c r="Z18" s="78">
        <v>344.47364815283407</v>
      </c>
      <c r="AA18" s="78">
        <v>616369.42925000004</v>
      </c>
      <c r="AB18" s="78">
        <v>617527.22875000001</v>
      </c>
      <c r="AC18" s="78">
        <v>618579.77375000005</v>
      </c>
      <c r="AD18" s="78">
        <v>311.92784881072879</v>
      </c>
      <c r="AE18" s="78">
        <v>312.51377973178137</v>
      </c>
      <c r="AF18" s="78">
        <v>313.0464442054656</v>
      </c>
      <c r="AG18" s="78">
        <v>596476.3287500001</v>
      </c>
      <c r="AH18" s="78">
        <v>617527.22875000001</v>
      </c>
      <c r="AI18" s="78">
        <v>638578.12875000003</v>
      </c>
      <c r="AJ18" s="78">
        <v>301.86049025809717</v>
      </c>
      <c r="AK18" s="78">
        <v>312.51377973178137</v>
      </c>
      <c r="AL18" s="78">
        <v>323.16706920546562</v>
      </c>
      <c r="AM18" s="78">
        <v>580898.66275000013</v>
      </c>
      <c r="AN18" s="78">
        <v>617527.22875000001</v>
      </c>
      <c r="AO18" s="78">
        <v>644051.36275000009</v>
      </c>
      <c r="AP18" s="78">
        <v>293.97705604757095</v>
      </c>
      <c r="AQ18" s="78">
        <v>312.51377973178137</v>
      </c>
      <c r="AR18" s="78">
        <v>325.93692446862354</v>
      </c>
      <c r="AS18" s="78">
        <v>609948.9047500001</v>
      </c>
      <c r="AT18" s="78">
        <v>617527.22875000001</v>
      </c>
      <c r="AU18" s="78">
        <v>624684.53475000011</v>
      </c>
      <c r="AV18" s="78">
        <v>308.67859552125515</v>
      </c>
      <c r="AW18" s="78">
        <v>312.51377973178137</v>
      </c>
      <c r="AX18" s="78">
        <v>316.13589815283405</v>
      </c>
      <c r="AY18" s="78">
        <v>579527.22875000001</v>
      </c>
      <c r="AZ18" s="78">
        <v>617527.22875000001</v>
      </c>
      <c r="BA18" s="78">
        <v>617527.22875000001</v>
      </c>
      <c r="BB18" s="78">
        <v>293.28301050101214</v>
      </c>
      <c r="BC18" s="78">
        <v>312.51377973178137</v>
      </c>
      <c r="BD18" s="78">
        <v>312.51377973178137</v>
      </c>
      <c r="BE18" s="78">
        <v>593743.76</v>
      </c>
      <c r="BF18" s="78">
        <v>617527.22875000001</v>
      </c>
      <c r="BG18" s="78">
        <v>617527.22875000001</v>
      </c>
      <c r="BH18" s="78">
        <v>300.4776113360324</v>
      </c>
      <c r="BI18" s="78">
        <v>312.51377973178137</v>
      </c>
      <c r="BJ18" s="78">
        <v>312.51377973178137</v>
      </c>
      <c r="BK18" s="78">
        <v>577145.93500000006</v>
      </c>
      <c r="BL18" s="78">
        <v>617527.22875000001</v>
      </c>
      <c r="BM18" s="78">
        <v>623295.9850000001</v>
      </c>
      <c r="BN18" s="78">
        <v>292.07790232793525</v>
      </c>
      <c r="BO18" s="78">
        <v>312.51377973178137</v>
      </c>
      <c r="BP18" s="78">
        <v>315.43319078947371</v>
      </c>
    </row>
    <row r="19" spans="1:68" x14ac:dyDescent="0.2">
      <c r="A19" t="s">
        <v>82</v>
      </c>
      <c r="B19" t="s">
        <v>33</v>
      </c>
      <c r="C19" s="65">
        <v>116793.40123076923</v>
      </c>
      <c r="D19" s="65">
        <v>168044.7283076923</v>
      </c>
      <c r="E19" s="65">
        <v>219296.05538461538</v>
      </c>
      <c r="F19" s="65">
        <v>59.105972282777955</v>
      </c>
      <c r="G19" s="65">
        <v>85.042878698224854</v>
      </c>
      <c r="H19" s="65">
        <v>110.97978511367175</v>
      </c>
      <c r="I19" s="78">
        <v>167693.74830769229</v>
      </c>
      <c r="J19" s="78">
        <v>168044.7283076923</v>
      </c>
      <c r="K19" s="78">
        <v>169273.15830769233</v>
      </c>
      <c r="L19" s="78">
        <v>84.865257240734962</v>
      </c>
      <c r="M19" s="78">
        <v>85.042878698224854</v>
      </c>
      <c r="N19" s="78">
        <v>85.664553799439432</v>
      </c>
      <c r="O19" s="78">
        <v>168044.7283076923</v>
      </c>
      <c r="P19" s="78">
        <v>168044.7283076923</v>
      </c>
      <c r="Q19" s="78">
        <v>168044.7283076923</v>
      </c>
      <c r="R19" s="78">
        <v>80.790734763313608</v>
      </c>
      <c r="S19" s="78">
        <v>85.042878698224854</v>
      </c>
      <c r="T19" s="78">
        <v>89.025603044973678</v>
      </c>
      <c r="U19" s="78">
        <v>161025.1283076923</v>
      </c>
      <c r="V19" s="78">
        <v>168044.7283076923</v>
      </c>
      <c r="W19" s="78">
        <v>182083.92830769229</v>
      </c>
      <c r="X19" s="78">
        <v>81.490449548427279</v>
      </c>
      <c r="Y19" s="78">
        <v>85.042878698224854</v>
      </c>
      <c r="Z19" s="78">
        <v>92.14773699781999</v>
      </c>
      <c r="AA19" s="78">
        <v>167658.6503076923</v>
      </c>
      <c r="AB19" s="78">
        <v>168044.7283076923</v>
      </c>
      <c r="AC19" s="78">
        <v>168395.70830769232</v>
      </c>
      <c r="AD19" s="78">
        <v>84.847495094985973</v>
      </c>
      <c r="AE19" s="78">
        <v>85.042878698224854</v>
      </c>
      <c r="AF19" s="78">
        <v>85.220500155714731</v>
      </c>
      <c r="AG19" s="78">
        <v>168044.7283076923</v>
      </c>
      <c r="AH19" s="78">
        <v>168044.7283076923</v>
      </c>
      <c r="AI19" s="78">
        <v>182083.92830769229</v>
      </c>
      <c r="AJ19" s="78">
        <v>85.042878698224854</v>
      </c>
      <c r="AK19" s="78">
        <v>85.042878698224854</v>
      </c>
      <c r="AL19" s="78">
        <v>92.14773699781999</v>
      </c>
      <c r="AM19" s="78">
        <v>168044.7283076923</v>
      </c>
      <c r="AN19" s="78">
        <v>168044.7283076923</v>
      </c>
      <c r="AO19" s="78">
        <v>168044.7283076923</v>
      </c>
      <c r="AP19" s="78">
        <v>85.042878698224854</v>
      </c>
      <c r="AQ19" s="78">
        <v>85.042878698224854</v>
      </c>
      <c r="AR19" s="78">
        <v>85.042878698224854</v>
      </c>
      <c r="AS19" s="78">
        <v>165517.67230769229</v>
      </c>
      <c r="AT19" s="78">
        <v>168044.7283076923</v>
      </c>
      <c r="AU19" s="78">
        <v>170431.39230769232</v>
      </c>
      <c r="AV19" s="78">
        <v>83.76400420429772</v>
      </c>
      <c r="AW19" s="78">
        <v>85.042878698224854</v>
      </c>
      <c r="AX19" s="78">
        <v>86.250704609156031</v>
      </c>
      <c r="AY19" s="78">
        <v>166218.7283076923</v>
      </c>
      <c r="AZ19" s="78">
        <v>168044.7283076923</v>
      </c>
      <c r="BA19" s="78">
        <v>168218.7283076923</v>
      </c>
      <c r="BB19" s="78">
        <v>84.118789629398947</v>
      </c>
      <c r="BC19" s="78">
        <v>85.042878698224854</v>
      </c>
      <c r="BD19" s="78">
        <v>85.130935378386795</v>
      </c>
      <c r="BE19" s="78">
        <v>162645.03600000002</v>
      </c>
      <c r="BF19" s="78">
        <v>168044.7283076923</v>
      </c>
      <c r="BG19" s="78">
        <v>169394.6513846154</v>
      </c>
      <c r="BH19" s="78">
        <v>82.310240890688277</v>
      </c>
      <c r="BI19" s="78">
        <v>85.042878698224854</v>
      </c>
      <c r="BJ19" s="78">
        <v>85.726038150109005</v>
      </c>
      <c r="BK19" s="78">
        <v>168044.7283076923</v>
      </c>
      <c r="BL19" s="78">
        <v>168044.7283076923</v>
      </c>
      <c r="BM19" s="78">
        <v>183163.86676923075</v>
      </c>
      <c r="BN19" s="78">
        <v>85.042878698224854</v>
      </c>
      <c r="BO19" s="78">
        <v>85.042878698224854</v>
      </c>
      <c r="BP19" s="78">
        <v>92.694264559327294</v>
      </c>
    </row>
    <row r="20" spans="1:68" x14ac:dyDescent="0.2">
      <c r="A20" t="s">
        <v>82</v>
      </c>
      <c r="B20" t="s">
        <v>40</v>
      </c>
      <c r="C20" s="65">
        <v>165286.09792307694</v>
      </c>
      <c r="D20" s="65">
        <v>248808.66465384612</v>
      </c>
      <c r="E20" s="65">
        <v>332331.23138461541</v>
      </c>
      <c r="F20" s="65">
        <v>83.646810689816263</v>
      </c>
      <c r="G20" s="65">
        <v>125.91531612036746</v>
      </c>
      <c r="H20" s="65">
        <v>168.18382155091874</v>
      </c>
      <c r="I20" s="78">
        <v>248287.14715384616</v>
      </c>
      <c r="J20" s="78">
        <v>248808.66465384612</v>
      </c>
      <c r="K20" s="78">
        <v>250633.97590384615</v>
      </c>
      <c r="L20" s="78">
        <v>125.6513902600436</v>
      </c>
      <c r="M20" s="78">
        <v>125.91531612036746</v>
      </c>
      <c r="N20" s="78">
        <v>126.83905663150108</v>
      </c>
      <c r="O20" s="78">
        <v>248808.66465384612</v>
      </c>
      <c r="P20" s="78">
        <v>248808.66465384612</v>
      </c>
      <c r="Q20" s="78">
        <v>248808.66465384612</v>
      </c>
      <c r="R20" s="78">
        <v>119.61955031434908</v>
      </c>
      <c r="S20" s="78">
        <v>125.91531612036746</v>
      </c>
      <c r="T20" s="78">
        <v>131.81217665493014</v>
      </c>
      <c r="U20" s="78">
        <v>238378.31465384614</v>
      </c>
      <c r="V20" s="78">
        <v>248808.66465384612</v>
      </c>
      <c r="W20" s="78">
        <v>269669.36465384613</v>
      </c>
      <c r="X20" s="78">
        <v>120.63679891388973</v>
      </c>
      <c r="Y20" s="78">
        <v>125.91531612036746</v>
      </c>
      <c r="Z20" s="78">
        <v>136.47235053332292</v>
      </c>
      <c r="AA20" s="78">
        <v>248234.99540384614</v>
      </c>
      <c r="AB20" s="78">
        <v>248808.66465384612</v>
      </c>
      <c r="AC20" s="78">
        <v>249330.18215384614</v>
      </c>
      <c r="AD20" s="78">
        <v>125.6249976740112</v>
      </c>
      <c r="AE20" s="78">
        <v>125.91531612036746</v>
      </c>
      <c r="AF20" s="78">
        <v>126.17924198069137</v>
      </c>
      <c r="AG20" s="78">
        <v>248808.66465384612</v>
      </c>
      <c r="AH20" s="78">
        <v>248808.66465384612</v>
      </c>
      <c r="AI20" s="78">
        <v>269669.36465384613</v>
      </c>
      <c r="AJ20" s="78">
        <v>125.91531612036746</v>
      </c>
      <c r="AK20" s="78">
        <v>125.91531612036746</v>
      </c>
      <c r="AL20" s="78">
        <v>136.47235053332292</v>
      </c>
      <c r="AM20" s="78">
        <v>248808.66465384612</v>
      </c>
      <c r="AN20" s="78">
        <v>248808.66465384612</v>
      </c>
      <c r="AO20" s="78">
        <v>248808.66465384612</v>
      </c>
      <c r="AP20" s="78">
        <v>125.91531612036746</v>
      </c>
      <c r="AQ20" s="78">
        <v>125.91531612036746</v>
      </c>
      <c r="AR20" s="78">
        <v>125.91531612036746</v>
      </c>
      <c r="AS20" s="78">
        <v>245053.73865384614</v>
      </c>
      <c r="AT20" s="78">
        <v>248808.66465384612</v>
      </c>
      <c r="AU20" s="78">
        <v>252354.98365384614</v>
      </c>
      <c r="AV20" s="78">
        <v>124.0150499260355</v>
      </c>
      <c r="AW20" s="78">
        <v>125.91531612036746</v>
      </c>
      <c r="AX20" s="78">
        <v>127.71001197056991</v>
      </c>
      <c r="AY20" s="78">
        <v>246982.66465384612</v>
      </c>
      <c r="AZ20" s="78">
        <v>248808.66465384612</v>
      </c>
      <c r="BA20" s="78">
        <v>248982.66465384612</v>
      </c>
      <c r="BB20" s="78">
        <v>124.99122705154154</v>
      </c>
      <c r="BC20" s="78">
        <v>125.91531612036746</v>
      </c>
      <c r="BD20" s="78">
        <v>126.00337280052942</v>
      </c>
      <c r="BE20" s="78">
        <v>240785.31849999999</v>
      </c>
      <c r="BF20" s="78">
        <v>248808.66465384612</v>
      </c>
      <c r="BG20" s="78">
        <v>250814.50119230768</v>
      </c>
      <c r="BH20" s="78">
        <v>121.85491826923078</v>
      </c>
      <c r="BI20" s="78">
        <v>125.91531612036746</v>
      </c>
      <c r="BJ20" s="78">
        <v>126.93041558315166</v>
      </c>
      <c r="BK20" s="78">
        <v>248808.66465384612</v>
      </c>
      <c r="BL20" s="78">
        <v>248808.66465384612</v>
      </c>
      <c r="BM20" s="78">
        <v>271274.03388461535</v>
      </c>
      <c r="BN20" s="78">
        <v>125.91531612036746</v>
      </c>
      <c r="BO20" s="78">
        <v>125.91531612036746</v>
      </c>
      <c r="BP20" s="78">
        <v>137.28443010355028</v>
      </c>
    </row>
    <row r="21" spans="1:68" x14ac:dyDescent="0.2">
      <c r="A21" t="s">
        <v>82</v>
      </c>
      <c r="B21" t="s">
        <v>47</v>
      </c>
      <c r="C21" s="65">
        <v>114785.40246153847</v>
      </c>
      <c r="D21" s="65">
        <v>152905.41211538459</v>
      </c>
      <c r="E21" s="65">
        <v>191025.42176923077</v>
      </c>
      <c r="F21" s="65">
        <v>58.089778573653071</v>
      </c>
      <c r="G21" s="65">
        <v>77.38128143491123</v>
      </c>
      <c r="H21" s="65">
        <v>96.672784296169425</v>
      </c>
      <c r="I21" s="78">
        <v>152586.39961538458</v>
      </c>
      <c r="J21" s="78">
        <v>152905.41211538459</v>
      </c>
      <c r="K21" s="78">
        <v>154021.9558653846</v>
      </c>
      <c r="L21" s="78">
        <v>77.219837862036727</v>
      </c>
      <c r="M21" s="78">
        <v>77.38128143491123</v>
      </c>
      <c r="N21" s="78">
        <v>77.946333939971964</v>
      </c>
      <c r="O21" s="78">
        <v>152905.41211538459</v>
      </c>
      <c r="P21" s="78">
        <v>152905.41211538459</v>
      </c>
      <c r="Q21" s="78">
        <v>152905.41211538459</v>
      </c>
      <c r="R21" s="78">
        <v>73.512217363165661</v>
      </c>
      <c r="S21" s="78">
        <v>77.38128143491123</v>
      </c>
      <c r="T21" s="78">
        <v>81.005198196325807</v>
      </c>
      <c r="U21" s="78">
        <v>146525.16211538459</v>
      </c>
      <c r="V21" s="78">
        <v>152905.41211538459</v>
      </c>
      <c r="W21" s="78">
        <v>165665.91211538459</v>
      </c>
      <c r="X21" s="78">
        <v>74.152409977421357</v>
      </c>
      <c r="Y21" s="78">
        <v>77.38128143491123</v>
      </c>
      <c r="Z21" s="78">
        <v>83.839024349890991</v>
      </c>
      <c r="AA21" s="78">
        <v>152554.49836538458</v>
      </c>
      <c r="AB21" s="78">
        <v>152905.41211538459</v>
      </c>
      <c r="AC21" s="78">
        <v>153224.4246153846</v>
      </c>
      <c r="AD21" s="78">
        <v>77.203693504749296</v>
      </c>
      <c r="AE21" s="78">
        <v>77.38128143491123</v>
      </c>
      <c r="AF21" s="78">
        <v>77.542725007785734</v>
      </c>
      <c r="AG21" s="78">
        <v>152905.41211538459</v>
      </c>
      <c r="AH21" s="78">
        <v>152905.41211538459</v>
      </c>
      <c r="AI21" s="78">
        <v>165665.91211538459</v>
      </c>
      <c r="AJ21" s="78">
        <v>77.38128143491123</v>
      </c>
      <c r="AK21" s="78">
        <v>77.38128143491123</v>
      </c>
      <c r="AL21" s="78">
        <v>83.839024349890991</v>
      </c>
      <c r="AM21" s="78">
        <v>152905.41211538459</v>
      </c>
      <c r="AN21" s="78">
        <v>152905.41211538459</v>
      </c>
      <c r="AO21" s="78">
        <v>152905.41211538459</v>
      </c>
      <c r="AP21" s="78">
        <v>77.38128143491123</v>
      </c>
      <c r="AQ21" s="78">
        <v>77.38128143491123</v>
      </c>
      <c r="AR21" s="78">
        <v>77.38128143491123</v>
      </c>
      <c r="AS21" s="78">
        <v>150608.52211538458</v>
      </c>
      <c r="AT21" s="78">
        <v>152905.41211538459</v>
      </c>
      <c r="AU21" s="78">
        <v>155074.6971153846</v>
      </c>
      <c r="AV21" s="78">
        <v>76.218887710214872</v>
      </c>
      <c r="AW21" s="78">
        <v>77.38128143491123</v>
      </c>
      <c r="AX21" s="78">
        <v>78.479097730457795</v>
      </c>
      <c r="AY21" s="78">
        <v>151079.41211538459</v>
      </c>
      <c r="AZ21" s="78">
        <v>152905.41211538459</v>
      </c>
      <c r="BA21" s="78">
        <v>153079.41211538459</v>
      </c>
      <c r="BB21" s="78">
        <v>76.457192366085323</v>
      </c>
      <c r="BC21" s="78">
        <v>77.38128143491123</v>
      </c>
      <c r="BD21" s="78">
        <v>77.469338115073171</v>
      </c>
      <c r="BE21" s="78">
        <v>147997.52749999997</v>
      </c>
      <c r="BF21" s="78">
        <v>152905.41211538459</v>
      </c>
      <c r="BG21" s="78">
        <v>154132.38326923078</v>
      </c>
      <c r="BH21" s="78">
        <v>74.897534159919019</v>
      </c>
      <c r="BI21" s="78">
        <v>77.38128143491123</v>
      </c>
      <c r="BJ21" s="78">
        <v>78.002218253659308</v>
      </c>
      <c r="BK21" s="78">
        <v>152905.41211538459</v>
      </c>
      <c r="BL21" s="78">
        <v>152905.41211538459</v>
      </c>
      <c r="BM21" s="78">
        <v>166647.48903846153</v>
      </c>
      <c r="BN21" s="78">
        <v>77.38128143491123</v>
      </c>
      <c r="BO21" s="78">
        <v>77.38128143491123</v>
      </c>
      <c r="BP21" s="78">
        <v>84.335773804889442</v>
      </c>
    </row>
    <row r="22" spans="1:68" x14ac:dyDescent="0.2">
      <c r="A22" t="s">
        <v>82</v>
      </c>
      <c r="B22" t="s">
        <v>50</v>
      </c>
      <c r="C22" s="65">
        <v>165286.09792307694</v>
      </c>
      <c r="D22" s="65">
        <v>248808.66465384612</v>
      </c>
      <c r="E22" s="65">
        <v>332331.23138461541</v>
      </c>
      <c r="F22" s="65">
        <v>83.646810689816263</v>
      </c>
      <c r="G22" s="65">
        <v>125.91531612036746</v>
      </c>
      <c r="H22" s="65">
        <v>168.18382155091874</v>
      </c>
      <c r="I22" s="78">
        <v>248287.14715384616</v>
      </c>
      <c r="J22" s="78">
        <v>248808.66465384612</v>
      </c>
      <c r="K22" s="78">
        <v>250633.97590384615</v>
      </c>
      <c r="L22" s="78">
        <v>125.6513902600436</v>
      </c>
      <c r="M22" s="78">
        <v>125.91531612036746</v>
      </c>
      <c r="N22" s="78">
        <v>126.83905663150108</v>
      </c>
      <c r="O22" s="78">
        <v>248808.66465384612</v>
      </c>
      <c r="P22" s="78">
        <v>248808.66465384612</v>
      </c>
      <c r="Q22" s="78">
        <v>248808.66465384612</v>
      </c>
      <c r="R22" s="78">
        <v>119.61955031434908</v>
      </c>
      <c r="S22" s="78">
        <v>125.91531612036746</v>
      </c>
      <c r="T22" s="78">
        <v>131.81217665493014</v>
      </c>
      <c r="U22" s="78">
        <v>238378.31465384614</v>
      </c>
      <c r="V22" s="78">
        <v>248808.66465384612</v>
      </c>
      <c r="W22" s="78">
        <v>269669.36465384613</v>
      </c>
      <c r="X22" s="78">
        <v>120.63679891388973</v>
      </c>
      <c r="Y22" s="78">
        <v>125.91531612036746</v>
      </c>
      <c r="Z22" s="78">
        <v>136.47235053332292</v>
      </c>
      <c r="AA22" s="78">
        <v>248234.99540384614</v>
      </c>
      <c r="AB22" s="78">
        <v>248808.66465384612</v>
      </c>
      <c r="AC22" s="78">
        <v>249330.18215384614</v>
      </c>
      <c r="AD22" s="78">
        <v>125.6249976740112</v>
      </c>
      <c r="AE22" s="78">
        <v>125.91531612036746</v>
      </c>
      <c r="AF22" s="78">
        <v>126.17924198069137</v>
      </c>
      <c r="AG22" s="78">
        <v>248808.66465384612</v>
      </c>
      <c r="AH22" s="78">
        <v>248808.66465384612</v>
      </c>
      <c r="AI22" s="78">
        <v>269669.36465384613</v>
      </c>
      <c r="AJ22" s="78">
        <v>125.91531612036746</v>
      </c>
      <c r="AK22" s="78">
        <v>125.91531612036746</v>
      </c>
      <c r="AL22" s="78">
        <v>136.47235053332292</v>
      </c>
      <c r="AM22" s="78">
        <v>248808.66465384612</v>
      </c>
      <c r="AN22" s="78">
        <v>248808.66465384612</v>
      </c>
      <c r="AO22" s="78">
        <v>248808.66465384612</v>
      </c>
      <c r="AP22" s="78">
        <v>125.91531612036746</v>
      </c>
      <c r="AQ22" s="78">
        <v>125.91531612036746</v>
      </c>
      <c r="AR22" s="78">
        <v>125.91531612036746</v>
      </c>
      <c r="AS22" s="78">
        <v>245053.73865384614</v>
      </c>
      <c r="AT22" s="78">
        <v>248808.66465384612</v>
      </c>
      <c r="AU22" s="78">
        <v>252354.98365384614</v>
      </c>
      <c r="AV22" s="78">
        <v>124.0150499260355</v>
      </c>
      <c r="AW22" s="78">
        <v>125.91531612036746</v>
      </c>
      <c r="AX22" s="78">
        <v>127.71001197056991</v>
      </c>
      <c r="AY22" s="78">
        <v>246982.66465384612</v>
      </c>
      <c r="AZ22" s="78">
        <v>248808.66465384612</v>
      </c>
      <c r="BA22" s="78">
        <v>248982.66465384612</v>
      </c>
      <c r="BB22" s="78">
        <v>124.99122705154154</v>
      </c>
      <c r="BC22" s="78">
        <v>125.91531612036746</v>
      </c>
      <c r="BD22" s="78">
        <v>126.00337280052942</v>
      </c>
      <c r="BE22" s="78">
        <v>240785.31849999999</v>
      </c>
      <c r="BF22" s="78">
        <v>248808.66465384612</v>
      </c>
      <c r="BG22" s="78">
        <v>250814.50119230768</v>
      </c>
      <c r="BH22" s="78">
        <v>121.85491826923078</v>
      </c>
      <c r="BI22" s="78">
        <v>125.91531612036746</v>
      </c>
      <c r="BJ22" s="78">
        <v>126.93041558315166</v>
      </c>
      <c r="BK22" s="78">
        <v>248808.66465384612</v>
      </c>
      <c r="BL22" s="78">
        <v>248808.66465384612</v>
      </c>
      <c r="BM22" s="78">
        <v>271274.03388461535</v>
      </c>
      <c r="BN22" s="78">
        <v>125.91531612036746</v>
      </c>
      <c r="BO22" s="78">
        <v>125.91531612036746</v>
      </c>
      <c r="BP22" s="78">
        <v>137.28443010355028</v>
      </c>
    </row>
    <row r="23" spans="1:68" x14ac:dyDescent="0.2">
      <c r="A23" t="s">
        <v>82</v>
      </c>
      <c r="B23" t="s">
        <v>55</v>
      </c>
      <c r="C23" s="65">
        <v>564701.8383076922</v>
      </c>
      <c r="D23" s="65">
        <v>668927.89876923081</v>
      </c>
      <c r="E23" s="65">
        <v>773153.95923076919</v>
      </c>
      <c r="F23" s="65">
        <v>285.78028254437862</v>
      </c>
      <c r="G23" s="65">
        <v>338.52626455932733</v>
      </c>
      <c r="H23" s="65">
        <v>391.27224657427587</v>
      </c>
      <c r="I23" s="78">
        <v>667799.15876923082</v>
      </c>
      <c r="J23" s="78">
        <v>668927.89876923081</v>
      </c>
      <c r="K23" s="78">
        <v>672878.48876923067</v>
      </c>
      <c r="L23" s="78">
        <v>337.95503986297103</v>
      </c>
      <c r="M23" s="78">
        <v>338.52626455932733</v>
      </c>
      <c r="N23" s="78">
        <v>340.52555099657422</v>
      </c>
      <c r="O23" s="78">
        <v>668927.89876923081</v>
      </c>
      <c r="P23" s="78">
        <v>668927.89876923081</v>
      </c>
      <c r="Q23" s="78">
        <v>668927.89876923081</v>
      </c>
      <c r="R23" s="78">
        <v>321.59995133136101</v>
      </c>
      <c r="S23" s="78">
        <v>338.52626455932733</v>
      </c>
      <c r="T23" s="78">
        <v>354.38011165990196</v>
      </c>
      <c r="U23" s="78">
        <v>668927.89876923081</v>
      </c>
      <c r="V23" s="78">
        <v>668927.89876923081</v>
      </c>
      <c r="W23" s="78">
        <v>736652.29876923072</v>
      </c>
      <c r="X23" s="78">
        <v>338.52626455932733</v>
      </c>
      <c r="Y23" s="78">
        <v>338.52626455932733</v>
      </c>
      <c r="Z23" s="78">
        <v>372.79974634070385</v>
      </c>
      <c r="AA23" s="78">
        <v>667686.28476923076</v>
      </c>
      <c r="AB23" s="78">
        <v>668927.89876923081</v>
      </c>
      <c r="AC23" s="78">
        <v>670056.63876923081</v>
      </c>
      <c r="AD23" s="78">
        <v>337.89791739333538</v>
      </c>
      <c r="AE23" s="78">
        <v>338.52626455932733</v>
      </c>
      <c r="AF23" s="78">
        <v>339.09748925568363</v>
      </c>
      <c r="AG23" s="78">
        <v>646353.09876923077</v>
      </c>
      <c r="AH23" s="78">
        <v>668927.89876923081</v>
      </c>
      <c r="AI23" s="78">
        <v>691502.69876923074</v>
      </c>
      <c r="AJ23" s="78">
        <v>327.10177063220181</v>
      </c>
      <c r="AK23" s="78">
        <v>338.52626455932733</v>
      </c>
      <c r="AL23" s="78">
        <v>349.9507584864528</v>
      </c>
      <c r="AM23" s="78">
        <v>556053.89876923081</v>
      </c>
      <c r="AN23" s="78">
        <v>668927.89876923081</v>
      </c>
      <c r="AO23" s="78">
        <v>691502.69876923074</v>
      </c>
      <c r="AP23" s="78">
        <v>281.40379492369976</v>
      </c>
      <c r="AQ23" s="78">
        <v>338.52626455932733</v>
      </c>
      <c r="AR23" s="78">
        <v>349.9507584864528</v>
      </c>
      <c r="AS23" s="78">
        <v>660800.97076923074</v>
      </c>
      <c r="AT23" s="78">
        <v>668927.89876923081</v>
      </c>
      <c r="AU23" s="78">
        <v>676603.33076923084</v>
      </c>
      <c r="AV23" s="78">
        <v>334.41344674556211</v>
      </c>
      <c r="AW23" s="78">
        <v>338.52626455932733</v>
      </c>
      <c r="AX23" s="78">
        <v>342.41059249455003</v>
      </c>
      <c r="AY23" s="78">
        <v>647427.89876923081</v>
      </c>
      <c r="AZ23" s="78">
        <v>668927.89876923081</v>
      </c>
      <c r="BA23" s="78">
        <v>668927.89876923081</v>
      </c>
      <c r="BB23" s="78">
        <v>327.64569775770792</v>
      </c>
      <c r="BC23" s="78">
        <v>338.52626455932733</v>
      </c>
      <c r="BD23" s="78">
        <v>338.52626455932733</v>
      </c>
      <c r="BE23" s="78">
        <v>651562.66800000006</v>
      </c>
      <c r="BF23" s="78">
        <v>668927.89876923081</v>
      </c>
      <c r="BG23" s="78">
        <v>673269.20646153856</v>
      </c>
      <c r="BH23" s="78">
        <v>329.73819230769232</v>
      </c>
      <c r="BI23" s="78">
        <v>338.52626455932733</v>
      </c>
      <c r="BJ23" s="78">
        <v>340.72328262223613</v>
      </c>
      <c r="BK23" s="78">
        <v>668927.89876923081</v>
      </c>
      <c r="BL23" s="78">
        <v>668927.89876923081</v>
      </c>
      <c r="BM23" s="78">
        <v>717550.54492307687</v>
      </c>
      <c r="BN23" s="78">
        <v>338.52626455932733</v>
      </c>
      <c r="BO23" s="78">
        <v>338.52626455932733</v>
      </c>
      <c r="BP23" s="78">
        <v>363.13286686390529</v>
      </c>
    </row>
    <row r="24" spans="1:68" x14ac:dyDescent="0.2">
      <c r="A24" t="s">
        <v>88</v>
      </c>
      <c r="B24" t="s">
        <v>33</v>
      </c>
      <c r="C24" s="65">
        <v>148744.27361538459</v>
      </c>
      <c r="D24" s="65">
        <v>184365.50338461538</v>
      </c>
      <c r="E24" s="65">
        <v>219986.73315384611</v>
      </c>
      <c r="F24" s="65">
        <v>75.275442113048882</v>
      </c>
      <c r="G24" s="65">
        <v>93.302380255372157</v>
      </c>
      <c r="H24" s="65">
        <v>111.3293183976954</v>
      </c>
      <c r="I24" s="78">
        <v>184008.66338461539</v>
      </c>
      <c r="J24" s="78">
        <v>184365.50338461538</v>
      </c>
      <c r="K24" s="78">
        <v>185614.44338461538</v>
      </c>
      <c r="L24" s="78">
        <v>93.121793210837751</v>
      </c>
      <c r="M24" s="78">
        <v>93.302380255372157</v>
      </c>
      <c r="N24" s="78">
        <v>93.934434911242604</v>
      </c>
      <c r="O24" s="78">
        <v>184365.50338461538</v>
      </c>
      <c r="P24" s="78">
        <v>184365.50338461538</v>
      </c>
      <c r="Q24" s="78">
        <v>184365.50338461538</v>
      </c>
      <c r="R24" s="78">
        <v>88.637261242603557</v>
      </c>
      <c r="S24" s="78">
        <v>93.302380255372157</v>
      </c>
      <c r="T24" s="78">
        <v>97.671913214990141</v>
      </c>
      <c r="U24" s="78">
        <v>177228.70338461536</v>
      </c>
      <c r="V24" s="78">
        <v>184365.50338461538</v>
      </c>
      <c r="W24" s="78">
        <v>198639.10338461539</v>
      </c>
      <c r="X24" s="78">
        <v>89.690639364683889</v>
      </c>
      <c r="Y24" s="78">
        <v>93.302380255372157</v>
      </c>
      <c r="Z24" s="78">
        <v>100.52586203674868</v>
      </c>
      <c r="AA24" s="78">
        <v>183972.97938461538</v>
      </c>
      <c r="AB24" s="78">
        <v>184365.50338461538</v>
      </c>
      <c r="AC24" s="78">
        <v>184722.34338461538</v>
      </c>
      <c r="AD24" s="78">
        <v>93.103734506384299</v>
      </c>
      <c r="AE24" s="78">
        <v>93.302380255372157</v>
      </c>
      <c r="AF24" s="78">
        <v>93.482967299906576</v>
      </c>
      <c r="AG24" s="78">
        <v>184365.50338461538</v>
      </c>
      <c r="AH24" s="78">
        <v>184365.50338461538</v>
      </c>
      <c r="AI24" s="78">
        <v>198639.10338461539</v>
      </c>
      <c r="AJ24" s="78">
        <v>93.302380255372157</v>
      </c>
      <c r="AK24" s="78">
        <v>93.302380255372157</v>
      </c>
      <c r="AL24" s="78">
        <v>100.52586203674868</v>
      </c>
      <c r="AM24" s="78">
        <v>184365.50338461538</v>
      </c>
      <c r="AN24" s="78">
        <v>184365.50338461538</v>
      </c>
      <c r="AO24" s="78">
        <v>184365.50338461538</v>
      </c>
      <c r="AP24" s="78">
        <v>93.302380255372157</v>
      </c>
      <c r="AQ24" s="78">
        <v>93.302380255372157</v>
      </c>
      <c r="AR24" s="78">
        <v>93.302380255372157</v>
      </c>
      <c r="AS24" s="78">
        <v>181796.25538461539</v>
      </c>
      <c r="AT24" s="78">
        <v>184365.50338461538</v>
      </c>
      <c r="AU24" s="78">
        <v>186792.0153846154</v>
      </c>
      <c r="AV24" s="78">
        <v>92.0021535347244</v>
      </c>
      <c r="AW24" s="78">
        <v>93.302380255372157</v>
      </c>
      <c r="AX24" s="78">
        <v>94.530372158206177</v>
      </c>
      <c r="AY24" s="78">
        <v>184365.50338461538</v>
      </c>
      <c r="AZ24" s="78">
        <v>184365.50338461538</v>
      </c>
      <c r="BA24" s="78">
        <v>186365.50338461538</v>
      </c>
      <c r="BB24" s="78">
        <v>93.302380255372157</v>
      </c>
      <c r="BC24" s="78">
        <v>93.302380255372157</v>
      </c>
      <c r="BD24" s="78">
        <v>94.314526004360019</v>
      </c>
      <c r="BE24" s="78">
        <v>177777.68799999999</v>
      </c>
      <c r="BF24" s="78">
        <v>184365.50338461538</v>
      </c>
      <c r="BG24" s="78">
        <v>186012.45723076924</v>
      </c>
      <c r="BH24" s="78">
        <v>89.968465587044534</v>
      </c>
      <c r="BI24" s="78">
        <v>93.302380255372157</v>
      </c>
      <c r="BJ24" s="78">
        <v>94.135858922454076</v>
      </c>
      <c r="BK24" s="78">
        <v>168993.93415384617</v>
      </c>
      <c r="BL24" s="78">
        <v>184365.50338461538</v>
      </c>
      <c r="BM24" s="78">
        <v>184365.50338461538</v>
      </c>
      <c r="BN24" s="78">
        <v>85.523246029274375</v>
      </c>
      <c r="BO24" s="78">
        <v>93.302380255372157</v>
      </c>
      <c r="BP24" s="78">
        <v>93.302380255372157</v>
      </c>
    </row>
    <row r="25" spans="1:68" x14ac:dyDescent="0.2">
      <c r="A25" t="s">
        <v>88</v>
      </c>
      <c r="B25" t="s">
        <v>40</v>
      </c>
      <c r="C25" s="65">
        <v>201066.5876153846</v>
      </c>
      <c r="D25" s="65">
        <v>281686.45407692308</v>
      </c>
      <c r="E25" s="65">
        <v>362306.3205384615</v>
      </c>
      <c r="F25" s="65">
        <v>101.75434595920274</v>
      </c>
      <c r="G25" s="65">
        <v>142.55387352071006</v>
      </c>
      <c r="H25" s="65">
        <v>183.35340108221735</v>
      </c>
      <c r="I25" s="78">
        <v>281141.24907692306</v>
      </c>
      <c r="J25" s="78">
        <v>281686.45407692308</v>
      </c>
      <c r="K25" s="78">
        <v>283594.67157692311</v>
      </c>
      <c r="L25" s="78">
        <v>142.27796005917159</v>
      </c>
      <c r="M25" s="78">
        <v>142.55387352071006</v>
      </c>
      <c r="N25" s="78">
        <v>143.5195706360947</v>
      </c>
      <c r="O25" s="78">
        <v>281686.45407692308</v>
      </c>
      <c r="P25" s="78">
        <v>281686.45407692308</v>
      </c>
      <c r="Q25" s="78">
        <v>281686.45407692308</v>
      </c>
      <c r="R25" s="78">
        <v>135.42617984467455</v>
      </c>
      <c r="S25" s="78">
        <v>142.55387352071006</v>
      </c>
      <c r="T25" s="78">
        <v>149.22995024206566</v>
      </c>
      <c r="U25" s="78">
        <v>270782.35407692305</v>
      </c>
      <c r="V25" s="78">
        <v>281686.45407692308</v>
      </c>
      <c r="W25" s="78">
        <v>303494.65407692303</v>
      </c>
      <c r="X25" s="78">
        <v>137.03560428994081</v>
      </c>
      <c r="Y25" s="78">
        <v>142.55387352071006</v>
      </c>
      <c r="Z25" s="78">
        <v>153.5904119822485</v>
      </c>
      <c r="AA25" s="78">
        <v>281086.72857692302</v>
      </c>
      <c r="AB25" s="78">
        <v>281686.45407692308</v>
      </c>
      <c r="AC25" s="78">
        <v>282231.65907692304</v>
      </c>
      <c r="AD25" s="78">
        <v>142.25036871301771</v>
      </c>
      <c r="AE25" s="78">
        <v>142.55387352071006</v>
      </c>
      <c r="AF25" s="78">
        <v>142.82978698224852</v>
      </c>
      <c r="AG25" s="78">
        <v>281686.45407692308</v>
      </c>
      <c r="AH25" s="78">
        <v>281686.45407692308</v>
      </c>
      <c r="AI25" s="78">
        <v>303494.65407692303</v>
      </c>
      <c r="AJ25" s="78">
        <v>142.55387352071006</v>
      </c>
      <c r="AK25" s="78">
        <v>142.55387352071006</v>
      </c>
      <c r="AL25" s="78">
        <v>153.5904119822485</v>
      </c>
      <c r="AM25" s="78">
        <v>281686.45407692308</v>
      </c>
      <c r="AN25" s="78">
        <v>281686.45407692308</v>
      </c>
      <c r="AO25" s="78">
        <v>281686.45407692308</v>
      </c>
      <c r="AP25" s="78">
        <v>142.55387352071006</v>
      </c>
      <c r="AQ25" s="78">
        <v>142.55387352071006</v>
      </c>
      <c r="AR25" s="78">
        <v>142.55387352071006</v>
      </c>
      <c r="AS25" s="78">
        <v>277760.97807692306</v>
      </c>
      <c r="AT25" s="78">
        <v>281686.45407692308</v>
      </c>
      <c r="AU25" s="78">
        <v>285393.84807692305</v>
      </c>
      <c r="AV25" s="78">
        <v>140.56729659763315</v>
      </c>
      <c r="AW25" s="78">
        <v>142.55387352071006</v>
      </c>
      <c r="AX25" s="78">
        <v>144.4300850591716</v>
      </c>
      <c r="AY25" s="78">
        <v>281686.45407692308</v>
      </c>
      <c r="AZ25" s="78">
        <v>281686.45407692308</v>
      </c>
      <c r="BA25" s="78">
        <v>283686.45407692308</v>
      </c>
      <c r="BB25" s="78">
        <v>142.55387352071006</v>
      </c>
      <c r="BC25" s="78">
        <v>142.55387352071006</v>
      </c>
      <c r="BD25" s="78">
        <v>143.5660192696979</v>
      </c>
      <c r="BE25" s="78">
        <v>271621.13099999999</v>
      </c>
      <c r="BF25" s="78">
        <v>281686.45407692308</v>
      </c>
      <c r="BG25" s="78">
        <v>284202.78484615381</v>
      </c>
      <c r="BH25" s="78">
        <v>137.46008653846152</v>
      </c>
      <c r="BI25" s="78">
        <v>142.55387352071006</v>
      </c>
      <c r="BJ25" s="78">
        <v>143.82732026627218</v>
      </c>
      <c r="BK25" s="78">
        <v>258200.7002307692</v>
      </c>
      <c r="BL25" s="78">
        <v>281686.45407692308</v>
      </c>
      <c r="BM25" s="78">
        <v>281686.45407692308</v>
      </c>
      <c r="BN25" s="78">
        <v>130.66837056213015</v>
      </c>
      <c r="BO25" s="78">
        <v>142.55387352071006</v>
      </c>
      <c r="BP25" s="78">
        <v>142.55387352071006</v>
      </c>
    </row>
    <row r="26" spans="1:68" x14ac:dyDescent="0.2">
      <c r="A26" t="s">
        <v>88</v>
      </c>
      <c r="B26" t="s">
        <v>47</v>
      </c>
      <c r="C26" s="65">
        <v>148744.27361538459</v>
      </c>
      <c r="D26" s="65">
        <v>163559.54323076922</v>
      </c>
      <c r="E26" s="65">
        <v>178374.81284615383</v>
      </c>
      <c r="F26" s="65">
        <v>75.275442113048882</v>
      </c>
      <c r="G26" s="65">
        <v>82.773048193709116</v>
      </c>
      <c r="H26" s="65">
        <v>90.270654274369349</v>
      </c>
      <c r="I26" s="78">
        <v>163242.97323076922</v>
      </c>
      <c r="J26" s="78">
        <v>163559.54323076922</v>
      </c>
      <c r="K26" s="78">
        <v>164667.53823076922</v>
      </c>
      <c r="L26" s="78">
        <v>82.612840703830571</v>
      </c>
      <c r="M26" s="78">
        <v>82.773048193709116</v>
      </c>
      <c r="N26" s="78">
        <v>83.333774408284015</v>
      </c>
      <c r="O26" s="78">
        <v>163559.54323076922</v>
      </c>
      <c r="P26" s="78">
        <v>163559.54323076922</v>
      </c>
      <c r="Q26" s="78">
        <v>163559.54323076922</v>
      </c>
      <c r="R26" s="78">
        <v>78.634395784023667</v>
      </c>
      <c r="S26" s="78">
        <v>82.773048193709116</v>
      </c>
      <c r="T26" s="78">
        <v>86.649471938318086</v>
      </c>
      <c r="U26" s="78">
        <v>157228.14323076923</v>
      </c>
      <c r="V26" s="78">
        <v>163559.54323076922</v>
      </c>
      <c r="W26" s="78">
        <v>176222.34323076921</v>
      </c>
      <c r="X26" s="78">
        <v>79.568898396138266</v>
      </c>
      <c r="Y26" s="78">
        <v>82.773048193709116</v>
      </c>
      <c r="Z26" s="78">
        <v>89.181347788850815</v>
      </c>
      <c r="AA26" s="78">
        <v>163211.31623076921</v>
      </c>
      <c r="AB26" s="78">
        <v>163559.54323076922</v>
      </c>
      <c r="AC26" s="78">
        <v>163876.11323076923</v>
      </c>
      <c r="AD26" s="78">
        <v>82.596819954842715</v>
      </c>
      <c r="AE26" s="78">
        <v>82.773048193709116</v>
      </c>
      <c r="AF26" s="78">
        <v>82.933255683587674</v>
      </c>
      <c r="AG26" s="78">
        <v>163559.54323076922</v>
      </c>
      <c r="AH26" s="78">
        <v>163559.54323076922</v>
      </c>
      <c r="AI26" s="78">
        <v>176222.34323076921</v>
      </c>
      <c r="AJ26" s="78">
        <v>82.773048193709116</v>
      </c>
      <c r="AK26" s="78">
        <v>82.773048193709116</v>
      </c>
      <c r="AL26" s="78">
        <v>89.181347788850815</v>
      </c>
      <c r="AM26" s="78">
        <v>163559.54323076922</v>
      </c>
      <c r="AN26" s="78">
        <v>163559.54323076922</v>
      </c>
      <c r="AO26" s="78">
        <v>163559.54323076922</v>
      </c>
      <c r="AP26" s="78">
        <v>82.773048193709116</v>
      </c>
      <c r="AQ26" s="78">
        <v>82.773048193709116</v>
      </c>
      <c r="AR26" s="78">
        <v>82.773048193709116</v>
      </c>
      <c r="AS26" s="78">
        <v>161280.23923076922</v>
      </c>
      <c r="AT26" s="78">
        <v>163559.54323076922</v>
      </c>
      <c r="AU26" s="78">
        <v>165712.2192307692</v>
      </c>
      <c r="AV26" s="78">
        <v>81.61955426658362</v>
      </c>
      <c r="AW26" s="78">
        <v>82.773048193709116</v>
      </c>
      <c r="AX26" s="78">
        <v>83.862459124883202</v>
      </c>
      <c r="AY26" s="78">
        <v>163559.54323076922</v>
      </c>
      <c r="AZ26" s="78">
        <v>163559.54323076922</v>
      </c>
      <c r="BA26" s="78">
        <v>165559.54323076922</v>
      </c>
      <c r="BB26" s="78">
        <v>82.773048193709116</v>
      </c>
      <c r="BC26" s="78">
        <v>82.773048193709116</v>
      </c>
      <c r="BD26" s="78">
        <v>83.785193942696978</v>
      </c>
      <c r="BE26" s="78">
        <v>157715.174</v>
      </c>
      <c r="BF26" s="78">
        <v>163559.54323076922</v>
      </c>
      <c r="BG26" s="78">
        <v>165020.63553846156</v>
      </c>
      <c r="BH26" s="78">
        <v>79.815371457489888</v>
      </c>
      <c r="BI26" s="78">
        <v>82.773048193709116</v>
      </c>
      <c r="BJ26" s="78">
        <v>83.512467377763954</v>
      </c>
      <c r="BK26" s="78">
        <v>149922.6816923077</v>
      </c>
      <c r="BL26" s="78">
        <v>163559.54323076922</v>
      </c>
      <c r="BM26" s="78">
        <v>163559.54323076922</v>
      </c>
      <c r="BN26" s="78">
        <v>75.871802475864229</v>
      </c>
      <c r="BO26" s="78">
        <v>82.773048193709116</v>
      </c>
      <c r="BP26" s="78">
        <v>82.773048193709116</v>
      </c>
    </row>
    <row r="27" spans="1:68" x14ac:dyDescent="0.2">
      <c r="A27" t="s">
        <v>88</v>
      </c>
      <c r="B27" t="s">
        <v>50</v>
      </c>
      <c r="C27" s="65">
        <v>206401.11800000002</v>
      </c>
      <c r="D27" s="65">
        <v>224182.02484615386</v>
      </c>
      <c r="E27" s="65">
        <v>241962.9316923077</v>
      </c>
      <c r="F27" s="65">
        <v>104.45400708502025</v>
      </c>
      <c r="G27" s="65">
        <v>113.45244172376208</v>
      </c>
      <c r="H27" s="65">
        <v>122.45087636250389</v>
      </c>
      <c r="I27" s="78">
        <v>223748.11984615386</v>
      </c>
      <c r="J27" s="78">
        <v>224182.02484615386</v>
      </c>
      <c r="K27" s="78">
        <v>225700.69234615384</v>
      </c>
      <c r="L27" s="78">
        <v>113.23285417315478</v>
      </c>
      <c r="M27" s="78">
        <v>113.45244172376208</v>
      </c>
      <c r="N27" s="78">
        <v>114.22099815088757</v>
      </c>
      <c r="O27" s="78">
        <v>224182.02484615386</v>
      </c>
      <c r="P27" s="78">
        <v>224182.02484615386</v>
      </c>
      <c r="Q27" s="78">
        <v>224182.02484615386</v>
      </c>
      <c r="R27" s="78">
        <v>107.77981963757398</v>
      </c>
      <c r="S27" s="78">
        <v>113.45244172376208</v>
      </c>
      <c r="T27" s="78">
        <v>118.76564147391072</v>
      </c>
      <c r="U27" s="78">
        <v>215503.92484615385</v>
      </c>
      <c r="V27" s="78">
        <v>224182.02484615386</v>
      </c>
      <c r="W27" s="78">
        <v>241538.22484615387</v>
      </c>
      <c r="X27" s="78">
        <v>109.06069071161633</v>
      </c>
      <c r="Y27" s="78">
        <v>113.45244172376208</v>
      </c>
      <c r="Z27" s="78">
        <v>122.23594374805357</v>
      </c>
      <c r="AA27" s="78">
        <v>223704.72934615385</v>
      </c>
      <c r="AB27" s="78">
        <v>224182.02484615386</v>
      </c>
      <c r="AC27" s="78">
        <v>224615.92984615386</v>
      </c>
      <c r="AD27" s="78">
        <v>113.21089541809407</v>
      </c>
      <c r="AE27" s="78">
        <v>113.45244172376208</v>
      </c>
      <c r="AF27" s="78">
        <v>113.67202927436935</v>
      </c>
      <c r="AG27" s="78">
        <v>224182.02484615386</v>
      </c>
      <c r="AH27" s="78">
        <v>224182.02484615386</v>
      </c>
      <c r="AI27" s="78">
        <v>241538.22484615387</v>
      </c>
      <c r="AJ27" s="78">
        <v>113.45244172376208</v>
      </c>
      <c r="AK27" s="78">
        <v>113.45244172376208</v>
      </c>
      <c r="AL27" s="78">
        <v>122.23594374805357</v>
      </c>
      <c r="AM27" s="78">
        <v>224182.02484615386</v>
      </c>
      <c r="AN27" s="78">
        <v>224182.02484615386</v>
      </c>
      <c r="AO27" s="78">
        <v>224182.02484615386</v>
      </c>
      <c r="AP27" s="78">
        <v>113.45244172376208</v>
      </c>
      <c r="AQ27" s="78">
        <v>113.45244172376208</v>
      </c>
      <c r="AR27" s="78">
        <v>113.45244172376208</v>
      </c>
      <c r="AS27" s="78">
        <v>221057.90884615385</v>
      </c>
      <c r="AT27" s="78">
        <v>224182.02484615386</v>
      </c>
      <c r="AU27" s="78">
        <v>227132.57884615386</v>
      </c>
      <c r="AV27" s="78">
        <v>111.8714113593896</v>
      </c>
      <c r="AW27" s="78">
        <v>113.45244172376208</v>
      </c>
      <c r="AX27" s="78">
        <v>114.94563706789162</v>
      </c>
      <c r="AY27" s="78">
        <v>224182.02484615386</v>
      </c>
      <c r="AZ27" s="78">
        <v>224182.02484615386</v>
      </c>
      <c r="BA27" s="78">
        <v>226182.02484615386</v>
      </c>
      <c r="BB27" s="78">
        <v>113.45244172376208</v>
      </c>
      <c r="BC27" s="78">
        <v>113.45244172376208</v>
      </c>
      <c r="BD27" s="78">
        <v>114.46458747274993</v>
      </c>
      <c r="BE27" s="78">
        <v>216171.47100000002</v>
      </c>
      <c r="BF27" s="78">
        <v>224182.02484615386</v>
      </c>
      <c r="BG27" s="78">
        <v>226184.66330769233</v>
      </c>
      <c r="BH27" s="78">
        <v>109.39851771255063</v>
      </c>
      <c r="BI27" s="78">
        <v>113.45244172376208</v>
      </c>
      <c r="BJ27" s="78">
        <v>114.46592272656495</v>
      </c>
      <c r="BK27" s="78">
        <v>205490.73253846157</v>
      </c>
      <c r="BL27" s="78">
        <v>224182.02484615386</v>
      </c>
      <c r="BM27" s="78">
        <v>224182.02484615386</v>
      </c>
      <c r="BN27" s="78">
        <v>103.993285697602</v>
      </c>
      <c r="BO27" s="78">
        <v>113.45244172376208</v>
      </c>
      <c r="BP27" s="78">
        <v>113.45244172376208</v>
      </c>
    </row>
    <row r="28" spans="1:68" x14ac:dyDescent="0.2">
      <c r="A28" t="s">
        <v>88</v>
      </c>
      <c r="B28" t="s">
        <v>55</v>
      </c>
      <c r="C28" s="65">
        <v>733974.67161538464</v>
      </c>
      <c r="D28" s="65">
        <v>839060.72984615387</v>
      </c>
      <c r="E28" s="65">
        <v>944146.788076923</v>
      </c>
      <c r="F28" s="65">
        <v>371.44467187013396</v>
      </c>
      <c r="G28" s="65">
        <v>424.62587542821552</v>
      </c>
      <c r="H28" s="65">
        <v>477.80707898629703</v>
      </c>
      <c r="I28" s="78">
        <v>837350.04984615382</v>
      </c>
      <c r="J28" s="78">
        <v>839060.72984615387</v>
      </c>
      <c r="K28" s="78">
        <v>845048.10984615376</v>
      </c>
      <c r="L28" s="78">
        <v>423.76014668327622</v>
      </c>
      <c r="M28" s="78">
        <v>424.62587542821552</v>
      </c>
      <c r="N28" s="78">
        <v>427.65592603550294</v>
      </c>
      <c r="O28" s="78">
        <v>839060.72984615387</v>
      </c>
      <c r="P28" s="78">
        <v>839060.72984615387</v>
      </c>
      <c r="Q28" s="78">
        <v>839060.72984615387</v>
      </c>
      <c r="R28" s="78">
        <v>403.39458165680475</v>
      </c>
      <c r="S28" s="78">
        <v>424.62587542821552</v>
      </c>
      <c r="T28" s="78">
        <v>444.51193570997771</v>
      </c>
      <c r="U28" s="78">
        <v>839060.72984615387</v>
      </c>
      <c r="V28" s="78">
        <v>839060.72984615387</v>
      </c>
      <c r="W28" s="78">
        <v>941701.52984615392</v>
      </c>
      <c r="X28" s="78">
        <v>424.62587542821552</v>
      </c>
      <c r="Y28" s="78">
        <v>424.62587542821552</v>
      </c>
      <c r="Z28" s="78">
        <v>476.56960012457182</v>
      </c>
      <c r="AA28" s="78">
        <v>837178.98184615374</v>
      </c>
      <c r="AB28" s="78">
        <v>839060.72984615387</v>
      </c>
      <c r="AC28" s="78">
        <v>840771.40984615381</v>
      </c>
      <c r="AD28" s="78">
        <v>423.67357380878229</v>
      </c>
      <c r="AE28" s="78">
        <v>424.62587542821552</v>
      </c>
      <c r="AF28" s="78">
        <v>425.49160417315471</v>
      </c>
      <c r="AG28" s="78">
        <v>804847.12984615378</v>
      </c>
      <c r="AH28" s="78">
        <v>839060.72984615387</v>
      </c>
      <c r="AI28" s="78">
        <v>873274.32984615385</v>
      </c>
      <c r="AJ28" s="78">
        <v>407.31130052943007</v>
      </c>
      <c r="AK28" s="78">
        <v>424.62587542821552</v>
      </c>
      <c r="AL28" s="78">
        <v>441.94045032700092</v>
      </c>
      <c r="AM28" s="78">
        <v>839060.72984615387</v>
      </c>
      <c r="AN28" s="78">
        <v>839060.72984615387</v>
      </c>
      <c r="AO28" s="78">
        <v>839060.72984615387</v>
      </c>
      <c r="AP28" s="78">
        <v>424.62587542821552</v>
      </c>
      <c r="AQ28" s="78">
        <v>424.62587542821552</v>
      </c>
      <c r="AR28" s="78">
        <v>424.62587542821552</v>
      </c>
      <c r="AS28" s="78">
        <v>826743.83384615381</v>
      </c>
      <c r="AT28" s="78">
        <v>839060.72984615387</v>
      </c>
      <c r="AU28" s="78">
        <v>850693.35384615383</v>
      </c>
      <c r="AV28" s="78">
        <v>418.39262846465272</v>
      </c>
      <c r="AW28" s="78">
        <v>424.62587542821552</v>
      </c>
      <c r="AX28" s="78">
        <v>430.51283089380252</v>
      </c>
      <c r="AY28" s="78">
        <v>810151.72984615387</v>
      </c>
      <c r="AZ28" s="78">
        <v>839060.72984615387</v>
      </c>
      <c r="BA28" s="78">
        <v>839060.72984615387</v>
      </c>
      <c r="BB28" s="78">
        <v>409.9958146994706</v>
      </c>
      <c r="BC28" s="78">
        <v>424.62587542821552</v>
      </c>
      <c r="BD28" s="78">
        <v>424.62587542821552</v>
      </c>
      <c r="BE28" s="78">
        <v>812742.576</v>
      </c>
      <c r="BF28" s="78">
        <v>839060.72984615387</v>
      </c>
      <c r="BG28" s="78">
        <v>845640.26830769237</v>
      </c>
      <c r="BH28" s="78">
        <v>411.30697165991904</v>
      </c>
      <c r="BI28" s="78">
        <v>424.62587542821552</v>
      </c>
      <c r="BJ28" s="78">
        <v>427.95560137028968</v>
      </c>
      <c r="BK28" s="78">
        <v>839060.72984615387</v>
      </c>
      <c r="BL28" s="78">
        <v>839060.72984615387</v>
      </c>
      <c r="BM28" s="78">
        <v>912751.56061538449</v>
      </c>
      <c r="BN28" s="78">
        <v>424.62587542821552</v>
      </c>
      <c r="BO28" s="78">
        <v>424.62587542821552</v>
      </c>
      <c r="BP28" s="78">
        <v>461.91880597944555</v>
      </c>
    </row>
    <row r="29" spans="1:68" x14ac:dyDescent="0.2">
      <c r="A29" t="s">
        <v>96</v>
      </c>
      <c r="B29" t="s">
        <v>33</v>
      </c>
      <c r="C29" s="44">
        <v>116793.40123076923</v>
      </c>
      <c r="D29" s="44">
        <v>192590.19626892309</v>
      </c>
      <c r="E29" s="44">
        <v>282005.01246153843</v>
      </c>
      <c r="F29" s="44">
        <v>59.105972282777955</v>
      </c>
      <c r="G29" s="44">
        <v>97.464674225163506</v>
      </c>
      <c r="H29" s="44">
        <v>142.71508727810649</v>
      </c>
      <c r="I29" s="44">
        <v>191874.21867815382</v>
      </c>
      <c r="J29" s="44">
        <v>192266.06223815383</v>
      </c>
      <c r="K29" s="44">
        <v>193637.51469815383</v>
      </c>
      <c r="L29" s="44">
        <v>97.102337387729662</v>
      </c>
      <c r="M29" s="44">
        <v>97.300638784490801</v>
      </c>
      <c r="N29" s="44">
        <v>97.994693673154771</v>
      </c>
      <c r="O29" s="44">
        <v>192266.06223815383</v>
      </c>
      <c r="P29" s="44">
        <v>192266.06223815383</v>
      </c>
      <c r="Q29" s="44">
        <v>192266.06223815383</v>
      </c>
      <c r="R29" s="44">
        <v>92.435606845266264</v>
      </c>
      <c r="S29" s="44">
        <v>97.300638784490801</v>
      </c>
      <c r="T29" s="44">
        <v>101.85741801131269</v>
      </c>
      <c r="U29" s="44">
        <v>184429.19103815383</v>
      </c>
      <c r="V29" s="44">
        <v>192266.06223815383</v>
      </c>
      <c r="W29" s="44">
        <v>207939.80463815382</v>
      </c>
      <c r="X29" s="44">
        <v>93.334610849268131</v>
      </c>
      <c r="Y29" s="44">
        <v>97.300638784490801</v>
      </c>
      <c r="Z29" s="44">
        <v>105.23269465493614</v>
      </c>
      <c r="AA29" s="44">
        <v>191835.03432215384</v>
      </c>
      <c r="AB29" s="44">
        <v>192266.06223815383</v>
      </c>
      <c r="AC29" s="44">
        <v>192657.90579815384</v>
      </c>
      <c r="AD29" s="44">
        <v>97.08250724805356</v>
      </c>
      <c r="AE29" s="44">
        <v>97.300638784490801</v>
      </c>
      <c r="AF29" s="44">
        <v>97.498940181251939</v>
      </c>
      <c r="AG29" s="44">
        <v>192266.06223815383</v>
      </c>
      <c r="AH29" s="44">
        <v>192266.06223815383</v>
      </c>
      <c r="AI29" s="44">
        <v>207939.80463815382</v>
      </c>
      <c r="AJ29" s="44">
        <v>97.300638784490801</v>
      </c>
      <c r="AK29" s="44">
        <v>97.300638784490801</v>
      </c>
      <c r="AL29" s="44">
        <v>105.23269465493614</v>
      </c>
      <c r="AM29" s="44">
        <v>192266.06223815383</v>
      </c>
      <c r="AN29" s="44">
        <v>192266.06223815383</v>
      </c>
      <c r="AO29" s="44">
        <v>192266.06223815383</v>
      </c>
      <c r="AP29" s="44">
        <v>97.300638784490801</v>
      </c>
      <c r="AQ29" s="44">
        <v>97.300638784490801</v>
      </c>
      <c r="AR29" s="44">
        <v>97.300638784490801</v>
      </c>
      <c r="AS29" s="44">
        <v>189444.78860615383</v>
      </c>
      <c r="AT29" s="44">
        <v>192266.06223815383</v>
      </c>
      <c r="AU29" s="44">
        <v>194930.59844615383</v>
      </c>
      <c r="AV29" s="44">
        <v>95.872868727810641</v>
      </c>
      <c r="AW29" s="44">
        <v>97.300638784490801</v>
      </c>
      <c r="AX29" s="44">
        <v>98.649088282466508</v>
      </c>
      <c r="AY29" s="44">
        <v>191900.86223815382</v>
      </c>
      <c r="AZ29" s="44">
        <v>192266.06223815383</v>
      </c>
      <c r="BA29" s="44">
        <v>193900.86223815382</v>
      </c>
      <c r="BB29" s="44">
        <v>97.115820970725622</v>
      </c>
      <c r="BC29" s="44">
        <v>97.300638784490801</v>
      </c>
      <c r="BD29" s="44">
        <v>98.12796671971347</v>
      </c>
      <c r="BE29" s="44">
        <v>185785.57259199998</v>
      </c>
      <c r="BF29" s="44">
        <v>192266.06223815383</v>
      </c>
      <c r="BG29" s="44">
        <v>193886.18464969232</v>
      </c>
      <c r="BH29" s="44">
        <v>94.021038761133596</v>
      </c>
      <c r="BI29" s="44">
        <v>97.300638784490801</v>
      </c>
      <c r="BJ29" s="44">
        <v>98.12053879033013</v>
      </c>
      <c r="BK29" s="44">
        <v>119254.10892307691</v>
      </c>
      <c r="BL29" s="44">
        <v>192266.06223815383</v>
      </c>
      <c r="BM29" s="44">
        <v>270490.24323076918</v>
      </c>
      <c r="BN29" s="44">
        <v>60.351269697913423</v>
      </c>
      <c r="BO29" s="44">
        <v>97.300638784490801</v>
      </c>
      <c r="BP29" s="44">
        <v>136.88777491435687</v>
      </c>
    </row>
    <row r="30" spans="1:68" x14ac:dyDescent="0.2">
      <c r="A30" t="s">
        <v>96</v>
      </c>
      <c r="B30" t="s">
        <v>40</v>
      </c>
      <c r="C30" s="44">
        <v>157843.93900000001</v>
      </c>
      <c r="D30" s="44">
        <v>261024.17092523081</v>
      </c>
      <c r="E30" s="44">
        <v>367640.92980000004</v>
      </c>
      <c r="F30" s="44">
        <v>79.880535931174094</v>
      </c>
      <c r="G30" s="44">
        <v>132.09725249252568</v>
      </c>
      <c r="H30" s="44">
        <v>186.05310212550611</v>
      </c>
      <c r="I30" s="44">
        <v>260492.73252338462</v>
      </c>
      <c r="J30" s="44">
        <v>261015.09310338466</v>
      </c>
      <c r="K30" s="44">
        <v>262843.35513338464</v>
      </c>
      <c r="L30" s="44">
        <v>131.82830593288696</v>
      </c>
      <c r="M30" s="44">
        <v>132.0926584531299</v>
      </c>
      <c r="N30" s="44">
        <v>133.01789227398007</v>
      </c>
      <c r="O30" s="44">
        <v>261015.09310338466</v>
      </c>
      <c r="P30" s="44">
        <v>261015.09310338466</v>
      </c>
      <c r="Q30" s="44">
        <v>261015.09310338466</v>
      </c>
      <c r="R30" s="44">
        <v>125.48802553047339</v>
      </c>
      <c r="S30" s="44">
        <v>132.0926584531299</v>
      </c>
      <c r="T30" s="44">
        <v>138.27881601154095</v>
      </c>
      <c r="U30" s="44">
        <v>250567.88150338462</v>
      </c>
      <c r="V30" s="44">
        <v>261015.09310338466</v>
      </c>
      <c r="W30" s="44">
        <v>281909.51630338462</v>
      </c>
      <c r="X30" s="44">
        <v>126.80560804827158</v>
      </c>
      <c r="Y30" s="44">
        <v>132.0926584531299</v>
      </c>
      <c r="Z30" s="44">
        <v>142.66675926284648</v>
      </c>
      <c r="AA30" s="44">
        <v>260440.49646538461</v>
      </c>
      <c r="AB30" s="44">
        <v>261015.09310338466</v>
      </c>
      <c r="AC30" s="44">
        <v>261537.45368338464</v>
      </c>
      <c r="AD30" s="44">
        <v>131.80187068086266</v>
      </c>
      <c r="AE30" s="44">
        <v>132.0926584531299</v>
      </c>
      <c r="AF30" s="44">
        <v>132.35701097337278</v>
      </c>
      <c r="AG30" s="44">
        <v>261015.09310338466</v>
      </c>
      <c r="AH30" s="44">
        <v>261015.09310338466</v>
      </c>
      <c r="AI30" s="44">
        <v>281909.51630338462</v>
      </c>
      <c r="AJ30" s="44">
        <v>132.0926584531299</v>
      </c>
      <c r="AK30" s="44">
        <v>132.0926584531299</v>
      </c>
      <c r="AL30" s="44">
        <v>142.66675926284648</v>
      </c>
      <c r="AM30" s="44">
        <v>261015.09310338466</v>
      </c>
      <c r="AN30" s="44">
        <v>261015.09310338466</v>
      </c>
      <c r="AO30" s="44">
        <v>261015.09310338466</v>
      </c>
      <c r="AP30" s="44">
        <v>132.0926584531299</v>
      </c>
      <c r="AQ30" s="44">
        <v>132.0926584531299</v>
      </c>
      <c r="AR30" s="44">
        <v>132.0926584531299</v>
      </c>
      <c r="AS30" s="44">
        <v>257254.09692738461</v>
      </c>
      <c r="AT30" s="44">
        <v>261015.09310338466</v>
      </c>
      <c r="AU30" s="44">
        <v>264567.14504738466</v>
      </c>
      <c r="AV30" s="44">
        <v>130.18932030738088</v>
      </c>
      <c r="AW30" s="44">
        <v>132.0926584531299</v>
      </c>
      <c r="AX30" s="44">
        <v>133.89025559078172</v>
      </c>
      <c r="AY30" s="44">
        <v>260649.89310338465</v>
      </c>
      <c r="AZ30" s="44">
        <v>261015.09310338466</v>
      </c>
      <c r="BA30" s="44">
        <v>262649.89310338465</v>
      </c>
      <c r="BB30" s="44">
        <v>131.90784063936471</v>
      </c>
      <c r="BC30" s="44">
        <v>132.0926584531299</v>
      </c>
      <c r="BD30" s="44">
        <v>132.91998638835256</v>
      </c>
      <c r="BE30" s="44">
        <v>251202.75051600003</v>
      </c>
      <c r="BF30" s="44">
        <v>261015.09310338466</v>
      </c>
      <c r="BG30" s="44">
        <v>262353.1398198462</v>
      </c>
      <c r="BH30" s="44">
        <v>127.12689803441296</v>
      </c>
      <c r="BI30" s="44">
        <v>132.0926584531299</v>
      </c>
      <c r="BJ30" s="44">
        <v>132.76980760113673</v>
      </c>
      <c r="BK30" s="44">
        <v>153064.47200000001</v>
      </c>
      <c r="BL30" s="44">
        <v>261015.09310338466</v>
      </c>
      <c r="BM30" s="44">
        <v>356023.47040000005</v>
      </c>
      <c r="BN30" s="44">
        <v>77.461777327935238</v>
      </c>
      <c r="BO30" s="44">
        <v>132.0926584531299</v>
      </c>
      <c r="BP30" s="44">
        <v>180.17382105263161</v>
      </c>
    </row>
    <row r="31" spans="1:68" x14ac:dyDescent="0.2">
      <c r="A31" t="s">
        <v>96</v>
      </c>
      <c r="B31" t="s">
        <v>47</v>
      </c>
      <c r="C31" s="44">
        <v>114089.18591999999</v>
      </c>
      <c r="D31" s="44">
        <v>160412.0130713846</v>
      </c>
      <c r="E31" s="44">
        <v>233806.93692307692</v>
      </c>
      <c r="F31" s="44">
        <v>57.737442267206475</v>
      </c>
      <c r="G31" s="44">
        <v>81.180168558393035</v>
      </c>
      <c r="H31" s="44">
        <v>118.32334864528184</v>
      </c>
      <c r="I31" s="44">
        <v>159700.81989907689</v>
      </c>
      <c r="J31" s="44">
        <v>160026.83397907691</v>
      </c>
      <c r="K31" s="44">
        <v>161167.88325907692</v>
      </c>
      <c r="L31" s="44">
        <v>80.820252985362799</v>
      </c>
      <c r="M31" s="44">
        <v>80.985239867953894</v>
      </c>
      <c r="N31" s="44">
        <v>81.562693957022731</v>
      </c>
      <c r="O31" s="44">
        <v>160026.83397907691</v>
      </c>
      <c r="P31" s="44">
        <v>160026.83397907691</v>
      </c>
      <c r="Q31" s="44">
        <v>160026.83397907691</v>
      </c>
      <c r="R31" s="44">
        <v>76.935977874556201</v>
      </c>
      <c r="S31" s="44">
        <v>80.985239867953894</v>
      </c>
      <c r="T31" s="44">
        <v>84.777937051852575</v>
      </c>
      <c r="U31" s="44">
        <v>153506.55237907689</v>
      </c>
      <c r="V31" s="44">
        <v>160026.83397907691</v>
      </c>
      <c r="W31" s="44">
        <v>173067.39717907691</v>
      </c>
      <c r="X31" s="44">
        <v>77.685502216132022</v>
      </c>
      <c r="Y31" s="44">
        <v>80.985239867953894</v>
      </c>
      <c r="Z31" s="44">
        <v>87.584715171597622</v>
      </c>
      <c r="AA31" s="44">
        <v>159668.2184910769</v>
      </c>
      <c r="AB31" s="44">
        <v>160026.83397907691</v>
      </c>
      <c r="AC31" s="44">
        <v>160352.84805907693</v>
      </c>
      <c r="AD31" s="44">
        <v>80.803754297103694</v>
      </c>
      <c r="AE31" s="44">
        <v>80.985239867953894</v>
      </c>
      <c r="AF31" s="44">
        <v>81.150226750545002</v>
      </c>
      <c r="AG31" s="44">
        <v>160026.83397907691</v>
      </c>
      <c r="AH31" s="44">
        <v>160026.83397907691</v>
      </c>
      <c r="AI31" s="44">
        <v>173067.39717907691</v>
      </c>
      <c r="AJ31" s="44">
        <v>80.985239867953894</v>
      </c>
      <c r="AK31" s="44">
        <v>80.985239867953894</v>
      </c>
      <c r="AL31" s="44">
        <v>87.584715171597622</v>
      </c>
      <c r="AM31" s="44">
        <v>160026.83397907691</v>
      </c>
      <c r="AN31" s="44">
        <v>160026.83397907691</v>
      </c>
      <c r="AO31" s="44">
        <v>160026.83397907691</v>
      </c>
      <c r="AP31" s="44">
        <v>80.985239867953894</v>
      </c>
      <c r="AQ31" s="44">
        <v>80.985239867953894</v>
      </c>
      <c r="AR31" s="44">
        <v>80.985239867953894</v>
      </c>
      <c r="AS31" s="44">
        <v>157679.53260307689</v>
      </c>
      <c r="AT31" s="44">
        <v>160026.83397907691</v>
      </c>
      <c r="AU31" s="44">
        <v>162243.72972307692</v>
      </c>
      <c r="AV31" s="44">
        <v>79.797334313298023</v>
      </c>
      <c r="AW31" s="44">
        <v>80.985239867953894</v>
      </c>
      <c r="AX31" s="44">
        <v>82.107150669573343</v>
      </c>
      <c r="AY31" s="44">
        <v>159661.63397907693</v>
      </c>
      <c r="AZ31" s="44">
        <v>160026.83397907691</v>
      </c>
      <c r="BA31" s="44">
        <v>161661.63397907693</v>
      </c>
      <c r="BB31" s="44">
        <v>80.800422054188729</v>
      </c>
      <c r="BC31" s="44">
        <v>80.985239867953894</v>
      </c>
      <c r="BD31" s="44">
        <v>81.812567803176577</v>
      </c>
      <c r="BE31" s="44">
        <v>154635.06265599997</v>
      </c>
      <c r="BF31" s="44">
        <v>160026.83397907691</v>
      </c>
      <c r="BG31" s="44">
        <v>161374.77680984614</v>
      </c>
      <c r="BH31" s="44">
        <v>78.256610655870432</v>
      </c>
      <c r="BI31" s="44">
        <v>80.985239867953894</v>
      </c>
      <c r="BJ31" s="44">
        <v>81.667397170974766</v>
      </c>
      <c r="BK31" s="44">
        <v>117177.61784615385</v>
      </c>
      <c r="BL31" s="44">
        <v>160026.83397907691</v>
      </c>
      <c r="BM31" s="44">
        <v>224322.59846153847</v>
      </c>
      <c r="BN31" s="44">
        <v>59.300413889753969</v>
      </c>
      <c r="BO31" s="44">
        <v>80.985239867953894</v>
      </c>
      <c r="BP31" s="44">
        <v>113.52358221737778</v>
      </c>
    </row>
    <row r="32" spans="1:68" x14ac:dyDescent="0.2">
      <c r="A32" t="s">
        <v>96</v>
      </c>
      <c r="B32" t="s">
        <v>50</v>
      </c>
      <c r="C32" s="44">
        <v>157196.94138461538</v>
      </c>
      <c r="D32" s="44">
        <v>236288.82042307692</v>
      </c>
      <c r="E32" s="44">
        <v>332331.23138461541</v>
      </c>
      <c r="F32" s="44">
        <v>79.553107988165678</v>
      </c>
      <c r="G32" s="44">
        <v>119.57936256228588</v>
      </c>
      <c r="H32" s="44">
        <v>168.18382155091874</v>
      </c>
      <c r="I32" s="44">
        <v>236080.60946153849</v>
      </c>
      <c r="J32" s="44">
        <v>236555.57696153846</v>
      </c>
      <c r="K32" s="44">
        <v>238217.96321153847</v>
      </c>
      <c r="L32" s="44">
        <v>119.47399264247899</v>
      </c>
      <c r="M32" s="44">
        <v>119.71436081049517</v>
      </c>
      <c r="N32" s="44">
        <v>120.55564939855185</v>
      </c>
      <c r="O32" s="44">
        <v>236555.57696153846</v>
      </c>
      <c r="P32" s="44">
        <v>236555.57696153846</v>
      </c>
      <c r="Q32" s="44">
        <v>236555.57696153846</v>
      </c>
      <c r="R32" s="44">
        <v>113.72864276997041</v>
      </c>
      <c r="S32" s="44">
        <v>119.71436081049517</v>
      </c>
      <c r="T32" s="44">
        <v>125.32081847930624</v>
      </c>
      <c r="U32" s="44">
        <v>227056.22696153849</v>
      </c>
      <c r="V32" s="44">
        <v>236555.57696153846</v>
      </c>
      <c r="W32" s="44">
        <v>255554.27696153848</v>
      </c>
      <c r="X32" s="44">
        <v>114.9069974501713</v>
      </c>
      <c r="Y32" s="44">
        <v>119.71436081049517</v>
      </c>
      <c r="Z32" s="44">
        <v>129.32908753114293</v>
      </c>
      <c r="AA32" s="44">
        <v>236033.11271153847</v>
      </c>
      <c r="AB32" s="44">
        <v>236555.57696153846</v>
      </c>
      <c r="AC32" s="44">
        <v>237030.54446153849</v>
      </c>
      <c r="AD32" s="44">
        <v>119.44995582567736</v>
      </c>
      <c r="AE32" s="44">
        <v>119.71436081049517</v>
      </c>
      <c r="AF32" s="44">
        <v>119.95472897851138</v>
      </c>
      <c r="AG32" s="44">
        <v>236555.57696153846</v>
      </c>
      <c r="AH32" s="44">
        <v>236555.57696153846</v>
      </c>
      <c r="AI32" s="44">
        <v>255554.27696153848</v>
      </c>
      <c r="AJ32" s="44">
        <v>119.71436081049517</v>
      </c>
      <c r="AK32" s="44">
        <v>119.71436081049517</v>
      </c>
      <c r="AL32" s="44">
        <v>129.32908753114293</v>
      </c>
      <c r="AM32" s="44">
        <v>236555.57696153846</v>
      </c>
      <c r="AN32" s="44">
        <v>236555.57696153846</v>
      </c>
      <c r="AO32" s="44">
        <v>236555.57696153846</v>
      </c>
      <c r="AP32" s="44">
        <v>119.71436081049517</v>
      </c>
      <c r="AQ32" s="44">
        <v>119.71436081049517</v>
      </c>
      <c r="AR32" s="44">
        <v>119.71436081049517</v>
      </c>
      <c r="AS32" s="44">
        <v>233135.81096153846</v>
      </c>
      <c r="AT32" s="44">
        <v>236555.57696153846</v>
      </c>
      <c r="AU32" s="44">
        <v>239785.35596153847</v>
      </c>
      <c r="AV32" s="44">
        <v>117.98371000077857</v>
      </c>
      <c r="AW32" s="44">
        <v>119.71436081049517</v>
      </c>
      <c r="AX32" s="44">
        <v>121.3488643530053</v>
      </c>
      <c r="AY32" s="44">
        <v>236190.37696153848</v>
      </c>
      <c r="AZ32" s="44">
        <v>236555.57696153846</v>
      </c>
      <c r="BA32" s="44">
        <v>238190.37696153848</v>
      </c>
      <c r="BB32" s="44">
        <v>119.52954299672999</v>
      </c>
      <c r="BC32" s="44">
        <v>119.71436081049517</v>
      </c>
      <c r="BD32" s="44">
        <v>120.54168874571786</v>
      </c>
      <c r="BE32" s="44">
        <v>228444.59350000002</v>
      </c>
      <c r="BF32" s="44">
        <v>236555.57696153846</v>
      </c>
      <c r="BG32" s="44">
        <v>238583.3228269231</v>
      </c>
      <c r="BH32" s="44">
        <v>115.60961209514171</v>
      </c>
      <c r="BI32" s="44">
        <v>119.71436081049517</v>
      </c>
      <c r="BJ32" s="44">
        <v>120.74054798933355</v>
      </c>
      <c r="BK32" s="44">
        <v>164730.14138461539</v>
      </c>
      <c r="BL32" s="44">
        <v>236555.57696153846</v>
      </c>
      <c r="BM32" s="44">
        <v>347404.81907692307</v>
      </c>
      <c r="BN32" s="44">
        <v>83.365456166303332</v>
      </c>
      <c r="BO32" s="44">
        <v>119.71436081049517</v>
      </c>
      <c r="BP32" s="44">
        <v>175.81215540330115</v>
      </c>
    </row>
    <row r="33" spans="1:68" x14ac:dyDescent="0.2">
      <c r="A33" t="s">
        <v>96</v>
      </c>
      <c r="B33" t="s">
        <v>55</v>
      </c>
      <c r="C33" s="44">
        <v>530998.29019230767</v>
      </c>
      <c r="D33" s="44">
        <v>750853.40438192314</v>
      </c>
      <c r="E33" s="44">
        <v>954322.78525000007</v>
      </c>
      <c r="F33" s="44">
        <v>268.72383106898161</v>
      </c>
      <c r="G33" s="44">
        <v>379.98654067911093</v>
      </c>
      <c r="H33" s="44">
        <v>482.95687512651824</v>
      </c>
      <c r="I33" s="44">
        <v>758363.44260399987</v>
      </c>
      <c r="J33" s="44">
        <v>759694.90400399989</v>
      </c>
      <c r="K33" s="44">
        <v>764355.01890399994</v>
      </c>
      <c r="L33" s="44">
        <v>383.78716730971655</v>
      </c>
      <c r="M33" s="44">
        <v>384.46098380769229</v>
      </c>
      <c r="N33" s="44">
        <v>386.81934155060725</v>
      </c>
      <c r="O33" s="44">
        <v>759694.90400399989</v>
      </c>
      <c r="P33" s="44">
        <v>759694.90400399989</v>
      </c>
      <c r="Q33" s="44">
        <v>759694.90400399989</v>
      </c>
      <c r="R33" s="44">
        <v>365.23793461730764</v>
      </c>
      <c r="S33" s="44">
        <v>384.46098380769229</v>
      </c>
      <c r="T33" s="44">
        <v>402.46604365543544</v>
      </c>
      <c r="U33" s="44">
        <v>759694.90400399989</v>
      </c>
      <c r="V33" s="44">
        <v>759694.90400399989</v>
      </c>
      <c r="W33" s="44">
        <v>839582.5880039999</v>
      </c>
      <c r="X33" s="44">
        <v>384.46098380769229</v>
      </c>
      <c r="Y33" s="44">
        <v>384.46098380769229</v>
      </c>
      <c r="Z33" s="44">
        <v>424.88997368623478</v>
      </c>
      <c r="AA33" s="44">
        <v>758230.2964639999</v>
      </c>
      <c r="AB33" s="44">
        <v>759694.90400399989</v>
      </c>
      <c r="AC33" s="44">
        <v>761026.36540399992</v>
      </c>
      <c r="AD33" s="44">
        <v>383.71978565991895</v>
      </c>
      <c r="AE33" s="44">
        <v>384.46098380769229</v>
      </c>
      <c r="AF33" s="44">
        <v>385.13480030566797</v>
      </c>
      <c r="AG33" s="44">
        <v>733065.67600399989</v>
      </c>
      <c r="AH33" s="44">
        <v>759694.90400399989</v>
      </c>
      <c r="AI33" s="44">
        <v>786324.1320039999</v>
      </c>
      <c r="AJ33" s="44">
        <v>370.98465384817808</v>
      </c>
      <c r="AK33" s="44">
        <v>384.46098380769229</v>
      </c>
      <c r="AL33" s="44">
        <v>397.93731376720643</v>
      </c>
      <c r="AM33" s="44">
        <v>691843.63105999993</v>
      </c>
      <c r="AN33" s="44">
        <v>759694.90400399989</v>
      </c>
      <c r="AO33" s="44">
        <v>798360.54305999994</v>
      </c>
      <c r="AP33" s="44">
        <v>350.12329507085013</v>
      </c>
      <c r="AQ33" s="44">
        <v>384.46098380769229</v>
      </c>
      <c r="AR33" s="44">
        <v>404.02861490890683</v>
      </c>
      <c r="AS33" s="44">
        <v>750108.38192399987</v>
      </c>
      <c r="AT33" s="44">
        <v>759694.90400399989</v>
      </c>
      <c r="AU33" s="44">
        <v>768748.84152399981</v>
      </c>
      <c r="AV33" s="44">
        <v>379.60950502226711</v>
      </c>
      <c r="AW33" s="44">
        <v>384.46098380769229</v>
      </c>
      <c r="AX33" s="44">
        <v>389.04293599392702</v>
      </c>
      <c r="AY33" s="44">
        <v>730785.90400399989</v>
      </c>
      <c r="AZ33" s="44">
        <v>759694.90400399989</v>
      </c>
      <c r="BA33" s="44">
        <v>759694.90400399989</v>
      </c>
      <c r="BB33" s="44">
        <v>369.83092307894731</v>
      </c>
      <c r="BC33" s="44">
        <v>384.46098380769229</v>
      </c>
      <c r="BD33" s="44">
        <v>384.46098380769229</v>
      </c>
      <c r="BE33" s="44">
        <v>734796.57582399994</v>
      </c>
      <c r="BF33" s="44">
        <v>759694.90400399989</v>
      </c>
      <c r="BG33" s="44">
        <v>763090.13057399995</v>
      </c>
      <c r="BH33" s="44">
        <v>371.86061529554649</v>
      </c>
      <c r="BI33" s="44">
        <v>384.46098380769229</v>
      </c>
      <c r="BJ33" s="44">
        <v>386.17921587753034</v>
      </c>
      <c r="BK33" s="44">
        <v>520352.75540000002</v>
      </c>
      <c r="BL33" s="44">
        <v>759694.90400399989</v>
      </c>
      <c r="BM33" s="44">
        <v>1089622.1144999999</v>
      </c>
      <c r="BN33" s="44">
        <v>263.33641467611341</v>
      </c>
      <c r="BO33" s="44">
        <v>384.46098380769229</v>
      </c>
      <c r="BP33" s="44">
        <v>551.42819559716588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F19D-0FF6-084C-85D6-2196A3B5271A}">
  <dimension ref="A1:I332"/>
  <sheetViews>
    <sheetView workbookViewId="0">
      <selection activeCell="A3" sqref="A3:I332"/>
    </sheetView>
  </sheetViews>
  <sheetFormatPr baseColWidth="10" defaultColWidth="11" defaultRowHeight="16" x14ac:dyDescent="0.2"/>
  <cols>
    <col min="4" max="6" width="10.83203125" customWidth="1"/>
  </cols>
  <sheetData>
    <row r="1" spans="1:9" x14ac:dyDescent="0.2">
      <c r="A1" t="s">
        <v>6</v>
      </c>
      <c r="B1" t="s">
        <v>5</v>
      </c>
      <c r="C1" t="s">
        <v>197</v>
      </c>
      <c r="D1" s="44" t="s">
        <v>11</v>
      </c>
      <c r="E1" s="44"/>
      <c r="F1" s="44"/>
      <c r="G1" s="44" t="s">
        <v>12</v>
      </c>
      <c r="H1" s="44"/>
      <c r="I1" s="44"/>
    </row>
    <row r="2" spans="1:9" x14ac:dyDescent="0.2">
      <c r="D2" s="44" t="s">
        <v>29</v>
      </c>
      <c r="E2" s="44" t="s">
        <v>56</v>
      </c>
      <c r="F2" s="44" t="s">
        <v>31</v>
      </c>
      <c r="G2" s="44" t="s">
        <v>29</v>
      </c>
      <c r="H2" s="44" t="s">
        <v>56</v>
      </c>
      <c r="I2" s="44" t="s">
        <v>31</v>
      </c>
    </row>
    <row r="3" spans="1:9" x14ac:dyDescent="0.2">
      <c r="A3" t="s">
        <v>33</v>
      </c>
      <c r="B3" t="s">
        <v>32</v>
      </c>
      <c r="C3" s="44" t="s">
        <v>185</v>
      </c>
      <c r="D3" s="65">
        <v>203549.5686153846</v>
      </c>
      <c r="E3" s="65">
        <v>242777.29053846153</v>
      </c>
      <c r="F3" s="65">
        <v>282005.01246153843</v>
      </c>
      <c r="G3" s="65">
        <v>103.01091529118654</v>
      </c>
      <c r="H3" s="65">
        <v>122.86300128464651</v>
      </c>
      <c r="I3" s="65">
        <v>142.71508727810649</v>
      </c>
    </row>
    <row r="4" spans="1:9" x14ac:dyDescent="0.2">
      <c r="A4" t="s">
        <v>40</v>
      </c>
      <c r="B4" t="s">
        <v>32</v>
      </c>
      <c r="C4" s="44" t="s">
        <v>185</v>
      </c>
      <c r="D4" s="65">
        <v>157843.93900000001</v>
      </c>
      <c r="E4" s="65">
        <v>262742.43440000003</v>
      </c>
      <c r="F4" s="65">
        <v>367640.92980000004</v>
      </c>
      <c r="G4" s="65">
        <v>79.880535931174094</v>
      </c>
      <c r="H4" s="65">
        <v>132.9668190283401</v>
      </c>
      <c r="I4" s="65">
        <v>186.05310212550611</v>
      </c>
    </row>
    <row r="5" spans="1:9" x14ac:dyDescent="0.2">
      <c r="A5" t="s">
        <v>47</v>
      </c>
      <c r="B5" t="s">
        <v>32</v>
      </c>
      <c r="C5" s="44" t="s">
        <v>185</v>
      </c>
      <c r="D5" s="65">
        <v>162844.25638461538</v>
      </c>
      <c r="E5" s="65">
        <v>198325.59665384615</v>
      </c>
      <c r="F5" s="65">
        <v>233806.93692307692</v>
      </c>
      <c r="G5" s="65">
        <v>82.411060923388348</v>
      </c>
      <c r="H5" s="65">
        <v>100.3672047843351</v>
      </c>
      <c r="I5" s="65">
        <v>118.32334864528184</v>
      </c>
    </row>
    <row r="6" spans="1:9" x14ac:dyDescent="0.2">
      <c r="A6" t="s">
        <v>50</v>
      </c>
      <c r="B6" t="s">
        <v>32</v>
      </c>
      <c r="C6" s="44" t="s">
        <v>185</v>
      </c>
      <c r="D6" s="65">
        <v>203549.5686153846</v>
      </c>
      <c r="E6" s="65">
        <v>260395.89330769231</v>
      </c>
      <c r="F6" s="65">
        <v>317242.21799999999</v>
      </c>
      <c r="G6" s="65">
        <v>103.01091529118654</v>
      </c>
      <c r="H6" s="65">
        <v>131.77929823263781</v>
      </c>
      <c r="I6" s="65">
        <v>160.54768117408906</v>
      </c>
    </row>
    <row r="7" spans="1:9" x14ac:dyDescent="0.2">
      <c r="A7" t="s">
        <v>55</v>
      </c>
      <c r="B7" t="s">
        <v>32</v>
      </c>
      <c r="C7" s="44" t="s">
        <v>185</v>
      </c>
      <c r="D7" s="65">
        <v>666741.42999999993</v>
      </c>
      <c r="E7" s="65">
        <v>786323.73390000011</v>
      </c>
      <c r="F7" s="65">
        <v>905906.03779999993</v>
      </c>
      <c r="G7" s="65">
        <v>337.41975202429148</v>
      </c>
      <c r="H7" s="65">
        <v>397.93711229757093</v>
      </c>
      <c r="I7" s="65">
        <v>458.45447257085021</v>
      </c>
    </row>
    <row r="8" spans="1:9" x14ac:dyDescent="0.2">
      <c r="A8" t="s">
        <v>33</v>
      </c>
      <c r="B8" t="s">
        <v>62</v>
      </c>
      <c r="C8" s="44" t="s">
        <v>185</v>
      </c>
      <c r="D8" s="65">
        <v>128729.77015384616</v>
      </c>
      <c r="E8" s="65">
        <v>183923.68915384618</v>
      </c>
      <c r="F8" s="65">
        <v>239117.60815384614</v>
      </c>
      <c r="G8" s="65">
        <v>65.146644814699471</v>
      </c>
      <c r="H8" s="65">
        <v>93.078790057614455</v>
      </c>
      <c r="I8" s="65">
        <v>121.01093530052941</v>
      </c>
    </row>
    <row r="9" spans="1:9" x14ac:dyDescent="0.2">
      <c r="A9" t="s">
        <v>40</v>
      </c>
      <c r="B9" t="s">
        <v>62</v>
      </c>
      <c r="C9" s="44" t="s">
        <v>185</v>
      </c>
      <c r="D9" s="65">
        <v>158473.59523076925</v>
      </c>
      <c r="E9" s="65">
        <v>248832.14261538463</v>
      </c>
      <c r="F9" s="65">
        <v>339190.69000000006</v>
      </c>
      <c r="G9" s="65">
        <v>80.199187869822495</v>
      </c>
      <c r="H9" s="65">
        <v>125.92719767985052</v>
      </c>
      <c r="I9" s="65">
        <v>171.65520748987856</v>
      </c>
    </row>
    <row r="10" spans="1:9" x14ac:dyDescent="0.2">
      <c r="A10" t="s">
        <v>47</v>
      </c>
      <c r="B10" t="s">
        <v>62</v>
      </c>
      <c r="C10" s="44" t="s">
        <v>185</v>
      </c>
      <c r="D10" s="65">
        <v>134772.70984615386</v>
      </c>
      <c r="E10" s="65">
        <v>150064.75707692307</v>
      </c>
      <c r="F10" s="65">
        <v>165356.80430769228</v>
      </c>
      <c r="G10" s="65">
        <v>68.20481267517907</v>
      </c>
      <c r="H10" s="65">
        <v>75.94370297415135</v>
      </c>
      <c r="I10" s="65">
        <v>83.682593273123629</v>
      </c>
    </row>
    <row r="11" spans="1:9" x14ac:dyDescent="0.2">
      <c r="A11" t="s">
        <v>50</v>
      </c>
      <c r="B11" t="s">
        <v>62</v>
      </c>
      <c r="C11" s="44" t="s">
        <v>185</v>
      </c>
      <c r="D11" s="65">
        <v>157196.94138461538</v>
      </c>
      <c r="E11" s="65">
        <v>216872.15480769228</v>
      </c>
      <c r="F11" s="65">
        <v>276547.36823076918</v>
      </c>
      <c r="G11" s="65">
        <v>79.553107988165678</v>
      </c>
      <c r="H11" s="65">
        <v>109.75311478122079</v>
      </c>
      <c r="I11" s="65">
        <v>139.95312157427591</v>
      </c>
    </row>
    <row r="12" spans="1:9" x14ac:dyDescent="0.2">
      <c r="A12" t="s">
        <v>55</v>
      </c>
      <c r="B12" t="s">
        <v>62</v>
      </c>
      <c r="C12" s="44" t="s">
        <v>185</v>
      </c>
      <c r="D12" s="65">
        <v>730532.07603846164</v>
      </c>
      <c r="E12" s="65">
        <v>842427.43064423092</v>
      </c>
      <c r="F12" s="65">
        <v>954322.78525000007</v>
      </c>
      <c r="G12" s="65">
        <v>369.70246763080041</v>
      </c>
      <c r="H12" s="65">
        <v>426.32967137865938</v>
      </c>
      <c r="I12" s="65">
        <v>482.95687512651824</v>
      </c>
    </row>
    <row r="13" spans="1:9" x14ac:dyDescent="0.2">
      <c r="A13" t="s">
        <v>33</v>
      </c>
      <c r="B13" t="s">
        <v>74</v>
      </c>
      <c r="C13" s="44" t="s">
        <v>185</v>
      </c>
      <c r="D13" s="65">
        <v>142117.72308</v>
      </c>
      <c r="E13" s="65">
        <v>183839.76995999998</v>
      </c>
      <c r="F13" s="65">
        <v>225561.81683999998</v>
      </c>
      <c r="G13" s="65">
        <v>71.921924635627533</v>
      </c>
      <c r="H13" s="65">
        <v>93.036320829959507</v>
      </c>
      <c r="I13" s="65">
        <v>114.1507170242915</v>
      </c>
    </row>
    <row r="14" spans="1:9" x14ac:dyDescent="0.2">
      <c r="A14" t="s">
        <v>40</v>
      </c>
      <c r="B14" t="s">
        <v>74</v>
      </c>
      <c r="C14" s="44" t="s">
        <v>185</v>
      </c>
      <c r="D14" s="65">
        <v>171850.50164</v>
      </c>
      <c r="E14" s="65">
        <v>263051.15888</v>
      </c>
      <c r="F14" s="65">
        <v>354251.81612000003</v>
      </c>
      <c r="G14" s="65">
        <v>86.96887734817814</v>
      </c>
      <c r="H14" s="65">
        <v>133.12305611336032</v>
      </c>
      <c r="I14" s="65">
        <v>179.27723487854254</v>
      </c>
    </row>
    <row r="15" spans="1:9" x14ac:dyDescent="0.2">
      <c r="A15" t="s">
        <v>47</v>
      </c>
      <c r="B15" t="s">
        <v>74</v>
      </c>
      <c r="C15" s="44" t="s">
        <v>185</v>
      </c>
      <c r="D15" s="65">
        <v>114089.18591999999</v>
      </c>
      <c r="E15" s="65">
        <v>137204.75628</v>
      </c>
      <c r="F15" s="65">
        <v>160320.32663999998</v>
      </c>
      <c r="G15" s="65">
        <v>57.737442267206475</v>
      </c>
      <c r="H15" s="65">
        <v>69.435605404858308</v>
      </c>
      <c r="I15" s="65">
        <v>81.133768542510111</v>
      </c>
    </row>
    <row r="16" spans="1:9" x14ac:dyDescent="0.2">
      <c r="A16" t="s">
        <v>50</v>
      </c>
      <c r="B16" t="s">
        <v>74</v>
      </c>
      <c r="C16" s="44" t="s">
        <v>185</v>
      </c>
      <c r="D16" s="65">
        <v>168992.36138461542</v>
      </c>
      <c r="E16" s="65">
        <v>231185.3645</v>
      </c>
      <c r="F16" s="65">
        <v>293378.36761538463</v>
      </c>
      <c r="G16" s="65">
        <v>85.522450093428859</v>
      </c>
      <c r="H16" s="65">
        <v>116.99664195344128</v>
      </c>
      <c r="I16" s="65">
        <v>148.47083381345377</v>
      </c>
    </row>
    <row r="17" spans="1:9" x14ac:dyDescent="0.2">
      <c r="A17" t="s">
        <v>55</v>
      </c>
      <c r="B17" t="s">
        <v>74</v>
      </c>
      <c r="C17" s="44" t="s">
        <v>185</v>
      </c>
      <c r="D17" s="65">
        <v>530998.29019230767</v>
      </c>
      <c r="E17" s="65">
        <v>617527.22875000001</v>
      </c>
      <c r="F17" s="65">
        <v>704056.16730769235</v>
      </c>
      <c r="G17" s="65">
        <v>268.72383106898161</v>
      </c>
      <c r="H17" s="65">
        <v>312.51377973178137</v>
      </c>
      <c r="I17" s="65">
        <v>356.30372839458113</v>
      </c>
    </row>
    <row r="18" spans="1:9" x14ac:dyDescent="0.2">
      <c r="A18" t="s">
        <v>33</v>
      </c>
      <c r="B18" t="s">
        <v>82</v>
      </c>
      <c r="C18" s="44" t="s">
        <v>185</v>
      </c>
      <c r="D18" s="65">
        <v>116793.40123076923</v>
      </c>
      <c r="E18" s="65">
        <v>168044.7283076923</v>
      </c>
      <c r="F18" s="65">
        <v>219296.05538461538</v>
      </c>
      <c r="G18" s="65">
        <v>59.105972282777955</v>
      </c>
      <c r="H18" s="65">
        <v>85.042878698224854</v>
      </c>
      <c r="I18" s="65">
        <v>110.97978511367175</v>
      </c>
    </row>
    <row r="19" spans="1:9" x14ac:dyDescent="0.2">
      <c r="A19" t="s">
        <v>40</v>
      </c>
      <c r="B19" t="s">
        <v>82</v>
      </c>
      <c r="C19" s="44" t="s">
        <v>185</v>
      </c>
      <c r="D19" s="65">
        <v>165286.09792307694</v>
      </c>
      <c r="E19" s="65">
        <v>248808.66465384612</v>
      </c>
      <c r="F19" s="65">
        <v>332331.23138461541</v>
      </c>
      <c r="G19" s="65">
        <v>83.646810689816263</v>
      </c>
      <c r="H19" s="65">
        <v>125.91531612036746</v>
      </c>
      <c r="I19" s="65">
        <v>168.18382155091874</v>
      </c>
    </row>
    <row r="20" spans="1:9" x14ac:dyDescent="0.2">
      <c r="A20" t="s">
        <v>47</v>
      </c>
      <c r="B20" t="s">
        <v>82</v>
      </c>
      <c r="C20" s="44" t="s">
        <v>185</v>
      </c>
      <c r="D20" s="65">
        <v>114785.40246153847</v>
      </c>
      <c r="E20" s="65">
        <v>152905.41211538459</v>
      </c>
      <c r="F20" s="65">
        <v>191025.42176923077</v>
      </c>
      <c r="G20" s="65">
        <v>58.089778573653071</v>
      </c>
      <c r="H20" s="65">
        <v>77.38128143491123</v>
      </c>
      <c r="I20" s="65">
        <v>96.672784296169425</v>
      </c>
    </row>
    <row r="21" spans="1:9" x14ac:dyDescent="0.2">
      <c r="A21" t="s">
        <v>50</v>
      </c>
      <c r="B21" t="s">
        <v>82</v>
      </c>
      <c r="C21" s="44" t="s">
        <v>185</v>
      </c>
      <c r="D21" s="65">
        <v>165286.09792307694</v>
      </c>
      <c r="E21" s="65">
        <v>248808.66465384612</v>
      </c>
      <c r="F21" s="65">
        <v>332331.23138461541</v>
      </c>
      <c r="G21" s="65">
        <v>83.646810689816263</v>
      </c>
      <c r="H21" s="65">
        <v>125.91531612036746</v>
      </c>
      <c r="I21" s="65">
        <v>168.18382155091874</v>
      </c>
    </row>
    <row r="22" spans="1:9" x14ac:dyDescent="0.2">
      <c r="A22" t="s">
        <v>55</v>
      </c>
      <c r="B22" t="s">
        <v>82</v>
      </c>
      <c r="C22" s="44" t="s">
        <v>185</v>
      </c>
      <c r="D22" s="65">
        <v>564701.8383076922</v>
      </c>
      <c r="E22" s="65">
        <v>668927.89876923081</v>
      </c>
      <c r="F22" s="65">
        <v>773153.95923076919</v>
      </c>
      <c r="G22" s="65">
        <v>285.78028254437862</v>
      </c>
      <c r="H22" s="65">
        <v>338.52626455932733</v>
      </c>
      <c r="I22" s="65">
        <v>391.27224657427587</v>
      </c>
    </row>
    <row r="23" spans="1:9" x14ac:dyDescent="0.2">
      <c r="A23" t="s">
        <v>33</v>
      </c>
      <c r="B23" t="s">
        <v>88</v>
      </c>
      <c r="C23" s="44" t="s">
        <v>185</v>
      </c>
      <c r="D23" s="65">
        <v>148744.27361538459</v>
      </c>
      <c r="E23" s="65">
        <v>184365.50338461538</v>
      </c>
      <c r="F23" s="65">
        <v>219986.73315384611</v>
      </c>
      <c r="G23" s="65">
        <v>75.275442113048882</v>
      </c>
      <c r="H23" s="65">
        <v>93.302380255372157</v>
      </c>
      <c r="I23" s="65">
        <v>111.3293183976954</v>
      </c>
    </row>
    <row r="24" spans="1:9" x14ac:dyDescent="0.2">
      <c r="A24" t="s">
        <v>40</v>
      </c>
      <c r="B24" t="s">
        <v>88</v>
      </c>
      <c r="C24" s="44" t="s">
        <v>185</v>
      </c>
      <c r="D24" s="65">
        <v>201066.5876153846</v>
      </c>
      <c r="E24" s="65">
        <v>281686.45407692308</v>
      </c>
      <c r="F24" s="65">
        <v>362306.3205384615</v>
      </c>
      <c r="G24" s="65">
        <v>101.75434595920274</v>
      </c>
      <c r="H24" s="65">
        <v>142.55387352071006</v>
      </c>
      <c r="I24" s="65">
        <v>183.35340108221735</v>
      </c>
    </row>
    <row r="25" spans="1:9" x14ac:dyDescent="0.2">
      <c r="A25" t="s">
        <v>47</v>
      </c>
      <c r="B25" t="s">
        <v>88</v>
      </c>
      <c r="C25" s="44" t="s">
        <v>185</v>
      </c>
      <c r="D25" s="65">
        <v>148744.27361538459</v>
      </c>
      <c r="E25" s="65">
        <v>163559.54323076922</v>
      </c>
      <c r="F25" s="65">
        <v>178374.81284615383</v>
      </c>
      <c r="G25" s="65">
        <v>75.275442113048882</v>
      </c>
      <c r="H25" s="65">
        <v>82.773048193709116</v>
      </c>
      <c r="I25" s="65">
        <v>90.270654274369349</v>
      </c>
    </row>
    <row r="26" spans="1:9" x14ac:dyDescent="0.2">
      <c r="A26" t="s">
        <v>50</v>
      </c>
      <c r="B26" t="s">
        <v>88</v>
      </c>
      <c r="C26" s="44" t="s">
        <v>185</v>
      </c>
      <c r="D26" s="65">
        <v>206401.11800000002</v>
      </c>
      <c r="E26" s="65">
        <v>224182.02484615386</v>
      </c>
      <c r="F26" s="65">
        <v>241962.9316923077</v>
      </c>
      <c r="G26" s="65">
        <v>104.45400708502025</v>
      </c>
      <c r="H26" s="65">
        <v>113.45244172376208</v>
      </c>
      <c r="I26" s="65">
        <v>122.45087636250389</v>
      </c>
    </row>
    <row r="27" spans="1:9" x14ac:dyDescent="0.2">
      <c r="A27" t="s">
        <v>55</v>
      </c>
      <c r="B27" t="s">
        <v>88</v>
      </c>
      <c r="C27" s="44" t="s">
        <v>185</v>
      </c>
      <c r="D27" s="65">
        <v>733974.67161538464</v>
      </c>
      <c r="E27" s="65">
        <v>839060.72984615387</v>
      </c>
      <c r="F27" s="65">
        <v>944146.788076923</v>
      </c>
      <c r="G27" s="65">
        <v>371.44467187013396</v>
      </c>
      <c r="H27" s="65">
        <v>424.62587542821552</v>
      </c>
      <c r="I27" s="65">
        <v>477.80707898629703</v>
      </c>
    </row>
    <row r="28" spans="1:9" x14ac:dyDescent="0.2">
      <c r="A28" t="s">
        <v>33</v>
      </c>
      <c r="B28" t="s">
        <v>96</v>
      </c>
      <c r="C28" s="44" t="s">
        <v>185</v>
      </c>
      <c r="D28" s="44">
        <v>116793.40123076923</v>
      </c>
      <c r="E28" s="44">
        <v>192590.19626892309</v>
      </c>
      <c r="F28" s="44">
        <v>282005.01246153843</v>
      </c>
      <c r="G28" s="44">
        <v>59.105972282777955</v>
      </c>
      <c r="H28" s="44">
        <v>97.464674225163506</v>
      </c>
      <c r="I28" s="44">
        <v>142.71508727810649</v>
      </c>
    </row>
    <row r="29" spans="1:9" x14ac:dyDescent="0.2">
      <c r="A29" t="s">
        <v>40</v>
      </c>
      <c r="B29" t="s">
        <v>96</v>
      </c>
      <c r="C29" s="44" t="s">
        <v>185</v>
      </c>
      <c r="D29" s="44">
        <v>157843.93900000001</v>
      </c>
      <c r="E29" s="44">
        <v>261024.17092523081</v>
      </c>
      <c r="F29" s="44">
        <v>367640.92980000004</v>
      </c>
      <c r="G29" s="44">
        <v>79.880535931174094</v>
      </c>
      <c r="H29" s="44">
        <v>132.09725249252568</v>
      </c>
      <c r="I29" s="44">
        <v>186.05310212550611</v>
      </c>
    </row>
    <row r="30" spans="1:9" x14ac:dyDescent="0.2">
      <c r="A30" t="s">
        <v>47</v>
      </c>
      <c r="B30" t="s">
        <v>96</v>
      </c>
      <c r="C30" s="44" t="s">
        <v>185</v>
      </c>
      <c r="D30" s="44">
        <v>114089.18591999999</v>
      </c>
      <c r="E30" s="44">
        <v>160412.0130713846</v>
      </c>
      <c r="F30" s="44">
        <v>233806.93692307692</v>
      </c>
      <c r="G30" s="44">
        <v>57.737442267206475</v>
      </c>
      <c r="H30" s="44">
        <v>81.180168558393035</v>
      </c>
      <c r="I30" s="44">
        <v>118.32334864528184</v>
      </c>
    </row>
    <row r="31" spans="1:9" x14ac:dyDescent="0.2">
      <c r="A31" t="s">
        <v>50</v>
      </c>
      <c r="B31" t="s">
        <v>96</v>
      </c>
      <c r="C31" s="44" t="s">
        <v>185</v>
      </c>
      <c r="D31" s="44">
        <v>157196.94138461538</v>
      </c>
      <c r="E31" s="44">
        <v>236288.82042307692</v>
      </c>
      <c r="F31" s="44">
        <v>332331.23138461541</v>
      </c>
      <c r="G31" s="44">
        <v>79.553107988165678</v>
      </c>
      <c r="H31" s="44">
        <v>119.57936256228588</v>
      </c>
      <c r="I31" s="44">
        <v>168.18382155091874</v>
      </c>
    </row>
    <row r="32" spans="1:9" x14ac:dyDescent="0.2">
      <c r="A32" t="s">
        <v>55</v>
      </c>
      <c r="B32" t="s">
        <v>96</v>
      </c>
      <c r="C32" s="44" t="s">
        <v>185</v>
      </c>
      <c r="D32" s="44">
        <v>530998.29019230767</v>
      </c>
      <c r="E32" s="44">
        <v>750853.40438192314</v>
      </c>
      <c r="F32" s="44">
        <v>954322.78525000007</v>
      </c>
      <c r="G32" s="44">
        <v>268.72383106898161</v>
      </c>
      <c r="H32" s="44">
        <v>379.98654067911093</v>
      </c>
      <c r="I32" s="44">
        <v>482.95687512651824</v>
      </c>
    </row>
    <row r="33" spans="1:9" x14ac:dyDescent="0.2">
      <c r="A33" t="s">
        <v>33</v>
      </c>
      <c r="B33" t="s">
        <v>32</v>
      </c>
      <c r="C33" s="44" t="s">
        <v>186</v>
      </c>
      <c r="D33" s="78">
        <v>242302.4455384615</v>
      </c>
      <c r="E33" s="78">
        <v>242777.29053846153</v>
      </c>
      <c r="F33" s="78">
        <v>244439.24803846152</v>
      </c>
      <c r="G33" s="78">
        <v>122.62269511055743</v>
      </c>
      <c r="H33" s="78">
        <v>122.86300128464651</v>
      </c>
      <c r="I33" s="78">
        <v>123.70407289395826</v>
      </c>
    </row>
    <row r="34" spans="1:9" x14ac:dyDescent="0.2">
      <c r="A34" t="s">
        <v>40</v>
      </c>
      <c r="B34" t="s">
        <v>32</v>
      </c>
      <c r="C34" s="44" t="s">
        <v>186</v>
      </c>
      <c r="D34" s="78">
        <v>262233.04240000003</v>
      </c>
      <c r="E34" s="78">
        <v>262742.43440000003</v>
      </c>
      <c r="F34" s="78">
        <v>264525.30640000006</v>
      </c>
      <c r="G34" s="78">
        <v>132.7090295546559</v>
      </c>
      <c r="H34" s="78">
        <v>132.9668190283401</v>
      </c>
      <c r="I34" s="78">
        <v>133.86908218623486</v>
      </c>
    </row>
    <row r="35" spans="1:9" x14ac:dyDescent="0.2">
      <c r="A35" t="s">
        <v>47</v>
      </c>
      <c r="B35" t="s">
        <v>32</v>
      </c>
      <c r="C35" s="44" t="s">
        <v>186</v>
      </c>
      <c r="D35" s="78">
        <v>197937.69415384615</v>
      </c>
      <c r="E35" s="78">
        <v>198325.59665384615</v>
      </c>
      <c r="F35" s="78">
        <v>199683.25540384615</v>
      </c>
      <c r="G35" s="78">
        <v>100.17089785113671</v>
      </c>
      <c r="H35" s="78">
        <v>100.3672047843351</v>
      </c>
      <c r="I35" s="78">
        <v>101.05427905052943</v>
      </c>
    </row>
    <row r="36" spans="1:9" x14ac:dyDescent="0.2">
      <c r="A36" t="s">
        <v>50</v>
      </c>
      <c r="B36" t="s">
        <v>32</v>
      </c>
      <c r="C36" s="44" t="s">
        <v>186</v>
      </c>
      <c r="D36" s="78">
        <v>259886.58830769232</v>
      </c>
      <c r="E36" s="78">
        <v>260395.89330769231</v>
      </c>
      <c r="F36" s="78">
        <v>262178.46080769226</v>
      </c>
      <c r="G36" s="78">
        <v>131.5215527872937</v>
      </c>
      <c r="H36" s="78">
        <v>131.77929823263781</v>
      </c>
      <c r="I36" s="78">
        <v>132.68140729134223</v>
      </c>
    </row>
    <row r="37" spans="1:9" x14ac:dyDescent="0.2">
      <c r="A37" t="s">
        <v>55</v>
      </c>
      <c r="B37" t="s">
        <v>32</v>
      </c>
      <c r="C37" s="44" t="s">
        <v>186</v>
      </c>
      <c r="D37" s="78">
        <v>784842.49439999997</v>
      </c>
      <c r="E37" s="78">
        <v>786323.73390000011</v>
      </c>
      <c r="F37" s="78">
        <v>791508.07215000002</v>
      </c>
      <c r="G37" s="78">
        <v>397.18749716599189</v>
      </c>
      <c r="H37" s="78">
        <v>397.93711229757093</v>
      </c>
      <c r="I37" s="78">
        <v>400.56076525809715</v>
      </c>
    </row>
    <row r="38" spans="1:9" x14ac:dyDescent="0.2">
      <c r="A38" t="s">
        <v>33</v>
      </c>
      <c r="B38" t="s">
        <v>62</v>
      </c>
      <c r="C38" s="44" t="s">
        <v>186</v>
      </c>
      <c r="D38" s="78">
        <v>183535.32415384613</v>
      </c>
      <c r="E38" s="78">
        <v>183923.68915384618</v>
      </c>
      <c r="F38" s="78">
        <v>185282.96665384615</v>
      </c>
      <c r="G38" s="78">
        <v>92.882249065711605</v>
      </c>
      <c r="H38" s="78">
        <v>93.078790057614455</v>
      </c>
      <c r="I38" s="78">
        <v>93.76668352927436</v>
      </c>
    </row>
    <row r="39" spans="1:9" x14ac:dyDescent="0.2">
      <c r="A39" t="s">
        <v>40</v>
      </c>
      <c r="B39" t="s">
        <v>62</v>
      </c>
      <c r="C39" s="44" t="s">
        <v>186</v>
      </c>
      <c r="D39" s="78">
        <v>248310.95261538462</v>
      </c>
      <c r="E39" s="78">
        <v>248832.14261538463</v>
      </c>
      <c r="F39" s="78">
        <v>250656.30761538463</v>
      </c>
      <c r="G39" s="78">
        <v>125.66343755839303</v>
      </c>
      <c r="H39" s="78">
        <v>125.92719767985052</v>
      </c>
      <c r="I39" s="78">
        <v>126.85035810495174</v>
      </c>
    </row>
    <row r="40" spans="1:9" x14ac:dyDescent="0.2">
      <c r="A40" t="s">
        <v>47</v>
      </c>
      <c r="B40" t="s">
        <v>62</v>
      </c>
      <c r="C40" s="44" t="s">
        <v>186</v>
      </c>
      <c r="D40" s="78">
        <v>149747.88707692307</v>
      </c>
      <c r="E40" s="78">
        <v>150064.75707692307</v>
      </c>
      <c r="F40" s="78">
        <v>151173.80207692308</v>
      </c>
      <c r="G40" s="78">
        <v>75.783343662410459</v>
      </c>
      <c r="H40" s="78">
        <v>75.94370297415135</v>
      </c>
      <c r="I40" s="78">
        <v>76.504960565244474</v>
      </c>
    </row>
    <row r="41" spans="1:9" x14ac:dyDescent="0.2">
      <c r="A41" t="s">
        <v>50</v>
      </c>
      <c r="B41" t="s">
        <v>62</v>
      </c>
      <c r="C41" s="44" t="s">
        <v>186</v>
      </c>
      <c r="D41" s="78">
        <v>216414.21730769228</v>
      </c>
      <c r="E41" s="78">
        <v>216872.15480769228</v>
      </c>
      <c r="F41" s="78">
        <v>218474.93605769228</v>
      </c>
      <c r="G41" s="78">
        <v>109.52136503425723</v>
      </c>
      <c r="H41" s="78">
        <v>109.75311478122079</v>
      </c>
      <c r="I41" s="78">
        <v>110.56423889559325</v>
      </c>
    </row>
    <row r="42" spans="1:9" x14ac:dyDescent="0.2">
      <c r="A42" t="s">
        <v>55</v>
      </c>
      <c r="B42" t="s">
        <v>62</v>
      </c>
      <c r="C42" s="44" t="s">
        <v>186</v>
      </c>
      <c r="D42" s="78">
        <v>841143.32814423088</v>
      </c>
      <c r="E42" s="78">
        <v>842427.43064423092</v>
      </c>
      <c r="F42" s="78">
        <v>846921.78939423081</v>
      </c>
      <c r="G42" s="78">
        <v>425.67982193533953</v>
      </c>
      <c r="H42" s="78">
        <v>426.32967137865938</v>
      </c>
      <c r="I42" s="78">
        <v>428.60414443027872</v>
      </c>
    </row>
    <row r="43" spans="1:9" x14ac:dyDescent="0.2">
      <c r="A43" t="s">
        <v>33</v>
      </c>
      <c r="B43" t="s">
        <v>74</v>
      </c>
      <c r="C43" s="44" t="s">
        <v>186</v>
      </c>
      <c r="D43" s="78">
        <v>183451.58215999999</v>
      </c>
      <c r="E43" s="78">
        <v>183839.76995999998</v>
      </c>
      <c r="F43" s="78">
        <v>185198.42725999997</v>
      </c>
      <c r="G43" s="78">
        <v>92.839869514170047</v>
      </c>
      <c r="H43" s="78">
        <v>93.036320829959507</v>
      </c>
      <c r="I43" s="78">
        <v>93.72390043522266</v>
      </c>
    </row>
    <row r="44" spans="1:9" x14ac:dyDescent="0.2">
      <c r="A44" t="s">
        <v>40</v>
      </c>
      <c r="B44" t="s">
        <v>74</v>
      </c>
      <c r="C44" s="44" t="s">
        <v>186</v>
      </c>
      <c r="D44" s="78">
        <v>262536.66047999996</v>
      </c>
      <c r="E44" s="78">
        <v>263051.15888</v>
      </c>
      <c r="F44" s="78">
        <v>264851.90327999997</v>
      </c>
      <c r="G44" s="78">
        <v>132.8626824291498</v>
      </c>
      <c r="H44" s="78">
        <v>133.12305611336032</v>
      </c>
      <c r="I44" s="78">
        <v>134.03436400809716</v>
      </c>
    </row>
    <row r="45" spans="1:9" x14ac:dyDescent="0.2">
      <c r="A45" t="s">
        <v>47</v>
      </c>
      <c r="B45" t="s">
        <v>74</v>
      </c>
      <c r="C45" s="44" t="s">
        <v>186</v>
      </c>
      <c r="D45" s="78">
        <v>136915.04087999999</v>
      </c>
      <c r="E45" s="78">
        <v>137204.75628</v>
      </c>
      <c r="F45" s="78">
        <v>138218.76017999998</v>
      </c>
      <c r="G45" s="78">
        <v>69.288988299595133</v>
      </c>
      <c r="H45" s="78">
        <v>69.435605404858308</v>
      </c>
      <c r="I45" s="78">
        <v>69.948765273279335</v>
      </c>
    </row>
    <row r="46" spans="1:9" x14ac:dyDescent="0.2">
      <c r="A46" t="s">
        <v>50</v>
      </c>
      <c r="B46" t="s">
        <v>74</v>
      </c>
      <c r="C46" s="44" t="s">
        <v>186</v>
      </c>
      <c r="D46" s="78">
        <v>230733.19199999998</v>
      </c>
      <c r="E46" s="78">
        <v>231185.3645</v>
      </c>
      <c r="F46" s="78">
        <v>232767.96824999998</v>
      </c>
      <c r="G46" s="78">
        <v>116.76780971659917</v>
      </c>
      <c r="H46" s="78">
        <v>116.99664195344128</v>
      </c>
      <c r="I46" s="78">
        <v>117.79755478238866</v>
      </c>
    </row>
    <row r="47" spans="1:9" x14ac:dyDescent="0.2">
      <c r="A47" t="s">
        <v>55</v>
      </c>
      <c r="B47" t="s">
        <v>74</v>
      </c>
      <c r="C47" s="44" t="s">
        <v>186</v>
      </c>
      <c r="D47" s="78">
        <v>616474.68375000008</v>
      </c>
      <c r="E47" s="78">
        <v>617527.22875000001</v>
      </c>
      <c r="F47" s="78">
        <v>621211.13624999998</v>
      </c>
      <c r="G47" s="78">
        <v>311.98111525809719</v>
      </c>
      <c r="H47" s="78">
        <v>312.51377973178137</v>
      </c>
      <c r="I47" s="78">
        <v>314.37810538967608</v>
      </c>
    </row>
    <row r="48" spans="1:9" x14ac:dyDescent="0.2">
      <c r="A48" t="s">
        <v>33</v>
      </c>
      <c r="B48" t="s">
        <v>82</v>
      </c>
      <c r="C48" s="44" t="s">
        <v>186</v>
      </c>
      <c r="D48" s="78">
        <v>167693.74830769229</v>
      </c>
      <c r="E48" s="78">
        <v>168044.7283076923</v>
      </c>
      <c r="F48" s="78">
        <v>169273.15830769233</v>
      </c>
      <c r="G48" s="78">
        <v>84.865257240734962</v>
      </c>
      <c r="H48" s="78">
        <v>85.042878698224854</v>
      </c>
      <c r="I48" s="78">
        <v>85.664553799439432</v>
      </c>
    </row>
    <row r="49" spans="1:9" x14ac:dyDescent="0.2">
      <c r="A49" t="s">
        <v>40</v>
      </c>
      <c r="B49" t="s">
        <v>82</v>
      </c>
      <c r="C49" s="44" t="s">
        <v>186</v>
      </c>
      <c r="D49" s="78">
        <v>248287.14715384616</v>
      </c>
      <c r="E49" s="78">
        <v>248808.66465384612</v>
      </c>
      <c r="F49" s="78">
        <v>250633.97590384615</v>
      </c>
      <c r="G49" s="78">
        <v>125.6513902600436</v>
      </c>
      <c r="H49" s="78">
        <v>125.91531612036746</v>
      </c>
      <c r="I49" s="78">
        <v>126.83905663150108</v>
      </c>
    </row>
    <row r="50" spans="1:9" x14ac:dyDescent="0.2">
      <c r="A50" t="s">
        <v>47</v>
      </c>
      <c r="B50" t="s">
        <v>82</v>
      </c>
      <c r="C50" s="44" t="s">
        <v>186</v>
      </c>
      <c r="D50" s="78">
        <v>152586.39961538458</v>
      </c>
      <c r="E50" s="78">
        <v>152905.41211538459</v>
      </c>
      <c r="F50" s="78">
        <v>154021.9558653846</v>
      </c>
      <c r="G50" s="78">
        <v>77.219837862036727</v>
      </c>
      <c r="H50" s="78">
        <v>77.38128143491123</v>
      </c>
      <c r="I50" s="78">
        <v>77.946333939971964</v>
      </c>
    </row>
    <row r="51" spans="1:9" x14ac:dyDescent="0.2">
      <c r="A51" t="s">
        <v>50</v>
      </c>
      <c r="B51" t="s">
        <v>82</v>
      </c>
      <c r="C51" s="44" t="s">
        <v>186</v>
      </c>
      <c r="D51" s="78">
        <v>248287.14715384616</v>
      </c>
      <c r="E51" s="78">
        <v>248808.66465384612</v>
      </c>
      <c r="F51" s="78">
        <v>250633.97590384615</v>
      </c>
      <c r="G51" s="78">
        <v>125.6513902600436</v>
      </c>
      <c r="H51" s="78">
        <v>125.91531612036746</v>
      </c>
      <c r="I51" s="78">
        <v>126.83905663150108</v>
      </c>
    </row>
    <row r="52" spans="1:9" x14ac:dyDescent="0.2">
      <c r="A52" t="s">
        <v>55</v>
      </c>
      <c r="B52" t="s">
        <v>82</v>
      </c>
      <c r="C52" s="44" t="s">
        <v>186</v>
      </c>
      <c r="D52" s="78">
        <v>667799.15876923082</v>
      </c>
      <c r="E52" s="78">
        <v>668927.89876923081</v>
      </c>
      <c r="F52" s="78">
        <v>672878.48876923067</v>
      </c>
      <c r="G52" s="78">
        <v>337.95503986297103</v>
      </c>
      <c r="H52" s="78">
        <v>338.52626455932733</v>
      </c>
      <c r="I52" s="78">
        <v>340.52555099657422</v>
      </c>
    </row>
    <row r="53" spans="1:9" x14ac:dyDescent="0.2">
      <c r="A53" t="s">
        <v>33</v>
      </c>
      <c r="B53" t="s">
        <v>88</v>
      </c>
      <c r="C53" s="44" t="s">
        <v>186</v>
      </c>
      <c r="D53" s="78">
        <v>184008.66338461539</v>
      </c>
      <c r="E53" s="78">
        <v>184365.50338461538</v>
      </c>
      <c r="F53" s="78">
        <v>185614.44338461538</v>
      </c>
      <c r="G53" s="78">
        <v>93.121793210837751</v>
      </c>
      <c r="H53" s="78">
        <v>93.302380255372157</v>
      </c>
      <c r="I53" s="78">
        <v>93.934434911242604</v>
      </c>
    </row>
    <row r="54" spans="1:9" x14ac:dyDescent="0.2">
      <c r="A54" t="s">
        <v>40</v>
      </c>
      <c r="B54" t="s">
        <v>88</v>
      </c>
      <c r="C54" s="44" t="s">
        <v>186</v>
      </c>
      <c r="D54" s="78">
        <v>281141.24907692306</v>
      </c>
      <c r="E54" s="78">
        <v>281686.45407692308</v>
      </c>
      <c r="F54" s="78">
        <v>283594.67157692311</v>
      </c>
      <c r="G54" s="78">
        <v>142.27796005917159</v>
      </c>
      <c r="H54" s="78">
        <v>142.55387352071006</v>
      </c>
      <c r="I54" s="78">
        <v>143.5195706360947</v>
      </c>
    </row>
    <row r="55" spans="1:9" x14ac:dyDescent="0.2">
      <c r="A55" t="s">
        <v>47</v>
      </c>
      <c r="B55" t="s">
        <v>88</v>
      </c>
      <c r="C55" s="44" t="s">
        <v>186</v>
      </c>
      <c r="D55" s="78">
        <v>163242.97323076922</v>
      </c>
      <c r="E55" s="78">
        <v>163559.54323076922</v>
      </c>
      <c r="F55" s="78">
        <v>164667.53823076922</v>
      </c>
      <c r="G55" s="78">
        <v>82.612840703830571</v>
      </c>
      <c r="H55" s="78">
        <v>82.773048193709116</v>
      </c>
      <c r="I55" s="78">
        <v>83.333774408284015</v>
      </c>
    </row>
    <row r="56" spans="1:9" x14ac:dyDescent="0.2">
      <c r="A56" t="s">
        <v>50</v>
      </c>
      <c r="B56" t="s">
        <v>88</v>
      </c>
      <c r="C56" s="44" t="s">
        <v>186</v>
      </c>
      <c r="D56" s="78">
        <v>223748.11984615386</v>
      </c>
      <c r="E56" s="78">
        <v>224182.02484615386</v>
      </c>
      <c r="F56" s="78">
        <v>225700.69234615384</v>
      </c>
      <c r="G56" s="78">
        <v>113.23285417315478</v>
      </c>
      <c r="H56" s="78">
        <v>113.45244172376208</v>
      </c>
      <c r="I56" s="78">
        <v>114.22099815088757</v>
      </c>
    </row>
    <row r="57" spans="1:9" x14ac:dyDescent="0.2">
      <c r="A57" t="s">
        <v>55</v>
      </c>
      <c r="B57" t="s">
        <v>88</v>
      </c>
      <c r="C57" s="44" t="s">
        <v>186</v>
      </c>
      <c r="D57" s="78">
        <v>837350.04984615382</v>
      </c>
      <c r="E57" s="78">
        <v>839060.72984615387</v>
      </c>
      <c r="F57" s="78">
        <v>845048.10984615376</v>
      </c>
      <c r="G57" s="78">
        <v>423.76014668327622</v>
      </c>
      <c r="H57" s="78">
        <v>424.62587542821552</v>
      </c>
      <c r="I57" s="78">
        <v>427.65592603550294</v>
      </c>
    </row>
    <row r="58" spans="1:9" x14ac:dyDescent="0.2">
      <c r="A58" t="s">
        <v>33</v>
      </c>
      <c r="B58" t="s">
        <v>96</v>
      </c>
      <c r="C58" s="44" t="s">
        <v>186</v>
      </c>
      <c r="D58" s="44">
        <v>191874.21867815382</v>
      </c>
      <c r="E58" s="44">
        <v>192266.06223815383</v>
      </c>
      <c r="F58" s="44">
        <v>193637.51469815383</v>
      </c>
      <c r="G58" s="44">
        <v>97.102337387729662</v>
      </c>
      <c r="H58" s="44">
        <v>97.300638784490801</v>
      </c>
      <c r="I58" s="44">
        <v>97.994693673154771</v>
      </c>
    </row>
    <row r="59" spans="1:9" x14ac:dyDescent="0.2">
      <c r="A59" t="s">
        <v>40</v>
      </c>
      <c r="B59" t="s">
        <v>96</v>
      </c>
      <c r="C59" s="44" t="s">
        <v>186</v>
      </c>
      <c r="D59" s="44">
        <v>260492.73252338462</v>
      </c>
      <c r="E59" s="44">
        <v>261015.09310338466</v>
      </c>
      <c r="F59" s="44">
        <v>262843.35513338464</v>
      </c>
      <c r="G59" s="44">
        <v>131.82830593288696</v>
      </c>
      <c r="H59" s="44">
        <v>132.0926584531299</v>
      </c>
      <c r="I59" s="44">
        <v>133.01789227398007</v>
      </c>
    </row>
    <row r="60" spans="1:9" x14ac:dyDescent="0.2">
      <c r="A60" t="s">
        <v>47</v>
      </c>
      <c r="B60" t="s">
        <v>96</v>
      </c>
      <c r="C60" s="44" t="s">
        <v>186</v>
      </c>
      <c r="D60" s="44">
        <v>159700.81989907689</v>
      </c>
      <c r="E60" s="44">
        <v>160026.83397907691</v>
      </c>
      <c r="F60" s="44">
        <v>161167.88325907692</v>
      </c>
      <c r="G60" s="44">
        <v>80.820252985362799</v>
      </c>
      <c r="H60" s="44">
        <v>80.985239867953894</v>
      </c>
      <c r="I60" s="44">
        <v>81.562693957022731</v>
      </c>
    </row>
    <row r="61" spans="1:9" x14ac:dyDescent="0.2">
      <c r="A61" t="s">
        <v>50</v>
      </c>
      <c r="B61" t="s">
        <v>96</v>
      </c>
      <c r="C61" s="44" t="s">
        <v>186</v>
      </c>
      <c r="D61" s="44">
        <v>236080.60946153849</v>
      </c>
      <c r="E61" s="44">
        <v>236555.57696153846</v>
      </c>
      <c r="F61" s="44">
        <v>238217.96321153847</v>
      </c>
      <c r="G61" s="44">
        <v>119.47399264247899</v>
      </c>
      <c r="H61" s="44">
        <v>119.71436081049517</v>
      </c>
      <c r="I61" s="44">
        <v>120.55564939855185</v>
      </c>
    </row>
    <row r="62" spans="1:9" x14ac:dyDescent="0.2">
      <c r="A62" t="s">
        <v>55</v>
      </c>
      <c r="B62" t="s">
        <v>96</v>
      </c>
      <c r="C62" s="44" t="s">
        <v>186</v>
      </c>
      <c r="D62" s="44">
        <v>758363.44260399987</v>
      </c>
      <c r="E62" s="44">
        <v>759694.90400399989</v>
      </c>
      <c r="F62" s="44">
        <v>764355.01890399994</v>
      </c>
      <c r="G62" s="44">
        <v>383.78716730971655</v>
      </c>
      <c r="H62" s="44">
        <v>384.46098380769229</v>
      </c>
      <c r="I62" s="44">
        <v>386.81934155060725</v>
      </c>
    </row>
    <row r="63" spans="1:9" x14ac:dyDescent="0.2">
      <c r="A63" t="s">
        <v>33</v>
      </c>
      <c r="B63" t="s">
        <v>32</v>
      </c>
      <c r="C63" s="44" t="s">
        <v>187</v>
      </c>
      <c r="D63" s="78">
        <v>242777.29053846153</v>
      </c>
      <c r="E63" s="78">
        <v>242777.29053846153</v>
      </c>
      <c r="F63" s="78">
        <v>242777.29053846153</v>
      </c>
      <c r="G63" s="78">
        <v>116.7198512204142</v>
      </c>
      <c r="H63" s="78">
        <v>122.86300128464651</v>
      </c>
      <c r="I63" s="78">
        <v>128.61691594536001</v>
      </c>
    </row>
    <row r="64" spans="1:9" x14ac:dyDescent="0.2">
      <c r="A64" t="s">
        <v>40</v>
      </c>
      <c r="B64" t="s">
        <v>32</v>
      </c>
      <c r="C64" s="44" t="s">
        <v>187</v>
      </c>
      <c r="D64" s="78">
        <v>262742.43440000003</v>
      </c>
      <c r="E64" s="78">
        <v>262742.43440000003</v>
      </c>
      <c r="F64" s="78">
        <v>262742.43440000003</v>
      </c>
      <c r="G64" s="78">
        <v>126.31847807692309</v>
      </c>
      <c r="H64" s="78">
        <v>132.9668190283401</v>
      </c>
      <c r="I64" s="78">
        <v>139.19391523627888</v>
      </c>
    </row>
    <row r="65" spans="1:9" x14ac:dyDescent="0.2">
      <c r="A65" t="s">
        <v>47</v>
      </c>
      <c r="B65" t="s">
        <v>32</v>
      </c>
      <c r="C65" s="44" t="s">
        <v>187</v>
      </c>
      <c r="D65" s="78">
        <v>198325.59665384615</v>
      </c>
      <c r="E65" s="78">
        <v>198325.59665384615</v>
      </c>
      <c r="F65" s="78">
        <v>198325.59665384615</v>
      </c>
      <c r="G65" s="78">
        <v>95.34884454511834</v>
      </c>
      <c r="H65" s="78">
        <v>100.3672047843351</v>
      </c>
      <c r="I65" s="78">
        <v>105.06759729489626</v>
      </c>
    </row>
    <row r="66" spans="1:9" x14ac:dyDescent="0.2">
      <c r="A66" t="s">
        <v>50</v>
      </c>
      <c r="B66" t="s">
        <v>32</v>
      </c>
      <c r="C66" s="44" t="s">
        <v>187</v>
      </c>
      <c r="D66" s="78">
        <v>260395.89330769231</v>
      </c>
      <c r="E66" s="78">
        <v>260395.89330769231</v>
      </c>
      <c r="F66" s="78">
        <v>260395.89330769231</v>
      </c>
      <c r="G66" s="78">
        <v>125.19033332100591</v>
      </c>
      <c r="H66" s="78">
        <v>131.77929823263781</v>
      </c>
      <c r="I66" s="78">
        <v>137.95078051901478</v>
      </c>
    </row>
    <row r="67" spans="1:9" x14ac:dyDescent="0.2">
      <c r="A67" t="s">
        <v>55</v>
      </c>
      <c r="B67" t="s">
        <v>32</v>
      </c>
      <c r="C67" s="44" t="s">
        <v>187</v>
      </c>
      <c r="D67" s="78">
        <v>786323.73390000011</v>
      </c>
      <c r="E67" s="78">
        <v>786323.73390000011</v>
      </c>
      <c r="F67" s="78">
        <v>786323.73390000011</v>
      </c>
      <c r="G67" s="78">
        <v>378.04025668269236</v>
      </c>
      <c r="H67" s="78">
        <v>397.93711229757093</v>
      </c>
      <c r="I67" s="78">
        <v>416.57328560076297</v>
      </c>
    </row>
    <row r="68" spans="1:9" x14ac:dyDescent="0.2">
      <c r="A68" t="s">
        <v>33</v>
      </c>
      <c r="B68" t="s">
        <v>62</v>
      </c>
      <c r="C68" s="44" t="s">
        <v>187</v>
      </c>
      <c r="D68" s="78">
        <v>183923.68915384618</v>
      </c>
      <c r="E68" s="78">
        <v>183923.68915384618</v>
      </c>
      <c r="F68" s="78">
        <v>183923.68915384618</v>
      </c>
      <c r="G68" s="78">
        <v>88.424850554733737</v>
      </c>
      <c r="H68" s="78">
        <v>93.078790057614455</v>
      </c>
      <c r="I68" s="78">
        <v>97.437851850946274</v>
      </c>
    </row>
    <row r="69" spans="1:9" x14ac:dyDescent="0.2">
      <c r="A69" t="s">
        <v>40</v>
      </c>
      <c r="B69" t="s">
        <v>62</v>
      </c>
      <c r="C69" s="44" t="s">
        <v>187</v>
      </c>
      <c r="D69" s="78">
        <v>248832.14261538463</v>
      </c>
      <c r="E69" s="78">
        <v>248832.14261538463</v>
      </c>
      <c r="F69" s="78">
        <v>248832.14261538463</v>
      </c>
      <c r="G69" s="78">
        <v>119.630837795858</v>
      </c>
      <c r="H69" s="78">
        <v>125.92719767985052</v>
      </c>
      <c r="I69" s="78">
        <v>131.82461465108321</v>
      </c>
    </row>
    <row r="70" spans="1:9" x14ac:dyDescent="0.2">
      <c r="A70" t="s">
        <v>47</v>
      </c>
      <c r="B70" t="s">
        <v>62</v>
      </c>
      <c r="C70" s="44" t="s">
        <v>187</v>
      </c>
      <c r="D70" s="78">
        <v>150064.75707692307</v>
      </c>
      <c r="E70" s="78">
        <v>150064.75707692307</v>
      </c>
      <c r="F70" s="78">
        <v>150064.75707692307</v>
      </c>
      <c r="G70" s="78">
        <v>72.14651782544378</v>
      </c>
      <c r="H70" s="78">
        <v>75.94370297415135</v>
      </c>
      <c r="I70" s="78">
        <v>79.50029512445596</v>
      </c>
    </row>
    <row r="71" spans="1:9" x14ac:dyDescent="0.2">
      <c r="A71" t="s">
        <v>50</v>
      </c>
      <c r="B71" t="s">
        <v>62</v>
      </c>
      <c r="C71" s="44" t="s">
        <v>187</v>
      </c>
      <c r="D71" s="78">
        <v>216872.15480769228</v>
      </c>
      <c r="E71" s="78">
        <v>216872.15480769228</v>
      </c>
      <c r="F71" s="78">
        <v>216872.15480769228</v>
      </c>
      <c r="G71" s="78">
        <v>104.26545904215975</v>
      </c>
      <c r="H71" s="78">
        <v>109.75311478122079</v>
      </c>
      <c r="I71" s="78">
        <v>114.89306781505208</v>
      </c>
    </row>
    <row r="72" spans="1:9" x14ac:dyDescent="0.2">
      <c r="A72" t="s">
        <v>55</v>
      </c>
      <c r="B72" t="s">
        <v>62</v>
      </c>
      <c r="C72" s="44" t="s">
        <v>187</v>
      </c>
      <c r="D72" s="78">
        <v>842427.43064423092</v>
      </c>
      <c r="E72" s="78">
        <v>842427.43064423092</v>
      </c>
      <c r="F72" s="78">
        <v>842427.43064423092</v>
      </c>
      <c r="G72" s="78">
        <v>405.01318780972645</v>
      </c>
      <c r="H72" s="78">
        <v>426.32967137865938</v>
      </c>
      <c r="I72" s="78">
        <v>446.29552375727434</v>
      </c>
    </row>
    <row r="73" spans="1:9" x14ac:dyDescent="0.2">
      <c r="A73" t="s">
        <v>33</v>
      </c>
      <c r="B73" t="s">
        <v>74</v>
      </c>
      <c r="C73" s="44" t="s">
        <v>187</v>
      </c>
      <c r="D73" s="78">
        <v>183839.76995999998</v>
      </c>
      <c r="E73" s="78">
        <v>183839.76995999998</v>
      </c>
      <c r="F73" s="78">
        <v>183839.76995999998</v>
      </c>
      <c r="G73" s="78">
        <v>88.384504788461527</v>
      </c>
      <c r="H73" s="78">
        <v>93.036320829959507</v>
      </c>
      <c r="I73" s="78">
        <v>97.393393706293708</v>
      </c>
    </row>
    <row r="74" spans="1:9" x14ac:dyDescent="0.2">
      <c r="A74" t="s">
        <v>40</v>
      </c>
      <c r="B74" t="s">
        <v>74</v>
      </c>
      <c r="C74" s="44" t="s">
        <v>187</v>
      </c>
      <c r="D74" s="78">
        <v>263051.15888</v>
      </c>
      <c r="E74" s="78">
        <v>263051.15888</v>
      </c>
      <c r="F74" s="78">
        <v>263051.15888</v>
      </c>
      <c r="G74" s="78">
        <v>126.46690330769232</v>
      </c>
      <c r="H74" s="78">
        <v>133.12305611336032</v>
      </c>
      <c r="I74" s="78">
        <v>139.35746920957831</v>
      </c>
    </row>
    <row r="75" spans="1:9" x14ac:dyDescent="0.2">
      <c r="A75" t="s">
        <v>47</v>
      </c>
      <c r="B75" t="s">
        <v>74</v>
      </c>
      <c r="C75" s="44" t="s">
        <v>187</v>
      </c>
      <c r="D75" s="78">
        <v>137204.75628</v>
      </c>
      <c r="E75" s="78">
        <v>137204.75628</v>
      </c>
      <c r="F75" s="78">
        <v>137204.75628</v>
      </c>
      <c r="G75" s="78">
        <v>65.963825134615391</v>
      </c>
      <c r="H75" s="78">
        <v>69.435605404858308</v>
      </c>
      <c r="I75" s="78">
        <v>72.687410616656081</v>
      </c>
    </row>
    <row r="76" spans="1:9" x14ac:dyDescent="0.2">
      <c r="A76" t="s">
        <v>50</v>
      </c>
      <c r="B76" t="s">
        <v>74</v>
      </c>
      <c r="C76" s="44" t="s">
        <v>187</v>
      </c>
      <c r="D76" s="78">
        <v>231185.3645</v>
      </c>
      <c r="E76" s="78">
        <v>231185.3645</v>
      </c>
      <c r="F76" s="78">
        <v>231185.3645</v>
      </c>
      <c r="G76" s="78">
        <v>111.14680985576922</v>
      </c>
      <c r="H76" s="78">
        <v>116.99664195344128</v>
      </c>
      <c r="I76" s="78">
        <v>122.47582353252808</v>
      </c>
    </row>
    <row r="77" spans="1:9" x14ac:dyDescent="0.2">
      <c r="A77" t="s">
        <v>55</v>
      </c>
      <c r="B77" t="s">
        <v>74</v>
      </c>
      <c r="C77" s="44" t="s">
        <v>187</v>
      </c>
      <c r="D77" s="78">
        <v>617527.22875000001</v>
      </c>
      <c r="E77" s="78">
        <v>617527.22875000001</v>
      </c>
      <c r="F77" s="78">
        <v>617527.22875000001</v>
      </c>
      <c r="G77" s="78">
        <v>296.8880907451923</v>
      </c>
      <c r="H77" s="78">
        <v>312.51377973178137</v>
      </c>
      <c r="I77" s="78">
        <v>327.14941128946816</v>
      </c>
    </row>
    <row r="78" spans="1:9" x14ac:dyDescent="0.2">
      <c r="A78" t="s">
        <v>33</v>
      </c>
      <c r="B78" t="s">
        <v>82</v>
      </c>
      <c r="C78" s="44" t="s">
        <v>187</v>
      </c>
      <c r="D78" s="78">
        <v>168044.7283076923</v>
      </c>
      <c r="E78" s="78">
        <v>168044.7283076923</v>
      </c>
      <c r="F78" s="78">
        <v>168044.7283076923</v>
      </c>
      <c r="G78" s="78">
        <v>80.790734763313608</v>
      </c>
      <c r="H78" s="78">
        <v>85.042878698224854</v>
      </c>
      <c r="I78" s="78">
        <v>89.025603044973678</v>
      </c>
    </row>
    <row r="79" spans="1:9" x14ac:dyDescent="0.2">
      <c r="A79" t="s">
        <v>40</v>
      </c>
      <c r="B79" t="s">
        <v>82</v>
      </c>
      <c r="C79" s="44" t="s">
        <v>187</v>
      </c>
      <c r="D79" s="78">
        <v>248808.66465384612</v>
      </c>
      <c r="E79" s="78">
        <v>248808.66465384612</v>
      </c>
      <c r="F79" s="78">
        <v>248808.66465384612</v>
      </c>
      <c r="G79" s="78">
        <v>119.61955031434908</v>
      </c>
      <c r="H79" s="78">
        <v>125.91531612036746</v>
      </c>
      <c r="I79" s="78">
        <v>131.81217665493014</v>
      </c>
    </row>
    <row r="80" spans="1:9" x14ac:dyDescent="0.2">
      <c r="A80" t="s">
        <v>47</v>
      </c>
      <c r="B80" t="s">
        <v>82</v>
      </c>
      <c r="C80" s="44" t="s">
        <v>187</v>
      </c>
      <c r="D80" s="78">
        <v>152905.41211538459</v>
      </c>
      <c r="E80" s="78">
        <v>152905.41211538459</v>
      </c>
      <c r="F80" s="78">
        <v>152905.41211538459</v>
      </c>
      <c r="G80" s="78">
        <v>73.512217363165661</v>
      </c>
      <c r="H80" s="78">
        <v>77.38128143491123</v>
      </c>
      <c r="I80" s="78">
        <v>81.005198196325807</v>
      </c>
    </row>
    <row r="81" spans="1:9" x14ac:dyDescent="0.2">
      <c r="A81" t="s">
        <v>50</v>
      </c>
      <c r="B81" t="s">
        <v>82</v>
      </c>
      <c r="C81" s="44" t="s">
        <v>187</v>
      </c>
      <c r="D81" s="78">
        <v>248808.66465384612</v>
      </c>
      <c r="E81" s="78">
        <v>248808.66465384612</v>
      </c>
      <c r="F81" s="78">
        <v>248808.66465384612</v>
      </c>
      <c r="G81" s="78">
        <v>119.61955031434908</v>
      </c>
      <c r="H81" s="78">
        <v>125.91531612036746</v>
      </c>
      <c r="I81" s="78">
        <v>131.81217665493014</v>
      </c>
    </row>
    <row r="82" spans="1:9" x14ac:dyDescent="0.2">
      <c r="A82" t="s">
        <v>55</v>
      </c>
      <c r="B82" t="s">
        <v>82</v>
      </c>
      <c r="C82" s="44" t="s">
        <v>187</v>
      </c>
      <c r="D82" s="78">
        <v>668927.89876923081</v>
      </c>
      <c r="E82" s="78">
        <v>668927.89876923081</v>
      </c>
      <c r="F82" s="78">
        <v>668927.89876923081</v>
      </c>
      <c r="G82" s="78">
        <v>321.59995133136101</v>
      </c>
      <c r="H82" s="78">
        <v>338.52626455932733</v>
      </c>
      <c r="I82" s="78">
        <v>354.38011165990196</v>
      </c>
    </row>
    <row r="83" spans="1:9" x14ac:dyDescent="0.2">
      <c r="A83" t="s">
        <v>33</v>
      </c>
      <c r="B83" t="s">
        <v>88</v>
      </c>
      <c r="C83" s="44" t="s">
        <v>187</v>
      </c>
      <c r="D83" s="78">
        <v>184365.50338461538</v>
      </c>
      <c r="E83" s="78">
        <v>184365.50338461538</v>
      </c>
      <c r="F83" s="78">
        <v>184365.50338461538</v>
      </c>
      <c r="G83" s="78">
        <v>88.637261242603557</v>
      </c>
      <c r="H83" s="78">
        <v>93.302380255372157</v>
      </c>
      <c r="I83" s="78">
        <v>97.671913214990141</v>
      </c>
    </row>
    <row r="84" spans="1:9" x14ac:dyDescent="0.2">
      <c r="A84" t="s">
        <v>40</v>
      </c>
      <c r="B84" t="s">
        <v>88</v>
      </c>
      <c r="C84" s="44" t="s">
        <v>187</v>
      </c>
      <c r="D84" s="78">
        <v>281686.45407692308</v>
      </c>
      <c r="E84" s="78">
        <v>281686.45407692308</v>
      </c>
      <c r="F84" s="78">
        <v>281686.45407692308</v>
      </c>
      <c r="G84" s="78">
        <v>135.42617984467455</v>
      </c>
      <c r="H84" s="78">
        <v>142.55387352071006</v>
      </c>
      <c r="I84" s="78">
        <v>149.22995024206566</v>
      </c>
    </row>
    <row r="85" spans="1:9" x14ac:dyDescent="0.2">
      <c r="A85" t="s">
        <v>47</v>
      </c>
      <c r="B85" t="s">
        <v>88</v>
      </c>
      <c r="C85" s="44" t="s">
        <v>187</v>
      </c>
      <c r="D85" s="78">
        <v>163559.54323076922</v>
      </c>
      <c r="E85" s="78">
        <v>163559.54323076922</v>
      </c>
      <c r="F85" s="78">
        <v>163559.54323076922</v>
      </c>
      <c r="G85" s="78">
        <v>78.634395784023667</v>
      </c>
      <c r="H85" s="78">
        <v>82.773048193709116</v>
      </c>
      <c r="I85" s="78">
        <v>86.649471938318086</v>
      </c>
    </row>
    <row r="86" spans="1:9" x14ac:dyDescent="0.2">
      <c r="A86" t="s">
        <v>50</v>
      </c>
      <c r="B86" t="s">
        <v>88</v>
      </c>
      <c r="C86" s="44" t="s">
        <v>187</v>
      </c>
      <c r="D86" s="78">
        <v>224182.02484615386</v>
      </c>
      <c r="E86" s="78">
        <v>224182.02484615386</v>
      </c>
      <c r="F86" s="78">
        <v>224182.02484615386</v>
      </c>
      <c r="G86" s="78">
        <v>107.77981963757398</v>
      </c>
      <c r="H86" s="78">
        <v>113.45244172376208</v>
      </c>
      <c r="I86" s="78">
        <v>118.76564147391072</v>
      </c>
    </row>
    <row r="87" spans="1:9" x14ac:dyDescent="0.2">
      <c r="A87" t="s">
        <v>55</v>
      </c>
      <c r="B87" t="s">
        <v>88</v>
      </c>
      <c r="C87" s="44" t="s">
        <v>187</v>
      </c>
      <c r="D87" s="78">
        <v>839060.72984615387</v>
      </c>
      <c r="E87" s="78">
        <v>839060.72984615387</v>
      </c>
      <c r="F87" s="78">
        <v>839060.72984615387</v>
      </c>
      <c r="G87" s="78">
        <v>403.39458165680475</v>
      </c>
      <c r="H87" s="78">
        <v>424.62587542821552</v>
      </c>
      <c r="I87" s="78">
        <v>444.51193570997771</v>
      </c>
    </row>
    <row r="88" spans="1:9" x14ac:dyDescent="0.2">
      <c r="A88" t="s">
        <v>33</v>
      </c>
      <c r="B88" t="s">
        <v>96</v>
      </c>
      <c r="C88" s="44" t="s">
        <v>187</v>
      </c>
      <c r="D88" s="44">
        <v>192266.06223815383</v>
      </c>
      <c r="E88" s="44">
        <v>192266.06223815383</v>
      </c>
      <c r="F88" s="44">
        <v>192266.06223815383</v>
      </c>
      <c r="G88" s="44">
        <v>92.435606845266264</v>
      </c>
      <c r="H88" s="44">
        <v>97.300638784490801</v>
      </c>
      <c r="I88" s="44">
        <v>101.85741801131269</v>
      </c>
    </row>
    <row r="89" spans="1:9" x14ac:dyDescent="0.2">
      <c r="A89" t="s">
        <v>40</v>
      </c>
      <c r="B89" t="s">
        <v>96</v>
      </c>
      <c r="C89" s="44" t="s">
        <v>187</v>
      </c>
      <c r="D89" s="44">
        <v>261015.09310338466</v>
      </c>
      <c r="E89" s="44">
        <v>261015.09310338466</v>
      </c>
      <c r="F89" s="44">
        <v>261015.09310338466</v>
      </c>
      <c r="G89" s="44">
        <v>125.48802553047339</v>
      </c>
      <c r="H89" s="44">
        <v>132.0926584531299</v>
      </c>
      <c r="I89" s="44">
        <v>138.27881601154095</v>
      </c>
    </row>
    <row r="90" spans="1:9" x14ac:dyDescent="0.2">
      <c r="A90" t="s">
        <v>47</v>
      </c>
      <c r="B90" t="s">
        <v>96</v>
      </c>
      <c r="C90" s="44" t="s">
        <v>187</v>
      </c>
      <c r="D90" s="44">
        <v>160026.83397907691</v>
      </c>
      <c r="E90" s="44">
        <v>160026.83397907691</v>
      </c>
      <c r="F90" s="44">
        <v>160026.83397907691</v>
      </c>
      <c r="G90" s="44">
        <v>76.935977874556201</v>
      </c>
      <c r="H90" s="44">
        <v>80.985239867953894</v>
      </c>
      <c r="I90" s="44">
        <v>84.777937051852575</v>
      </c>
    </row>
    <row r="91" spans="1:9" x14ac:dyDescent="0.2">
      <c r="A91" t="s">
        <v>50</v>
      </c>
      <c r="B91" t="s">
        <v>96</v>
      </c>
      <c r="C91" s="44" t="s">
        <v>187</v>
      </c>
      <c r="D91" s="44">
        <v>236555.57696153846</v>
      </c>
      <c r="E91" s="44">
        <v>236555.57696153846</v>
      </c>
      <c r="F91" s="44">
        <v>236555.57696153846</v>
      </c>
      <c r="G91" s="44">
        <v>113.72864276997041</v>
      </c>
      <c r="H91" s="44">
        <v>119.71436081049517</v>
      </c>
      <c r="I91" s="44">
        <v>125.32081847930624</v>
      </c>
    </row>
    <row r="92" spans="1:9" x14ac:dyDescent="0.2">
      <c r="A92" t="s">
        <v>55</v>
      </c>
      <c r="B92" t="s">
        <v>96</v>
      </c>
      <c r="C92" s="44" t="s">
        <v>187</v>
      </c>
      <c r="D92" s="44">
        <v>759694.90400399989</v>
      </c>
      <c r="E92" s="44">
        <v>759694.90400399989</v>
      </c>
      <c r="F92" s="44">
        <v>759694.90400399989</v>
      </c>
      <c r="G92" s="44">
        <v>365.23793461730764</v>
      </c>
      <c r="H92" s="44">
        <v>384.46098380769229</v>
      </c>
      <c r="I92" s="44">
        <v>402.46604365543544</v>
      </c>
    </row>
    <row r="93" spans="1:9" x14ac:dyDescent="0.2">
      <c r="A93" t="s">
        <v>33</v>
      </c>
      <c r="B93" t="s">
        <v>32</v>
      </c>
      <c r="C93" s="44" t="s">
        <v>188</v>
      </c>
      <c r="D93" s="78">
        <v>233280.39053846151</v>
      </c>
      <c r="E93" s="78">
        <v>242777.29053846153</v>
      </c>
      <c r="F93" s="78">
        <v>261771.09053846155</v>
      </c>
      <c r="G93" s="78">
        <v>118.05687780286515</v>
      </c>
      <c r="H93" s="78">
        <v>122.86300128464651</v>
      </c>
      <c r="I93" s="78">
        <v>132.47524824820928</v>
      </c>
    </row>
    <row r="94" spans="1:9" x14ac:dyDescent="0.2">
      <c r="A94" t="s">
        <v>40</v>
      </c>
      <c r="B94" t="s">
        <v>32</v>
      </c>
      <c r="C94" s="44" t="s">
        <v>188</v>
      </c>
      <c r="D94" s="78">
        <v>252554.59440000006</v>
      </c>
      <c r="E94" s="78">
        <v>262742.43440000003</v>
      </c>
      <c r="F94" s="78">
        <v>283118.11440000008</v>
      </c>
      <c r="G94" s="78">
        <v>127.8110295546559</v>
      </c>
      <c r="H94" s="78">
        <v>132.9668190283401</v>
      </c>
      <c r="I94" s="78">
        <v>143.27839797570854</v>
      </c>
    </row>
    <row r="95" spans="1:9" x14ac:dyDescent="0.2">
      <c r="A95" t="s">
        <v>47</v>
      </c>
      <c r="B95" t="s">
        <v>32</v>
      </c>
      <c r="C95" s="44" t="s">
        <v>188</v>
      </c>
      <c r="D95" s="78">
        <v>190567.54665384616</v>
      </c>
      <c r="E95" s="78">
        <v>198325.59665384615</v>
      </c>
      <c r="F95" s="78">
        <v>213841.69665384613</v>
      </c>
      <c r="G95" s="78">
        <v>96.441066120367495</v>
      </c>
      <c r="H95" s="78">
        <v>100.3672047843351</v>
      </c>
      <c r="I95" s="78">
        <v>108.21948211227031</v>
      </c>
    </row>
    <row r="96" spans="1:9" x14ac:dyDescent="0.2">
      <c r="A96" t="s">
        <v>50</v>
      </c>
      <c r="B96" t="s">
        <v>32</v>
      </c>
      <c r="C96" s="44" t="s">
        <v>188</v>
      </c>
      <c r="D96" s="78">
        <v>250209.79330769231</v>
      </c>
      <c r="E96" s="78">
        <v>260395.89330769231</v>
      </c>
      <c r="F96" s="78">
        <v>280768.09330769232</v>
      </c>
      <c r="G96" s="78">
        <v>126.62438932575522</v>
      </c>
      <c r="H96" s="78">
        <v>131.77929823263781</v>
      </c>
      <c r="I96" s="78">
        <v>142.08911604640301</v>
      </c>
    </row>
    <row r="97" spans="1:9" x14ac:dyDescent="0.2">
      <c r="A97" t="s">
        <v>55</v>
      </c>
      <c r="B97" t="s">
        <v>32</v>
      </c>
      <c r="C97" s="44" t="s">
        <v>188</v>
      </c>
      <c r="D97" s="78">
        <v>786323.73390000011</v>
      </c>
      <c r="E97" s="78">
        <v>786323.73390000011</v>
      </c>
      <c r="F97" s="78">
        <v>875198.10389999999</v>
      </c>
      <c r="G97" s="78">
        <v>397.93711229757093</v>
      </c>
      <c r="H97" s="78">
        <v>397.93711229757093</v>
      </c>
      <c r="I97" s="78">
        <v>442.91402019230765</v>
      </c>
    </row>
    <row r="98" spans="1:9" x14ac:dyDescent="0.2">
      <c r="A98" t="s">
        <v>33</v>
      </c>
      <c r="B98" t="s">
        <v>62</v>
      </c>
      <c r="C98" s="44" t="s">
        <v>188</v>
      </c>
      <c r="D98" s="78">
        <v>176156.38915384613</v>
      </c>
      <c r="E98" s="78">
        <v>183923.68915384618</v>
      </c>
      <c r="F98" s="78">
        <v>199458.28915384616</v>
      </c>
      <c r="G98" s="78">
        <v>89.147970219557763</v>
      </c>
      <c r="H98" s="78">
        <v>93.078790057614455</v>
      </c>
      <c r="I98" s="78">
        <v>100.94042973372781</v>
      </c>
    </row>
    <row r="99" spans="1:9" x14ac:dyDescent="0.2">
      <c r="A99" t="s">
        <v>40</v>
      </c>
      <c r="B99" t="s">
        <v>62</v>
      </c>
      <c r="C99" s="44" t="s">
        <v>188</v>
      </c>
      <c r="D99" s="78">
        <v>238408.34261538461</v>
      </c>
      <c r="E99" s="78">
        <v>248832.14261538463</v>
      </c>
      <c r="F99" s="78">
        <v>269679.74261538463</v>
      </c>
      <c r="G99" s="78">
        <v>120.65199525070071</v>
      </c>
      <c r="H99" s="78">
        <v>125.92719767985052</v>
      </c>
      <c r="I99" s="78">
        <v>136.47760253815014</v>
      </c>
    </row>
    <row r="100" spans="1:9" x14ac:dyDescent="0.2">
      <c r="A100" t="s">
        <v>47</v>
      </c>
      <c r="B100" t="s">
        <v>62</v>
      </c>
      <c r="C100" s="44" t="s">
        <v>188</v>
      </c>
      <c r="D100" s="78">
        <v>143727.35707692307</v>
      </c>
      <c r="E100" s="78">
        <v>150064.75707692307</v>
      </c>
      <c r="F100" s="78">
        <v>162739.55707692308</v>
      </c>
      <c r="G100" s="78">
        <v>72.736516739333538</v>
      </c>
      <c r="H100" s="78">
        <v>75.94370297415135</v>
      </c>
      <c r="I100" s="78">
        <v>82.358075443786987</v>
      </c>
    </row>
    <row r="101" spans="1:9" x14ac:dyDescent="0.2">
      <c r="A101" t="s">
        <v>50</v>
      </c>
      <c r="B101" t="s">
        <v>62</v>
      </c>
      <c r="C101" s="44" t="s">
        <v>188</v>
      </c>
      <c r="D101" s="78">
        <v>207713.40480769228</v>
      </c>
      <c r="E101" s="78">
        <v>216872.15480769228</v>
      </c>
      <c r="F101" s="78">
        <v>235189.65480769228</v>
      </c>
      <c r="G101" s="78">
        <v>105.11811984194954</v>
      </c>
      <c r="H101" s="78">
        <v>109.75311478122079</v>
      </c>
      <c r="I101" s="78">
        <v>119.02310465976329</v>
      </c>
    </row>
    <row r="102" spans="1:9" x14ac:dyDescent="0.2">
      <c r="A102" t="s">
        <v>55</v>
      </c>
      <c r="B102" t="s">
        <v>62</v>
      </c>
      <c r="C102" s="44" t="s">
        <v>188</v>
      </c>
      <c r="D102" s="78">
        <v>842427.43064423092</v>
      </c>
      <c r="E102" s="78">
        <v>842427.43064423092</v>
      </c>
      <c r="F102" s="78">
        <v>919473.58064423082</v>
      </c>
      <c r="G102" s="78">
        <v>426.32967137865938</v>
      </c>
      <c r="H102" s="78">
        <v>426.32967137865938</v>
      </c>
      <c r="I102" s="78">
        <v>465.32063797784957</v>
      </c>
    </row>
    <row r="103" spans="1:9" x14ac:dyDescent="0.2">
      <c r="A103" t="s">
        <v>33</v>
      </c>
      <c r="B103" t="s">
        <v>74</v>
      </c>
      <c r="C103" s="44" t="s">
        <v>188</v>
      </c>
      <c r="D103" s="78">
        <v>176076.01395999998</v>
      </c>
      <c r="E103" s="78">
        <v>183839.76995999998</v>
      </c>
      <c r="F103" s="78">
        <v>199367.28195999999</v>
      </c>
      <c r="G103" s="78">
        <v>89.107294514170036</v>
      </c>
      <c r="H103" s="78">
        <v>93.036320829959507</v>
      </c>
      <c r="I103" s="78">
        <v>100.89437346153845</v>
      </c>
    </row>
    <row r="104" spans="1:9" x14ac:dyDescent="0.2">
      <c r="A104" t="s">
        <v>40</v>
      </c>
      <c r="B104" t="s">
        <v>74</v>
      </c>
      <c r="C104" s="44" t="s">
        <v>188</v>
      </c>
      <c r="D104" s="78">
        <v>252761.19088000001</v>
      </c>
      <c r="E104" s="78">
        <v>263051.15888</v>
      </c>
      <c r="F104" s="78">
        <v>283631.09487999999</v>
      </c>
      <c r="G104" s="78">
        <v>127.91558242914981</v>
      </c>
      <c r="H104" s="78">
        <v>133.12305611336032</v>
      </c>
      <c r="I104" s="78">
        <v>143.53800348178137</v>
      </c>
    </row>
    <row r="105" spans="1:9" x14ac:dyDescent="0.2">
      <c r="A105" t="s">
        <v>47</v>
      </c>
      <c r="B105" t="s">
        <v>74</v>
      </c>
      <c r="C105" s="44" t="s">
        <v>188</v>
      </c>
      <c r="D105" s="78">
        <v>131410.44828000001</v>
      </c>
      <c r="E105" s="78">
        <v>137204.75628</v>
      </c>
      <c r="F105" s="78">
        <v>148793.37228000001</v>
      </c>
      <c r="G105" s="78">
        <v>66.503263299595147</v>
      </c>
      <c r="H105" s="78">
        <v>69.435605404858308</v>
      </c>
      <c r="I105" s="78">
        <v>75.300289615384628</v>
      </c>
    </row>
    <row r="106" spans="1:9" x14ac:dyDescent="0.2">
      <c r="A106" t="s">
        <v>50</v>
      </c>
      <c r="B106" t="s">
        <v>74</v>
      </c>
      <c r="C106" s="44" t="s">
        <v>188</v>
      </c>
      <c r="D106" s="78">
        <v>222141.91450000001</v>
      </c>
      <c r="E106" s="78">
        <v>231185.3645</v>
      </c>
      <c r="F106" s="78">
        <v>249272.26449999999</v>
      </c>
      <c r="G106" s="78">
        <v>112.4199972165992</v>
      </c>
      <c r="H106" s="78">
        <v>116.99664195344128</v>
      </c>
      <c r="I106" s="78">
        <v>126.14993142712549</v>
      </c>
    </row>
    <row r="107" spans="1:9" x14ac:dyDescent="0.2">
      <c r="A107" t="s">
        <v>55</v>
      </c>
      <c r="B107" t="s">
        <v>74</v>
      </c>
      <c r="C107" s="44" t="s">
        <v>188</v>
      </c>
      <c r="D107" s="78">
        <v>617527.22875000001</v>
      </c>
      <c r="E107" s="78">
        <v>617527.22875000001</v>
      </c>
      <c r="F107" s="78">
        <v>680679.92875000008</v>
      </c>
      <c r="G107" s="78">
        <v>312.51377973178137</v>
      </c>
      <c r="H107" s="78">
        <v>312.51377973178137</v>
      </c>
      <c r="I107" s="78">
        <v>344.47364815283407</v>
      </c>
    </row>
    <row r="108" spans="1:9" x14ac:dyDescent="0.2">
      <c r="A108" t="s">
        <v>33</v>
      </c>
      <c r="B108" t="s">
        <v>82</v>
      </c>
      <c r="C108" s="44" t="s">
        <v>188</v>
      </c>
      <c r="D108" s="78">
        <v>161025.1283076923</v>
      </c>
      <c r="E108" s="78">
        <v>168044.7283076923</v>
      </c>
      <c r="F108" s="78">
        <v>182083.92830769229</v>
      </c>
      <c r="G108" s="78">
        <v>81.490449548427279</v>
      </c>
      <c r="H108" s="78">
        <v>85.042878698224854</v>
      </c>
      <c r="I108" s="78">
        <v>92.14773699781999</v>
      </c>
    </row>
    <row r="109" spans="1:9" x14ac:dyDescent="0.2">
      <c r="A109" t="s">
        <v>40</v>
      </c>
      <c r="B109" t="s">
        <v>82</v>
      </c>
      <c r="C109" s="44" t="s">
        <v>188</v>
      </c>
      <c r="D109" s="78">
        <v>238378.31465384614</v>
      </c>
      <c r="E109" s="78">
        <v>248808.66465384612</v>
      </c>
      <c r="F109" s="78">
        <v>269669.36465384613</v>
      </c>
      <c r="G109" s="78">
        <v>120.63679891388973</v>
      </c>
      <c r="H109" s="78">
        <v>125.91531612036746</v>
      </c>
      <c r="I109" s="78">
        <v>136.47235053332292</v>
      </c>
    </row>
    <row r="110" spans="1:9" x14ac:dyDescent="0.2">
      <c r="A110" t="s">
        <v>47</v>
      </c>
      <c r="B110" t="s">
        <v>82</v>
      </c>
      <c r="C110" s="44" t="s">
        <v>188</v>
      </c>
      <c r="D110" s="78">
        <v>146525.16211538459</v>
      </c>
      <c r="E110" s="78">
        <v>152905.41211538459</v>
      </c>
      <c r="F110" s="78">
        <v>165665.91211538459</v>
      </c>
      <c r="G110" s="78">
        <v>74.152409977421357</v>
      </c>
      <c r="H110" s="78">
        <v>77.38128143491123</v>
      </c>
      <c r="I110" s="78">
        <v>83.839024349890991</v>
      </c>
    </row>
    <row r="111" spans="1:9" x14ac:dyDescent="0.2">
      <c r="A111" t="s">
        <v>50</v>
      </c>
      <c r="B111" t="s">
        <v>82</v>
      </c>
      <c r="C111" s="44" t="s">
        <v>188</v>
      </c>
      <c r="D111" s="78">
        <v>238378.31465384614</v>
      </c>
      <c r="E111" s="78">
        <v>248808.66465384612</v>
      </c>
      <c r="F111" s="78">
        <v>269669.36465384613</v>
      </c>
      <c r="G111" s="78">
        <v>120.63679891388973</v>
      </c>
      <c r="H111" s="78">
        <v>125.91531612036746</v>
      </c>
      <c r="I111" s="78">
        <v>136.47235053332292</v>
      </c>
    </row>
    <row r="112" spans="1:9" x14ac:dyDescent="0.2">
      <c r="A112" t="s">
        <v>55</v>
      </c>
      <c r="B112" t="s">
        <v>82</v>
      </c>
      <c r="C112" s="44" t="s">
        <v>188</v>
      </c>
      <c r="D112" s="78">
        <v>668927.89876923081</v>
      </c>
      <c r="E112" s="78">
        <v>668927.89876923081</v>
      </c>
      <c r="F112" s="78">
        <v>736652.29876923072</v>
      </c>
      <c r="G112" s="78">
        <v>338.52626455932733</v>
      </c>
      <c r="H112" s="78">
        <v>338.52626455932733</v>
      </c>
      <c r="I112" s="78">
        <v>372.79974634070385</v>
      </c>
    </row>
    <row r="113" spans="1:9" x14ac:dyDescent="0.2">
      <c r="A113" t="s">
        <v>33</v>
      </c>
      <c r="B113" t="s">
        <v>88</v>
      </c>
      <c r="C113" s="44" t="s">
        <v>188</v>
      </c>
      <c r="D113" s="78">
        <v>177228.70338461536</v>
      </c>
      <c r="E113" s="78">
        <v>184365.50338461538</v>
      </c>
      <c r="F113" s="78">
        <v>198639.10338461539</v>
      </c>
      <c r="G113" s="78">
        <v>89.690639364683889</v>
      </c>
      <c r="H113" s="78">
        <v>93.302380255372157</v>
      </c>
      <c r="I113" s="78">
        <v>100.52586203674868</v>
      </c>
    </row>
    <row r="114" spans="1:9" x14ac:dyDescent="0.2">
      <c r="A114" t="s">
        <v>40</v>
      </c>
      <c r="B114" t="s">
        <v>88</v>
      </c>
      <c r="C114" s="44" t="s">
        <v>188</v>
      </c>
      <c r="D114" s="78">
        <v>270782.35407692305</v>
      </c>
      <c r="E114" s="78">
        <v>281686.45407692308</v>
      </c>
      <c r="F114" s="78">
        <v>303494.65407692303</v>
      </c>
      <c r="G114" s="78">
        <v>137.03560428994081</v>
      </c>
      <c r="H114" s="78">
        <v>142.55387352071006</v>
      </c>
      <c r="I114" s="78">
        <v>153.5904119822485</v>
      </c>
    </row>
    <row r="115" spans="1:9" x14ac:dyDescent="0.2">
      <c r="A115" t="s">
        <v>47</v>
      </c>
      <c r="B115" t="s">
        <v>88</v>
      </c>
      <c r="C115" s="44" t="s">
        <v>188</v>
      </c>
      <c r="D115" s="78">
        <v>157228.14323076923</v>
      </c>
      <c r="E115" s="78">
        <v>163559.54323076922</v>
      </c>
      <c r="F115" s="78">
        <v>176222.34323076921</v>
      </c>
      <c r="G115" s="78">
        <v>79.568898396138266</v>
      </c>
      <c r="H115" s="78">
        <v>82.773048193709116</v>
      </c>
      <c r="I115" s="78">
        <v>89.181347788850815</v>
      </c>
    </row>
    <row r="116" spans="1:9" x14ac:dyDescent="0.2">
      <c r="A116" t="s">
        <v>50</v>
      </c>
      <c r="B116" t="s">
        <v>88</v>
      </c>
      <c r="C116" s="44" t="s">
        <v>188</v>
      </c>
      <c r="D116" s="78">
        <v>215503.92484615385</v>
      </c>
      <c r="E116" s="78">
        <v>224182.02484615386</v>
      </c>
      <c r="F116" s="78">
        <v>241538.22484615387</v>
      </c>
      <c r="G116" s="78">
        <v>109.06069071161633</v>
      </c>
      <c r="H116" s="78">
        <v>113.45244172376208</v>
      </c>
      <c r="I116" s="78">
        <v>122.23594374805357</v>
      </c>
    </row>
    <row r="117" spans="1:9" x14ac:dyDescent="0.2">
      <c r="A117" t="s">
        <v>55</v>
      </c>
      <c r="B117" t="s">
        <v>88</v>
      </c>
      <c r="C117" s="44" t="s">
        <v>188</v>
      </c>
      <c r="D117" s="78">
        <v>839060.72984615387</v>
      </c>
      <c r="E117" s="78">
        <v>839060.72984615387</v>
      </c>
      <c r="F117" s="78">
        <v>941701.52984615392</v>
      </c>
      <c r="G117" s="78">
        <v>424.62587542821552</v>
      </c>
      <c r="H117" s="78">
        <v>424.62587542821552</v>
      </c>
      <c r="I117" s="78">
        <v>476.56960012457182</v>
      </c>
    </row>
    <row r="118" spans="1:9" x14ac:dyDescent="0.2">
      <c r="A118" t="s">
        <v>33</v>
      </c>
      <c r="B118" t="s">
        <v>96</v>
      </c>
      <c r="C118" s="44" t="s">
        <v>188</v>
      </c>
      <c r="D118" s="44">
        <v>184429.19103815383</v>
      </c>
      <c r="E118" s="44">
        <v>192266.06223815383</v>
      </c>
      <c r="F118" s="44">
        <v>207939.80463815382</v>
      </c>
      <c r="G118" s="44">
        <v>93.334610849268131</v>
      </c>
      <c r="H118" s="44">
        <v>97.300638784490801</v>
      </c>
      <c r="I118" s="44">
        <v>105.23269465493614</v>
      </c>
    </row>
    <row r="119" spans="1:9" x14ac:dyDescent="0.2">
      <c r="A119" t="s">
        <v>40</v>
      </c>
      <c r="B119" t="s">
        <v>96</v>
      </c>
      <c r="C119" s="44" t="s">
        <v>188</v>
      </c>
      <c r="D119" s="44">
        <v>250567.88150338462</v>
      </c>
      <c r="E119" s="44">
        <v>261015.09310338466</v>
      </c>
      <c r="F119" s="44">
        <v>281909.51630338462</v>
      </c>
      <c r="G119" s="44">
        <v>126.80560804827158</v>
      </c>
      <c r="H119" s="44">
        <v>132.0926584531299</v>
      </c>
      <c r="I119" s="44">
        <v>142.66675926284648</v>
      </c>
    </row>
    <row r="120" spans="1:9" x14ac:dyDescent="0.2">
      <c r="A120" t="s">
        <v>47</v>
      </c>
      <c r="B120" t="s">
        <v>96</v>
      </c>
      <c r="C120" s="44" t="s">
        <v>188</v>
      </c>
      <c r="D120" s="44">
        <v>153506.55237907689</v>
      </c>
      <c r="E120" s="44">
        <v>160026.83397907691</v>
      </c>
      <c r="F120" s="44">
        <v>173067.39717907691</v>
      </c>
      <c r="G120" s="44">
        <v>77.685502216132022</v>
      </c>
      <c r="H120" s="44">
        <v>80.985239867953894</v>
      </c>
      <c r="I120" s="44">
        <v>87.584715171597622</v>
      </c>
    </row>
    <row r="121" spans="1:9" x14ac:dyDescent="0.2">
      <c r="A121" t="s">
        <v>50</v>
      </c>
      <c r="B121" t="s">
        <v>96</v>
      </c>
      <c r="C121" s="44" t="s">
        <v>188</v>
      </c>
      <c r="D121" s="44">
        <v>227056.22696153849</v>
      </c>
      <c r="E121" s="44">
        <v>236555.57696153846</v>
      </c>
      <c r="F121" s="44">
        <v>255554.27696153848</v>
      </c>
      <c r="G121" s="44">
        <v>114.9069974501713</v>
      </c>
      <c r="H121" s="44">
        <v>119.71436081049517</v>
      </c>
      <c r="I121" s="44">
        <v>129.32908753114293</v>
      </c>
    </row>
    <row r="122" spans="1:9" x14ac:dyDescent="0.2">
      <c r="A122" t="s">
        <v>55</v>
      </c>
      <c r="B122" t="s">
        <v>96</v>
      </c>
      <c r="C122" s="44" t="s">
        <v>188</v>
      </c>
      <c r="D122" s="44">
        <v>759694.90400399989</v>
      </c>
      <c r="E122" s="44">
        <v>759694.90400399989</v>
      </c>
      <c r="F122" s="44">
        <v>839582.5880039999</v>
      </c>
      <c r="G122" s="44">
        <v>384.46098380769229</v>
      </c>
      <c r="H122" s="44">
        <v>384.46098380769229</v>
      </c>
      <c r="I122" s="44">
        <v>424.88997368623478</v>
      </c>
    </row>
    <row r="123" spans="1:9" x14ac:dyDescent="0.2">
      <c r="A123" t="s">
        <v>33</v>
      </c>
      <c r="B123" t="s">
        <v>32</v>
      </c>
      <c r="C123" s="44" t="s">
        <v>189</v>
      </c>
      <c r="D123" s="78">
        <v>242254.96103846154</v>
      </c>
      <c r="E123" s="78">
        <v>242777.29053846153</v>
      </c>
      <c r="F123" s="78">
        <v>243252.1355384615</v>
      </c>
      <c r="G123" s="78">
        <v>122.59866449314855</v>
      </c>
      <c r="H123" s="78">
        <v>122.86300128464651</v>
      </c>
      <c r="I123" s="78">
        <v>123.10330745873559</v>
      </c>
    </row>
    <row r="124" spans="1:9" x14ac:dyDescent="0.2">
      <c r="A124" t="s">
        <v>40</v>
      </c>
      <c r="B124" t="s">
        <v>32</v>
      </c>
      <c r="C124" s="44" t="s">
        <v>189</v>
      </c>
      <c r="D124" s="78">
        <v>262182.10320000007</v>
      </c>
      <c r="E124" s="78">
        <v>262742.43440000003</v>
      </c>
      <c r="F124" s="78">
        <v>263251.82640000002</v>
      </c>
      <c r="G124" s="78">
        <v>132.68325060728748</v>
      </c>
      <c r="H124" s="78">
        <v>132.9668190283401</v>
      </c>
      <c r="I124" s="78">
        <v>133.22460850202432</v>
      </c>
    </row>
    <row r="125" spans="1:9" x14ac:dyDescent="0.2">
      <c r="A125" t="s">
        <v>47</v>
      </c>
      <c r="B125" t="s">
        <v>32</v>
      </c>
      <c r="C125" s="44" t="s">
        <v>189</v>
      </c>
      <c r="D125" s="78">
        <v>197898.90390384616</v>
      </c>
      <c r="E125" s="78">
        <v>198325.59665384615</v>
      </c>
      <c r="F125" s="78">
        <v>198713.49915384615</v>
      </c>
      <c r="G125" s="78">
        <v>100.15126715781689</v>
      </c>
      <c r="H125" s="78">
        <v>100.3672047843351</v>
      </c>
      <c r="I125" s="78">
        <v>100.56351171753347</v>
      </c>
    </row>
    <row r="126" spans="1:9" x14ac:dyDescent="0.2">
      <c r="A126" t="s">
        <v>50</v>
      </c>
      <c r="B126" t="s">
        <v>32</v>
      </c>
      <c r="C126" s="44" t="s">
        <v>189</v>
      </c>
      <c r="D126" s="78">
        <v>259835.6578076923</v>
      </c>
      <c r="E126" s="78">
        <v>260395.89330769231</v>
      </c>
      <c r="F126" s="78">
        <v>260905.19830769234</v>
      </c>
      <c r="G126" s="78">
        <v>131.49577824275926</v>
      </c>
      <c r="H126" s="78">
        <v>131.77929823263781</v>
      </c>
      <c r="I126" s="78">
        <v>132.03704367798196</v>
      </c>
    </row>
    <row r="127" spans="1:9" x14ac:dyDescent="0.2">
      <c r="A127" t="s">
        <v>55</v>
      </c>
      <c r="B127" t="s">
        <v>32</v>
      </c>
      <c r="C127" s="44" t="s">
        <v>189</v>
      </c>
      <c r="D127" s="78">
        <v>784694.37045000005</v>
      </c>
      <c r="E127" s="78">
        <v>786323.73390000011</v>
      </c>
      <c r="F127" s="78">
        <v>787804.97340000002</v>
      </c>
      <c r="G127" s="78">
        <v>397.11253565283403</v>
      </c>
      <c r="H127" s="78">
        <v>397.93711229757093</v>
      </c>
      <c r="I127" s="78">
        <v>398.68672742914981</v>
      </c>
    </row>
    <row r="128" spans="1:9" x14ac:dyDescent="0.2">
      <c r="A128" t="s">
        <v>33</v>
      </c>
      <c r="B128" t="s">
        <v>62</v>
      </c>
      <c r="C128" s="44" t="s">
        <v>189</v>
      </c>
      <c r="D128" s="78">
        <v>183496.48765384615</v>
      </c>
      <c r="E128" s="78">
        <v>183923.68915384618</v>
      </c>
      <c r="F128" s="78">
        <v>184312.05415384617</v>
      </c>
      <c r="G128" s="78">
        <v>92.862594966521328</v>
      </c>
      <c r="H128" s="78">
        <v>93.078790057614455</v>
      </c>
      <c r="I128" s="78">
        <v>93.275331049517291</v>
      </c>
    </row>
    <row r="129" spans="1:9" x14ac:dyDescent="0.2">
      <c r="A129" t="s">
        <v>40</v>
      </c>
      <c r="B129" t="s">
        <v>62</v>
      </c>
      <c r="C129" s="44" t="s">
        <v>189</v>
      </c>
      <c r="D129" s="78">
        <v>248258.83361538462</v>
      </c>
      <c r="E129" s="78">
        <v>248832.14261538463</v>
      </c>
      <c r="F129" s="78">
        <v>249353.33261538463</v>
      </c>
      <c r="G129" s="78">
        <v>125.63706154624728</v>
      </c>
      <c r="H129" s="78">
        <v>125.92719767985052</v>
      </c>
      <c r="I129" s="78">
        <v>126.190957801308</v>
      </c>
    </row>
    <row r="130" spans="1:9" x14ac:dyDescent="0.2">
      <c r="A130" t="s">
        <v>47</v>
      </c>
      <c r="B130" t="s">
        <v>62</v>
      </c>
      <c r="C130" s="44" t="s">
        <v>189</v>
      </c>
      <c r="D130" s="78">
        <v>149716.20007692307</v>
      </c>
      <c r="E130" s="78">
        <v>150064.75707692307</v>
      </c>
      <c r="F130" s="78">
        <v>150381.62707692309</v>
      </c>
      <c r="G130" s="78">
        <v>75.767307731236372</v>
      </c>
      <c r="H130" s="78">
        <v>75.94370297415135</v>
      </c>
      <c r="I130" s="78">
        <v>76.104062285892255</v>
      </c>
    </row>
    <row r="131" spans="1:9" x14ac:dyDescent="0.2">
      <c r="A131" t="s">
        <v>50</v>
      </c>
      <c r="B131" t="s">
        <v>62</v>
      </c>
      <c r="C131" s="44" t="s">
        <v>189</v>
      </c>
      <c r="D131" s="78">
        <v>216368.42355769229</v>
      </c>
      <c r="E131" s="78">
        <v>216872.15480769228</v>
      </c>
      <c r="F131" s="78">
        <v>217330.09230769228</v>
      </c>
      <c r="G131" s="78">
        <v>109.49819005956088</v>
      </c>
      <c r="H131" s="78">
        <v>109.75311478122079</v>
      </c>
      <c r="I131" s="78">
        <v>109.98486452818435</v>
      </c>
    </row>
    <row r="132" spans="1:9" x14ac:dyDescent="0.2">
      <c r="A132" t="s">
        <v>55</v>
      </c>
      <c r="B132" t="s">
        <v>62</v>
      </c>
      <c r="C132" s="44" t="s">
        <v>189</v>
      </c>
      <c r="D132" s="78">
        <v>841014.91789423081</v>
      </c>
      <c r="E132" s="78">
        <v>842427.43064423092</v>
      </c>
      <c r="F132" s="78">
        <v>843711.53314423084</v>
      </c>
      <c r="G132" s="78">
        <v>425.61483699100745</v>
      </c>
      <c r="H132" s="78">
        <v>426.32967137865938</v>
      </c>
      <c r="I132" s="78">
        <v>426.97952082197918</v>
      </c>
    </row>
    <row r="133" spans="1:9" x14ac:dyDescent="0.2">
      <c r="A133" t="s">
        <v>33</v>
      </c>
      <c r="B133" t="s">
        <v>74</v>
      </c>
      <c r="C133" s="44" t="s">
        <v>189</v>
      </c>
      <c r="D133" s="78">
        <v>183412.76337999996</v>
      </c>
      <c r="E133" s="78">
        <v>183839.76995999998</v>
      </c>
      <c r="F133" s="78">
        <v>184227.95775999996</v>
      </c>
      <c r="G133" s="78">
        <v>92.820224382591078</v>
      </c>
      <c r="H133" s="78">
        <v>93.036320829959507</v>
      </c>
      <c r="I133" s="78">
        <v>93.232772145748967</v>
      </c>
    </row>
    <row r="134" spans="1:9" x14ac:dyDescent="0.2">
      <c r="A134" t="s">
        <v>40</v>
      </c>
      <c r="B134" t="s">
        <v>74</v>
      </c>
      <c r="C134" s="44" t="s">
        <v>189</v>
      </c>
      <c r="D134" s="78">
        <v>262485.21063999995</v>
      </c>
      <c r="E134" s="78">
        <v>263051.15888</v>
      </c>
      <c r="F134" s="78">
        <v>263565.65727999998</v>
      </c>
      <c r="G134" s="78">
        <v>132.83664506072873</v>
      </c>
      <c r="H134" s="78">
        <v>133.12305611336032</v>
      </c>
      <c r="I134" s="78">
        <v>133.38342979757084</v>
      </c>
    </row>
    <row r="135" spans="1:9" x14ac:dyDescent="0.2">
      <c r="A135" t="s">
        <v>47</v>
      </c>
      <c r="B135" t="s">
        <v>74</v>
      </c>
      <c r="C135" s="44" t="s">
        <v>189</v>
      </c>
      <c r="D135" s="78">
        <v>136886.06933999999</v>
      </c>
      <c r="E135" s="78">
        <v>137204.75628</v>
      </c>
      <c r="F135" s="78">
        <v>137494.47167999999</v>
      </c>
      <c r="G135" s="78">
        <v>69.274326589068821</v>
      </c>
      <c r="H135" s="78">
        <v>69.435605404858308</v>
      </c>
      <c r="I135" s="78">
        <v>69.58222251012144</v>
      </c>
    </row>
    <row r="136" spans="1:9" x14ac:dyDescent="0.2">
      <c r="A136" t="s">
        <v>50</v>
      </c>
      <c r="B136" t="s">
        <v>74</v>
      </c>
      <c r="C136" s="44" t="s">
        <v>189</v>
      </c>
      <c r="D136" s="78">
        <v>230687.97474999999</v>
      </c>
      <c r="E136" s="78">
        <v>231185.3645</v>
      </c>
      <c r="F136" s="78">
        <v>231637.53700000001</v>
      </c>
      <c r="G136" s="78">
        <v>116.74492649291498</v>
      </c>
      <c r="H136" s="78">
        <v>116.99664195344128</v>
      </c>
      <c r="I136" s="78">
        <v>117.22547419028339</v>
      </c>
    </row>
    <row r="137" spans="1:9" x14ac:dyDescent="0.2">
      <c r="A137" t="s">
        <v>55</v>
      </c>
      <c r="B137" t="s">
        <v>74</v>
      </c>
      <c r="C137" s="44" t="s">
        <v>189</v>
      </c>
      <c r="D137" s="78">
        <v>616369.42925000004</v>
      </c>
      <c r="E137" s="78">
        <v>617527.22875000001</v>
      </c>
      <c r="F137" s="78">
        <v>618579.77375000005</v>
      </c>
      <c r="G137" s="78">
        <v>311.92784881072879</v>
      </c>
      <c r="H137" s="78">
        <v>312.51377973178137</v>
      </c>
      <c r="I137" s="78">
        <v>313.0464442054656</v>
      </c>
    </row>
    <row r="138" spans="1:9" x14ac:dyDescent="0.2">
      <c r="A138" t="s">
        <v>33</v>
      </c>
      <c r="B138" t="s">
        <v>82</v>
      </c>
      <c r="C138" s="44" t="s">
        <v>189</v>
      </c>
      <c r="D138" s="78">
        <v>167658.6503076923</v>
      </c>
      <c r="E138" s="78">
        <v>168044.7283076923</v>
      </c>
      <c r="F138" s="78">
        <v>168395.70830769232</v>
      </c>
      <c r="G138" s="78">
        <v>84.847495094985973</v>
      </c>
      <c r="H138" s="78">
        <v>85.042878698224854</v>
      </c>
      <c r="I138" s="78">
        <v>85.220500155714731</v>
      </c>
    </row>
    <row r="139" spans="1:9" x14ac:dyDescent="0.2">
      <c r="A139" t="s">
        <v>40</v>
      </c>
      <c r="B139" t="s">
        <v>82</v>
      </c>
      <c r="C139" s="44" t="s">
        <v>189</v>
      </c>
      <c r="D139" s="78">
        <v>248234.99540384614</v>
      </c>
      <c r="E139" s="78">
        <v>248808.66465384612</v>
      </c>
      <c r="F139" s="78">
        <v>249330.18215384614</v>
      </c>
      <c r="G139" s="78">
        <v>125.6249976740112</v>
      </c>
      <c r="H139" s="78">
        <v>125.91531612036746</v>
      </c>
      <c r="I139" s="78">
        <v>126.17924198069137</v>
      </c>
    </row>
    <row r="140" spans="1:9" x14ac:dyDescent="0.2">
      <c r="A140" t="s">
        <v>47</v>
      </c>
      <c r="B140" t="s">
        <v>82</v>
      </c>
      <c r="C140" s="44" t="s">
        <v>189</v>
      </c>
      <c r="D140" s="78">
        <v>152554.49836538458</v>
      </c>
      <c r="E140" s="78">
        <v>152905.41211538459</v>
      </c>
      <c r="F140" s="78">
        <v>153224.4246153846</v>
      </c>
      <c r="G140" s="78">
        <v>77.203693504749296</v>
      </c>
      <c r="H140" s="78">
        <v>77.38128143491123</v>
      </c>
      <c r="I140" s="78">
        <v>77.542725007785734</v>
      </c>
    </row>
    <row r="141" spans="1:9" x14ac:dyDescent="0.2">
      <c r="A141" t="s">
        <v>50</v>
      </c>
      <c r="B141" t="s">
        <v>82</v>
      </c>
      <c r="C141" s="44" t="s">
        <v>189</v>
      </c>
      <c r="D141" s="78">
        <v>248234.99540384614</v>
      </c>
      <c r="E141" s="78">
        <v>248808.66465384612</v>
      </c>
      <c r="F141" s="78">
        <v>249330.18215384614</v>
      </c>
      <c r="G141" s="78">
        <v>125.6249976740112</v>
      </c>
      <c r="H141" s="78">
        <v>125.91531612036746</v>
      </c>
      <c r="I141" s="78">
        <v>126.17924198069137</v>
      </c>
    </row>
    <row r="142" spans="1:9" x14ac:dyDescent="0.2">
      <c r="A142" t="s">
        <v>55</v>
      </c>
      <c r="B142" t="s">
        <v>82</v>
      </c>
      <c r="C142" s="44" t="s">
        <v>189</v>
      </c>
      <c r="D142" s="78">
        <v>667686.28476923076</v>
      </c>
      <c r="E142" s="78">
        <v>668927.89876923081</v>
      </c>
      <c r="F142" s="78">
        <v>670056.63876923081</v>
      </c>
      <c r="G142" s="78">
        <v>337.89791739333538</v>
      </c>
      <c r="H142" s="78">
        <v>338.52626455932733</v>
      </c>
      <c r="I142" s="78">
        <v>339.09748925568363</v>
      </c>
    </row>
    <row r="143" spans="1:9" x14ac:dyDescent="0.2">
      <c r="A143" t="s">
        <v>33</v>
      </c>
      <c r="B143" t="s">
        <v>88</v>
      </c>
      <c r="C143" s="44" t="s">
        <v>189</v>
      </c>
      <c r="D143" s="78">
        <v>183972.97938461538</v>
      </c>
      <c r="E143" s="78">
        <v>184365.50338461538</v>
      </c>
      <c r="F143" s="78">
        <v>184722.34338461538</v>
      </c>
      <c r="G143" s="78">
        <v>93.103734506384299</v>
      </c>
      <c r="H143" s="78">
        <v>93.302380255372157</v>
      </c>
      <c r="I143" s="78">
        <v>93.482967299906576</v>
      </c>
    </row>
    <row r="144" spans="1:9" x14ac:dyDescent="0.2">
      <c r="A144" t="s">
        <v>40</v>
      </c>
      <c r="B144" t="s">
        <v>88</v>
      </c>
      <c r="C144" s="44" t="s">
        <v>189</v>
      </c>
      <c r="D144" s="78">
        <v>281086.72857692302</v>
      </c>
      <c r="E144" s="78">
        <v>281686.45407692308</v>
      </c>
      <c r="F144" s="78">
        <v>282231.65907692304</v>
      </c>
      <c r="G144" s="78">
        <v>142.25036871301771</v>
      </c>
      <c r="H144" s="78">
        <v>142.55387352071006</v>
      </c>
      <c r="I144" s="78">
        <v>142.82978698224852</v>
      </c>
    </row>
    <row r="145" spans="1:9" x14ac:dyDescent="0.2">
      <c r="A145" t="s">
        <v>47</v>
      </c>
      <c r="B145" t="s">
        <v>88</v>
      </c>
      <c r="C145" s="44" t="s">
        <v>189</v>
      </c>
      <c r="D145" s="78">
        <v>163211.31623076921</v>
      </c>
      <c r="E145" s="78">
        <v>163559.54323076922</v>
      </c>
      <c r="F145" s="78">
        <v>163876.11323076923</v>
      </c>
      <c r="G145" s="78">
        <v>82.596819954842715</v>
      </c>
      <c r="H145" s="78">
        <v>82.773048193709116</v>
      </c>
      <c r="I145" s="78">
        <v>82.933255683587674</v>
      </c>
    </row>
    <row r="146" spans="1:9" x14ac:dyDescent="0.2">
      <c r="A146" t="s">
        <v>50</v>
      </c>
      <c r="B146" t="s">
        <v>88</v>
      </c>
      <c r="C146" s="44" t="s">
        <v>189</v>
      </c>
      <c r="D146" s="78">
        <v>223704.72934615385</v>
      </c>
      <c r="E146" s="78">
        <v>224182.02484615386</v>
      </c>
      <c r="F146" s="78">
        <v>224615.92984615386</v>
      </c>
      <c r="G146" s="78">
        <v>113.21089541809407</v>
      </c>
      <c r="H146" s="78">
        <v>113.45244172376208</v>
      </c>
      <c r="I146" s="78">
        <v>113.67202927436935</v>
      </c>
    </row>
    <row r="147" spans="1:9" x14ac:dyDescent="0.2">
      <c r="A147" t="s">
        <v>55</v>
      </c>
      <c r="B147" t="s">
        <v>88</v>
      </c>
      <c r="C147" s="44" t="s">
        <v>189</v>
      </c>
      <c r="D147" s="78">
        <v>837178.98184615374</v>
      </c>
      <c r="E147" s="78">
        <v>839060.72984615387</v>
      </c>
      <c r="F147" s="78">
        <v>840771.40984615381</v>
      </c>
      <c r="G147" s="78">
        <v>423.67357380878229</v>
      </c>
      <c r="H147" s="78">
        <v>424.62587542821552</v>
      </c>
      <c r="I147" s="78">
        <v>425.49160417315471</v>
      </c>
    </row>
    <row r="148" spans="1:9" x14ac:dyDescent="0.2">
      <c r="A148" t="s">
        <v>33</v>
      </c>
      <c r="B148" t="s">
        <v>96</v>
      </c>
      <c r="C148" s="44" t="s">
        <v>189</v>
      </c>
      <c r="D148" s="44">
        <v>191835.03432215384</v>
      </c>
      <c r="E148" s="44">
        <v>192266.06223815383</v>
      </c>
      <c r="F148" s="44">
        <v>192657.90579815384</v>
      </c>
      <c r="G148" s="44">
        <v>97.08250724805356</v>
      </c>
      <c r="H148" s="44">
        <v>97.300638784490801</v>
      </c>
      <c r="I148" s="44">
        <v>97.498940181251939</v>
      </c>
    </row>
    <row r="149" spans="1:9" x14ac:dyDescent="0.2">
      <c r="A149" t="s">
        <v>40</v>
      </c>
      <c r="B149" t="s">
        <v>96</v>
      </c>
      <c r="C149" s="44" t="s">
        <v>189</v>
      </c>
      <c r="D149" s="44">
        <v>260440.49646538461</v>
      </c>
      <c r="E149" s="44">
        <v>261015.09310338466</v>
      </c>
      <c r="F149" s="44">
        <v>261537.45368338464</v>
      </c>
      <c r="G149" s="44">
        <v>131.80187068086266</v>
      </c>
      <c r="H149" s="44">
        <v>132.0926584531299</v>
      </c>
      <c r="I149" s="44">
        <v>132.35701097337278</v>
      </c>
    </row>
    <row r="150" spans="1:9" x14ac:dyDescent="0.2">
      <c r="A150" t="s">
        <v>47</v>
      </c>
      <c r="B150" t="s">
        <v>96</v>
      </c>
      <c r="C150" s="44" t="s">
        <v>189</v>
      </c>
      <c r="D150" s="44">
        <v>159668.2184910769</v>
      </c>
      <c r="E150" s="44">
        <v>160026.83397907691</v>
      </c>
      <c r="F150" s="44">
        <v>160352.84805907693</v>
      </c>
      <c r="G150" s="44">
        <v>80.803754297103694</v>
      </c>
      <c r="H150" s="44">
        <v>80.985239867953894</v>
      </c>
      <c r="I150" s="44">
        <v>81.150226750545002</v>
      </c>
    </row>
    <row r="151" spans="1:9" x14ac:dyDescent="0.2">
      <c r="A151" t="s">
        <v>50</v>
      </c>
      <c r="B151" t="s">
        <v>96</v>
      </c>
      <c r="C151" s="44" t="s">
        <v>189</v>
      </c>
      <c r="D151" s="44">
        <v>236033.11271153847</v>
      </c>
      <c r="E151" s="44">
        <v>236555.57696153846</v>
      </c>
      <c r="F151" s="44">
        <v>237030.54446153849</v>
      </c>
      <c r="G151" s="44">
        <v>119.44995582567736</v>
      </c>
      <c r="H151" s="44">
        <v>119.71436081049517</v>
      </c>
      <c r="I151" s="44">
        <v>119.95472897851138</v>
      </c>
    </row>
    <row r="152" spans="1:9" x14ac:dyDescent="0.2">
      <c r="A152" t="s">
        <v>55</v>
      </c>
      <c r="B152" t="s">
        <v>96</v>
      </c>
      <c r="C152" s="44" t="s">
        <v>189</v>
      </c>
      <c r="D152" s="44">
        <v>758230.2964639999</v>
      </c>
      <c r="E152" s="44">
        <v>759694.90400399989</v>
      </c>
      <c r="F152" s="44">
        <v>761026.36540399992</v>
      </c>
      <c r="G152" s="44">
        <v>383.71978565991895</v>
      </c>
      <c r="H152" s="44">
        <v>384.46098380769229</v>
      </c>
      <c r="I152" s="44">
        <v>385.13480030566797</v>
      </c>
    </row>
    <row r="153" spans="1:9" x14ac:dyDescent="0.2">
      <c r="A153" t="s">
        <v>33</v>
      </c>
      <c r="B153" t="s">
        <v>32</v>
      </c>
      <c r="C153" s="44" t="s">
        <v>190</v>
      </c>
      <c r="D153" s="78">
        <v>242777.29053846153</v>
      </c>
      <c r="E153" s="78">
        <v>242777.29053846153</v>
      </c>
      <c r="F153" s="78">
        <v>261771.09053846152</v>
      </c>
      <c r="G153" s="78">
        <v>122.86300128464651</v>
      </c>
      <c r="H153" s="78">
        <v>122.86300128464651</v>
      </c>
      <c r="I153" s="78">
        <v>132.47524824820925</v>
      </c>
    </row>
    <row r="154" spans="1:9" x14ac:dyDescent="0.2">
      <c r="A154" t="s">
        <v>40</v>
      </c>
      <c r="B154" t="s">
        <v>32</v>
      </c>
      <c r="C154" s="44" t="s">
        <v>190</v>
      </c>
      <c r="D154" s="78">
        <v>262742.43440000003</v>
      </c>
      <c r="E154" s="78">
        <v>262742.43440000003</v>
      </c>
      <c r="F154" s="78">
        <v>283118.11440000008</v>
      </c>
      <c r="G154" s="78">
        <v>132.9668190283401</v>
      </c>
      <c r="H154" s="78">
        <v>132.9668190283401</v>
      </c>
      <c r="I154" s="78">
        <v>143.27839797570854</v>
      </c>
    </row>
    <row r="155" spans="1:9" x14ac:dyDescent="0.2">
      <c r="A155" t="s">
        <v>47</v>
      </c>
      <c r="B155" t="s">
        <v>32</v>
      </c>
      <c r="C155" s="44" t="s">
        <v>190</v>
      </c>
      <c r="D155" s="78">
        <v>198325.59665384615</v>
      </c>
      <c r="E155" s="78">
        <v>198325.59665384615</v>
      </c>
      <c r="F155" s="78">
        <v>213841.69665384616</v>
      </c>
      <c r="G155" s="78">
        <v>100.3672047843351</v>
      </c>
      <c r="H155" s="78">
        <v>100.3672047843351</v>
      </c>
      <c r="I155" s="78">
        <v>108.21948211227031</v>
      </c>
    </row>
    <row r="156" spans="1:9" x14ac:dyDescent="0.2">
      <c r="A156" t="s">
        <v>50</v>
      </c>
      <c r="B156" t="s">
        <v>32</v>
      </c>
      <c r="C156" s="44" t="s">
        <v>190</v>
      </c>
      <c r="D156" s="78">
        <v>260395.89330769231</v>
      </c>
      <c r="E156" s="78">
        <v>260395.89330769231</v>
      </c>
      <c r="F156" s="78">
        <v>280768.09330769232</v>
      </c>
      <c r="G156" s="78">
        <v>131.77929823263781</v>
      </c>
      <c r="H156" s="78">
        <v>131.77929823263781</v>
      </c>
      <c r="I156" s="78">
        <v>142.08911604640301</v>
      </c>
    </row>
    <row r="157" spans="1:9" x14ac:dyDescent="0.2">
      <c r="A157" t="s">
        <v>55</v>
      </c>
      <c r="B157" t="s">
        <v>32</v>
      </c>
      <c r="C157" s="44" t="s">
        <v>190</v>
      </c>
      <c r="D157" s="78">
        <v>756698.94390000007</v>
      </c>
      <c r="E157" s="78">
        <v>786323.73390000011</v>
      </c>
      <c r="F157" s="78">
        <v>815948.52390000015</v>
      </c>
      <c r="G157" s="78">
        <v>382.94480966599195</v>
      </c>
      <c r="H157" s="78">
        <v>397.93711229757093</v>
      </c>
      <c r="I157" s="78">
        <v>412.92941492914986</v>
      </c>
    </row>
    <row r="158" spans="1:9" x14ac:dyDescent="0.2">
      <c r="A158" t="s">
        <v>33</v>
      </c>
      <c r="B158" t="s">
        <v>62</v>
      </c>
      <c r="C158" s="44" t="s">
        <v>190</v>
      </c>
      <c r="D158" s="78">
        <v>183923.68915384618</v>
      </c>
      <c r="E158" s="78">
        <v>183923.68915384618</v>
      </c>
      <c r="F158" s="78">
        <v>199458.28915384616</v>
      </c>
      <c r="G158" s="78">
        <v>93.078790057614455</v>
      </c>
      <c r="H158" s="78">
        <v>93.078790057614455</v>
      </c>
      <c r="I158" s="78">
        <v>100.94042973372781</v>
      </c>
    </row>
    <row r="159" spans="1:9" x14ac:dyDescent="0.2">
      <c r="A159" t="s">
        <v>40</v>
      </c>
      <c r="B159" t="s">
        <v>62</v>
      </c>
      <c r="C159" s="44" t="s">
        <v>190</v>
      </c>
      <c r="D159" s="78">
        <v>248832.14261538463</v>
      </c>
      <c r="E159" s="78">
        <v>248832.14261538463</v>
      </c>
      <c r="F159" s="78">
        <v>269679.74261538463</v>
      </c>
      <c r="G159" s="78">
        <v>125.92719767985052</v>
      </c>
      <c r="H159" s="78">
        <v>125.92719767985052</v>
      </c>
      <c r="I159" s="78">
        <v>136.47760253815014</v>
      </c>
    </row>
    <row r="160" spans="1:9" x14ac:dyDescent="0.2">
      <c r="A160" t="s">
        <v>47</v>
      </c>
      <c r="B160" t="s">
        <v>62</v>
      </c>
      <c r="C160" s="44" t="s">
        <v>190</v>
      </c>
      <c r="D160" s="78">
        <v>150064.75707692307</v>
      </c>
      <c r="E160" s="78">
        <v>150064.75707692307</v>
      </c>
      <c r="F160" s="78">
        <v>162739.55707692308</v>
      </c>
      <c r="G160" s="78">
        <v>75.94370297415135</v>
      </c>
      <c r="H160" s="78">
        <v>75.94370297415135</v>
      </c>
      <c r="I160" s="78">
        <v>82.358075443786987</v>
      </c>
    </row>
    <row r="161" spans="1:9" x14ac:dyDescent="0.2">
      <c r="A161" t="s">
        <v>50</v>
      </c>
      <c r="B161" t="s">
        <v>62</v>
      </c>
      <c r="C161" s="44" t="s">
        <v>190</v>
      </c>
      <c r="D161" s="78">
        <v>216872.15480769228</v>
      </c>
      <c r="E161" s="78">
        <v>216872.15480769228</v>
      </c>
      <c r="F161" s="78">
        <v>235189.65480769228</v>
      </c>
      <c r="G161" s="78">
        <v>109.75311478122079</v>
      </c>
      <c r="H161" s="78">
        <v>109.75311478122079</v>
      </c>
      <c r="I161" s="78">
        <v>119.02310465976329</v>
      </c>
    </row>
    <row r="162" spans="1:9" x14ac:dyDescent="0.2">
      <c r="A162" t="s">
        <v>55</v>
      </c>
      <c r="B162" t="s">
        <v>62</v>
      </c>
      <c r="C162" s="44" t="s">
        <v>190</v>
      </c>
      <c r="D162" s="78">
        <v>816745.38064423087</v>
      </c>
      <c r="E162" s="78">
        <v>842427.43064423092</v>
      </c>
      <c r="F162" s="78">
        <v>868109.48064423096</v>
      </c>
      <c r="G162" s="78">
        <v>413.33268251226258</v>
      </c>
      <c r="H162" s="78">
        <v>426.32967137865938</v>
      </c>
      <c r="I162" s="78">
        <v>439.32666024505613</v>
      </c>
    </row>
    <row r="163" spans="1:9" x14ac:dyDescent="0.2">
      <c r="A163" t="s">
        <v>33</v>
      </c>
      <c r="B163" t="s">
        <v>74</v>
      </c>
      <c r="C163" s="44" t="s">
        <v>190</v>
      </c>
      <c r="D163" s="78">
        <v>183839.76995999998</v>
      </c>
      <c r="E163" s="78">
        <v>183839.76995999998</v>
      </c>
      <c r="F163" s="78">
        <v>199367.28195999999</v>
      </c>
      <c r="G163" s="78">
        <v>93.036320829959507</v>
      </c>
      <c r="H163" s="78">
        <v>93.036320829959507</v>
      </c>
      <c r="I163" s="78">
        <v>100.89437346153845</v>
      </c>
    </row>
    <row r="164" spans="1:9" x14ac:dyDescent="0.2">
      <c r="A164" t="s">
        <v>40</v>
      </c>
      <c r="B164" t="s">
        <v>74</v>
      </c>
      <c r="C164" s="44" t="s">
        <v>190</v>
      </c>
      <c r="D164" s="78">
        <v>263051.15888</v>
      </c>
      <c r="E164" s="78">
        <v>263051.15888</v>
      </c>
      <c r="F164" s="78">
        <v>283631.09487999999</v>
      </c>
      <c r="G164" s="78">
        <v>133.12305611336032</v>
      </c>
      <c r="H164" s="78">
        <v>133.12305611336032</v>
      </c>
      <c r="I164" s="78">
        <v>143.53800348178137</v>
      </c>
    </row>
    <row r="165" spans="1:9" x14ac:dyDescent="0.2">
      <c r="A165" t="s">
        <v>47</v>
      </c>
      <c r="B165" t="s">
        <v>74</v>
      </c>
      <c r="C165" s="44" t="s">
        <v>190</v>
      </c>
      <c r="D165" s="78">
        <v>137204.75628</v>
      </c>
      <c r="E165" s="78">
        <v>137204.75628</v>
      </c>
      <c r="F165" s="78">
        <v>148793.37228000001</v>
      </c>
      <c r="G165" s="78">
        <v>69.435605404858308</v>
      </c>
      <c r="H165" s="78">
        <v>69.435605404858308</v>
      </c>
      <c r="I165" s="78">
        <v>75.300289615384628</v>
      </c>
    </row>
    <row r="166" spans="1:9" x14ac:dyDescent="0.2">
      <c r="A166" t="s">
        <v>50</v>
      </c>
      <c r="B166" t="s">
        <v>74</v>
      </c>
      <c r="C166" s="44" t="s">
        <v>190</v>
      </c>
      <c r="D166" s="78">
        <v>231185.3645</v>
      </c>
      <c r="E166" s="78">
        <v>231185.3645</v>
      </c>
      <c r="F166" s="78">
        <v>249272.26449999999</v>
      </c>
      <c r="G166" s="78">
        <v>116.99664195344128</v>
      </c>
      <c r="H166" s="78">
        <v>116.99664195344128</v>
      </c>
      <c r="I166" s="78">
        <v>126.14993142712549</v>
      </c>
    </row>
    <row r="167" spans="1:9" x14ac:dyDescent="0.2">
      <c r="A167" t="s">
        <v>55</v>
      </c>
      <c r="B167" t="s">
        <v>74</v>
      </c>
      <c r="C167" s="44" t="s">
        <v>190</v>
      </c>
      <c r="D167" s="78">
        <v>596476.3287500001</v>
      </c>
      <c r="E167" s="78">
        <v>617527.22875000001</v>
      </c>
      <c r="F167" s="78">
        <v>638578.12875000003</v>
      </c>
      <c r="G167" s="78">
        <v>301.86049025809717</v>
      </c>
      <c r="H167" s="78">
        <v>312.51377973178137</v>
      </c>
      <c r="I167" s="78">
        <v>323.16706920546562</v>
      </c>
    </row>
    <row r="168" spans="1:9" x14ac:dyDescent="0.2">
      <c r="A168" t="s">
        <v>33</v>
      </c>
      <c r="B168" t="s">
        <v>82</v>
      </c>
      <c r="C168" s="44" t="s">
        <v>190</v>
      </c>
      <c r="D168" s="78">
        <v>168044.7283076923</v>
      </c>
      <c r="E168" s="78">
        <v>168044.7283076923</v>
      </c>
      <c r="F168" s="78">
        <v>182083.92830769229</v>
      </c>
      <c r="G168" s="78">
        <v>85.042878698224854</v>
      </c>
      <c r="H168" s="78">
        <v>85.042878698224854</v>
      </c>
      <c r="I168" s="78">
        <v>92.14773699781999</v>
      </c>
    </row>
    <row r="169" spans="1:9" x14ac:dyDescent="0.2">
      <c r="A169" t="s">
        <v>40</v>
      </c>
      <c r="B169" t="s">
        <v>82</v>
      </c>
      <c r="C169" s="44" t="s">
        <v>190</v>
      </c>
      <c r="D169" s="78">
        <v>248808.66465384612</v>
      </c>
      <c r="E169" s="78">
        <v>248808.66465384612</v>
      </c>
      <c r="F169" s="78">
        <v>269669.36465384613</v>
      </c>
      <c r="G169" s="78">
        <v>125.91531612036746</v>
      </c>
      <c r="H169" s="78">
        <v>125.91531612036746</v>
      </c>
      <c r="I169" s="78">
        <v>136.47235053332292</v>
      </c>
    </row>
    <row r="170" spans="1:9" x14ac:dyDescent="0.2">
      <c r="A170" t="s">
        <v>47</v>
      </c>
      <c r="B170" t="s">
        <v>82</v>
      </c>
      <c r="C170" s="44" t="s">
        <v>190</v>
      </c>
      <c r="D170" s="78">
        <v>152905.41211538459</v>
      </c>
      <c r="E170" s="78">
        <v>152905.41211538459</v>
      </c>
      <c r="F170" s="78">
        <v>165665.91211538459</v>
      </c>
      <c r="G170" s="78">
        <v>77.38128143491123</v>
      </c>
      <c r="H170" s="78">
        <v>77.38128143491123</v>
      </c>
      <c r="I170" s="78">
        <v>83.839024349890991</v>
      </c>
    </row>
    <row r="171" spans="1:9" x14ac:dyDescent="0.2">
      <c r="A171" t="s">
        <v>50</v>
      </c>
      <c r="B171" t="s">
        <v>82</v>
      </c>
      <c r="C171" s="44" t="s">
        <v>190</v>
      </c>
      <c r="D171" s="78">
        <v>248808.66465384612</v>
      </c>
      <c r="E171" s="78">
        <v>248808.66465384612</v>
      </c>
      <c r="F171" s="78">
        <v>269669.36465384613</v>
      </c>
      <c r="G171" s="78">
        <v>125.91531612036746</v>
      </c>
      <c r="H171" s="78">
        <v>125.91531612036746</v>
      </c>
      <c r="I171" s="78">
        <v>136.47235053332292</v>
      </c>
    </row>
    <row r="172" spans="1:9" x14ac:dyDescent="0.2">
      <c r="A172" t="s">
        <v>55</v>
      </c>
      <c r="B172" t="s">
        <v>82</v>
      </c>
      <c r="C172" s="44" t="s">
        <v>190</v>
      </c>
      <c r="D172" s="78">
        <v>646353.09876923077</v>
      </c>
      <c r="E172" s="78">
        <v>668927.89876923081</v>
      </c>
      <c r="F172" s="78">
        <v>691502.69876923074</v>
      </c>
      <c r="G172" s="78">
        <v>327.10177063220181</v>
      </c>
      <c r="H172" s="78">
        <v>338.52626455932733</v>
      </c>
      <c r="I172" s="78">
        <v>349.9507584864528</v>
      </c>
    </row>
    <row r="173" spans="1:9" x14ac:dyDescent="0.2">
      <c r="A173" t="s">
        <v>33</v>
      </c>
      <c r="B173" t="s">
        <v>88</v>
      </c>
      <c r="C173" s="44" t="s">
        <v>190</v>
      </c>
      <c r="D173" s="78">
        <v>184365.50338461538</v>
      </c>
      <c r="E173" s="78">
        <v>184365.50338461538</v>
      </c>
      <c r="F173" s="78">
        <v>198639.10338461539</v>
      </c>
      <c r="G173" s="78">
        <v>93.302380255372157</v>
      </c>
      <c r="H173" s="78">
        <v>93.302380255372157</v>
      </c>
      <c r="I173" s="78">
        <v>100.52586203674868</v>
      </c>
    </row>
    <row r="174" spans="1:9" x14ac:dyDescent="0.2">
      <c r="A174" t="s">
        <v>40</v>
      </c>
      <c r="B174" t="s">
        <v>88</v>
      </c>
      <c r="C174" s="44" t="s">
        <v>190</v>
      </c>
      <c r="D174" s="78">
        <v>281686.45407692308</v>
      </c>
      <c r="E174" s="78">
        <v>281686.45407692308</v>
      </c>
      <c r="F174" s="78">
        <v>303494.65407692303</v>
      </c>
      <c r="G174" s="78">
        <v>142.55387352071006</v>
      </c>
      <c r="H174" s="78">
        <v>142.55387352071006</v>
      </c>
      <c r="I174" s="78">
        <v>153.5904119822485</v>
      </c>
    </row>
    <row r="175" spans="1:9" x14ac:dyDescent="0.2">
      <c r="A175" t="s">
        <v>47</v>
      </c>
      <c r="B175" t="s">
        <v>88</v>
      </c>
      <c r="C175" s="44" t="s">
        <v>190</v>
      </c>
      <c r="D175" s="78">
        <v>163559.54323076922</v>
      </c>
      <c r="E175" s="78">
        <v>163559.54323076922</v>
      </c>
      <c r="F175" s="78">
        <v>176222.34323076921</v>
      </c>
      <c r="G175" s="78">
        <v>82.773048193709116</v>
      </c>
      <c r="H175" s="78">
        <v>82.773048193709116</v>
      </c>
      <c r="I175" s="78">
        <v>89.181347788850815</v>
      </c>
    </row>
    <row r="176" spans="1:9" x14ac:dyDescent="0.2">
      <c r="A176" t="s">
        <v>50</v>
      </c>
      <c r="B176" t="s">
        <v>88</v>
      </c>
      <c r="C176" s="44" t="s">
        <v>190</v>
      </c>
      <c r="D176" s="78">
        <v>224182.02484615386</v>
      </c>
      <c r="E176" s="78">
        <v>224182.02484615386</v>
      </c>
      <c r="F176" s="78">
        <v>241538.22484615387</v>
      </c>
      <c r="G176" s="78">
        <v>113.45244172376208</v>
      </c>
      <c r="H176" s="78">
        <v>113.45244172376208</v>
      </c>
      <c r="I176" s="78">
        <v>122.23594374805357</v>
      </c>
    </row>
    <row r="177" spans="1:9" x14ac:dyDescent="0.2">
      <c r="A177" t="s">
        <v>55</v>
      </c>
      <c r="B177" t="s">
        <v>88</v>
      </c>
      <c r="C177" s="44" t="s">
        <v>190</v>
      </c>
      <c r="D177" s="78">
        <v>804847.12984615378</v>
      </c>
      <c r="E177" s="78">
        <v>839060.72984615387</v>
      </c>
      <c r="F177" s="78">
        <v>873274.32984615385</v>
      </c>
      <c r="G177" s="78">
        <v>407.31130052943007</v>
      </c>
      <c r="H177" s="78">
        <v>424.62587542821552</v>
      </c>
      <c r="I177" s="78">
        <v>441.94045032700092</v>
      </c>
    </row>
    <row r="178" spans="1:9" x14ac:dyDescent="0.2">
      <c r="A178" t="s">
        <v>33</v>
      </c>
      <c r="B178" t="s">
        <v>96</v>
      </c>
      <c r="C178" s="44" t="s">
        <v>190</v>
      </c>
      <c r="D178" s="44">
        <v>192266.06223815383</v>
      </c>
      <c r="E178" s="44">
        <v>192266.06223815383</v>
      </c>
      <c r="F178" s="44">
        <v>207939.80463815382</v>
      </c>
      <c r="G178" s="44">
        <v>97.300638784490801</v>
      </c>
      <c r="H178" s="44">
        <v>97.300638784490801</v>
      </c>
      <c r="I178" s="44">
        <v>105.23269465493614</v>
      </c>
    </row>
    <row r="179" spans="1:9" x14ac:dyDescent="0.2">
      <c r="A179" t="s">
        <v>40</v>
      </c>
      <c r="B179" t="s">
        <v>96</v>
      </c>
      <c r="C179" s="44" t="s">
        <v>190</v>
      </c>
      <c r="D179" s="44">
        <v>261015.09310338466</v>
      </c>
      <c r="E179" s="44">
        <v>261015.09310338466</v>
      </c>
      <c r="F179" s="44">
        <v>281909.51630338462</v>
      </c>
      <c r="G179" s="44">
        <v>132.0926584531299</v>
      </c>
      <c r="H179" s="44">
        <v>132.0926584531299</v>
      </c>
      <c r="I179" s="44">
        <v>142.66675926284648</v>
      </c>
    </row>
    <row r="180" spans="1:9" x14ac:dyDescent="0.2">
      <c r="A180" t="s">
        <v>47</v>
      </c>
      <c r="B180" t="s">
        <v>96</v>
      </c>
      <c r="C180" s="44" t="s">
        <v>190</v>
      </c>
      <c r="D180" s="44">
        <v>160026.83397907691</v>
      </c>
      <c r="E180" s="44">
        <v>160026.83397907691</v>
      </c>
      <c r="F180" s="44">
        <v>173067.39717907691</v>
      </c>
      <c r="G180" s="44">
        <v>80.985239867953894</v>
      </c>
      <c r="H180" s="44">
        <v>80.985239867953894</v>
      </c>
      <c r="I180" s="44">
        <v>87.584715171597622</v>
      </c>
    </row>
    <row r="181" spans="1:9" x14ac:dyDescent="0.2">
      <c r="A181" t="s">
        <v>50</v>
      </c>
      <c r="B181" t="s">
        <v>96</v>
      </c>
      <c r="C181" s="44" t="s">
        <v>190</v>
      </c>
      <c r="D181" s="44">
        <v>236555.57696153846</v>
      </c>
      <c r="E181" s="44">
        <v>236555.57696153846</v>
      </c>
      <c r="F181" s="44">
        <v>255554.27696153848</v>
      </c>
      <c r="G181" s="44">
        <v>119.71436081049517</v>
      </c>
      <c r="H181" s="44">
        <v>119.71436081049517</v>
      </c>
      <c r="I181" s="44">
        <v>129.32908753114293</v>
      </c>
    </row>
    <row r="182" spans="1:9" x14ac:dyDescent="0.2">
      <c r="A182" t="s">
        <v>55</v>
      </c>
      <c r="B182" t="s">
        <v>96</v>
      </c>
      <c r="C182" s="44" t="s">
        <v>190</v>
      </c>
      <c r="D182" s="44">
        <v>733065.67600399989</v>
      </c>
      <c r="E182" s="44">
        <v>759694.90400399989</v>
      </c>
      <c r="F182" s="44">
        <v>786324.1320039999</v>
      </c>
      <c r="G182" s="44">
        <v>370.98465384817808</v>
      </c>
      <c r="H182" s="44">
        <v>384.46098380769229</v>
      </c>
      <c r="I182" s="44">
        <v>397.93731376720643</v>
      </c>
    </row>
    <row r="183" spans="1:9" x14ac:dyDescent="0.2">
      <c r="A183" t="s">
        <v>33</v>
      </c>
      <c r="B183" t="s">
        <v>32</v>
      </c>
      <c r="C183" s="44" t="s">
        <v>191</v>
      </c>
      <c r="D183" s="78">
        <v>242777.29053846153</v>
      </c>
      <c r="E183" s="78">
        <v>242777.29053846153</v>
      </c>
      <c r="F183" s="78">
        <v>242777.29053846153</v>
      </c>
      <c r="G183" s="78">
        <v>122.86300128464651</v>
      </c>
      <c r="H183" s="78">
        <v>122.86300128464651</v>
      </c>
      <c r="I183" s="78">
        <v>122.86300128464651</v>
      </c>
    </row>
    <row r="184" spans="1:9" x14ac:dyDescent="0.2">
      <c r="A184" t="s">
        <v>40</v>
      </c>
      <c r="B184" t="s">
        <v>32</v>
      </c>
      <c r="C184" s="44" t="s">
        <v>191</v>
      </c>
      <c r="D184" s="78">
        <v>262742.43440000003</v>
      </c>
      <c r="E184" s="78">
        <v>262742.43440000003</v>
      </c>
      <c r="F184" s="78">
        <v>262742.43440000003</v>
      </c>
      <c r="G184" s="78">
        <v>132.9668190283401</v>
      </c>
      <c r="H184" s="78">
        <v>132.9668190283401</v>
      </c>
      <c r="I184" s="78">
        <v>132.9668190283401</v>
      </c>
    </row>
    <row r="185" spans="1:9" x14ac:dyDescent="0.2">
      <c r="A185" t="s">
        <v>47</v>
      </c>
      <c r="B185" t="s">
        <v>32</v>
      </c>
      <c r="C185" s="44" t="s">
        <v>191</v>
      </c>
      <c r="D185" s="78">
        <v>198325.59665384615</v>
      </c>
      <c r="E185" s="78">
        <v>198325.59665384615</v>
      </c>
      <c r="F185" s="78">
        <v>198325.59665384615</v>
      </c>
      <c r="G185" s="78">
        <v>100.3672047843351</v>
      </c>
      <c r="H185" s="78">
        <v>100.3672047843351</v>
      </c>
      <c r="I185" s="78">
        <v>100.3672047843351</v>
      </c>
    </row>
    <row r="186" spans="1:9" x14ac:dyDescent="0.2">
      <c r="A186" t="s">
        <v>50</v>
      </c>
      <c r="B186" t="s">
        <v>32</v>
      </c>
      <c r="C186" s="44" t="s">
        <v>191</v>
      </c>
      <c r="D186" s="78">
        <v>260395.89330769231</v>
      </c>
      <c r="E186" s="78">
        <v>260395.89330769231</v>
      </c>
      <c r="F186" s="78">
        <v>260395.89330769231</v>
      </c>
      <c r="G186" s="78">
        <v>131.77929823263781</v>
      </c>
      <c r="H186" s="78">
        <v>131.77929823263781</v>
      </c>
      <c r="I186" s="78">
        <v>131.77929823263781</v>
      </c>
    </row>
    <row r="187" spans="1:9" x14ac:dyDescent="0.2">
      <c r="A187" t="s">
        <v>55</v>
      </c>
      <c r="B187" t="s">
        <v>32</v>
      </c>
      <c r="C187" s="44" t="s">
        <v>191</v>
      </c>
      <c r="D187" s="78">
        <v>786323.73390000011</v>
      </c>
      <c r="E187" s="78">
        <v>786323.73390000011</v>
      </c>
      <c r="F187" s="78">
        <v>786323.73390000011</v>
      </c>
      <c r="G187" s="78">
        <v>397.93711229757093</v>
      </c>
      <c r="H187" s="78">
        <v>397.93711229757093</v>
      </c>
      <c r="I187" s="78">
        <v>397.93711229757093</v>
      </c>
    </row>
    <row r="188" spans="1:9" x14ac:dyDescent="0.2">
      <c r="A188" t="s">
        <v>33</v>
      </c>
      <c r="B188" t="s">
        <v>62</v>
      </c>
      <c r="C188" s="44" t="s">
        <v>191</v>
      </c>
      <c r="D188" s="78">
        <v>183923.68915384618</v>
      </c>
      <c r="E188" s="78">
        <v>183923.68915384618</v>
      </c>
      <c r="F188" s="78">
        <v>183923.68915384618</v>
      </c>
      <c r="G188" s="78">
        <v>93.078790057614455</v>
      </c>
      <c r="H188" s="78">
        <v>93.078790057614455</v>
      </c>
      <c r="I188" s="78">
        <v>93.078790057614455</v>
      </c>
    </row>
    <row r="189" spans="1:9" x14ac:dyDescent="0.2">
      <c r="A189" t="s">
        <v>40</v>
      </c>
      <c r="B189" t="s">
        <v>62</v>
      </c>
      <c r="C189" s="44" t="s">
        <v>191</v>
      </c>
      <c r="D189" s="78">
        <v>248832.14261538463</v>
      </c>
      <c r="E189" s="78">
        <v>248832.14261538463</v>
      </c>
      <c r="F189" s="78">
        <v>248832.14261538463</v>
      </c>
      <c r="G189" s="78">
        <v>125.92719767985052</v>
      </c>
      <c r="H189" s="78">
        <v>125.92719767985052</v>
      </c>
      <c r="I189" s="78">
        <v>125.92719767985052</v>
      </c>
    </row>
    <row r="190" spans="1:9" x14ac:dyDescent="0.2">
      <c r="A190" t="s">
        <v>47</v>
      </c>
      <c r="B190" t="s">
        <v>62</v>
      </c>
      <c r="C190" s="44" t="s">
        <v>191</v>
      </c>
      <c r="D190" s="78">
        <v>150064.75707692307</v>
      </c>
      <c r="E190" s="78">
        <v>150064.75707692307</v>
      </c>
      <c r="F190" s="78">
        <v>150064.75707692307</v>
      </c>
      <c r="G190" s="78">
        <v>75.94370297415135</v>
      </c>
      <c r="H190" s="78">
        <v>75.94370297415135</v>
      </c>
      <c r="I190" s="78">
        <v>75.94370297415135</v>
      </c>
    </row>
    <row r="191" spans="1:9" x14ac:dyDescent="0.2">
      <c r="A191" t="s">
        <v>50</v>
      </c>
      <c r="B191" t="s">
        <v>62</v>
      </c>
      <c r="C191" s="44" t="s">
        <v>191</v>
      </c>
      <c r="D191" s="78">
        <v>216872.15480769228</v>
      </c>
      <c r="E191" s="78">
        <v>216872.15480769228</v>
      </c>
      <c r="F191" s="78">
        <v>216872.15480769228</v>
      </c>
      <c r="G191" s="78">
        <v>109.75311478122079</v>
      </c>
      <c r="H191" s="78">
        <v>109.75311478122079</v>
      </c>
      <c r="I191" s="78">
        <v>109.75311478122079</v>
      </c>
    </row>
    <row r="192" spans="1:9" x14ac:dyDescent="0.2">
      <c r="A192" t="s">
        <v>55</v>
      </c>
      <c r="B192" t="s">
        <v>62</v>
      </c>
      <c r="C192" s="44" t="s">
        <v>191</v>
      </c>
      <c r="D192" s="78">
        <v>765381.28064423078</v>
      </c>
      <c r="E192" s="78">
        <v>842427.43064423092</v>
      </c>
      <c r="F192" s="78">
        <v>860404.86564423097</v>
      </c>
      <c r="G192" s="78">
        <v>387.33870477946903</v>
      </c>
      <c r="H192" s="78">
        <v>426.32967137865938</v>
      </c>
      <c r="I192" s="78">
        <v>435.42756358513714</v>
      </c>
    </row>
    <row r="193" spans="1:9" x14ac:dyDescent="0.2">
      <c r="A193" t="s">
        <v>33</v>
      </c>
      <c r="B193" t="s">
        <v>74</v>
      </c>
      <c r="C193" s="44" t="s">
        <v>191</v>
      </c>
      <c r="D193" s="78">
        <v>183839.76995999998</v>
      </c>
      <c r="E193" s="78">
        <v>183839.76995999998</v>
      </c>
      <c r="F193" s="78">
        <v>183839.76995999998</v>
      </c>
      <c r="G193" s="78">
        <v>93.036320829959507</v>
      </c>
      <c r="H193" s="78">
        <v>93.036320829959507</v>
      </c>
      <c r="I193" s="78">
        <v>93.036320829959507</v>
      </c>
    </row>
    <row r="194" spans="1:9" x14ac:dyDescent="0.2">
      <c r="A194" t="s">
        <v>40</v>
      </c>
      <c r="B194" t="s">
        <v>74</v>
      </c>
      <c r="C194" s="44" t="s">
        <v>191</v>
      </c>
      <c r="D194" s="78">
        <v>263051.15888</v>
      </c>
      <c r="E194" s="78">
        <v>263051.15888</v>
      </c>
      <c r="F194" s="78">
        <v>263051.15888</v>
      </c>
      <c r="G194" s="78">
        <v>133.12305611336032</v>
      </c>
      <c r="H194" s="78">
        <v>133.12305611336032</v>
      </c>
      <c r="I194" s="78">
        <v>133.12305611336032</v>
      </c>
    </row>
    <row r="195" spans="1:9" x14ac:dyDescent="0.2">
      <c r="A195" t="s">
        <v>47</v>
      </c>
      <c r="B195" t="s">
        <v>74</v>
      </c>
      <c r="C195" s="44" t="s">
        <v>191</v>
      </c>
      <c r="D195" s="78">
        <v>137204.75628</v>
      </c>
      <c r="E195" s="78">
        <v>137204.75628</v>
      </c>
      <c r="F195" s="78">
        <v>137204.75628</v>
      </c>
      <c r="G195" s="78">
        <v>69.435605404858308</v>
      </c>
      <c r="H195" s="78">
        <v>69.435605404858308</v>
      </c>
      <c r="I195" s="78">
        <v>69.435605404858308</v>
      </c>
    </row>
    <row r="196" spans="1:9" x14ac:dyDescent="0.2">
      <c r="A196" t="s">
        <v>50</v>
      </c>
      <c r="B196" t="s">
        <v>74</v>
      </c>
      <c r="C196" s="44" t="s">
        <v>191</v>
      </c>
      <c r="D196" s="78">
        <v>231185.3645</v>
      </c>
      <c r="E196" s="78">
        <v>231185.3645</v>
      </c>
      <c r="F196" s="78">
        <v>231185.3645</v>
      </c>
      <c r="G196" s="78">
        <v>116.99664195344128</v>
      </c>
      <c r="H196" s="78">
        <v>116.99664195344128</v>
      </c>
      <c r="I196" s="78">
        <v>116.99664195344128</v>
      </c>
    </row>
    <row r="197" spans="1:9" x14ac:dyDescent="0.2">
      <c r="A197" t="s">
        <v>55</v>
      </c>
      <c r="B197" t="s">
        <v>74</v>
      </c>
      <c r="C197" s="44" t="s">
        <v>191</v>
      </c>
      <c r="D197" s="78">
        <v>580898.66275000013</v>
      </c>
      <c r="E197" s="78">
        <v>617527.22875000001</v>
      </c>
      <c r="F197" s="78">
        <v>644051.36275000009</v>
      </c>
      <c r="G197" s="78">
        <v>293.97705604757095</v>
      </c>
      <c r="H197" s="78">
        <v>312.51377973178137</v>
      </c>
      <c r="I197" s="78">
        <v>325.93692446862354</v>
      </c>
    </row>
    <row r="198" spans="1:9" x14ac:dyDescent="0.2">
      <c r="A198" t="s">
        <v>33</v>
      </c>
      <c r="B198" t="s">
        <v>82</v>
      </c>
      <c r="C198" s="44" t="s">
        <v>191</v>
      </c>
      <c r="D198" s="78">
        <v>168044.7283076923</v>
      </c>
      <c r="E198" s="78">
        <v>168044.7283076923</v>
      </c>
      <c r="F198" s="78">
        <v>168044.7283076923</v>
      </c>
      <c r="G198" s="78">
        <v>85.042878698224854</v>
      </c>
      <c r="H198" s="78">
        <v>85.042878698224854</v>
      </c>
      <c r="I198" s="78">
        <v>85.042878698224854</v>
      </c>
    </row>
    <row r="199" spans="1:9" x14ac:dyDescent="0.2">
      <c r="A199" t="s">
        <v>40</v>
      </c>
      <c r="B199" t="s">
        <v>82</v>
      </c>
      <c r="C199" s="44" t="s">
        <v>191</v>
      </c>
      <c r="D199" s="78">
        <v>248808.66465384612</v>
      </c>
      <c r="E199" s="78">
        <v>248808.66465384612</v>
      </c>
      <c r="F199" s="78">
        <v>248808.66465384612</v>
      </c>
      <c r="G199" s="78">
        <v>125.91531612036746</v>
      </c>
      <c r="H199" s="78">
        <v>125.91531612036746</v>
      </c>
      <c r="I199" s="78">
        <v>125.91531612036746</v>
      </c>
    </row>
    <row r="200" spans="1:9" x14ac:dyDescent="0.2">
      <c r="A200" t="s">
        <v>47</v>
      </c>
      <c r="B200" t="s">
        <v>82</v>
      </c>
      <c r="C200" s="44" t="s">
        <v>191</v>
      </c>
      <c r="D200" s="78">
        <v>152905.41211538459</v>
      </c>
      <c r="E200" s="78">
        <v>152905.41211538459</v>
      </c>
      <c r="F200" s="78">
        <v>152905.41211538459</v>
      </c>
      <c r="G200" s="78">
        <v>77.38128143491123</v>
      </c>
      <c r="H200" s="78">
        <v>77.38128143491123</v>
      </c>
      <c r="I200" s="78">
        <v>77.38128143491123</v>
      </c>
    </row>
    <row r="201" spans="1:9" x14ac:dyDescent="0.2">
      <c r="A201" t="s">
        <v>50</v>
      </c>
      <c r="B201" t="s">
        <v>82</v>
      </c>
      <c r="C201" s="44" t="s">
        <v>191</v>
      </c>
      <c r="D201" s="78">
        <v>248808.66465384612</v>
      </c>
      <c r="E201" s="78">
        <v>248808.66465384612</v>
      </c>
      <c r="F201" s="78">
        <v>248808.66465384612</v>
      </c>
      <c r="G201" s="78">
        <v>125.91531612036746</v>
      </c>
      <c r="H201" s="78">
        <v>125.91531612036746</v>
      </c>
      <c r="I201" s="78">
        <v>125.91531612036746</v>
      </c>
    </row>
    <row r="202" spans="1:9" x14ac:dyDescent="0.2">
      <c r="A202" t="s">
        <v>55</v>
      </c>
      <c r="B202" t="s">
        <v>82</v>
      </c>
      <c r="C202" s="44" t="s">
        <v>191</v>
      </c>
      <c r="D202" s="78">
        <v>556053.89876923081</v>
      </c>
      <c r="E202" s="78">
        <v>668927.89876923081</v>
      </c>
      <c r="F202" s="78">
        <v>691502.69876923074</v>
      </c>
      <c r="G202" s="78">
        <v>281.40379492369976</v>
      </c>
      <c r="H202" s="78">
        <v>338.52626455932733</v>
      </c>
      <c r="I202" s="78">
        <v>349.9507584864528</v>
      </c>
    </row>
    <row r="203" spans="1:9" x14ac:dyDescent="0.2">
      <c r="A203" t="s">
        <v>33</v>
      </c>
      <c r="B203" t="s">
        <v>88</v>
      </c>
      <c r="C203" s="44" t="s">
        <v>191</v>
      </c>
      <c r="D203" s="78">
        <v>184365.50338461538</v>
      </c>
      <c r="E203" s="78">
        <v>184365.50338461538</v>
      </c>
      <c r="F203" s="78">
        <v>184365.50338461538</v>
      </c>
      <c r="G203" s="78">
        <v>93.302380255372157</v>
      </c>
      <c r="H203" s="78">
        <v>93.302380255372157</v>
      </c>
      <c r="I203" s="78">
        <v>93.302380255372157</v>
      </c>
    </row>
    <row r="204" spans="1:9" x14ac:dyDescent="0.2">
      <c r="A204" t="s">
        <v>40</v>
      </c>
      <c r="B204" t="s">
        <v>88</v>
      </c>
      <c r="C204" s="44" t="s">
        <v>191</v>
      </c>
      <c r="D204" s="78">
        <v>281686.45407692308</v>
      </c>
      <c r="E204" s="78">
        <v>281686.45407692308</v>
      </c>
      <c r="F204" s="78">
        <v>281686.45407692308</v>
      </c>
      <c r="G204" s="78">
        <v>142.55387352071006</v>
      </c>
      <c r="H204" s="78">
        <v>142.55387352071006</v>
      </c>
      <c r="I204" s="78">
        <v>142.55387352071006</v>
      </c>
    </row>
    <row r="205" spans="1:9" x14ac:dyDescent="0.2">
      <c r="A205" t="s">
        <v>47</v>
      </c>
      <c r="B205" t="s">
        <v>88</v>
      </c>
      <c r="C205" s="44" t="s">
        <v>191</v>
      </c>
      <c r="D205" s="78">
        <v>163559.54323076922</v>
      </c>
      <c r="E205" s="78">
        <v>163559.54323076922</v>
      </c>
      <c r="F205" s="78">
        <v>163559.54323076922</v>
      </c>
      <c r="G205" s="78">
        <v>82.773048193709116</v>
      </c>
      <c r="H205" s="78">
        <v>82.773048193709116</v>
      </c>
      <c r="I205" s="78">
        <v>82.773048193709116</v>
      </c>
    </row>
    <row r="206" spans="1:9" x14ac:dyDescent="0.2">
      <c r="A206" t="s">
        <v>50</v>
      </c>
      <c r="B206" t="s">
        <v>88</v>
      </c>
      <c r="C206" s="44" t="s">
        <v>191</v>
      </c>
      <c r="D206" s="78">
        <v>224182.02484615386</v>
      </c>
      <c r="E206" s="78">
        <v>224182.02484615386</v>
      </c>
      <c r="F206" s="78">
        <v>224182.02484615386</v>
      </c>
      <c r="G206" s="78">
        <v>113.45244172376208</v>
      </c>
      <c r="H206" s="78">
        <v>113.45244172376208</v>
      </c>
      <c r="I206" s="78">
        <v>113.45244172376208</v>
      </c>
    </row>
    <row r="207" spans="1:9" x14ac:dyDescent="0.2">
      <c r="A207" t="s">
        <v>55</v>
      </c>
      <c r="B207" t="s">
        <v>88</v>
      </c>
      <c r="C207" s="44" t="s">
        <v>191</v>
      </c>
      <c r="D207" s="78">
        <v>839060.72984615387</v>
      </c>
      <c r="E207" s="78">
        <v>839060.72984615387</v>
      </c>
      <c r="F207" s="78">
        <v>839060.72984615387</v>
      </c>
      <c r="G207" s="78">
        <v>424.62587542821552</v>
      </c>
      <c r="H207" s="78">
        <v>424.62587542821552</v>
      </c>
      <c r="I207" s="78">
        <v>424.62587542821552</v>
      </c>
    </row>
    <row r="208" spans="1:9" x14ac:dyDescent="0.2">
      <c r="A208" t="s">
        <v>33</v>
      </c>
      <c r="B208" t="s">
        <v>96</v>
      </c>
      <c r="C208" s="44" t="s">
        <v>191</v>
      </c>
      <c r="D208" s="44">
        <v>192266.06223815383</v>
      </c>
      <c r="E208" s="44">
        <v>192266.06223815383</v>
      </c>
      <c r="F208" s="44">
        <v>192266.06223815383</v>
      </c>
      <c r="G208" s="44">
        <v>97.300638784490801</v>
      </c>
      <c r="H208" s="44">
        <v>97.300638784490801</v>
      </c>
      <c r="I208" s="44">
        <v>97.300638784490801</v>
      </c>
    </row>
    <row r="209" spans="1:9" x14ac:dyDescent="0.2">
      <c r="A209" t="s">
        <v>40</v>
      </c>
      <c r="B209" t="s">
        <v>96</v>
      </c>
      <c r="C209" s="44" t="s">
        <v>191</v>
      </c>
      <c r="D209" s="44">
        <v>261015.09310338466</v>
      </c>
      <c r="E209" s="44">
        <v>261015.09310338466</v>
      </c>
      <c r="F209" s="44">
        <v>261015.09310338466</v>
      </c>
      <c r="G209" s="44">
        <v>132.0926584531299</v>
      </c>
      <c r="H209" s="44">
        <v>132.0926584531299</v>
      </c>
      <c r="I209" s="44">
        <v>132.0926584531299</v>
      </c>
    </row>
    <row r="210" spans="1:9" x14ac:dyDescent="0.2">
      <c r="A210" t="s">
        <v>47</v>
      </c>
      <c r="B210" t="s">
        <v>96</v>
      </c>
      <c r="C210" s="44" t="s">
        <v>191</v>
      </c>
      <c r="D210" s="44">
        <v>160026.83397907691</v>
      </c>
      <c r="E210" s="44">
        <v>160026.83397907691</v>
      </c>
      <c r="F210" s="44">
        <v>160026.83397907691</v>
      </c>
      <c r="G210" s="44">
        <v>80.985239867953894</v>
      </c>
      <c r="H210" s="44">
        <v>80.985239867953894</v>
      </c>
      <c r="I210" s="44">
        <v>80.985239867953894</v>
      </c>
    </row>
    <row r="211" spans="1:9" x14ac:dyDescent="0.2">
      <c r="A211" t="s">
        <v>50</v>
      </c>
      <c r="B211" t="s">
        <v>96</v>
      </c>
      <c r="C211" s="44" t="s">
        <v>191</v>
      </c>
      <c r="D211" s="44">
        <v>236555.57696153846</v>
      </c>
      <c r="E211" s="44">
        <v>236555.57696153846</v>
      </c>
      <c r="F211" s="44">
        <v>236555.57696153846</v>
      </c>
      <c r="G211" s="44">
        <v>119.71436081049517</v>
      </c>
      <c r="H211" s="44">
        <v>119.71436081049517</v>
      </c>
      <c r="I211" s="44">
        <v>119.71436081049517</v>
      </c>
    </row>
    <row r="212" spans="1:9" x14ac:dyDescent="0.2">
      <c r="A212" t="s">
        <v>55</v>
      </c>
      <c r="B212" t="s">
        <v>96</v>
      </c>
      <c r="C212" s="44" t="s">
        <v>191</v>
      </c>
      <c r="D212" s="44">
        <v>691843.63105999993</v>
      </c>
      <c r="E212" s="44">
        <v>759694.90400399989</v>
      </c>
      <c r="F212" s="44">
        <v>798360.54305999994</v>
      </c>
      <c r="G212" s="44">
        <v>350.12329507085013</v>
      </c>
      <c r="H212" s="44">
        <v>384.46098380769229</v>
      </c>
      <c r="I212" s="44">
        <v>404.02861490890683</v>
      </c>
    </row>
    <row r="213" spans="1:9" x14ac:dyDescent="0.2">
      <c r="A213" t="s">
        <v>33</v>
      </c>
      <c r="B213" t="s">
        <v>32</v>
      </c>
      <c r="C213" s="44" t="s">
        <v>192</v>
      </c>
      <c r="D213" s="78">
        <v>239358.40653846151</v>
      </c>
      <c r="E213" s="78">
        <v>242777.29053846153</v>
      </c>
      <c r="F213" s="78">
        <v>246006.23653846153</v>
      </c>
      <c r="G213" s="78">
        <v>121.13279683120523</v>
      </c>
      <c r="H213" s="78">
        <v>122.86300128464651</v>
      </c>
      <c r="I213" s="78">
        <v>124.49708326845219</v>
      </c>
    </row>
    <row r="214" spans="1:9" x14ac:dyDescent="0.2">
      <c r="A214" t="s">
        <v>40</v>
      </c>
      <c r="B214" t="s">
        <v>32</v>
      </c>
      <c r="C214" s="44" t="s">
        <v>192</v>
      </c>
      <c r="D214" s="78">
        <v>259074.81200000003</v>
      </c>
      <c r="E214" s="78">
        <v>262742.43440000003</v>
      </c>
      <c r="F214" s="78">
        <v>266206.30000000005</v>
      </c>
      <c r="G214" s="78">
        <v>131.11073481781378</v>
      </c>
      <c r="H214" s="78">
        <v>132.9668190283401</v>
      </c>
      <c r="I214" s="78">
        <v>134.71978744939275</v>
      </c>
    </row>
    <row r="215" spans="1:9" x14ac:dyDescent="0.2">
      <c r="A215" t="s">
        <v>47</v>
      </c>
      <c r="B215" t="s">
        <v>32</v>
      </c>
      <c r="C215" s="44" t="s">
        <v>192</v>
      </c>
      <c r="D215" s="78">
        <v>195532.69865384616</v>
      </c>
      <c r="E215" s="78">
        <v>198325.59665384615</v>
      </c>
      <c r="F215" s="78">
        <v>200963.33365384617</v>
      </c>
      <c r="G215" s="78">
        <v>98.953794865306762</v>
      </c>
      <c r="H215" s="78">
        <v>100.3672047843351</v>
      </c>
      <c r="I215" s="78">
        <v>101.70209193008409</v>
      </c>
    </row>
    <row r="216" spans="1:9" x14ac:dyDescent="0.2">
      <c r="A216" t="s">
        <v>50</v>
      </c>
      <c r="B216" t="s">
        <v>32</v>
      </c>
      <c r="C216" s="44" t="s">
        <v>192</v>
      </c>
      <c r="D216" s="78">
        <v>256728.89730769233</v>
      </c>
      <c r="E216" s="78">
        <v>260395.89330769231</v>
      </c>
      <c r="F216" s="78">
        <v>263859.16730769235</v>
      </c>
      <c r="G216" s="78">
        <v>129.92353102616008</v>
      </c>
      <c r="H216" s="78">
        <v>131.77929823263781</v>
      </c>
      <c r="I216" s="78">
        <v>133.53196726097792</v>
      </c>
    </row>
    <row r="217" spans="1:9" x14ac:dyDescent="0.2">
      <c r="A217" t="s">
        <v>55</v>
      </c>
      <c r="B217" t="s">
        <v>32</v>
      </c>
      <c r="C217" s="44" t="s">
        <v>192</v>
      </c>
      <c r="D217" s="78">
        <v>775658.80949999997</v>
      </c>
      <c r="E217" s="78">
        <v>786323.73390000011</v>
      </c>
      <c r="F217" s="78">
        <v>796396.16250000009</v>
      </c>
      <c r="G217" s="78">
        <v>392.53988335020239</v>
      </c>
      <c r="H217" s="78">
        <v>397.93711229757093</v>
      </c>
      <c r="I217" s="78">
        <v>403.03449519230776</v>
      </c>
    </row>
    <row r="218" spans="1:9" x14ac:dyDescent="0.2">
      <c r="A218" t="s">
        <v>33</v>
      </c>
      <c r="B218" t="s">
        <v>62</v>
      </c>
      <c r="C218" s="44" t="s">
        <v>192</v>
      </c>
      <c r="D218" s="78">
        <v>181127.46115384618</v>
      </c>
      <c r="E218" s="78">
        <v>183923.68915384618</v>
      </c>
      <c r="F218" s="78">
        <v>186564.57115384616</v>
      </c>
      <c r="G218" s="78">
        <v>91.66369491591405</v>
      </c>
      <c r="H218" s="78">
        <v>93.078790057614455</v>
      </c>
      <c r="I218" s="78">
        <v>94.415268802553726</v>
      </c>
    </row>
    <row r="219" spans="1:9" x14ac:dyDescent="0.2">
      <c r="A219" t="s">
        <v>40</v>
      </c>
      <c r="B219" t="s">
        <v>62</v>
      </c>
      <c r="C219" s="44" t="s">
        <v>192</v>
      </c>
      <c r="D219" s="78">
        <v>245079.57461538463</v>
      </c>
      <c r="E219" s="78">
        <v>248832.14261538463</v>
      </c>
      <c r="F219" s="78">
        <v>252376.23461538463</v>
      </c>
      <c r="G219" s="78">
        <v>124.02812480535658</v>
      </c>
      <c r="H219" s="78">
        <v>125.92719767985052</v>
      </c>
      <c r="I219" s="78">
        <v>127.72076650576145</v>
      </c>
    </row>
    <row r="220" spans="1:9" x14ac:dyDescent="0.2">
      <c r="A220" t="s">
        <v>47</v>
      </c>
      <c r="B220" t="s">
        <v>62</v>
      </c>
      <c r="C220" s="44" t="s">
        <v>192</v>
      </c>
      <c r="D220" s="78">
        <v>147783.29307692306</v>
      </c>
      <c r="E220" s="78">
        <v>150064.75707692307</v>
      </c>
      <c r="F220" s="78">
        <v>152219.47307692305</v>
      </c>
      <c r="G220" s="78">
        <v>74.789115929616926</v>
      </c>
      <c r="H220" s="78">
        <v>75.94370297415135</v>
      </c>
      <c r="I220" s="78">
        <v>77.034146293989394</v>
      </c>
    </row>
    <row r="221" spans="1:9" x14ac:dyDescent="0.2">
      <c r="A221" t="s">
        <v>50</v>
      </c>
      <c r="B221" t="s">
        <v>62</v>
      </c>
      <c r="C221" s="44" t="s">
        <v>192</v>
      </c>
      <c r="D221" s="78">
        <v>213575.00480769231</v>
      </c>
      <c r="E221" s="78">
        <v>216872.15480769228</v>
      </c>
      <c r="F221" s="78">
        <v>219986.12980769231</v>
      </c>
      <c r="G221" s="78">
        <v>108.08451660308315</v>
      </c>
      <c r="H221" s="78">
        <v>109.75311478122079</v>
      </c>
      <c r="I221" s="78">
        <v>111.32901306057302</v>
      </c>
    </row>
    <row r="222" spans="1:9" x14ac:dyDescent="0.2">
      <c r="A222" t="s">
        <v>55</v>
      </c>
      <c r="B222" t="s">
        <v>62</v>
      </c>
      <c r="C222" s="44" t="s">
        <v>192</v>
      </c>
      <c r="D222" s="78">
        <v>833181.89264423086</v>
      </c>
      <c r="E222" s="78">
        <v>842427.43064423092</v>
      </c>
      <c r="F222" s="78">
        <v>851159.3276442308</v>
      </c>
      <c r="G222" s="78">
        <v>421.65075538675649</v>
      </c>
      <c r="H222" s="78">
        <v>426.32967137865938</v>
      </c>
      <c r="I222" s="78">
        <v>430.74864759323418</v>
      </c>
    </row>
    <row r="223" spans="1:9" x14ac:dyDescent="0.2">
      <c r="A223" t="s">
        <v>33</v>
      </c>
      <c r="B223" t="s">
        <v>74</v>
      </c>
      <c r="C223" s="44" t="s">
        <v>192</v>
      </c>
      <c r="D223" s="78">
        <v>181044.81779999996</v>
      </c>
      <c r="E223" s="78">
        <v>183839.76995999998</v>
      </c>
      <c r="F223" s="78">
        <v>186479.44699999999</v>
      </c>
      <c r="G223" s="78">
        <v>91.621871356275278</v>
      </c>
      <c r="H223" s="78">
        <v>93.036320829959507</v>
      </c>
      <c r="I223" s="78">
        <v>94.372189777327932</v>
      </c>
    </row>
    <row r="224" spans="1:9" x14ac:dyDescent="0.2">
      <c r="A224" t="s">
        <v>40</v>
      </c>
      <c r="B224" t="s">
        <v>74</v>
      </c>
      <c r="C224" s="44" t="s">
        <v>192</v>
      </c>
      <c r="D224" s="78">
        <v>259346.77039999998</v>
      </c>
      <c r="E224" s="78">
        <v>263051.15888</v>
      </c>
      <c r="F224" s="78">
        <v>266549.74800000002</v>
      </c>
      <c r="G224" s="78">
        <v>131.24836558704453</v>
      </c>
      <c r="H224" s="78">
        <v>133.12305611336032</v>
      </c>
      <c r="I224" s="78">
        <v>134.89359716599191</v>
      </c>
    </row>
    <row r="225" spans="1:9" x14ac:dyDescent="0.2">
      <c r="A225" t="s">
        <v>47</v>
      </c>
      <c r="B225" t="s">
        <v>74</v>
      </c>
      <c r="C225" s="44" t="s">
        <v>192</v>
      </c>
      <c r="D225" s="78">
        <v>135118.80540000001</v>
      </c>
      <c r="E225" s="78">
        <v>137204.75628</v>
      </c>
      <c r="F225" s="78">
        <v>139174.821</v>
      </c>
      <c r="G225" s="78">
        <v>68.379962246963572</v>
      </c>
      <c r="H225" s="78">
        <v>69.435605404858308</v>
      </c>
      <c r="I225" s="78">
        <v>70.432601720647767</v>
      </c>
    </row>
    <row r="226" spans="1:9" x14ac:dyDescent="0.2">
      <c r="A226" t="s">
        <v>50</v>
      </c>
      <c r="B226" t="s">
        <v>74</v>
      </c>
      <c r="C226" s="44" t="s">
        <v>192</v>
      </c>
      <c r="D226" s="78">
        <v>227929.7225</v>
      </c>
      <c r="E226" s="78">
        <v>231185.3645</v>
      </c>
      <c r="F226" s="78">
        <v>234260.13750000001</v>
      </c>
      <c r="G226" s="78">
        <v>115.34904984817814</v>
      </c>
      <c r="H226" s="78">
        <v>116.99664195344128</v>
      </c>
      <c r="I226" s="78">
        <v>118.55270116396763</v>
      </c>
    </row>
    <row r="227" spans="1:9" x14ac:dyDescent="0.2">
      <c r="A227" t="s">
        <v>55</v>
      </c>
      <c r="B227" t="s">
        <v>74</v>
      </c>
      <c r="C227" s="44" t="s">
        <v>192</v>
      </c>
      <c r="D227" s="78">
        <v>609948.9047500001</v>
      </c>
      <c r="E227" s="78">
        <v>617527.22875000001</v>
      </c>
      <c r="F227" s="78">
        <v>624684.53475000011</v>
      </c>
      <c r="G227" s="78">
        <v>308.67859552125515</v>
      </c>
      <c r="H227" s="78">
        <v>312.51377973178137</v>
      </c>
      <c r="I227" s="78">
        <v>316.13589815283405</v>
      </c>
    </row>
    <row r="228" spans="1:9" x14ac:dyDescent="0.2">
      <c r="A228" t="s">
        <v>33</v>
      </c>
      <c r="B228" t="s">
        <v>82</v>
      </c>
      <c r="C228" s="44" t="s">
        <v>192</v>
      </c>
      <c r="D228" s="78">
        <v>165517.67230769229</v>
      </c>
      <c r="E228" s="78">
        <v>168044.7283076923</v>
      </c>
      <c r="F228" s="78">
        <v>170431.39230769232</v>
      </c>
      <c r="G228" s="78">
        <v>83.76400420429772</v>
      </c>
      <c r="H228" s="78">
        <v>85.042878698224854</v>
      </c>
      <c r="I228" s="78">
        <v>86.250704609156031</v>
      </c>
    </row>
    <row r="229" spans="1:9" x14ac:dyDescent="0.2">
      <c r="A229" t="s">
        <v>40</v>
      </c>
      <c r="B229" t="s">
        <v>82</v>
      </c>
      <c r="C229" s="44" t="s">
        <v>192</v>
      </c>
      <c r="D229" s="78">
        <v>245053.73865384614</v>
      </c>
      <c r="E229" s="78">
        <v>248808.66465384612</v>
      </c>
      <c r="F229" s="78">
        <v>252354.98365384614</v>
      </c>
      <c r="G229" s="78">
        <v>124.0150499260355</v>
      </c>
      <c r="H229" s="78">
        <v>125.91531612036746</v>
      </c>
      <c r="I229" s="78">
        <v>127.71001197056991</v>
      </c>
    </row>
    <row r="230" spans="1:9" x14ac:dyDescent="0.2">
      <c r="A230" t="s">
        <v>47</v>
      </c>
      <c r="B230" t="s">
        <v>82</v>
      </c>
      <c r="C230" s="44" t="s">
        <v>192</v>
      </c>
      <c r="D230" s="78">
        <v>150608.52211538458</v>
      </c>
      <c r="E230" s="78">
        <v>152905.41211538459</v>
      </c>
      <c r="F230" s="78">
        <v>155074.6971153846</v>
      </c>
      <c r="G230" s="78">
        <v>76.218887710214872</v>
      </c>
      <c r="H230" s="78">
        <v>77.38128143491123</v>
      </c>
      <c r="I230" s="78">
        <v>78.479097730457795</v>
      </c>
    </row>
    <row r="231" spans="1:9" x14ac:dyDescent="0.2">
      <c r="A231" t="s">
        <v>50</v>
      </c>
      <c r="B231" t="s">
        <v>82</v>
      </c>
      <c r="C231" s="44" t="s">
        <v>192</v>
      </c>
      <c r="D231" s="78">
        <v>245053.73865384614</v>
      </c>
      <c r="E231" s="78">
        <v>248808.66465384612</v>
      </c>
      <c r="F231" s="78">
        <v>252354.98365384614</v>
      </c>
      <c r="G231" s="78">
        <v>124.0150499260355</v>
      </c>
      <c r="H231" s="78">
        <v>125.91531612036746</v>
      </c>
      <c r="I231" s="78">
        <v>127.71001197056991</v>
      </c>
    </row>
    <row r="232" spans="1:9" x14ac:dyDescent="0.2">
      <c r="A232" t="s">
        <v>55</v>
      </c>
      <c r="B232" t="s">
        <v>82</v>
      </c>
      <c r="C232" s="44" t="s">
        <v>192</v>
      </c>
      <c r="D232" s="78">
        <v>660800.97076923074</v>
      </c>
      <c r="E232" s="78">
        <v>668927.89876923081</v>
      </c>
      <c r="F232" s="78">
        <v>676603.33076923084</v>
      </c>
      <c r="G232" s="78">
        <v>334.41344674556211</v>
      </c>
      <c r="H232" s="78">
        <v>338.52626455932733</v>
      </c>
      <c r="I232" s="78">
        <v>342.41059249455003</v>
      </c>
    </row>
    <row r="233" spans="1:9" x14ac:dyDescent="0.2">
      <c r="A233" t="s">
        <v>33</v>
      </c>
      <c r="B233" t="s">
        <v>88</v>
      </c>
      <c r="C233" s="44" t="s">
        <v>192</v>
      </c>
      <c r="D233" s="78">
        <v>181796.25538461539</v>
      </c>
      <c r="E233" s="78">
        <v>184365.50338461538</v>
      </c>
      <c r="F233" s="78">
        <v>186792.0153846154</v>
      </c>
      <c r="G233" s="78">
        <v>92.0021535347244</v>
      </c>
      <c r="H233" s="78">
        <v>93.302380255372157</v>
      </c>
      <c r="I233" s="78">
        <v>94.530372158206177</v>
      </c>
    </row>
    <row r="234" spans="1:9" x14ac:dyDescent="0.2">
      <c r="A234" t="s">
        <v>40</v>
      </c>
      <c r="B234" t="s">
        <v>88</v>
      </c>
      <c r="C234" s="44" t="s">
        <v>192</v>
      </c>
      <c r="D234" s="78">
        <v>277760.97807692306</v>
      </c>
      <c r="E234" s="78">
        <v>281686.45407692308</v>
      </c>
      <c r="F234" s="78">
        <v>285393.84807692305</v>
      </c>
      <c r="G234" s="78">
        <v>140.56729659763315</v>
      </c>
      <c r="H234" s="78">
        <v>142.55387352071006</v>
      </c>
      <c r="I234" s="78">
        <v>144.4300850591716</v>
      </c>
    </row>
    <row r="235" spans="1:9" x14ac:dyDescent="0.2">
      <c r="A235" t="s">
        <v>47</v>
      </c>
      <c r="B235" t="s">
        <v>88</v>
      </c>
      <c r="C235" s="44" t="s">
        <v>192</v>
      </c>
      <c r="D235" s="78">
        <v>161280.23923076922</v>
      </c>
      <c r="E235" s="78">
        <v>163559.54323076922</v>
      </c>
      <c r="F235" s="78">
        <v>165712.2192307692</v>
      </c>
      <c r="G235" s="78">
        <v>81.61955426658362</v>
      </c>
      <c r="H235" s="78">
        <v>82.773048193709116</v>
      </c>
      <c r="I235" s="78">
        <v>83.862459124883202</v>
      </c>
    </row>
    <row r="236" spans="1:9" x14ac:dyDescent="0.2">
      <c r="A236" t="s">
        <v>50</v>
      </c>
      <c r="B236" t="s">
        <v>88</v>
      </c>
      <c r="C236" s="44" t="s">
        <v>192</v>
      </c>
      <c r="D236" s="78">
        <v>221057.90884615385</v>
      </c>
      <c r="E236" s="78">
        <v>224182.02484615386</v>
      </c>
      <c r="F236" s="78">
        <v>227132.57884615386</v>
      </c>
      <c r="G236" s="78">
        <v>111.8714113593896</v>
      </c>
      <c r="H236" s="78">
        <v>113.45244172376208</v>
      </c>
      <c r="I236" s="78">
        <v>114.94563706789162</v>
      </c>
    </row>
    <row r="237" spans="1:9" x14ac:dyDescent="0.2">
      <c r="A237" t="s">
        <v>55</v>
      </c>
      <c r="B237" t="s">
        <v>88</v>
      </c>
      <c r="C237" s="44" t="s">
        <v>192</v>
      </c>
      <c r="D237" s="78">
        <v>826743.83384615381</v>
      </c>
      <c r="E237" s="78">
        <v>839060.72984615387</v>
      </c>
      <c r="F237" s="78">
        <v>850693.35384615383</v>
      </c>
      <c r="G237" s="78">
        <v>418.39262846465272</v>
      </c>
      <c r="H237" s="78">
        <v>424.62587542821552</v>
      </c>
      <c r="I237" s="78">
        <v>430.51283089380252</v>
      </c>
    </row>
    <row r="238" spans="1:9" x14ac:dyDescent="0.2">
      <c r="A238" t="s">
        <v>33</v>
      </c>
      <c r="B238" t="s">
        <v>96</v>
      </c>
      <c r="C238" s="44" t="s">
        <v>192</v>
      </c>
      <c r="D238" s="44">
        <v>189444.78860615383</v>
      </c>
      <c r="E238" s="44">
        <v>192266.06223815383</v>
      </c>
      <c r="F238" s="44">
        <v>194930.59844615383</v>
      </c>
      <c r="G238" s="44">
        <v>95.872868727810641</v>
      </c>
      <c r="H238" s="44">
        <v>97.300638784490801</v>
      </c>
      <c r="I238" s="44">
        <v>98.649088282466508</v>
      </c>
    </row>
    <row r="239" spans="1:9" x14ac:dyDescent="0.2">
      <c r="A239" t="s">
        <v>40</v>
      </c>
      <c r="B239" t="s">
        <v>96</v>
      </c>
      <c r="C239" s="44" t="s">
        <v>192</v>
      </c>
      <c r="D239" s="44">
        <v>257254.09692738461</v>
      </c>
      <c r="E239" s="44">
        <v>261015.09310338466</v>
      </c>
      <c r="F239" s="44">
        <v>264567.14504738466</v>
      </c>
      <c r="G239" s="44">
        <v>130.18932030738088</v>
      </c>
      <c r="H239" s="44">
        <v>132.0926584531299</v>
      </c>
      <c r="I239" s="44">
        <v>133.89025559078172</v>
      </c>
    </row>
    <row r="240" spans="1:9" x14ac:dyDescent="0.2">
      <c r="A240" t="s">
        <v>47</v>
      </c>
      <c r="B240" t="s">
        <v>96</v>
      </c>
      <c r="C240" s="44" t="s">
        <v>192</v>
      </c>
      <c r="D240" s="44">
        <v>157679.53260307689</v>
      </c>
      <c r="E240" s="44">
        <v>160026.83397907691</v>
      </c>
      <c r="F240" s="44">
        <v>162243.72972307692</v>
      </c>
      <c r="G240" s="44">
        <v>79.797334313298023</v>
      </c>
      <c r="H240" s="44">
        <v>80.985239867953894</v>
      </c>
      <c r="I240" s="44">
        <v>82.107150669573343</v>
      </c>
    </row>
    <row r="241" spans="1:9" x14ac:dyDescent="0.2">
      <c r="A241" t="s">
        <v>50</v>
      </c>
      <c r="B241" t="s">
        <v>96</v>
      </c>
      <c r="C241" s="44" t="s">
        <v>192</v>
      </c>
      <c r="D241" s="44">
        <v>233135.81096153846</v>
      </c>
      <c r="E241" s="44">
        <v>236555.57696153846</v>
      </c>
      <c r="F241" s="44">
        <v>239785.35596153847</v>
      </c>
      <c r="G241" s="44">
        <v>117.98371000077857</v>
      </c>
      <c r="H241" s="44">
        <v>119.71436081049517</v>
      </c>
      <c r="I241" s="44">
        <v>121.3488643530053</v>
      </c>
    </row>
    <row r="242" spans="1:9" x14ac:dyDescent="0.2">
      <c r="A242" t="s">
        <v>55</v>
      </c>
      <c r="B242" t="s">
        <v>96</v>
      </c>
      <c r="C242" s="44" t="s">
        <v>192</v>
      </c>
      <c r="D242" s="44">
        <v>750108.38192399987</v>
      </c>
      <c r="E242" s="44">
        <v>759694.90400399989</v>
      </c>
      <c r="F242" s="44">
        <v>768748.84152399981</v>
      </c>
      <c r="G242" s="44">
        <v>379.60950502226711</v>
      </c>
      <c r="H242" s="44">
        <v>384.46098380769229</v>
      </c>
      <c r="I242" s="44">
        <v>389.04293599392702</v>
      </c>
    </row>
    <row r="243" spans="1:9" x14ac:dyDescent="0.2">
      <c r="A243" t="s">
        <v>33</v>
      </c>
      <c r="B243" t="s">
        <v>32</v>
      </c>
      <c r="C243" s="44" t="s">
        <v>193</v>
      </c>
      <c r="D243" s="78">
        <v>242777.29053846153</v>
      </c>
      <c r="E243" s="78">
        <v>242777.29053846153</v>
      </c>
      <c r="F243" s="78">
        <v>244777.29053846153</v>
      </c>
      <c r="G243" s="78">
        <v>122.86300128464651</v>
      </c>
      <c r="H243" s="78">
        <v>122.86300128464651</v>
      </c>
      <c r="I243" s="78">
        <v>123.87514703363439</v>
      </c>
    </row>
    <row r="244" spans="1:9" x14ac:dyDescent="0.2">
      <c r="A244" t="s">
        <v>40</v>
      </c>
      <c r="B244" t="s">
        <v>32</v>
      </c>
      <c r="C244" s="44" t="s">
        <v>193</v>
      </c>
      <c r="D244" s="78">
        <v>262742.43440000003</v>
      </c>
      <c r="E244" s="78">
        <v>262742.43440000003</v>
      </c>
      <c r="F244" s="78">
        <v>264742.43440000003</v>
      </c>
      <c r="G244" s="78">
        <v>132.9668190283401</v>
      </c>
      <c r="H244" s="78">
        <v>132.9668190283401</v>
      </c>
      <c r="I244" s="78">
        <v>133.97896477732795</v>
      </c>
    </row>
    <row r="245" spans="1:9" x14ac:dyDescent="0.2">
      <c r="A245" t="s">
        <v>47</v>
      </c>
      <c r="B245" t="s">
        <v>32</v>
      </c>
      <c r="C245" s="44" t="s">
        <v>193</v>
      </c>
      <c r="D245" s="78">
        <v>198325.59665384615</v>
      </c>
      <c r="E245" s="78">
        <v>198325.59665384615</v>
      </c>
      <c r="F245" s="78">
        <v>200325.59665384615</v>
      </c>
      <c r="G245" s="78">
        <v>100.3672047843351</v>
      </c>
      <c r="H245" s="78">
        <v>100.3672047843351</v>
      </c>
      <c r="I245" s="78">
        <v>101.37935053332295</v>
      </c>
    </row>
    <row r="246" spans="1:9" x14ac:dyDescent="0.2">
      <c r="A246" t="s">
        <v>50</v>
      </c>
      <c r="B246" t="s">
        <v>32</v>
      </c>
      <c r="C246" s="44" t="s">
        <v>193</v>
      </c>
      <c r="D246" s="78">
        <v>260395.89330769231</v>
      </c>
      <c r="E246" s="78">
        <v>260395.89330769231</v>
      </c>
      <c r="F246" s="78">
        <v>262395.89330769231</v>
      </c>
      <c r="G246" s="78">
        <v>131.77929823263781</v>
      </c>
      <c r="H246" s="78">
        <v>131.77929823263781</v>
      </c>
      <c r="I246" s="78">
        <v>132.79144398162566</v>
      </c>
    </row>
    <row r="247" spans="1:9" x14ac:dyDescent="0.2">
      <c r="A247" t="s">
        <v>55</v>
      </c>
      <c r="B247" t="s">
        <v>32</v>
      </c>
      <c r="C247" s="44" t="s">
        <v>193</v>
      </c>
      <c r="D247" s="78">
        <v>757323.57390000008</v>
      </c>
      <c r="E247" s="78">
        <v>786323.73390000011</v>
      </c>
      <c r="F247" s="78">
        <v>786323.57390000008</v>
      </c>
      <c r="G247" s="78">
        <v>383.26091796558705</v>
      </c>
      <c r="H247" s="78">
        <v>397.93711229757093</v>
      </c>
      <c r="I247" s="78">
        <v>397.93703132591099</v>
      </c>
    </row>
    <row r="248" spans="1:9" x14ac:dyDescent="0.2">
      <c r="A248" t="s">
        <v>33</v>
      </c>
      <c r="B248" t="s">
        <v>62</v>
      </c>
      <c r="C248" s="44" t="s">
        <v>193</v>
      </c>
      <c r="D248" s="78">
        <v>183923.68915384618</v>
      </c>
      <c r="E248" s="78">
        <v>183923.68915384618</v>
      </c>
      <c r="F248" s="78">
        <v>185923.68915384618</v>
      </c>
      <c r="G248" s="78">
        <v>93.078790057614455</v>
      </c>
      <c r="H248" s="78">
        <v>93.078790057614455</v>
      </c>
      <c r="I248" s="78">
        <v>94.090935806602317</v>
      </c>
    </row>
    <row r="249" spans="1:9" x14ac:dyDescent="0.2">
      <c r="A249" t="s">
        <v>40</v>
      </c>
      <c r="B249" t="s">
        <v>62</v>
      </c>
      <c r="C249" s="44" t="s">
        <v>193</v>
      </c>
      <c r="D249" s="78">
        <v>248832.14261538463</v>
      </c>
      <c r="E249" s="78">
        <v>248832.14261538463</v>
      </c>
      <c r="F249" s="78">
        <v>250832.14261538463</v>
      </c>
      <c r="G249" s="78">
        <v>125.92719767985052</v>
      </c>
      <c r="H249" s="78">
        <v>125.92719767985052</v>
      </c>
      <c r="I249" s="78">
        <v>126.93934342883837</v>
      </c>
    </row>
    <row r="250" spans="1:9" x14ac:dyDescent="0.2">
      <c r="A250" t="s">
        <v>47</v>
      </c>
      <c r="B250" t="s">
        <v>62</v>
      </c>
      <c r="C250" s="44" t="s">
        <v>193</v>
      </c>
      <c r="D250" s="78">
        <v>150064.75707692307</v>
      </c>
      <c r="E250" s="78">
        <v>150064.75707692307</v>
      </c>
      <c r="F250" s="78">
        <v>152064.75707692307</v>
      </c>
      <c r="G250" s="78">
        <v>75.94370297415135</v>
      </c>
      <c r="H250" s="78">
        <v>75.94370297415135</v>
      </c>
      <c r="I250" s="78">
        <v>76.955848723139198</v>
      </c>
    </row>
    <row r="251" spans="1:9" x14ac:dyDescent="0.2">
      <c r="A251" t="s">
        <v>50</v>
      </c>
      <c r="B251" t="s">
        <v>62</v>
      </c>
      <c r="C251" s="44" t="s">
        <v>193</v>
      </c>
      <c r="D251" s="78">
        <v>216872.15480769228</v>
      </c>
      <c r="E251" s="78">
        <v>216872.15480769228</v>
      </c>
      <c r="F251" s="78">
        <v>218872.15480769228</v>
      </c>
      <c r="G251" s="78">
        <v>109.75311478122079</v>
      </c>
      <c r="H251" s="78">
        <v>109.75311478122079</v>
      </c>
      <c r="I251" s="78">
        <v>110.76526053020864</v>
      </c>
    </row>
    <row r="252" spans="1:9" x14ac:dyDescent="0.2">
      <c r="A252" t="s">
        <v>55</v>
      </c>
      <c r="B252" t="s">
        <v>62</v>
      </c>
      <c r="C252" s="44" t="s">
        <v>193</v>
      </c>
      <c r="D252" s="78">
        <v>816427.43064423092</v>
      </c>
      <c r="E252" s="78">
        <v>842427.43064423092</v>
      </c>
      <c r="F252" s="78">
        <v>842427.43064423092</v>
      </c>
      <c r="G252" s="78">
        <v>413.1717766418173</v>
      </c>
      <c r="H252" s="78">
        <v>426.32967137865938</v>
      </c>
      <c r="I252" s="78">
        <v>426.32967137865938</v>
      </c>
    </row>
    <row r="253" spans="1:9" x14ac:dyDescent="0.2">
      <c r="A253" t="s">
        <v>33</v>
      </c>
      <c r="B253" t="s">
        <v>74</v>
      </c>
      <c r="C253" s="44" t="s">
        <v>193</v>
      </c>
      <c r="D253" s="78">
        <v>183839.76995999998</v>
      </c>
      <c r="E253" s="78">
        <v>183839.76995999998</v>
      </c>
      <c r="F253" s="78">
        <v>185839.76995999998</v>
      </c>
      <c r="G253" s="78">
        <v>93.036320829959507</v>
      </c>
      <c r="H253" s="78">
        <v>93.036320829959507</v>
      </c>
      <c r="I253" s="78">
        <v>94.048466578947355</v>
      </c>
    </row>
    <row r="254" spans="1:9" x14ac:dyDescent="0.2">
      <c r="A254" t="s">
        <v>40</v>
      </c>
      <c r="B254" t="s">
        <v>74</v>
      </c>
      <c r="C254" s="44" t="s">
        <v>193</v>
      </c>
      <c r="D254" s="78">
        <v>263051.15888</v>
      </c>
      <c r="E254" s="78">
        <v>263051.15888</v>
      </c>
      <c r="F254" s="78">
        <v>265051.15888</v>
      </c>
      <c r="G254" s="78">
        <v>133.12305611336032</v>
      </c>
      <c r="H254" s="78">
        <v>133.12305611336032</v>
      </c>
      <c r="I254" s="78">
        <v>134.13520186234817</v>
      </c>
    </row>
    <row r="255" spans="1:9" x14ac:dyDescent="0.2">
      <c r="A255" t="s">
        <v>47</v>
      </c>
      <c r="B255" t="s">
        <v>74</v>
      </c>
      <c r="C255" s="44" t="s">
        <v>193</v>
      </c>
      <c r="D255" s="78">
        <v>137204.75628</v>
      </c>
      <c r="E255" s="78">
        <v>137204.75628</v>
      </c>
      <c r="F255" s="78">
        <v>139204.75628</v>
      </c>
      <c r="G255" s="78">
        <v>69.435605404858308</v>
      </c>
      <c r="H255" s="78">
        <v>69.435605404858308</v>
      </c>
      <c r="I255" s="78">
        <v>70.447751153846156</v>
      </c>
    </row>
    <row r="256" spans="1:9" x14ac:dyDescent="0.2">
      <c r="A256" t="s">
        <v>50</v>
      </c>
      <c r="B256" t="s">
        <v>74</v>
      </c>
      <c r="C256" s="44" t="s">
        <v>193</v>
      </c>
      <c r="D256" s="78">
        <v>231185.3645</v>
      </c>
      <c r="E256" s="78">
        <v>231185.3645</v>
      </c>
      <c r="F256" s="78">
        <v>233185.3645</v>
      </c>
      <c r="G256" s="78">
        <v>116.99664195344128</v>
      </c>
      <c r="H256" s="78">
        <v>116.99664195344128</v>
      </c>
      <c r="I256" s="78">
        <v>118.00878770242916</v>
      </c>
    </row>
    <row r="257" spans="1:9" x14ac:dyDescent="0.2">
      <c r="A257" t="s">
        <v>55</v>
      </c>
      <c r="B257" t="s">
        <v>74</v>
      </c>
      <c r="C257" s="44" t="s">
        <v>193</v>
      </c>
      <c r="D257" s="78">
        <v>579527.22875000001</v>
      </c>
      <c r="E257" s="78">
        <v>617527.22875000001</v>
      </c>
      <c r="F257" s="78">
        <v>617527.22875000001</v>
      </c>
      <c r="G257" s="78">
        <v>293.28301050101214</v>
      </c>
      <c r="H257" s="78">
        <v>312.51377973178137</v>
      </c>
      <c r="I257" s="78">
        <v>312.51377973178137</v>
      </c>
    </row>
    <row r="258" spans="1:9" x14ac:dyDescent="0.2">
      <c r="A258" t="s">
        <v>33</v>
      </c>
      <c r="B258" t="s">
        <v>82</v>
      </c>
      <c r="C258" s="44" t="s">
        <v>193</v>
      </c>
      <c r="D258" s="78">
        <v>166218.7283076923</v>
      </c>
      <c r="E258" s="78">
        <v>168044.7283076923</v>
      </c>
      <c r="F258" s="78">
        <v>168218.7283076923</v>
      </c>
      <c r="G258" s="78">
        <v>84.118789629398947</v>
      </c>
      <c r="H258" s="78">
        <v>85.042878698224854</v>
      </c>
      <c r="I258" s="78">
        <v>85.130935378386795</v>
      </c>
    </row>
    <row r="259" spans="1:9" x14ac:dyDescent="0.2">
      <c r="A259" t="s">
        <v>40</v>
      </c>
      <c r="B259" t="s">
        <v>82</v>
      </c>
      <c r="C259" s="44" t="s">
        <v>193</v>
      </c>
      <c r="D259" s="78">
        <v>246982.66465384612</v>
      </c>
      <c r="E259" s="78">
        <v>248808.66465384612</v>
      </c>
      <c r="F259" s="78">
        <v>248982.66465384612</v>
      </c>
      <c r="G259" s="78">
        <v>124.99122705154154</v>
      </c>
      <c r="H259" s="78">
        <v>125.91531612036746</v>
      </c>
      <c r="I259" s="78">
        <v>126.00337280052942</v>
      </c>
    </row>
    <row r="260" spans="1:9" x14ac:dyDescent="0.2">
      <c r="A260" t="s">
        <v>47</v>
      </c>
      <c r="B260" t="s">
        <v>82</v>
      </c>
      <c r="C260" s="44" t="s">
        <v>193</v>
      </c>
      <c r="D260" s="78">
        <v>151079.41211538459</v>
      </c>
      <c r="E260" s="78">
        <v>152905.41211538459</v>
      </c>
      <c r="F260" s="78">
        <v>153079.41211538459</v>
      </c>
      <c r="G260" s="78">
        <v>76.457192366085323</v>
      </c>
      <c r="H260" s="78">
        <v>77.38128143491123</v>
      </c>
      <c r="I260" s="78">
        <v>77.469338115073171</v>
      </c>
    </row>
    <row r="261" spans="1:9" x14ac:dyDescent="0.2">
      <c r="A261" t="s">
        <v>50</v>
      </c>
      <c r="B261" t="s">
        <v>82</v>
      </c>
      <c r="C261" s="44" t="s">
        <v>193</v>
      </c>
      <c r="D261" s="78">
        <v>246982.66465384612</v>
      </c>
      <c r="E261" s="78">
        <v>248808.66465384612</v>
      </c>
      <c r="F261" s="78">
        <v>248982.66465384612</v>
      </c>
      <c r="G261" s="78">
        <v>124.99122705154154</v>
      </c>
      <c r="H261" s="78">
        <v>125.91531612036746</v>
      </c>
      <c r="I261" s="78">
        <v>126.00337280052942</v>
      </c>
    </row>
    <row r="262" spans="1:9" x14ac:dyDescent="0.2">
      <c r="A262" t="s">
        <v>55</v>
      </c>
      <c r="B262" t="s">
        <v>82</v>
      </c>
      <c r="C262" s="44" t="s">
        <v>193</v>
      </c>
      <c r="D262" s="78">
        <v>647427.89876923081</v>
      </c>
      <c r="E262" s="78">
        <v>668927.89876923081</v>
      </c>
      <c r="F262" s="78">
        <v>668927.89876923081</v>
      </c>
      <c r="G262" s="78">
        <v>327.64569775770792</v>
      </c>
      <c r="H262" s="78">
        <v>338.52626455932733</v>
      </c>
      <c r="I262" s="78">
        <v>338.52626455932733</v>
      </c>
    </row>
    <row r="263" spans="1:9" x14ac:dyDescent="0.2">
      <c r="A263" t="s">
        <v>33</v>
      </c>
      <c r="B263" t="s">
        <v>88</v>
      </c>
      <c r="C263" s="44" t="s">
        <v>193</v>
      </c>
      <c r="D263" s="78">
        <v>184365.50338461538</v>
      </c>
      <c r="E263" s="78">
        <v>184365.50338461538</v>
      </c>
      <c r="F263" s="78">
        <v>186365.50338461538</v>
      </c>
      <c r="G263" s="78">
        <v>93.302380255372157</v>
      </c>
      <c r="H263" s="78">
        <v>93.302380255372157</v>
      </c>
      <c r="I263" s="78">
        <v>94.314526004360019</v>
      </c>
    </row>
    <row r="264" spans="1:9" x14ac:dyDescent="0.2">
      <c r="A264" t="s">
        <v>40</v>
      </c>
      <c r="B264" t="s">
        <v>88</v>
      </c>
      <c r="C264" s="44" t="s">
        <v>193</v>
      </c>
      <c r="D264" s="78">
        <v>281686.45407692308</v>
      </c>
      <c r="E264" s="78">
        <v>281686.45407692308</v>
      </c>
      <c r="F264" s="78">
        <v>283686.45407692308</v>
      </c>
      <c r="G264" s="78">
        <v>142.55387352071006</v>
      </c>
      <c r="H264" s="78">
        <v>142.55387352071006</v>
      </c>
      <c r="I264" s="78">
        <v>143.5660192696979</v>
      </c>
    </row>
    <row r="265" spans="1:9" x14ac:dyDescent="0.2">
      <c r="A265" t="s">
        <v>47</v>
      </c>
      <c r="B265" t="s">
        <v>88</v>
      </c>
      <c r="C265" s="44" t="s">
        <v>193</v>
      </c>
      <c r="D265" s="78">
        <v>163559.54323076922</v>
      </c>
      <c r="E265" s="78">
        <v>163559.54323076922</v>
      </c>
      <c r="F265" s="78">
        <v>165559.54323076922</v>
      </c>
      <c r="G265" s="78">
        <v>82.773048193709116</v>
      </c>
      <c r="H265" s="78">
        <v>82.773048193709116</v>
      </c>
      <c r="I265" s="78">
        <v>83.785193942696978</v>
      </c>
    </row>
    <row r="266" spans="1:9" x14ac:dyDescent="0.2">
      <c r="A266" t="s">
        <v>50</v>
      </c>
      <c r="B266" t="s">
        <v>88</v>
      </c>
      <c r="C266" s="44" t="s">
        <v>193</v>
      </c>
      <c r="D266" s="78">
        <v>224182.02484615386</v>
      </c>
      <c r="E266" s="78">
        <v>224182.02484615386</v>
      </c>
      <c r="F266" s="78">
        <v>226182.02484615386</v>
      </c>
      <c r="G266" s="78">
        <v>113.45244172376208</v>
      </c>
      <c r="H266" s="78">
        <v>113.45244172376208</v>
      </c>
      <c r="I266" s="78">
        <v>114.46458747274993</v>
      </c>
    </row>
    <row r="267" spans="1:9" x14ac:dyDescent="0.2">
      <c r="A267" t="s">
        <v>55</v>
      </c>
      <c r="B267" t="s">
        <v>88</v>
      </c>
      <c r="C267" s="44" t="s">
        <v>193</v>
      </c>
      <c r="D267" s="78">
        <v>810151.72984615387</v>
      </c>
      <c r="E267" s="78">
        <v>839060.72984615387</v>
      </c>
      <c r="F267" s="78">
        <v>839060.72984615387</v>
      </c>
      <c r="G267" s="78">
        <v>409.9958146994706</v>
      </c>
      <c r="H267" s="78">
        <v>424.62587542821552</v>
      </c>
      <c r="I267" s="78">
        <v>424.62587542821552</v>
      </c>
    </row>
    <row r="268" spans="1:9" x14ac:dyDescent="0.2">
      <c r="A268" t="s">
        <v>33</v>
      </c>
      <c r="B268" t="s">
        <v>96</v>
      </c>
      <c r="C268" s="44" t="s">
        <v>193</v>
      </c>
      <c r="D268" s="44">
        <v>191900.86223815382</v>
      </c>
      <c r="E268" s="44">
        <v>192266.06223815383</v>
      </c>
      <c r="F268" s="44">
        <v>193900.86223815382</v>
      </c>
      <c r="G268" s="44">
        <v>97.115820970725622</v>
      </c>
      <c r="H268" s="44">
        <v>97.300638784490801</v>
      </c>
      <c r="I268" s="44">
        <v>98.12796671971347</v>
      </c>
    </row>
    <row r="269" spans="1:9" x14ac:dyDescent="0.2">
      <c r="A269" t="s">
        <v>40</v>
      </c>
      <c r="B269" t="s">
        <v>96</v>
      </c>
      <c r="C269" s="44" t="s">
        <v>193</v>
      </c>
      <c r="D269" s="44">
        <v>260649.89310338465</v>
      </c>
      <c r="E269" s="44">
        <v>261015.09310338466</v>
      </c>
      <c r="F269" s="44">
        <v>262649.89310338465</v>
      </c>
      <c r="G269" s="44">
        <v>131.90784063936471</v>
      </c>
      <c r="H269" s="44">
        <v>132.0926584531299</v>
      </c>
      <c r="I269" s="44">
        <v>132.91998638835256</v>
      </c>
    </row>
    <row r="270" spans="1:9" x14ac:dyDescent="0.2">
      <c r="A270" t="s">
        <v>47</v>
      </c>
      <c r="B270" t="s">
        <v>96</v>
      </c>
      <c r="C270" s="44" t="s">
        <v>193</v>
      </c>
      <c r="D270" s="44">
        <v>159661.63397907693</v>
      </c>
      <c r="E270" s="44">
        <v>160026.83397907691</v>
      </c>
      <c r="F270" s="44">
        <v>161661.63397907693</v>
      </c>
      <c r="G270" s="44">
        <v>80.800422054188729</v>
      </c>
      <c r="H270" s="44">
        <v>80.985239867953894</v>
      </c>
      <c r="I270" s="44">
        <v>81.812567803176577</v>
      </c>
    </row>
    <row r="271" spans="1:9" x14ac:dyDescent="0.2">
      <c r="A271" t="s">
        <v>50</v>
      </c>
      <c r="B271" t="s">
        <v>96</v>
      </c>
      <c r="C271" s="44" t="s">
        <v>193</v>
      </c>
      <c r="D271" s="44">
        <v>236190.37696153848</v>
      </c>
      <c r="E271" s="44">
        <v>236555.57696153846</v>
      </c>
      <c r="F271" s="44">
        <v>238190.37696153848</v>
      </c>
      <c r="G271" s="44">
        <v>119.52954299672999</v>
      </c>
      <c r="H271" s="44">
        <v>119.71436081049517</v>
      </c>
      <c r="I271" s="44">
        <v>120.54168874571786</v>
      </c>
    </row>
    <row r="272" spans="1:9" x14ac:dyDescent="0.2">
      <c r="A272" t="s">
        <v>55</v>
      </c>
      <c r="B272" t="s">
        <v>96</v>
      </c>
      <c r="C272" s="44" t="s">
        <v>193</v>
      </c>
      <c r="D272" s="44">
        <v>730785.90400399989</v>
      </c>
      <c r="E272" s="44">
        <v>759694.90400399989</v>
      </c>
      <c r="F272" s="44">
        <v>759694.90400399989</v>
      </c>
      <c r="G272" s="44">
        <v>369.83092307894731</v>
      </c>
      <c r="H272" s="44">
        <v>384.46098380769229</v>
      </c>
      <c r="I272" s="44">
        <v>384.46098380769229</v>
      </c>
    </row>
    <row r="273" spans="1:9" x14ac:dyDescent="0.2">
      <c r="A273" t="s">
        <v>33</v>
      </c>
      <c r="B273" t="s">
        <v>32</v>
      </c>
      <c r="C273" s="44" t="s">
        <v>194</v>
      </c>
      <c r="D273" s="78">
        <v>234193.55399999997</v>
      </c>
      <c r="E273" s="78">
        <v>242777.29053846153</v>
      </c>
      <c r="F273" s="78">
        <v>244923.22467307691</v>
      </c>
      <c r="G273" s="78">
        <v>118.51900506072874</v>
      </c>
      <c r="H273" s="78">
        <v>122.86300128464651</v>
      </c>
      <c r="I273" s="78">
        <v>123.94900034062596</v>
      </c>
    </row>
    <row r="274" spans="1:9" x14ac:dyDescent="0.2">
      <c r="A274" t="s">
        <v>40</v>
      </c>
      <c r="B274" t="s">
        <v>32</v>
      </c>
      <c r="C274" s="44" t="s">
        <v>194</v>
      </c>
      <c r="D274" s="78">
        <v>251232.13440000004</v>
      </c>
      <c r="E274" s="78">
        <v>262742.43440000003</v>
      </c>
      <c r="F274" s="78">
        <v>262742.43440000003</v>
      </c>
      <c r="G274" s="78">
        <v>127.14176842105266</v>
      </c>
      <c r="H274" s="78">
        <v>132.9668190283401</v>
      </c>
      <c r="I274" s="78">
        <v>132.9668190283401</v>
      </c>
    </row>
    <row r="275" spans="1:9" x14ac:dyDescent="0.2">
      <c r="A275" t="s">
        <v>47</v>
      </c>
      <c r="B275" t="s">
        <v>32</v>
      </c>
      <c r="C275" s="44" t="s">
        <v>194</v>
      </c>
      <c r="D275" s="78">
        <v>191313.51300000001</v>
      </c>
      <c r="E275" s="78">
        <v>198325.59665384615</v>
      </c>
      <c r="F275" s="78">
        <v>200078.61756730772</v>
      </c>
      <c r="G275" s="78">
        <v>96.818579453441302</v>
      </c>
      <c r="H275" s="78">
        <v>100.3672047843351</v>
      </c>
      <c r="I275" s="78">
        <v>101.25436111705856</v>
      </c>
    </row>
    <row r="276" spans="1:9" x14ac:dyDescent="0.2">
      <c r="A276" t="s">
        <v>50</v>
      </c>
      <c r="B276" t="s">
        <v>32</v>
      </c>
      <c r="C276" s="44" t="s">
        <v>194</v>
      </c>
      <c r="D276" s="78">
        <v>251189.22600000002</v>
      </c>
      <c r="E276" s="78">
        <v>260395.89330769231</v>
      </c>
      <c r="F276" s="78">
        <v>262697.5601346154</v>
      </c>
      <c r="G276" s="78">
        <v>127.1200536437247</v>
      </c>
      <c r="H276" s="78">
        <v>131.77929823263781</v>
      </c>
      <c r="I276" s="78">
        <v>132.94410937986609</v>
      </c>
    </row>
    <row r="277" spans="1:9" x14ac:dyDescent="0.2">
      <c r="A277" t="s">
        <v>55</v>
      </c>
      <c r="B277" t="s">
        <v>32</v>
      </c>
      <c r="C277" s="44" t="s">
        <v>194</v>
      </c>
      <c r="D277" s="78">
        <v>759547.48140000005</v>
      </c>
      <c r="E277" s="78">
        <v>786323.73390000011</v>
      </c>
      <c r="F277" s="78">
        <v>793017.79702500021</v>
      </c>
      <c r="G277" s="78">
        <v>384.38637722672064</v>
      </c>
      <c r="H277" s="78">
        <v>397.93711229757093</v>
      </c>
      <c r="I277" s="78">
        <v>401.32479606528352</v>
      </c>
    </row>
    <row r="278" spans="1:9" x14ac:dyDescent="0.2">
      <c r="A278" t="s">
        <v>33</v>
      </c>
      <c r="B278" t="s">
        <v>62</v>
      </c>
      <c r="C278" s="44" t="s">
        <v>194</v>
      </c>
      <c r="D278" s="78">
        <v>177948.84299999999</v>
      </c>
      <c r="E278" s="78">
        <v>183923.68915384618</v>
      </c>
      <c r="F278" s="78">
        <v>185417.40069230771</v>
      </c>
      <c r="G278" s="78">
        <v>90.055082489878529</v>
      </c>
      <c r="H278" s="78">
        <v>93.078790057614455</v>
      </c>
      <c r="I278" s="78">
        <v>93.834716949548437</v>
      </c>
    </row>
    <row r="279" spans="1:9" x14ac:dyDescent="0.2">
      <c r="A279" t="s">
        <v>40</v>
      </c>
      <c r="B279" t="s">
        <v>62</v>
      </c>
      <c r="C279" s="44" t="s">
        <v>194</v>
      </c>
      <c r="D279" s="78">
        <v>238809.258</v>
      </c>
      <c r="E279" s="78">
        <v>248832.14261538463</v>
      </c>
      <c r="F279" s="78">
        <v>248832.14261538463</v>
      </c>
      <c r="G279" s="78">
        <v>120.85488765182187</v>
      </c>
      <c r="H279" s="78">
        <v>125.92719767985052</v>
      </c>
      <c r="I279" s="78">
        <v>125.92719767985052</v>
      </c>
    </row>
    <row r="280" spans="1:9" x14ac:dyDescent="0.2">
      <c r="A280" t="s">
        <v>47</v>
      </c>
      <c r="B280" t="s">
        <v>62</v>
      </c>
      <c r="C280" s="44" t="s">
        <v>194</v>
      </c>
      <c r="D280" s="78">
        <v>145189.83399999997</v>
      </c>
      <c r="E280" s="78">
        <v>150064.75707692307</v>
      </c>
      <c r="F280" s="78">
        <v>151283.48784615385</v>
      </c>
      <c r="G280" s="78">
        <v>73.476636639676101</v>
      </c>
      <c r="H280" s="78">
        <v>75.94370297415135</v>
      </c>
      <c r="I280" s="78">
        <v>76.560469557770162</v>
      </c>
    </row>
    <row r="281" spans="1:9" x14ac:dyDescent="0.2">
      <c r="A281" t="s">
        <v>50</v>
      </c>
      <c r="B281" t="s">
        <v>62</v>
      </c>
      <c r="C281" s="44" t="s">
        <v>194</v>
      </c>
      <c r="D281" s="78">
        <v>209826.96249999999</v>
      </c>
      <c r="E281" s="78">
        <v>216872.15480769228</v>
      </c>
      <c r="F281" s="78">
        <v>218633.4528846154</v>
      </c>
      <c r="G281" s="78">
        <v>106.18773405870445</v>
      </c>
      <c r="H281" s="78">
        <v>109.75311478122079</v>
      </c>
      <c r="I281" s="78">
        <v>110.6444599618499</v>
      </c>
    </row>
    <row r="282" spans="1:9" x14ac:dyDescent="0.2">
      <c r="A282" t="s">
        <v>55</v>
      </c>
      <c r="B282" t="s">
        <v>62</v>
      </c>
      <c r="C282" s="44" t="s">
        <v>194</v>
      </c>
      <c r="D282" s="78">
        <v>813411.65300000005</v>
      </c>
      <c r="E282" s="78">
        <v>842427.43064423092</v>
      </c>
      <c r="F282" s="78">
        <v>842427.43064423092</v>
      </c>
      <c r="G282" s="78">
        <v>411.64557338056682</v>
      </c>
      <c r="H282" s="78">
        <v>426.32967137865938</v>
      </c>
      <c r="I282" s="78">
        <v>426.32967137865938</v>
      </c>
    </row>
    <row r="283" spans="1:9" x14ac:dyDescent="0.2">
      <c r="A283" t="s">
        <v>33</v>
      </c>
      <c r="B283" t="s">
        <v>74</v>
      </c>
      <c r="C283" s="44" t="s">
        <v>194</v>
      </c>
      <c r="D283" s="78">
        <v>177867.64995999998</v>
      </c>
      <c r="E283" s="78">
        <v>183839.76995999998</v>
      </c>
      <c r="F283" s="78">
        <v>185332.79995999997</v>
      </c>
      <c r="G283" s="78">
        <v>90.01399289473683</v>
      </c>
      <c r="H283" s="78">
        <v>93.036320829959507</v>
      </c>
      <c r="I283" s="78">
        <v>93.791902813765176</v>
      </c>
    </row>
    <row r="284" spans="1:9" x14ac:dyDescent="0.2">
      <c r="A284" t="s">
        <v>40</v>
      </c>
      <c r="B284" t="s">
        <v>74</v>
      </c>
      <c r="C284" s="44" t="s">
        <v>194</v>
      </c>
      <c r="D284" s="78">
        <v>253750.61087999999</v>
      </c>
      <c r="E284" s="78">
        <v>263051.15888</v>
      </c>
      <c r="F284" s="78">
        <v>265376.29587999999</v>
      </c>
      <c r="G284" s="78">
        <v>128.41630105263158</v>
      </c>
      <c r="H284" s="78">
        <v>133.12305611336032</v>
      </c>
      <c r="I284" s="78">
        <v>134.2997448785425</v>
      </c>
    </row>
    <row r="285" spans="1:9" x14ac:dyDescent="0.2">
      <c r="A285" t="s">
        <v>47</v>
      </c>
      <c r="B285" t="s">
        <v>74</v>
      </c>
      <c r="C285" s="44" t="s">
        <v>194</v>
      </c>
      <c r="D285" s="78">
        <v>132747.59628</v>
      </c>
      <c r="E285" s="78">
        <v>137204.75628</v>
      </c>
      <c r="F285" s="78">
        <v>138319.04628000001</v>
      </c>
      <c r="G285" s="78">
        <v>67.179957631578944</v>
      </c>
      <c r="H285" s="78">
        <v>69.435605404858308</v>
      </c>
      <c r="I285" s="78">
        <v>69.999517348178145</v>
      </c>
    </row>
    <row r="286" spans="1:9" x14ac:dyDescent="0.2">
      <c r="A286" t="s">
        <v>50</v>
      </c>
      <c r="B286" t="s">
        <v>74</v>
      </c>
      <c r="C286" s="44" t="s">
        <v>194</v>
      </c>
      <c r="D286" s="78">
        <v>223011.47700000001</v>
      </c>
      <c r="E286" s="78">
        <v>231185.3645</v>
      </c>
      <c r="F286" s="78">
        <v>233228.83637500001</v>
      </c>
      <c r="G286" s="78">
        <v>112.86005921052632</v>
      </c>
      <c r="H286" s="78">
        <v>116.99664195344128</v>
      </c>
      <c r="I286" s="78">
        <v>118.03078763917004</v>
      </c>
    </row>
    <row r="287" spans="1:9" x14ac:dyDescent="0.2">
      <c r="A287" t="s">
        <v>55</v>
      </c>
      <c r="B287" t="s">
        <v>74</v>
      </c>
      <c r="C287" s="44" t="s">
        <v>194</v>
      </c>
      <c r="D287" s="78">
        <v>593743.76</v>
      </c>
      <c r="E287" s="78">
        <v>617527.22875000001</v>
      </c>
      <c r="F287" s="78">
        <v>617527.22875000001</v>
      </c>
      <c r="G287" s="78">
        <v>300.4776113360324</v>
      </c>
      <c r="H287" s="78">
        <v>312.51377973178137</v>
      </c>
      <c r="I287" s="78">
        <v>312.51377973178137</v>
      </c>
    </row>
    <row r="288" spans="1:9" x14ac:dyDescent="0.2">
      <c r="A288" t="s">
        <v>33</v>
      </c>
      <c r="B288" t="s">
        <v>82</v>
      </c>
      <c r="C288" s="44" t="s">
        <v>194</v>
      </c>
      <c r="D288" s="78">
        <v>162645.03600000002</v>
      </c>
      <c r="E288" s="78">
        <v>168044.7283076923</v>
      </c>
      <c r="F288" s="78">
        <v>169394.6513846154</v>
      </c>
      <c r="G288" s="78">
        <v>82.310240890688277</v>
      </c>
      <c r="H288" s="78">
        <v>85.042878698224854</v>
      </c>
      <c r="I288" s="78">
        <v>85.726038150109005</v>
      </c>
    </row>
    <row r="289" spans="1:9" x14ac:dyDescent="0.2">
      <c r="A289" t="s">
        <v>40</v>
      </c>
      <c r="B289" t="s">
        <v>82</v>
      </c>
      <c r="C289" s="44" t="s">
        <v>194</v>
      </c>
      <c r="D289" s="78">
        <v>240785.31849999999</v>
      </c>
      <c r="E289" s="78">
        <v>248808.66465384612</v>
      </c>
      <c r="F289" s="78">
        <v>250814.50119230768</v>
      </c>
      <c r="G289" s="78">
        <v>121.85491826923078</v>
      </c>
      <c r="H289" s="78">
        <v>125.91531612036746</v>
      </c>
      <c r="I289" s="78">
        <v>126.93041558315166</v>
      </c>
    </row>
    <row r="290" spans="1:9" x14ac:dyDescent="0.2">
      <c r="A290" t="s">
        <v>47</v>
      </c>
      <c r="B290" t="s">
        <v>82</v>
      </c>
      <c r="C290" s="44" t="s">
        <v>194</v>
      </c>
      <c r="D290" s="78">
        <v>147997.52749999997</v>
      </c>
      <c r="E290" s="78">
        <v>152905.41211538459</v>
      </c>
      <c r="F290" s="78">
        <v>154132.38326923078</v>
      </c>
      <c r="G290" s="78">
        <v>74.897534159919019</v>
      </c>
      <c r="H290" s="78">
        <v>77.38128143491123</v>
      </c>
      <c r="I290" s="78">
        <v>78.002218253659308</v>
      </c>
    </row>
    <row r="291" spans="1:9" x14ac:dyDescent="0.2">
      <c r="A291" t="s">
        <v>50</v>
      </c>
      <c r="B291" t="s">
        <v>82</v>
      </c>
      <c r="C291" s="44" t="s">
        <v>194</v>
      </c>
      <c r="D291" s="78">
        <v>240785.31849999999</v>
      </c>
      <c r="E291" s="78">
        <v>248808.66465384612</v>
      </c>
      <c r="F291" s="78">
        <v>250814.50119230768</v>
      </c>
      <c r="G291" s="78">
        <v>121.85491826923078</v>
      </c>
      <c r="H291" s="78">
        <v>125.91531612036746</v>
      </c>
      <c r="I291" s="78">
        <v>126.93041558315166</v>
      </c>
    </row>
    <row r="292" spans="1:9" x14ac:dyDescent="0.2">
      <c r="A292" t="s">
        <v>55</v>
      </c>
      <c r="B292" t="s">
        <v>82</v>
      </c>
      <c r="C292" s="44" t="s">
        <v>194</v>
      </c>
      <c r="D292" s="78">
        <v>651562.66800000006</v>
      </c>
      <c r="E292" s="78">
        <v>668927.89876923081</v>
      </c>
      <c r="F292" s="78">
        <v>673269.20646153856</v>
      </c>
      <c r="G292" s="78">
        <v>329.73819230769232</v>
      </c>
      <c r="H292" s="78">
        <v>338.52626455932733</v>
      </c>
      <c r="I292" s="78">
        <v>340.72328262223613</v>
      </c>
    </row>
    <row r="293" spans="1:9" x14ac:dyDescent="0.2">
      <c r="A293" t="s">
        <v>33</v>
      </c>
      <c r="B293" t="s">
        <v>88</v>
      </c>
      <c r="C293" s="44" t="s">
        <v>194</v>
      </c>
      <c r="D293" s="78">
        <v>177777.68799999999</v>
      </c>
      <c r="E293" s="78">
        <v>184365.50338461538</v>
      </c>
      <c r="F293" s="78">
        <v>186012.45723076924</v>
      </c>
      <c r="G293" s="78">
        <v>89.968465587044534</v>
      </c>
      <c r="H293" s="78">
        <v>93.302380255372157</v>
      </c>
      <c r="I293" s="78">
        <v>94.135858922454076</v>
      </c>
    </row>
    <row r="294" spans="1:9" x14ac:dyDescent="0.2">
      <c r="A294" t="s">
        <v>40</v>
      </c>
      <c r="B294" t="s">
        <v>88</v>
      </c>
      <c r="C294" s="44" t="s">
        <v>194</v>
      </c>
      <c r="D294" s="78">
        <v>271621.13099999999</v>
      </c>
      <c r="E294" s="78">
        <v>281686.45407692308</v>
      </c>
      <c r="F294" s="78">
        <v>284202.78484615381</v>
      </c>
      <c r="G294" s="78">
        <v>137.46008653846152</v>
      </c>
      <c r="H294" s="78">
        <v>142.55387352071006</v>
      </c>
      <c r="I294" s="78">
        <v>143.82732026627218</v>
      </c>
    </row>
    <row r="295" spans="1:9" x14ac:dyDescent="0.2">
      <c r="A295" t="s">
        <v>47</v>
      </c>
      <c r="B295" t="s">
        <v>88</v>
      </c>
      <c r="C295" s="44" t="s">
        <v>194</v>
      </c>
      <c r="D295" s="78">
        <v>157715.174</v>
      </c>
      <c r="E295" s="78">
        <v>163559.54323076922</v>
      </c>
      <c r="F295" s="78">
        <v>165020.63553846156</v>
      </c>
      <c r="G295" s="78">
        <v>79.815371457489888</v>
      </c>
      <c r="H295" s="78">
        <v>82.773048193709116</v>
      </c>
      <c r="I295" s="78">
        <v>83.512467377763954</v>
      </c>
    </row>
    <row r="296" spans="1:9" x14ac:dyDescent="0.2">
      <c r="A296" t="s">
        <v>50</v>
      </c>
      <c r="B296" t="s">
        <v>88</v>
      </c>
      <c r="C296" s="44" t="s">
        <v>194</v>
      </c>
      <c r="D296" s="78">
        <v>216171.47100000002</v>
      </c>
      <c r="E296" s="78">
        <v>224182.02484615386</v>
      </c>
      <c r="F296" s="78">
        <v>226184.66330769233</v>
      </c>
      <c r="G296" s="78">
        <v>109.39851771255063</v>
      </c>
      <c r="H296" s="78">
        <v>113.45244172376208</v>
      </c>
      <c r="I296" s="78">
        <v>114.46592272656495</v>
      </c>
    </row>
    <row r="297" spans="1:9" x14ac:dyDescent="0.2">
      <c r="A297" t="s">
        <v>55</v>
      </c>
      <c r="B297" t="s">
        <v>88</v>
      </c>
      <c r="C297" s="44" t="s">
        <v>194</v>
      </c>
      <c r="D297" s="78">
        <v>812742.576</v>
      </c>
      <c r="E297" s="78">
        <v>839060.72984615387</v>
      </c>
      <c r="F297" s="78">
        <v>845640.26830769237</v>
      </c>
      <c r="G297" s="78">
        <v>411.30697165991904</v>
      </c>
      <c r="H297" s="78">
        <v>424.62587542821552</v>
      </c>
      <c r="I297" s="78">
        <v>427.95560137028968</v>
      </c>
    </row>
    <row r="298" spans="1:9" x14ac:dyDescent="0.2">
      <c r="A298" t="s">
        <v>33</v>
      </c>
      <c r="B298" t="s">
        <v>96</v>
      </c>
      <c r="C298" s="44" t="s">
        <v>194</v>
      </c>
      <c r="D298" s="44">
        <v>185785.57259199998</v>
      </c>
      <c r="E298" s="44">
        <v>192266.06223815383</v>
      </c>
      <c r="F298" s="44">
        <v>193886.18464969232</v>
      </c>
      <c r="G298" s="44">
        <v>94.021038761133596</v>
      </c>
      <c r="H298" s="44">
        <v>97.300638784490801</v>
      </c>
      <c r="I298" s="44">
        <v>98.12053879033013</v>
      </c>
    </row>
    <row r="299" spans="1:9" x14ac:dyDescent="0.2">
      <c r="A299" t="s">
        <v>40</v>
      </c>
      <c r="B299" t="s">
        <v>96</v>
      </c>
      <c r="C299" s="44" t="s">
        <v>194</v>
      </c>
      <c r="D299" s="44">
        <v>251202.75051600003</v>
      </c>
      <c r="E299" s="44">
        <v>261015.09310338466</v>
      </c>
      <c r="F299" s="44">
        <v>262353.1398198462</v>
      </c>
      <c r="G299" s="44">
        <v>127.12689803441296</v>
      </c>
      <c r="H299" s="44">
        <v>132.0926584531299</v>
      </c>
      <c r="I299" s="44">
        <v>132.76980760113673</v>
      </c>
    </row>
    <row r="300" spans="1:9" x14ac:dyDescent="0.2">
      <c r="A300" t="s">
        <v>47</v>
      </c>
      <c r="B300" t="s">
        <v>96</v>
      </c>
      <c r="C300" s="44" t="s">
        <v>194</v>
      </c>
      <c r="D300" s="44">
        <v>154635.06265599997</v>
      </c>
      <c r="E300" s="44">
        <v>160026.83397907691</v>
      </c>
      <c r="F300" s="44">
        <v>161374.77680984614</v>
      </c>
      <c r="G300" s="44">
        <v>78.256610655870432</v>
      </c>
      <c r="H300" s="44">
        <v>80.985239867953894</v>
      </c>
      <c r="I300" s="44">
        <v>81.667397170974766</v>
      </c>
    </row>
    <row r="301" spans="1:9" x14ac:dyDescent="0.2">
      <c r="A301" t="s">
        <v>50</v>
      </c>
      <c r="B301" t="s">
        <v>96</v>
      </c>
      <c r="C301" s="44" t="s">
        <v>194</v>
      </c>
      <c r="D301" s="44">
        <v>228444.59350000002</v>
      </c>
      <c r="E301" s="44">
        <v>236555.57696153846</v>
      </c>
      <c r="F301" s="44">
        <v>238583.3228269231</v>
      </c>
      <c r="G301" s="44">
        <v>115.60961209514171</v>
      </c>
      <c r="H301" s="44">
        <v>119.71436081049517</v>
      </c>
      <c r="I301" s="44">
        <v>120.74054798933355</v>
      </c>
    </row>
    <row r="302" spans="1:9" x14ac:dyDescent="0.2">
      <c r="A302" t="s">
        <v>55</v>
      </c>
      <c r="B302" t="s">
        <v>96</v>
      </c>
      <c r="C302" s="44" t="s">
        <v>194</v>
      </c>
      <c r="D302" s="44">
        <v>734796.57582399994</v>
      </c>
      <c r="E302" s="44">
        <v>759694.90400399989</v>
      </c>
      <c r="F302" s="44">
        <v>763090.13057399995</v>
      </c>
      <c r="G302" s="44">
        <v>371.86061529554649</v>
      </c>
      <c r="H302" s="44">
        <v>384.46098380769229</v>
      </c>
      <c r="I302" s="44">
        <v>386.17921587753034</v>
      </c>
    </row>
    <row r="303" spans="1:9" x14ac:dyDescent="0.2">
      <c r="A303" t="s">
        <v>33</v>
      </c>
      <c r="B303" t="s">
        <v>32</v>
      </c>
      <c r="C303" s="44" t="s">
        <v>195</v>
      </c>
      <c r="D303" s="78">
        <v>224879.28669230768</v>
      </c>
      <c r="E303" s="78">
        <v>242777.29053846153</v>
      </c>
      <c r="F303" s="78">
        <v>245334.14823076921</v>
      </c>
      <c r="G303" s="78">
        <v>113.80530703052007</v>
      </c>
      <c r="H303" s="78">
        <v>122.86300128464651</v>
      </c>
      <c r="I303" s="78">
        <v>124.15695760666459</v>
      </c>
    </row>
    <row r="304" spans="1:9" x14ac:dyDescent="0.2">
      <c r="A304" t="s">
        <v>40</v>
      </c>
      <c r="B304" t="s">
        <v>32</v>
      </c>
      <c r="C304" s="44" t="s">
        <v>195</v>
      </c>
      <c r="D304" s="78">
        <v>243199.41440000004</v>
      </c>
      <c r="E304" s="78">
        <v>262742.43440000003</v>
      </c>
      <c r="F304" s="78">
        <v>265534.29440000001</v>
      </c>
      <c r="G304" s="78">
        <v>123.07662672064778</v>
      </c>
      <c r="H304" s="78">
        <v>132.9668190283401</v>
      </c>
      <c r="I304" s="78">
        <v>134.37970364372472</v>
      </c>
    </row>
    <row r="305" spans="1:9" x14ac:dyDescent="0.2">
      <c r="A305" t="s">
        <v>47</v>
      </c>
      <c r="B305" t="s">
        <v>32</v>
      </c>
      <c r="C305" s="44" t="s">
        <v>195</v>
      </c>
      <c r="D305" s="78">
        <v>183704.65626923076</v>
      </c>
      <c r="E305" s="78">
        <v>198325.59665384615</v>
      </c>
      <c r="F305" s="78">
        <v>200414.30242307691</v>
      </c>
      <c r="G305" s="78">
        <v>92.967943456088449</v>
      </c>
      <c r="H305" s="78">
        <v>100.3672047843351</v>
      </c>
      <c r="I305" s="78">
        <v>101.42424211694176</v>
      </c>
    </row>
    <row r="306" spans="1:9" x14ac:dyDescent="0.2">
      <c r="A306" t="s">
        <v>50</v>
      </c>
      <c r="B306" t="s">
        <v>32</v>
      </c>
      <c r="C306" s="44" t="s">
        <v>195</v>
      </c>
      <c r="D306" s="78">
        <v>241199.01253846154</v>
      </c>
      <c r="E306" s="78">
        <v>260395.89330769231</v>
      </c>
      <c r="F306" s="78">
        <v>263138.30484615383</v>
      </c>
      <c r="G306" s="78">
        <v>122.064277600436</v>
      </c>
      <c r="H306" s="78">
        <v>131.77929823263781</v>
      </c>
      <c r="I306" s="78">
        <v>133.16715832295233</v>
      </c>
    </row>
    <row r="307" spans="1:9" x14ac:dyDescent="0.2">
      <c r="A307" t="s">
        <v>55</v>
      </c>
      <c r="B307" t="s">
        <v>32</v>
      </c>
      <c r="C307" s="44" t="s">
        <v>195</v>
      </c>
      <c r="D307" s="78">
        <v>730492.39890000003</v>
      </c>
      <c r="E307" s="78">
        <v>786323.73390000011</v>
      </c>
      <c r="F307" s="78">
        <v>794299.63890000002</v>
      </c>
      <c r="G307" s="78">
        <v>369.68238810728747</v>
      </c>
      <c r="H307" s="78">
        <v>397.93711229757093</v>
      </c>
      <c r="I307" s="78">
        <v>401.97350146761136</v>
      </c>
    </row>
    <row r="308" spans="1:9" x14ac:dyDescent="0.2">
      <c r="A308" t="s">
        <v>33</v>
      </c>
      <c r="B308" t="s">
        <v>62</v>
      </c>
      <c r="C308" s="44" t="s">
        <v>195</v>
      </c>
      <c r="D308" s="78">
        <v>183923.68915384618</v>
      </c>
      <c r="E308" s="78">
        <v>183923.68915384618</v>
      </c>
      <c r="F308" s="78">
        <v>200653.25838461539</v>
      </c>
      <c r="G308" s="78">
        <v>93.078790057614455</v>
      </c>
      <c r="H308" s="78">
        <v>93.078790057614455</v>
      </c>
      <c r="I308" s="78">
        <v>101.54517124727499</v>
      </c>
    </row>
    <row r="309" spans="1:9" x14ac:dyDescent="0.2">
      <c r="A309" t="s">
        <v>40</v>
      </c>
      <c r="B309" t="s">
        <v>62</v>
      </c>
      <c r="C309" s="44" t="s">
        <v>195</v>
      </c>
      <c r="D309" s="78">
        <v>248832.14261538463</v>
      </c>
      <c r="E309" s="78">
        <v>248832.14261538463</v>
      </c>
      <c r="F309" s="78">
        <v>271684.31953846151</v>
      </c>
      <c r="G309" s="78">
        <v>125.92719767985052</v>
      </c>
      <c r="H309" s="78">
        <v>125.92719767985052</v>
      </c>
      <c r="I309" s="78">
        <v>137.49206454375582</v>
      </c>
    </row>
    <row r="310" spans="1:9" x14ac:dyDescent="0.2">
      <c r="A310" t="s">
        <v>47</v>
      </c>
      <c r="B310" t="s">
        <v>62</v>
      </c>
      <c r="C310" s="44" t="s">
        <v>195</v>
      </c>
      <c r="D310" s="78">
        <v>150064.75707692307</v>
      </c>
      <c r="E310" s="78">
        <v>150064.75707692307</v>
      </c>
      <c r="F310" s="78">
        <v>163714.54169230768</v>
      </c>
      <c r="G310" s="78">
        <v>75.94370297415135</v>
      </c>
      <c r="H310" s="78">
        <v>75.94370297415135</v>
      </c>
      <c r="I310" s="78">
        <v>82.85148871068202</v>
      </c>
    </row>
    <row r="311" spans="1:9" x14ac:dyDescent="0.2">
      <c r="A311" t="s">
        <v>50</v>
      </c>
      <c r="B311" t="s">
        <v>62</v>
      </c>
      <c r="C311" s="44" t="s">
        <v>195</v>
      </c>
      <c r="D311" s="78">
        <v>216872.15480769228</v>
      </c>
      <c r="E311" s="78">
        <v>216872.15480769228</v>
      </c>
      <c r="F311" s="78">
        <v>236598.69326923075</v>
      </c>
      <c r="G311" s="78">
        <v>109.75311478122079</v>
      </c>
      <c r="H311" s="78">
        <v>109.75311478122079</v>
      </c>
      <c r="I311" s="78">
        <v>119.73618080426657</v>
      </c>
    </row>
    <row r="312" spans="1:9" x14ac:dyDescent="0.2">
      <c r="A312" t="s">
        <v>55</v>
      </c>
      <c r="B312" t="s">
        <v>62</v>
      </c>
      <c r="C312" s="44" t="s">
        <v>195</v>
      </c>
      <c r="D312" s="78">
        <v>793162.3443461539</v>
      </c>
      <c r="E312" s="78">
        <v>842427.43064423092</v>
      </c>
      <c r="F312" s="78">
        <v>849465.30011538463</v>
      </c>
      <c r="G312" s="78">
        <v>401.39794754360014</v>
      </c>
      <c r="H312" s="78">
        <v>426.32967137865938</v>
      </c>
      <c r="I312" s="78">
        <v>429.89134621223917</v>
      </c>
    </row>
    <row r="313" spans="1:9" x14ac:dyDescent="0.2">
      <c r="A313" t="s">
        <v>33</v>
      </c>
      <c r="B313" t="s">
        <v>74</v>
      </c>
      <c r="C313" s="44" t="s">
        <v>195</v>
      </c>
      <c r="D313" s="78">
        <v>183839.76995999998</v>
      </c>
      <c r="E313" s="78">
        <v>183839.76995999998</v>
      </c>
      <c r="F313" s="78">
        <v>200561.70595999999</v>
      </c>
      <c r="G313" s="78">
        <v>93.036320829959507</v>
      </c>
      <c r="H313" s="78">
        <v>93.036320829959507</v>
      </c>
      <c r="I313" s="78">
        <v>101.49883904858298</v>
      </c>
    </row>
    <row r="314" spans="1:9" x14ac:dyDescent="0.2">
      <c r="A314" t="s">
        <v>40</v>
      </c>
      <c r="B314" t="s">
        <v>74</v>
      </c>
      <c r="C314" s="44" t="s">
        <v>195</v>
      </c>
      <c r="D314" s="78">
        <v>243658.52688000002</v>
      </c>
      <c r="E314" s="78">
        <v>263051.15888</v>
      </c>
      <c r="F314" s="78">
        <v>265821.53487999999</v>
      </c>
      <c r="G314" s="78">
        <v>123.30897109311742</v>
      </c>
      <c r="H314" s="78">
        <v>133.12305611336032</v>
      </c>
      <c r="I314" s="78">
        <v>134.5250682591093</v>
      </c>
    </row>
    <row r="315" spans="1:9" x14ac:dyDescent="0.2">
      <c r="A315" t="s">
        <v>47</v>
      </c>
      <c r="B315" t="s">
        <v>74</v>
      </c>
      <c r="C315" s="44" t="s">
        <v>195</v>
      </c>
      <c r="D315" s="78">
        <v>137204.75628</v>
      </c>
      <c r="E315" s="78">
        <v>137204.75628</v>
      </c>
      <c r="F315" s="78">
        <v>149684.80427999998</v>
      </c>
      <c r="G315" s="78">
        <v>69.435605404858308</v>
      </c>
      <c r="H315" s="78">
        <v>69.435605404858308</v>
      </c>
      <c r="I315" s="78">
        <v>75.751419170040478</v>
      </c>
    </row>
    <row r="316" spans="1:9" x14ac:dyDescent="0.2">
      <c r="A316" t="s">
        <v>50</v>
      </c>
      <c r="B316" t="s">
        <v>74</v>
      </c>
      <c r="C316" s="44" t="s">
        <v>195</v>
      </c>
      <c r="D316" s="78">
        <v>214141.93949999998</v>
      </c>
      <c r="E316" s="78">
        <v>231185.3645</v>
      </c>
      <c r="F316" s="78">
        <v>233620.13949999999</v>
      </c>
      <c r="G316" s="78">
        <v>108.37142687246961</v>
      </c>
      <c r="H316" s="78">
        <v>116.99664195344128</v>
      </c>
      <c r="I316" s="78">
        <v>118.22881553643724</v>
      </c>
    </row>
    <row r="317" spans="1:9" x14ac:dyDescent="0.2">
      <c r="A317" t="s">
        <v>55</v>
      </c>
      <c r="B317" t="s">
        <v>74</v>
      </c>
      <c r="C317" s="44" t="s">
        <v>195</v>
      </c>
      <c r="D317" s="78">
        <v>577145.93500000006</v>
      </c>
      <c r="E317" s="78">
        <v>617527.22875000001</v>
      </c>
      <c r="F317" s="78">
        <v>623295.9850000001</v>
      </c>
      <c r="G317" s="78">
        <v>292.07790232793525</v>
      </c>
      <c r="H317" s="78">
        <v>312.51377973178137</v>
      </c>
      <c r="I317" s="78">
        <v>315.43319078947371</v>
      </c>
    </row>
    <row r="318" spans="1:9" x14ac:dyDescent="0.2">
      <c r="A318" t="s">
        <v>33</v>
      </c>
      <c r="B318" t="s">
        <v>82</v>
      </c>
      <c r="C318" s="44" t="s">
        <v>195</v>
      </c>
      <c r="D318" s="78">
        <v>168044.7283076923</v>
      </c>
      <c r="E318" s="78">
        <v>168044.7283076923</v>
      </c>
      <c r="F318" s="78">
        <v>183163.86676923075</v>
      </c>
      <c r="G318" s="78">
        <v>85.042878698224854</v>
      </c>
      <c r="H318" s="78">
        <v>85.042878698224854</v>
      </c>
      <c r="I318" s="78">
        <v>92.694264559327294</v>
      </c>
    </row>
    <row r="319" spans="1:9" x14ac:dyDescent="0.2">
      <c r="A319" t="s">
        <v>40</v>
      </c>
      <c r="B319" t="s">
        <v>82</v>
      </c>
      <c r="C319" s="44" t="s">
        <v>195</v>
      </c>
      <c r="D319" s="78">
        <v>248808.66465384612</v>
      </c>
      <c r="E319" s="78">
        <v>248808.66465384612</v>
      </c>
      <c r="F319" s="78">
        <v>271274.03388461535</v>
      </c>
      <c r="G319" s="78">
        <v>125.91531612036746</v>
      </c>
      <c r="H319" s="78">
        <v>125.91531612036746</v>
      </c>
      <c r="I319" s="78">
        <v>137.28443010355028</v>
      </c>
    </row>
    <row r="320" spans="1:9" x14ac:dyDescent="0.2">
      <c r="A320" t="s">
        <v>47</v>
      </c>
      <c r="B320" t="s">
        <v>82</v>
      </c>
      <c r="C320" s="44" t="s">
        <v>195</v>
      </c>
      <c r="D320" s="78">
        <v>152905.41211538459</v>
      </c>
      <c r="E320" s="78">
        <v>152905.41211538459</v>
      </c>
      <c r="F320" s="78">
        <v>166647.48903846153</v>
      </c>
      <c r="G320" s="78">
        <v>77.38128143491123</v>
      </c>
      <c r="H320" s="78">
        <v>77.38128143491123</v>
      </c>
      <c r="I320" s="78">
        <v>84.335773804889442</v>
      </c>
    </row>
    <row r="321" spans="1:9" x14ac:dyDescent="0.2">
      <c r="A321" t="s">
        <v>50</v>
      </c>
      <c r="B321" t="s">
        <v>82</v>
      </c>
      <c r="C321" s="44" t="s">
        <v>195</v>
      </c>
      <c r="D321" s="78">
        <v>248808.66465384612</v>
      </c>
      <c r="E321" s="78">
        <v>248808.66465384612</v>
      </c>
      <c r="F321" s="78">
        <v>271274.03388461535</v>
      </c>
      <c r="G321" s="78">
        <v>125.91531612036746</v>
      </c>
      <c r="H321" s="78">
        <v>125.91531612036746</v>
      </c>
      <c r="I321" s="78">
        <v>137.28443010355028</v>
      </c>
    </row>
    <row r="322" spans="1:9" x14ac:dyDescent="0.2">
      <c r="A322" t="s">
        <v>55</v>
      </c>
      <c r="B322" t="s">
        <v>82</v>
      </c>
      <c r="C322" s="44" t="s">
        <v>195</v>
      </c>
      <c r="D322" s="78">
        <v>668927.89876923081</v>
      </c>
      <c r="E322" s="78">
        <v>668927.89876923081</v>
      </c>
      <c r="F322" s="78">
        <v>717550.54492307687</v>
      </c>
      <c r="G322" s="78">
        <v>338.52626455932733</v>
      </c>
      <c r="H322" s="78">
        <v>338.52626455932733</v>
      </c>
      <c r="I322" s="78">
        <v>363.13286686390529</v>
      </c>
    </row>
    <row r="323" spans="1:9" x14ac:dyDescent="0.2">
      <c r="A323" t="s">
        <v>33</v>
      </c>
      <c r="B323" t="s">
        <v>88</v>
      </c>
      <c r="C323" s="44" t="s">
        <v>195</v>
      </c>
      <c r="D323" s="78">
        <v>168993.93415384617</v>
      </c>
      <c r="E323" s="78">
        <v>184365.50338461538</v>
      </c>
      <c r="F323" s="78">
        <v>184365.50338461538</v>
      </c>
      <c r="G323" s="78">
        <v>85.523246029274375</v>
      </c>
      <c r="H323" s="78">
        <v>93.302380255372157</v>
      </c>
      <c r="I323" s="78">
        <v>93.302380255372157</v>
      </c>
    </row>
    <row r="324" spans="1:9" x14ac:dyDescent="0.2">
      <c r="A324" t="s">
        <v>40</v>
      </c>
      <c r="B324" t="s">
        <v>88</v>
      </c>
      <c r="C324" s="44" t="s">
        <v>195</v>
      </c>
      <c r="D324" s="78">
        <v>258200.7002307692</v>
      </c>
      <c r="E324" s="78">
        <v>281686.45407692308</v>
      </c>
      <c r="F324" s="78">
        <v>281686.45407692308</v>
      </c>
      <c r="G324" s="78">
        <v>130.66837056213015</v>
      </c>
      <c r="H324" s="78">
        <v>142.55387352071006</v>
      </c>
      <c r="I324" s="78">
        <v>142.55387352071006</v>
      </c>
    </row>
    <row r="325" spans="1:9" x14ac:dyDescent="0.2">
      <c r="A325" t="s">
        <v>47</v>
      </c>
      <c r="B325" t="s">
        <v>88</v>
      </c>
      <c r="C325" s="44" t="s">
        <v>195</v>
      </c>
      <c r="D325" s="78">
        <v>149922.6816923077</v>
      </c>
      <c r="E325" s="78">
        <v>163559.54323076922</v>
      </c>
      <c r="F325" s="78">
        <v>163559.54323076922</v>
      </c>
      <c r="G325" s="78">
        <v>75.871802475864229</v>
      </c>
      <c r="H325" s="78">
        <v>82.773048193709116</v>
      </c>
      <c r="I325" s="78">
        <v>82.773048193709116</v>
      </c>
    </row>
    <row r="326" spans="1:9" x14ac:dyDescent="0.2">
      <c r="A326" t="s">
        <v>50</v>
      </c>
      <c r="B326" t="s">
        <v>88</v>
      </c>
      <c r="C326" s="44" t="s">
        <v>195</v>
      </c>
      <c r="D326" s="78">
        <v>205490.73253846157</v>
      </c>
      <c r="E326" s="78">
        <v>224182.02484615386</v>
      </c>
      <c r="F326" s="78">
        <v>224182.02484615386</v>
      </c>
      <c r="G326" s="78">
        <v>103.993285697602</v>
      </c>
      <c r="H326" s="78">
        <v>113.45244172376208</v>
      </c>
      <c r="I326" s="78">
        <v>113.45244172376208</v>
      </c>
    </row>
    <row r="327" spans="1:9" x14ac:dyDescent="0.2">
      <c r="A327" t="s">
        <v>55</v>
      </c>
      <c r="B327" t="s">
        <v>88</v>
      </c>
      <c r="C327" s="44" t="s">
        <v>195</v>
      </c>
      <c r="D327" s="78">
        <v>839060.72984615387</v>
      </c>
      <c r="E327" s="78">
        <v>839060.72984615387</v>
      </c>
      <c r="F327" s="78">
        <v>912751.56061538449</v>
      </c>
      <c r="G327" s="78">
        <v>424.62587542821552</v>
      </c>
      <c r="H327" s="78">
        <v>424.62587542821552</v>
      </c>
      <c r="I327" s="78">
        <v>461.91880597944555</v>
      </c>
    </row>
    <row r="328" spans="1:9" x14ac:dyDescent="0.2">
      <c r="A328" t="s">
        <v>33</v>
      </c>
      <c r="B328" t="s">
        <v>96</v>
      </c>
      <c r="C328" s="44" t="s">
        <v>195</v>
      </c>
      <c r="D328" s="44">
        <v>119254.10892307691</v>
      </c>
      <c r="E328" s="44">
        <v>192266.06223815383</v>
      </c>
      <c r="F328" s="44">
        <v>270490.24323076918</v>
      </c>
      <c r="G328" s="44">
        <v>60.351269697913423</v>
      </c>
      <c r="H328" s="44">
        <v>97.300638784490801</v>
      </c>
      <c r="I328" s="44">
        <v>136.88777491435687</v>
      </c>
    </row>
    <row r="329" spans="1:9" x14ac:dyDescent="0.2">
      <c r="A329" t="s">
        <v>40</v>
      </c>
      <c r="B329" t="s">
        <v>96</v>
      </c>
      <c r="C329" s="44" t="s">
        <v>195</v>
      </c>
      <c r="D329" s="44">
        <v>153064.47200000001</v>
      </c>
      <c r="E329" s="44">
        <v>261015.09310338466</v>
      </c>
      <c r="F329" s="44">
        <v>356023.47040000005</v>
      </c>
      <c r="G329" s="44">
        <v>77.461777327935238</v>
      </c>
      <c r="H329" s="44">
        <v>132.0926584531299</v>
      </c>
      <c r="I329" s="44">
        <v>180.17382105263161</v>
      </c>
    </row>
    <row r="330" spans="1:9" x14ac:dyDescent="0.2">
      <c r="A330" t="s">
        <v>47</v>
      </c>
      <c r="B330" t="s">
        <v>96</v>
      </c>
      <c r="C330" s="44" t="s">
        <v>195</v>
      </c>
      <c r="D330" s="44">
        <v>117177.61784615385</v>
      </c>
      <c r="E330" s="44">
        <v>160026.83397907691</v>
      </c>
      <c r="F330" s="44">
        <v>224322.59846153847</v>
      </c>
      <c r="G330" s="44">
        <v>59.300413889753969</v>
      </c>
      <c r="H330" s="44">
        <v>80.985239867953894</v>
      </c>
      <c r="I330" s="44">
        <v>113.52358221737778</v>
      </c>
    </row>
    <row r="331" spans="1:9" x14ac:dyDescent="0.2">
      <c r="A331" t="s">
        <v>50</v>
      </c>
      <c r="B331" t="s">
        <v>96</v>
      </c>
      <c r="C331" s="44" t="s">
        <v>195</v>
      </c>
      <c r="D331" s="44">
        <v>164730.14138461539</v>
      </c>
      <c r="E331" s="44">
        <v>236555.57696153846</v>
      </c>
      <c r="F331" s="44">
        <v>347404.81907692307</v>
      </c>
      <c r="G331" s="44">
        <v>83.365456166303332</v>
      </c>
      <c r="H331" s="44">
        <v>119.71436081049517</v>
      </c>
      <c r="I331" s="44">
        <v>175.81215540330115</v>
      </c>
    </row>
    <row r="332" spans="1:9" x14ac:dyDescent="0.2">
      <c r="A332" t="s">
        <v>55</v>
      </c>
      <c r="B332" t="s">
        <v>96</v>
      </c>
      <c r="C332" s="44" t="s">
        <v>195</v>
      </c>
      <c r="D332" s="44">
        <v>520352.75540000002</v>
      </c>
      <c r="E332" s="44">
        <v>759694.90400399989</v>
      </c>
      <c r="F332" s="44">
        <v>1089622.1144999999</v>
      </c>
      <c r="G332" s="44">
        <v>263.33641467611341</v>
      </c>
      <c r="H332" s="44">
        <v>384.46098380769229</v>
      </c>
      <c r="I332" s="44">
        <v>551.42819559716588</v>
      </c>
    </row>
  </sheetData>
  <sortState xmlns:xlrd2="http://schemas.microsoft.com/office/spreadsheetml/2017/richdata2" ref="A1:I2">
    <sortCondition ref="C1:C2"/>
    <sortCondition ref="A1:A2"/>
    <sortCondition ref="B1:B2"/>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36D9-20DC-864B-BA47-6CB0DB4C9470}">
  <dimension ref="A1:F331"/>
  <sheetViews>
    <sheetView tabSelected="1" workbookViewId="0">
      <selection activeCell="D2" sqref="D2:F331"/>
    </sheetView>
  </sheetViews>
  <sheetFormatPr baseColWidth="10" defaultColWidth="11" defaultRowHeight="16" x14ac:dyDescent="0.2"/>
  <sheetData>
    <row r="1" spans="1:6" x14ac:dyDescent="0.2">
      <c r="A1" t="s">
        <v>6</v>
      </c>
      <c r="B1" t="s">
        <v>5</v>
      </c>
      <c r="C1" t="s">
        <v>197</v>
      </c>
      <c r="D1" s="44" t="s">
        <v>29</v>
      </c>
      <c r="E1" s="44" t="s">
        <v>56</v>
      </c>
      <c r="F1" s="44" t="s">
        <v>31</v>
      </c>
    </row>
    <row r="2" spans="1:6" x14ac:dyDescent="0.2">
      <c r="A2" t="s">
        <v>33</v>
      </c>
      <c r="B2" t="s">
        <v>32</v>
      </c>
      <c r="C2" s="44" t="s">
        <v>185</v>
      </c>
      <c r="D2" s="65">
        <v>103.01091529118654</v>
      </c>
      <c r="E2" s="65">
        <v>122.86300128464651</v>
      </c>
      <c r="F2" s="65">
        <v>142.71508727810649</v>
      </c>
    </row>
    <row r="3" spans="1:6" x14ac:dyDescent="0.2">
      <c r="A3" t="s">
        <v>40</v>
      </c>
      <c r="B3" t="s">
        <v>32</v>
      </c>
      <c r="C3" s="44" t="s">
        <v>185</v>
      </c>
      <c r="D3" s="65">
        <v>79.880535931174094</v>
      </c>
      <c r="E3" s="65">
        <v>132.9668190283401</v>
      </c>
      <c r="F3" s="65">
        <v>186.05310212550611</v>
      </c>
    </row>
    <row r="4" spans="1:6" x14ac:dyDescent="0.2">
      <c r="A4" t="s">
        <v>47</v>
      </c>
      <c r="B4" t="s">
        <v>32</v>
      </c>
      <c r="C4" s="44" t="s">
        <v>185</v>
      </c>
      <c r="D4" s="65">
        <v>82.411060923388348</v>
      </c>
      <c r="E4" s="65">
        <v>100.3672047843351</v>
      </c>
      <c r="F4" s="65">
        <v>118.32334864528184</v>
      </c>
    </row>
    <row r="5" spans="1:6" x14ac:dyDescent="0.2">
      <c r="A5" t="s">
        <v>50</v>
      </c>
      <c r="B5" t="s">
        <v>32</v>
      </c>
      <c r="C5" s="44" t="s">
        <v>185</v>
      </c>
      <c r="D5" s="65">
        <v>103.01091529118654</v>
      </c>
      <c r="E5" s="65">
        <v>131.77929823263781</v>
      </c>
      <c r="F5" s="65">
        <v>160.54768117408906</v>
      </c>
    </row>
    <row r="6" spans="1:6" x14ac:dyDescent="0.2">
      <c r="A6" t="s">
        <v>55</v>
      </c>
      <c r="B6" t="s">
        <v>32</v>
      </c>
      <c r="C6" s="44" t="s">
        <v>185</v>
      </c>
      <c r="D6" s="65">
        <v>337.41975202429148</v>
      </c>
      <c r="E6" s="65">
        <v>397.93711229757093</v>
      </c>
      <c r="F6" s="65">
        <v>458.45447257085021</v>
      </c>
    </row>
    <row r="7" spans="1:6" x14ac:dyDescent="0.2">
      <c r="A7" t="s">
        <v>33</v>
      </c>
      <c r="B7" t="s">
        <v>62</v>
      </c>
      <c r="C7" s="44" t="s">
        <v>185</v>
      </c>
      <c r="D7" s="65">
        <v>65.146644814699471</v>
      </c>
      <c r="E7" s="65">
        <v>93.078790057614455</v>
      </c>
      <c r="F7" s="65">
        <v>121.01093530052941</v>
      </c>
    </row>
    <row r="8" spans="1:6" x14ac:dyDescent="0.2">
      <c r="A8" t="s">
        <v>40</v>
      </c>
      <c r="B8" t="s">
        <v>62</v>
      </c>
      <c r="C8" s="44" t="s">
        <v>185</v>
      </c>
      <c r="D8" s="65">
        <v>80.199187869822495</v>
      </c>
      <c r="E8" s="65">
        <v>125.92719767985052</v>
      </c>
      <c r="F8" s="65">
        <v>171.65520748987856</v>
      </c>
    </row>
    <row r="9" spans="1:6" x14ac:dyDescent="0.2">
      <c r="A9" t="s">
        <v>47</v>
      </c>
      <c r="B9" t="s">
        <v>62</v>
      </c>
      <c r="C9" s="44" t="s">
        <v>185</v>
      </c>
      <c r="D9" s="65">
        <v>68.20481267517907</v>
      </c>
      <c r="E9" s="65">
        <v>75.94370297415135</v>
      </c>
      <c r="F9" s="65">
        <v>83.682593273123629</v>
      </c>
    </row>
    <row r="10" spans="1:6" x14ac:dyDescent="0.2">
      <c r="A10" t="s">
        <v>50</v>
      </c>
      <c r="B10" t="s">
        <v>62</v>
      </c>
      <c r="C10" s="44" t="s">
        <v>185</v>
      </c>
      <c r="D10" s="65">
        <v>79.553107988165678</v>
      </c>
      <c r="E10" s="65">
        <v>109.75311478122079</v>
      </c>
      <c r="F10" s="65">
        <v>139.95312157427591</v>
      </c>
    </row>
    <row r="11" spans="1:6" x14ac:dyDescent="0.2">
      <c r="A11" t="s">
        <v>55</v>
      </c>
      <c r="B11" t="s">
        <v>62</v>
      </c>
      <c r="C11" s="44" t="s">
        <v>185</v>
      </c>
      <c r="D11" s="65">
        <v>369.70246763080041</v>
      </c>
      <c r="E11" s="65">
        <v>426.32967137865938</v>
      </c>
      <c r="F11" s="65">
        <v>482.95687512651824</v>
      </c>
    </row>
    <row r="12" spans="1:6" x14ac:dyDescent="0.2">
      <c r="A12" t="s">
        <v>33</v>
      </c>
      <c r="B12" t="s">
        <v>74</v>
      </c>
      <c r="C12" s="44" t="s">
        <v>185</v>
      </c>
      <c r="D12" s="65">
        <v>71.921924635627533</v>
      </c>
      <c r="E12" s="65">
        <v>93.036320829959507</v>
      </c>
      <c r="F12" s="65">
        <v>114.1507170242915</v>
      </c>
    </row>
    <row r="13" spans="1:6" x14ac:dyDescent="0.2">
      <c r="A13" t="s">
        <v>40</v>
      </c>
      <c r="B13" t="s">
        <v>74</v>
      </c>
      <c r="C13" s="44" t="s">
        <v>185</v>
      </c>
      <c r="D13" s="65">
        <v>86.96887734817814</v>
      </c>
      <c r="E13" s="65">
        <v>133.12305611336032</v>
      </c>
      <c r="F13" s="65">
        <v>179.27723487854254</v>
      </c>
    </row>
    <row r="14" spans="1:6" x14ac:dyDescent="0.2">
      <c r="A14" t="s">
        <v>47</v>
      </c>
      <c r="B14" t="s">
        <v>74</v>
      </c>
      <c r="C14" s="44" t="s">
        <v>185</v>
      </c>
      <c r="D14" s="65">
        <v>57.737442267206475</v>
      </c>
      <c r="E14" s="65">
        <v>69.435605404858308</v>
      </c>
      <c r="F14" s="65">
        <v>81.133768542510111</v>
      </c>
    </row>
    <row r="15" spans="1:6" x14ac:dyDescent="0.2">
      <c r="A15" t="s">
        <v>50</v>
      </c>
      <c r="B15" t="s">
        <v>74</v>
      </c>
      <c r="C15" s="44" t="s">
        <v>185</v>
      </c>
      <c r="D15" s="65">
        <v>85.522450093428859</v>
      </c>
      <c r="E15" s="65">
        <v>116.99664195344128</v>
      </c>
      <c r="F15" s="65">
        <v>148.47083381345377</v>
      </c>
    </row>
    <row r="16" spans="1:6" x14ac:dyDescent="0.2">
      <c r="A16" t="s">
        <v>55</v>
      </c>
      <c r="B16" t="s">
        <v>74</v>
      </c>
      <c r="C16" s="44" t="s">
        <v>185</v>
      </c>
      <c r="D16" s="65">
        <v>268.72383106898161</v>
      </c>
      <c r="E16" s="65">
        <v>312.51377973178137</v>
      </c>
      <c r="F16" s="65">
        <v>356.30372839458113</v>
      </c>
    </row>
    <row r="17" spans="1:6" x14ac:dyDescent="0.2">
      <c r="A17" t="s">
        <v>33</v>
      </c>
      <c r="B17" t="s">
        <v>82</v>
      </c>
      <c r="C17" s="44" t="s">
        <v>185</v>
      </c>
      <c r="D17" s="65">
        <v>59.105972282777955</v>
      </c>
      <c r="E17" s="65">
        <v>85.042878698224854</v>
      </c>
      <c r="F17" s="65">
        <v>110.97978511367175</v>
      </c>
    </row>
    <row r="18" spans="1:6" x14ac:dyDescent="0.2">
      <c r="A18" t="s">
        <v>40</v>
      </c>
      <c r="B18" t="s">
        <v>82</v>
      </c>
      <c r="C18" s="44" t="s">
        <v>185</v>
      </c>
      <c r="D18" s="65">
        <v>83.646810689816263</v>
      </c>
      <c r="E18" s="65">
        <v>125.91531612036746</v>
      </c>
      <c r="F18" s="65">
        <v>168.18382155091874</v>
      </c>
    </row>
    <row r="19" spans="1:6" x14ac:dyDescent="0.2">
      <c r="A19" t="s">
        <v>47</v>
      </c>
      <c r="B19" t="s">
        <v>82</v>
      </c>
      <c r="C19" s="44" t="s">
        <v>185</v>
      </c>
      <c r="D19" s="65">
        <v>58.089778573653071</v>
      </c>
      <c r="E19" s="65">
        <v>77.38128143491123</v>
      </c>
      <c r="F19" s="65">
        <v>96.672784296169425</v>
      </c>
    </row>
    <row r="20" spans="1:6" x14ac:dyDescent="0.2">
      <c r="A20" t="s">
        <v>50</v>
      </c>
      <c r="B20" t="s">
        <v>82</v>
      </c>
      <c r="C20" s="44" t="s">
        <v>185</v>
      </c>
      <c r="D20" s="65">
        <v>83.646810689816263</v>
      </c>
      <c r="E20" s="65">
        <v>125.91531612036746</v>
      </c>
      <c r="F20" s="65">
        <v>168.18382155091874</v>
      </c>
    </row>
    <row r="21" spans="1:6" x14ac:dyDescent="0.2">
      <c r="A21" t="s">
        <v>55</v>
      </c>
      <c r="B21" t="s">
        <v>82</v>
      </c>
      <c r="C21" s="44" t="s">
        <v>185</v>
      </c>
      <c r="D21" s="65">
        <v>285.78028254437862</v>
      </c>
      <c r="E21" s="65">
        <v>338.52626455932733</v>
      </c>
      <c r="F21" s="65">
        <v>391.27224657427587</v>
      </c>
    </row>
    <row r="22" spans="1:6" x14ac:dyDescent="0.2">
      <c r="A22" t="s">
        <v>33</v>
      </c>
      <c r="B22" t="s">
        <v>88</v>
      </c>
      <c r="C22" s="44" t="s">
        <v>185</v>
      </c>
      <c r="D22" s="65">
        <v>75.275442113048882</v>
      </c>
      <c r="E22" s="65">
        <v>93.302380255372157</v>
      </c>
      <c r="F22" s="65">
        <v>111.3293183976954</v>
      </c>
    </row>
    <row r="23" spans="1:6" x14ac:dyDescent="0.2">
      <c r="A23" t="s">
        <v>40</v>
      </c>
      <c r="B23" t="s">
        <v>88</v>
      </c>
      <c r="C23" s="44" t="s">
        <v>185</v>
      </c>
      <c r="D23" s="65">
        <v>101.75434595920274</v>
      </c>
      <c r="E23" s="65">
        <v>142.55387352071006</v>
      </c>
      <c r="F23" s="65">
        <v>183.35340108221735</v>
      </c>
    </row>
    <row r="24" spans="1:6" x14ac:dyDescent="0.2">
      <c r="A24" t="s">
        <v>47</v>
      </c>
      <c r="B24" t="s">
        <v>88</v>
      </c>
      <c r="C24" s="44" t="s">
        <v>185</v>
      </c>
      <c r="D24" s="65">
        <v>75.275442113048882</v>
      </c>
      <c r="E24" s="65">
        <v>82.773048193709116</v>
      </c>
      <c r="F24" s="65">
        <v>90.270654274369349</v>
      </c>
    </row>
    <row r="25" spans="1:6" x14ac:dyDescent="0.2">
      <c r="A25" t="s">
        <v>50</v>
      </c>
      <c r="B25" t="s">
        <v>88</v>
      </c>
      <c r="C25" s="44" t="s">
        <v>185</v>
      </c>
      <c r="D25" s="65">
        <v>104.45400708502025</v>
      </c>
      <c r="E25" s="65">
        <v>113.45244172376208</v>
      </c>
      <c r="F25" s="65">
        <v>122.45087636250389</v>
      </c>
    </row>
    <row r="26" spans="1:6" x14ac:dyDescent="0.2">
      <c r="A26" t="s">
        <v>55</v>
      </c>
      <c r="B26" t="s">
        <v>88</v>
      </c>
      <c r="C26" s="44" t="s">
        <v>185</v>
      </c>
      <c r="D26" s="65">
        <v>371.44467187013396</v>
      </c>
      <c r="E26" s="65">
        <v>424.62587542821552</v>
      </c>
      <c r="F26" s="65">
        <v>477.80707898629703</v>
      </c>
    </row>
    <row r="27" spans="1:6" x14ac:dyDescent="0.2">
      <c r="A27" t="s">
        <v>33</v>
      </c>
      <c r="B27" t="s">
        <v>96</v>
      </c>
      <c r="C27" s="44" t="s">
        <v>185</v>
      </c>
      <c r="D27" s="44">
        <v>59.105972282777955</v>
      </c>
      <c r="E27" s="44">
        <v>97.464674225163506</v>
      </c>
      <c r="F27" s="44">
        <v>142.71508727810649</v>
      </c>
    </row>
    <row r="28" spans="1:6" x14ac:dyDescent="0.2">
      <c r="A28" t="s">
        <v>40</v>
      </c>
      <c r="B28" t="s">
        <v>96</v>
      </c>
      <c r="C28" s="44" t="s">
        <v>185</v>
      </c>
      <c r="D28" s="44">
        <v>79.880535931174094</v>
      </c>
      <c r="E28" s="44">
        <v>132.09725249252568</v>
      </c>
      <c r="F28" s="44">
        <v>186.05310212550611</v>
      </c>
    </row>
    <row r="29" spans="1:6" x14ac:dyDescent="0.2">
      <c r="A29" t="s">
        <v>47</v>
      </c>
      <c r="B29" t="s">
        <v>96</v>
      </c>
      <c r="C29" s="44" t="s">
        <v>185</v>
      </c>
      <c r="D29" s="44">
        <v>57.737442267206475</v>
      </c>
      <c r="E29" s="44">
        <v>81.180168558393035</v>
      </c>
      <c r="F29" s="44">
        <v>118.32334864528184</v>
      </c>
    </row>
    <row r="30" spans="1:6" x14ac:dyDescent="0.2">
      <c r="A30" t="s">
        <v>50</v>
      </c>
      <c r="B30" t="s">
        <v>96</v>
      </c>
      <c r="C30" s="44" t="s">
        <v>185</v>
      </c>
      <c r="D30" s="44">
        <v>79.553107988165678</v>
      </c>
      <c r="E30" s="44">
        <v>119.57936256228588</v>
      </c>
      <c r="F30" s="44">
        <v>168.18382155091874</v>
      </c>
    </row>
    <row r="31" spans="1:6" x14ac:dyDescent="0.2">
      <c r="A31" t="s">
        <v>55</v>
      </c>
      <c r="B31" t="s">
        <v>96</v>
      </c>
      <c r="C31" s="44" t="s">
        <v>185</v>
      </c>
      <c r="D31" s="44">
        <v>268.72383106898161</v>
      </c>
      <c r="E31" s="44">
        <v>379.98654067911093</v>
      </c>
      <c r="F31" s="44">
        <v>482.95687512651824</v>
      </c>
    </row>
    <row r="32" spans="1:6" x14ac:dyDescent="0.2">
      <c r="A32" t="s">
        <v>33</v>
      </c>
      <c r="B32" t="s">
        <v>32</v>
      </c>
      <c r="C32" s="44" t="s">
        <v>186</v>
      </c>
      <c r="D32" s="78">
        <v>122.62269511055743</v>
      </c>
      <c r="E32" s="78">
        <v>122.86300128464651</v>
      </c>
      <c r="F32" s="78">
        <v>123.70407289395826</v>
      </c>
    </row>
    <row r="33" spans="1:6" x14ac:dyDescent="0.2">
      <c r="A33" t="s">
        <v>40</v>
      </c>
      <c r="B33" t="s">
        <v>32</v>
      </c>
      <c r="C33" s="44" t="s">
        <v>186</v>
      </c>
      <c r="D33" s="78">
        <v>132.7090295546559</v>
      </c>
      <c r="E33" s="78">
        <v>132.9668190283401</v>
      </c>
      <c r="F33" s="78">
        <v>133.86908218623486</v>
      </c>
    </row>
    <row r="34" spans="1:6" x14ac:dyDescent="0.2">
      <c r="A34" t="s">
        <v>47</v>
      </c>
      <c r="B34" t="s">
        <v>32</v>
      </c>
      <c r="C34" s="44" t="s">
        <v>186</v>
      </c>
      <c r="D34" s="78">
        <v>100.17089785113671</v>
      </c>
      <c r="E34" s="78">
        <v>100.3672047843351</v>
      </c>
      <c r="F34" s="78">
        <v>101.05427905052943</v>
      </c>
    </row>
    <row r="35" spans="1:6" x14ac:dyDescent="0.2">
      <c r="A35" t="s">
        <v>50</v>
      </c>
      <c r="B35" t="s">
        <v>32</v>
      </c>
      <c r="C35" s="44" t="s">
        <v>186</v>
      </c>
      <c r="D35" s="78">
        <v>131.5215527872937</v>
      </c>
      <c r="E35" s="78">
        <v>131.77929823263781</v>
      </c>
      <c r="F35" s="78">
        <v>132.68140729134223</v>
      </c>
    </row>
    <row r="36" spans="1:6" x14ac:dyDescent="0.2">
      <c r="A36" t="s">
        <v>55</v>
      </c>
      <c r="B36" t="s">
        <v>32</v>
      </c>
      <c r="C36" s="44" t="s">
        <v>186</v>
      </c>
      <c r="D36" s="78">
        <v>397.18749716599189</v>
      </c>
      <c r="E36" s="78">
        <v>397.93711229757093</v>
      </c>
      <c r="F36" s="78">
        <v>400.56076525809715</v>
      </c>
    </row>
    <row r="37" spans="1:6" x14ac:dyDescent="0.2">
      <c r="A37" t="s">
        <v>33</v>
      </c>
      <c r="B37" t="s">
        <v>62</v>
      </c>
      <c r="C37" s="44" t="s">
        <v>186</v>
      </c>
      <c r="D37" s="78">
        <v>92.882249065711605</v>
      </c>
      <c r="E37" s="78">
        <v>93.078790057614455</v>
      </c>
      <c r="F37" s="78">
        <v>93.76668352927436</v>
      </c>
    </row>
    <row r="38" spans="1:6" x14ac:dyDescent="0.2">
      <c r="A38" t="s">
        <v>40</v>
      </c>
      <c r="B38" t="s">
        <v>62</v>
      </c>
      <c r="C38" s="44" t="s">
        <v>186</v>
      </c>
      <c r="D38" s="78">
        <v>125.66343755839303</v>
      </c>
      <c r="E38" s="78">
        <v>125.92719767985052</v>
      </c>
      <c r="F38" s="78">
        <v>126.85035810495174</v>
      </c>
    </row>
    <row r="39" spans="1:6" x14ac:dyDescent="0.2">
      <c r="A39" t="s">
        <v>47</v>
      </c>
      <c r="B39" t="s">
        <v>62</v>
      </c>
      <c r="C39" s="44" t="s">
        <v>186</v>
      </c>
      <c r="D39" s="78">
        <v>75.783343662410459</v>
      </c>
      <c r="E39" s="78">
        <v>75.94370297415135</v>
      </c>
      <c r="F39" s="78">
        <v>76.504960565244474</v>
      </c>
    </row>
    <row r="40" spans="1:6" x14ac:dyDescent="0.2">
      <c r="A40" t="s">
        <v>50</v>
      </c>
      <c r="B40" t="s">
        <v>62</v>
      </c>
      <c r="C40" s="44" t="s">
        <v>186</v>
      </c>
      <c r="D40" s="78">
        <v>109.52136503425723</v>
      </c>
      <c r="E40" s="78">
        <v>109.75311478122079</v>
      </c>
      <c r="F40" s="78">
        <v>110.56423889559325</v>
      </c>
    </row>
    <row r="41" spans="1:6" x14ac:dyDescent="0.2">
      <c r="A41" t="s">
        <v>55</v>
      </c>
      <c r="B41" t="s">
        <v>62</v>
      </c>
      <c r="C41" s="44" t="s">
        <v>186</v>
      </c>
      <c r="D41" s="78">
        <v>425.67982193533953</v>
      </c>
      <c r="E41" s="78">
        <v>426.32967137865938</v>
      </c>
      <c r="F41" s="78">
        <v>428.60414443027872</v>
      </c>
    </row>
    <row r="42" spans="1:6" x14ac:dyDescent="0.2">
      <c r="A42" t="s">
        <v>33</v>
      </c>
      <c r="B42" t="s">
        <v>74</v>
      </c>
      <c r="C42" s="44" t="s">
        <v>186</v>
      </c>
      <c r="D42" s="78">
        <v>92.839869514170047</v>
      </c>
      <c r="E42" s="78">
        <v>93.036320829959507</v>
      </c>
      <c r="F42" s="78">
        <v>93.72390043522266</v>
      </c>
    </row>
    <row r="43" spans="1:6" x14ac:dyDescent="0.2">
      <c r="A43" t="s">
        <v>40</v>
      </c>
      <c r="B43" t="s">
        <v>74</v>
      </c>
      <c r="C43" s="44" t="s">
        <v>186</v>
      </c>
      <c r="D43" s="78">
        <v>132.8626824291498</v>
      </c>
      <c r="E43" s="78">
        <v>133.12305611336032</v>
      </c>
      <c r="F43" s="78">
        <v>134.03436400809716</v>
      </c>
    </row>
    <row r="44" spans="1:6" x14ac:dyDescent="0.2">
      <c r="A44" t="s">
        <v>47</v>
      </c>
      <c r="B44" t="s">
        <v>74</v>
      </c>
      <c r="C44" s="44" t="s">
        <v>186</v>
      </c>
      <c r="D44" s="78">
        <v>69.288988299595133</v>
      </c>
      <c r="E44" s="78">
        <v>69.435605404858308</v>
      </c>
      <c r="F44" s="78">
        <v>69.948765273279335</v>
      </c>
    </row>
    <row r="45" spans="1:6" x14ac:dyDescent="0.2">
      <c r="A45" t="s">
        <v>50</v>
      </c>
      <c r="B45" t="s">
        <v>74</v>
      </c>
      <c r="C45" s="44" t="s">
        <v>186</v>
      </c>
      <c r="D45" s="78">
        <v>116.76780971659917</v>
      </c>
      <c r="E45" s="78">
        <v>116.99664195344128</v>
      </c>
      <c r="F45" s="78">
        <v>117.79755478238866</v>
      </c>
    </row>
    <row r="46" spans="1:6" x14ac:dyDescent="0.2">
      <c r="A46" t="s">
        <v>55</v>
      </c>
      <c r="B46" t="s">
        <v>74</v>
      </c>
      <c r="C46" s="44" t="s">
        <v>186</v>
      </c>
      <c r="D46" s="78">
        <v>311.98111525809719</v>
      </c>
      <c r="E46" s="78">
        <v>312.51377973178137</v>
      </c>
      <c r="F46" s="78">
        <v>314.37810538967608</v>
      </c>
    </row>
    <row r="47" spans="1:6" x14ac:dyDescent="0.2">
      <c r="A47" t="s">
        <v>33</v>
      </c>
      <c r="B47" t="s">
        <v>82</v>
      </c>
      <c r="C47" s="44" t="s">
        <v>186</v>
      </c>
      <c r="D47" s="78">
        <v>84.865257240734962</v>
      </c>
      <c r="E47" s="78">
        <v>85.042878698224854</v>
      </c>
      <c r="F47" s="78">
        <v>85.664553799439432</v>
      </c>
    </row>
    <row r="48" spans="1:6" x14ac:dyDescent="0.2">
      <c r="A48" t="s">
        <v>40</v>
      </c>
      <c r="B48" t="s">
        <v>82</v>
      </c>
      <c r="C48" s="44" t="s">
        <v>186</v>
      </c>
      <c r="D48" s="78">
        <v>125.6513902600436</v>
      </c>
      <c r="E48" s="78">
        <v>125.91531612036746</v>
      </c>
      <c r="F48" s="78">
        <v>126.83905663150108</v>
      </c>
    </row>
    <row r="49" spans="1:6" x14ac:dyDescent="0.2">
      <c r="A49" t="s">
        <v>47</v>
      </c>
      <c r="B49" t="s">
        <v>82</v>
      </c>
      <c r="C49" s="44" t="s">
        <v>186</v>
      </c>
      <c r="D49" s="78">
        <v>77.219837862036727</v>
      </c>
      <c r="E49" s="78">
        <v>77.38128143491123</v>
      </c>
      <c r="F49" s="78">
        <v>77.946333939971964</v>
      </c>
    </row>
    <row r="50" spans="1:6" x14ac:dyDescent="0.2">
      <c r="A50" t="s">
        <v>50</v>
      </c>
      <c r="B50" t="s">
        <v>82</v>
      </c>
      <c r="C50" s="44" t="s">
        <v>186</v>
      </c>
      <c r="D50" s="78">
        <v>125.6513902600436</v>
      </c>
      <c r="E50" s="78">
        <v>125.91531612036746</v>
      </c>
      <c r="F50" s="78">
        <v>126.83905663150108</v>
      </c>
    </row>
    <row r="51" spans="1:6" x14ac:dyDescent="0.2">
      <c r="A51" t="s">
        <v>55</v>
      </c>
      <c r="B51" t="s">
        <v>82</v>
      </c>
      <c r="C51" s="44" t="s">
        <v>186</v>
      </c>
      <c r="D51" s="78">
        <v>337.95503986297103</v>
      </c>
      <c r="E51" s="78">
        <v>338.52626455932733</v>
      </c>
      <c r="F51" s="78">
        <v>340.52555099657422</v>
      </c>
    </row>
    <row r="52" spans="1:6" x14ac:dyDescent="0.2">
      <c r="A52" t="s">
        <v>33</v>
      </c>
      <c r="B52" t="s">
        <v>88</v>
      </c>
      <c r="C52" s="44" t="s">
        <v>186</v>
      </c>
      <c r="D52" s="78">
        <v>93.121793210837751</v>
      </c>
      <c r="E52" s="78">
        <v>93.302380255372157</v>
      </c>
      <c r="F52" s="78">
        <v>93.934434911242604</v>
      </c>
    </row>
    <row r="53" spans="1:6" x14ac:dyDescent="0.2">
      <c r="A53" t="s">
        <v>40</v>
      </c>
      <c r="B53" t="s">
        <v>88</v>
      </c>
      <c r="C53" s="44" t="s">
        <v>186</v>
      </c>
      <c r="D53" s="78">
        <v>142.27796005917159</v>
      </c>
      <c r="E53" s="78">
        <v>142.55387352071006</v>
      </c>
      <c r="F53" s="78">
        <v>143.5195706360947</v>
      </c>
    </row>
    <row r="54" spans="1:6" x14ac:dyDescent="0.2">
      <c r="A54" t="s">
        <v>47</v>
      </c>
      <c r="B54" t="s">
        <v>88</v>
      </c>
      <c r="C54" s="44" t="s">
        <v>186</v>
      </c>
      <c r="D54" s="78">
        <v>82.612840703830571</v>
      </c>
      <c r="E54" s="78">
        <v>82.773048193709116</v>
      </c>
      <c r="F54" s="78">
        <v>83.333774408284015</v>
      </c>
    </row>
    <row r="55" spans="1:6" x14ac:dyDescent="0.2">
      <c r="A55" t="s">
        <v>50</v>
      </c>
      <c r="B55" t="s">
        <v>88</v>
      </c>
      <c r="C55" s="44" t="s">
        <v>186</v>
      </c>
      <c r="D55" s="78">
        <v>113.23285417315478</v>
      </c>
      <c r="E55" s="78">
        <v>113.45244172376208</v>
      </c>
      <c r="F55" s="78">
        <v>114.22099815088757</v>
      </c>
    </row>
    <row r="56" spans="1:6" x14ac:dyDescent="0.2">
      <c r="A56" t="s">
        <v>55</v>
      </c>
      <c r="B56" t="s">
        <v>88</v>
      </c>
      <c r="C56" s="44" t="s">
        <v>186</v>
      </c>
      <c r="D56" s="78">
        <v>423.76014668327622</v>
      </c>
      <c r="E56" s="78">
        <v>424.62587542821552</v>
      </c>
      <c r="F56" s="78">
        <v>427.65592603550294</v>
      </c>
    </row>
    <row r="57" spans="1:6" x14ac:dyDescent="0.2">
      <c r="A57" t="s">
        <v>33</v>
      </c>
      <c r="B57" t="s">
        <v>96</v>
      </c>
      <c r="C57" s="44" t="s">
        <v>186</v>
      </c>
      <c r="D57" s="44">
        <v>97.102337387729662</v>
      </c>
      <c r="E57" s="44">
        <v>97.300638784490801</v>
      </c>
      <c r="F57" s="44">
        <v>97.994693673154771</v>
      </c>
    </row>
    <row r="58" spans="1:6" x14ac:dyDescent="0.2">
      <c r="A58" t="s">
        <v>40</v>
      </c>
      <c r="B58" t="s">
        <v>96</v>
      </c>
      <c r="C58" s="44" t="s">
        <v>186</v>
      </c>
      <c r="D58" s="44">
        <v>131.82830593288696</v>
      </c>
      <c r="E58" s="44">
        <v>132.0926584531299</v>
      </c>
      <c r="F58" s="44">
        <v>133.01789227398007</v>
      </c>
    </row>
    <row r="59" spans="1:6" x14ac:dyDescent="0.2">
      <c r="A59" t="s">
        <v>47</v>
      </c>
      <c r="B59" t="s">
        <v>96</v>
      </c>
      <c r="C59" s="44" t="s">
        <v>186</v>
      </c>
      <c r="D59" s="44">
        <v>80.820252985362799</v>
      </c>
      <c r="E59" s="44">
        <v>80.985239867953894</v>
      </c>
      <c r="F59" s="44">
        <v>81.562693957022731</v>
      </c>
    </row>
    <row r="60" spans="1:6" x14ac:dyDescent="0.2">
      <c r="A60" t="s">
        <v>50</v>
      </c>
      <c r="B60" t="s">
        <v>96</v>
      </c>
      <c r="C60" s="44" t="s">
        <v>186</v>
      </c>
      <c r="D60" s="44">
        <v>119.47399264247899</v>
      </c>
      <c r="E60" s="44">
        <v>119.71436081049517</v>
      </c>
      <c r="F60" s="44">
        <v>120.55564939855185</v>
      </c>
    </row>
    <row r="61" spans="1:6" x14ac:dyDescent="0.2">
      <c r="A61" t="s">
        <v>55</v>
      </c>
      <c r="B61" t="s">
        <v>96</v>
      </c>
      <c r="C61" s="44" t="s">
        <v>186</v>
      </c>
      <c r="D61" s="44">
        <v>383.78716730971655</v>
      </c>
      <c r="E61" s="44">
        <v>384.46098380769229</v>
      </c>
      <c r="F61" s="44">
        <v>386.81934155060725</v>
      </c>
    </row>
    <row r="62" spans="1:6" x14ac:dyDescent="0.2">
      <c r="A62" t="s">
        <v>33</v>
      </c>
      <c r="B62" t="s">
        <v>32</v>
      </c>
      <c r="C62" s="44" t="s">
        <v>187</v>
      </c>
      <c r="D62" s="78">
        <v>116.7198512204142</v>
      </c>
      <c r="E62" s="78">
        <v>122.86300128464651</v>
      </c>
      <c r="F62" s="78">
        <v>128.61691594536001</v>
      </c>
    </row>
    <row r="63" spans="1:6" x14ac:dyDescent="0.2">
      <c r="A63" t="s">
        <v>40</v>
      </c>
      <c r="B63" t="s">
        <v>32</v>
      </c>
      <c r="C63" s="44" t="s">
        <v>187</v>
      </c>
      <c r="D63" s="78">
        <v>126.31847807692309</v>
      </c>
      <c r="E63" s="78">
        <v>132.9668190283401</v>
      </c>
      <c r="F63" s="78">
        <v>139.19391523627888</v>
      </c>
    </row>
    <row r="64" spans="1:6" x14ac:dyDescent="0.2">
      <c r="A64" t="s">
        <v>47</v>
      </c>
      <c r="B64" t="s">
        <v>32</v>
      </c>
      <c r="C64" s="44" t="s">
        <v>187</v>
      </c>
      <c r="D64" s="78">
        <v>95.34884454511834</v>
      </c>
      <c r="E64" s="78">
        <v>100.3672047843351</v>
      </c>
      <c r="F64" s="78">
        <v>105.06759729489626</v>
      </c>
    </row>
    <row r="65" spans="1:6" x14ac:dyDescent="0.2">
      <c r="A65" t="s">
        <v>50</v>
      </c>
      <c r="B65" t="s">
        <v>32</v>
      </c>
      <c r="C65" s="44" t="s">
        <v>187</v>
      </c>
      <c r="D65" s="78">
        <v>125.19033332100591</v>
      </c>
      <c r="E65" s="78">
        <v>131.77929823263781</v>
      </c>
      <c r="F65" s="78">
        <v>137.95078051901478</v>
      </c>
    </row>
    <row r="66" spans="1:6" x14ac:dyDescent="0.2">
      <c r="A66" t="s">
        <v>55</v>
      </c>
      <c r="B66" t="s">
        <v>32</v>
      </c>
      <c r="C66" s="44" t="s">
        <v>187</v>
      </c>
      <c r="D66" s="78">
        <v>378.04025668269236</v>
      </c>
      <c r="E66" s="78">
        <v>397.93711229757093</v>
      </c>
      <c r="F66" s="78">
        <v>416.57328560076297</v>
      </c>
    </row>
    <row r="67" spans="1:6" x14ac:dyDescent="0.2">
      <c r="A67" t="s">
        <v>33</v>
      </c>
      <c r="B67" t="s">
        <v>62</v>
      </c>
      <c r="C67" s="44" t="s">
        <v>187</v>
      </c>
      <c r="D67" s="78">
        <v>88.424850554733737</v>
      </c>
      <c r="E67" s="78">
        <v>93.078790057614455</v>
      </c>
      <c r="F67" s="78">
        <v>97.437851850946274</v>
      </c>
    </row>
    <row r="68" spans="1:6" x14ac:dyDescent="0.2">
      <c r="A68" t="s">
        <v>40</v>
      </c>
      <c r="B68" t="s">
        <v>62</v>
      </c>
      <c r="C68" s="44" t="s">
        <v>187</v>
      </c>
      <c r="D68" s="78">
        <v>119.630837795858</v>
      </c>
      <c r="E68" s="78">
        <v>125.92719767985052</v>
      </c>
      <c r="F68" s="78">
        <v>131.82461465108321</v>
      </c>
    </row>
    <row r="69" spans="1:6" x14ac:dyDescent="0.2">
      <c r="A69" t="s">
        <v>47</v>
      </c>
      <c r="B69" t="s">
        <v>62</v>
      </c>
      <c r="C69" s="44" t="s">
        <v>187</v>
      </c>
      <c r="D69" s="78">
        <v>72.14651782544378</v>
      </c>
      <c r="E69" s="78">
        <v>75.94370297415135</v>
      </c>
      <c r="F69" s="78">
        <v>79.50029512445596</v>
      </c>
    </row>
    <row r="70" spans="1:6" x14ac:dyDescent="0.2">
      <c r="A70" t="s">
        <v>50</v>
      </c>
      <c r="B70" t="s">
        <v>62</v>
      </c>
      <c r="C70" s="44" t="s">
        <v>187</v>
      </c>
      <c r="D70" s="78">
        <v>104.26545904215975</v>
      </c>
      <c r="E70" s="78">
        <v>109.75311478122079</v>
      </c>
      <c r="F70" s="78">
        <v>114.89306781505208</v>
      </c>
    </row>
    <row r="71" spans="1:6" x14ac:dyDescent="0.2">
      <c r="A71" t="s">
        <v>55</v>
      </c>
      <c r="B71" t="s">
        <v>62</v>
      </c>
      <c r="C71" s="44" t="s">
        <v>187</v>
      </c>
      <c r="D71" s="78">
        <v>405.01318780972645</v>
      </c>
      <c r="E71" s="78">
        <v>426.32967137865938</v>
      </c>
      <c r="F71" s="78">
        <v>446.29552375727434</v>
      </c>
    </row>
    <row r="72" spans="1:6" x14ac:dyDescent="0.2">
      <c r="A72" t="s">
        <v>33</v>
      </c>
      <c r="B72" t="s">
        <v>74</v>
      </c>
      <c r="C72" s="44" t="s">
        <v>187</v>
      </c>
      <c r="D72" s="78">
        <v>88.384504788461527</v>
      </c>
      <c r="E72" s="78">
        <v>93.036320829959507</v>
      </c>
      <c r="F72" s="78">
        <v>97.393393706293708</v>
      </c>
    </row>
    <row r="73" spans="1:6" x14ac:dyDescent="0.2">
      <c r="A73" t="s">
        <v>40</v>
      </c>
      <c r="B73" t="s">
        <v>74</v>
      </c>
      <c r="C73" s="44" t="s">
        <v>187</v>
      </c>
      <c r="D73" s="78">
        <v>126.46690330769232</v>
      </c>
      <c r="E73" s="78">
        <v>133.12305611336032</v>
      </c>
      <c r="F73" s="78">
        <v>139.35746920957831</v>
      </c>
    </row>
    <row r="74" spans="1:6" x14ac:dyDescent="0.2">
      <c r="A74" t="s">
        <v>47</v>
      </c>
      <c r="B74" t="s">
        <v>74</v>
      </c>
      <c r="C74" s="44" t="s">
        <v>187</v>
      </c>
      <c r="D74" s="78">
        <v>65.963825134615391</v>
      </c>
      <c r="E74" s="78">
        <v>69.435605404858308</v>
      </c>
      <c r="F74" s="78">
        <v>72.687410616656081</v>
      </c>
    </row>
    <row r="75" spans="1:6" x14ac:dyDescent="0.2">
      <c r="A75" t="s">
        <v>50</v>
      </c>
      <c r="B75" t="s">
        <v>74</v>
      </c>
      <c r="C75" s="44" t="s">
        <v>187</v>
      </c>
      <c r="D75" s="78">
        <v>111.14680985576922</v>
      </c>
      <c r="E75" s="78">
        <v>116.99664195344128</v>
      </c>
      <c r="F75" s="78">
        <v>122.47582353252808</v>
      </c>
    </row>
    <row r="76" spans="1:6" x14ac:dyDescent="0.2">
      <c r="A76" t="s">
        <v>55</v>
      </c>
      <c r="B76" t="s">
        <v>74</v>
      </c>
      <c r="C76" s="44" t="s">
        <v>187</v>
      </c>
      <c r="D76" s="78">
        <v>296.8880907451923</v>
      </c>
      <c r="E76" s="78">
        <v>312.51377973178137</v>
      </c>
      <c r="F76" s="78">
        <v>327.14941128946816</v>
      </c>
    </row>
    <row r="77" spans="1:6" x14ac:dyDescent="0.2">
      <c r="A77" t="s">
        <v>33</v>
      </c>
      <c r="B77" t="s">
        <v>82</v>
      </c>
      <c r="C77" s="44" t="s">
        <v>187</v>
      </c>
      <c r="D77" s="78">
        <v>80.790734763313608</v>
      </c>
      <c r="E77" s="78">
        <v>85.042878698224854</v>
      </c>
      <c r="F77" s="78">
        <v>89.025603044973678</v>
      </c>
    </row>
    <row r="78" spans="1:6" x14ac:dyDescent="0.2">
      <c r="A78" t="s">
        <v>40</v>
      </c>
      <c r="B78" t="s">
        <v>82</v>
      </c>
      <c r="C78" s="44" t="s">
        <v>187</v>
      </c>
      <c r="D78" s="78">
        <v>119.61955031434908</v>
      </c>
      <c r="E78" s="78">
        <v>125.91531612036746</v>
      </c>
      <c r="F78" s="78">
        <v>131.81217665493014</v>
      </c>
    </row>
    <row r="79" spans="1:6" x14ac:dyDescent="0.2">
      <c r="A79" t="s">
        <v>47</v>
      </c>
      <c r="B79" t="s">
        <v>82</v>
      </c>
      <c r="C79" s="44" t="s">
        <v>187</v>
      </c>
      <c r="D79" s="78">
        <v>73.512217363165661</v>
      </c>
      <c r="E79" s="78">
        <v>77.38128143491123</v>
      </c>
      <c r="F79" s="78">
        <v>81.005198196325807</v>
      </c>
    </row>
    <row r="80" spans="1:6" x14ac:dyDescent="0.2">
      <c r="A80" t="s">
        <v>50</v>
      </c>
      <c r="B80" t="s">
        <v>82</v>
      </c>
      <c r="C80" s="44" t="s">
        <v>187</v>
      </c>
      <c r="D80" s="78">
        <v>119.61955031434908</v>
      </c>
      <c r="E80" s="78">
        <v>125.91531612036746</v>
      </c>
      <c r="F80" s="78">
        <v>131.81217665493014</v>
      </c>
    </row>
    <row r="81" spans="1:6" x14ac:dyDescent="0.2">
      <c r="A81" t="s">
        <v>55</v>
      </c>
      <c r="B81" t="s">
        <v>82</v>
      </c>
      <c r="C81" s="44" t="s">
        <v>187</v>
      </c>
      <c r="D81" s="78">
        <v>321.59995133136101</v>
      </c>
      <c r="E81" s="78">
        <v>338.52626455932733</v>
      </c>
      <c r="F81" s="78">
        <v>354.38011165990196</v>
      </c>
    </row>
    <row r="82" spans="1:6" x14ac:dyDescent="0.2">
      <c r="A82" t="s">
        <v>33</v>
      </c>
      <c r="B82" t="s">
        <v>88</v>
      </c>
      <c r="C82" s="44" t="s">
        <v>187</v>
      </c>
      <c r="D82" s="78">
        <v>88.637261242603557</v>
      </c>
      <c r="E82" s="78">
        <v>93.302380255372157</v>
      </c>
      <c r="F82" s="78">
        <v>97.671913214990141</v>
      </c>
    </row>
    <row r="83" spans="1:6" x14ac:dyDescent="0.2">
      <c r="A83" t="s">
        <v>40</v>
      </c>
      <c r="B83" t="s">
        <v>88</v>
      </c>
      <c r="C83" s="44" t="s">
        <v>187</v>
      </c>
      <c r="D83" s="78">
        <v>135.42617984467455</v>
      </c>
      <c r="E83" s="78">
        <v>142.55387352071006</v>
      </c>
      <c r="F83" s="78">
        <v>149.22995024206566</v>
      </c>
    </row>
    <row r="84" spans="1:6" x14ac:dyDescent="0.2">
      <c r="A84" t="s">
        <v>47</v>
      </c>
      <c r="B84" t="s">
        <v>88</v>
      </c>
      <c r="C84" s="44" t="s">
        <v>187</v>
      </c>
      <c r="D84" s="78">
        <v>78.634395784023667</v>
      </c>
      <c r="E84" s="78">
        <v>82.773048193709116</v>
      </c>
      <c r="F84" s="78">
        <v>86.649471938318086</v>
      </c>
    </row>
    <row r="85" spans="1:6" x14ac:dyDescent="0.2">
      <c r="A85" t="s">
        <v>50</v>
      </c>
      <c r="B85" t="s">
        <v>88</v>
      </c>
      <c r="C85" s="44" t="s">
        <v>187</v>
      </c>
      <c r="D85" s="78">
        <v>107.77981963757398</v>
      </c>
      <c r="E85" s="78">
        <v>113.45244172376208</v>
      </c>
      <c r="F85" s="78">
        <v>118.76564147391072</v>
      </c>
    </row>
    <row r="86" spans="1:6" x14ac:dyDescent="0.2">
      <c r="A86" t="s">
        <v>55</v>
      </c>
      <c r="B86" t="s">
        <v>88</v>
      </c>
      <c r="C86" s="44" t="s">
        <v>187</v>
      </c>
      <c r="D86" s="78">
        <v>403.39458165680475</v>
      </c>
      <c r="E86" s="78">
        <v>424.62587542821552</v>
      </c>
      <c r="F86" s="78">
        <v>444.51193570997771</v>
      </c>
    </row>
    <row r="87" spans="1:6" x14ac:dyDescent="0.2">
      <c r="A87" t="s">
        <v>33</v>
      </c>
      <c r="B87" t="s">
        <v>96</v>
      </c>
      <c r="C87" s="44" t="s">
        <v>187</v>
      </c>
      <c r="D87" s="44">
        <v>92.435606845266264</v>
      </c>
      <c r="E87" s="44">
        <v>97.300638784490801</v>
      </c>
      <c r="F87" s="44">
        <v>101.85741801131269</v>
      </c>
    </row>
    <row r="88" spans="1:6" x14ac:dyDescent="0.2">
      <c r="A88" t="s">
        <v>40</v>
      </c>
      <c r="B88" t="s">
        <v>96</v>
      </c>
      <c r="C88" s="44" t="s">
        <v>187</v>
      </c>
      <c r="D88" s="44">
        <v>125.48802553047339</v>
      </c>
      <c r="E88" s="44">
        <v>132.0926584531299</v>
      </c>
      <c r="F88" s="44">
        <v>138.27881601154095</v>
      </c>
    </row>
    <row r="89" spans="1:6" x14ac:dyDescent="0.2">
      <c r="A89" t="s">
        <v>47</v>
      </c>
      <c r="B89" t="s">
        <v>96</v>
      </c>
      <c r="C89" s="44" t="s">
        <v>187</v>
      </c>
      <c r="D89" s="44">
        <v>76.935977874556201</v>
      </c>
      <c r="E89" s="44">
        <v>80.985239867953894</v>
      </c>
      <c r="F89" s="44">
        <v>84.777937051852575</v>
      </c>
    </row>
    <row r="90" spans="1:6" x14ac:dyDescent="0.2">
      <c r="A90" t="s">
        <v>50</v>
      </c>
      <c r="B90" t="s">
        <v>96</v>
      </c>
      <c r="C90" s="44" t="s">
        <v>187</v>
      </c>
      <c r="D90" s="44">
        <v>113.72864276997041</v>
      </c>
      <c r="E90" s="44">
        <v>119.71436081049517</v>
      </c>
      <c r="F90" s="44">
        <v>125.32081847930624</v>
      </c>
    </row>
    <row r="91" spans="1:6" x14ac:dyDescent="0.2">
      <c r="A91" t="s">
        <v>55</v>
      </c>
      <c r="B91" t="s">
        <v>96</v>
      </c>
      <c r="C91" s="44" t="s">
        <v>187</v>
      </c>
      <c r="D91" s="44">
        <v>365.23793461730764</v>
      </c>
      <c r="E91" s="44">
        <v>384.46098380769229</v>
      </c>
      <c r="F91" s="44">
        <v>402.46604365543544</v>
      </c>
    </row>
    <row r="92" spans="1:6" x14ac:dyDescent="0.2">
      <c r="A92" t="s">
        <v>33</v>
      </c>
      <c r="B92" t="s">
        <v>32</v>
      </c>
      <c r="C92" s="44" t="s">
        <v>188</v>
      </c>
      <c r="D92" s="78">
        <v>118.05687780286515</v>
      </c>
      <c r="E92" s="78">
        <v>122.86300128464651</v>
      </c>
      <c r="F92" s="78">
        <v>132.47524824820928</v>
      </c>
    </row>
    <row r="93" spans="1:6" x14ac:dyDescent="0.2">
      <c r="A93" t="s">
        <v>40</v>
      </c>
      <c r="B93" t="s">
        <v>32</v>
      </c>
      <c r="C93" s="44" t="s">
        <v>188</v>
      </c>
      <c r="D93" s="78">
        <v>127.8110295546559</v>
      </c>
      <c r="E93" s="78">
        <v>132.9668190283401</v>
      </c>
      <c r="F93" s="78">
        <v>143.27839797570854</v>
      </c>
    </row>
    <row r="94" spans="1:6" x14ac:dyDescent="0.2">
      <c r="A94" t="s">
        <v>47</v>
      </c>
      <c r="B94" t="s">
        <v>32</v>
      </c>
      <c r="C94" s="44" t="s">
        <v>188</v>
      </c>
      <c r="D94" s="78">
        <v>96.441066120367495</v>
      </c>
      <c r="E94" s="78">
        <v>100.3672047843351</v>
      </c>
      <c r="F94" s="78">
        <v>108.21948211227031</v>
      </c>
    </row>
    <row r="95" spans="1:6" x14ac:dyDescent="0.2">
      <c r="A95" t="s">
        <v>50</v>
      </c>
      <c r="B95" t="s">
        <v>32</v>
      </c>
      <c r="C95" s="44" t="s">
        <v>188</v>
      </c>
      <c r="D95" s="78">
        <v>126.62438932575522</v>
      </c>
      <c r="E95" s="78">
        <v>131.77929823263781</v>
      </c>
      <c r="F95" s="78">
        <v>142.08911604640301</v>
      </c>
    </row>
    <row r="96" spans="1:6" x14ac:dyDescent="0.2">
      <c r="A96" t="s">
        <v>55</v>
      </c>
      <c r="B96" t="s">
        <v>32</v>
      </c>
      <c r="C96" s="44" t="s">
        <v>188</v>
      </c>
      <c r="D96" s="78">
        <v>397.93711229757093</v>
      </c>
      <c r="E96" s="78">
        <v>397.93711229757093</v>
      </c>
      <c r="F96" s="78">
        <v>442.91402019230765</v>
      </c>
    </row>
    <row r="97" spans="1:6" x14ac:dyDescent="0.2">
      <c r="A97" t="s">
        <v>33</v>
      </c>
      <c r="B97" t="s">
        <v>62</v>
      </c>
      <c r="C97" s="44" t="s">
        <v>188</v>
      </c>
      <c r="D97" s="78">
        <v>89.147970219557763</v>
      </c>
      <c r="E97" s="78">
        <v>93.078790057614455</v>
      </c>
      <c r="F97" s="78">
        <v>100.94042973372781</v>
      </c>
    </row>
    <row r="98" spans="1:6" x14ac:dyDescent="0.2">
      <c r="A98" t="s">
        <v>40</v>
      </c>
      <c r="B98" t="s">
        <v>62</v>
      </c>
      <c r="C98" s="44" t="s">
        <v>188</v>
      </c>
      <c r="D98" s="78">
        <v>120.65199525070071</v>
      </c>
      <c r="E98" s="78">
        <v>125.92719767985052</v>
      </c>
      <c r="F98" s="78">
        <v>136.47760253815014</v>
      </c>
    </row>
    <row r="99" spans="1:6" x14ac:dyDescent="0.2">
      <c r="A99" t="s">
        <v>47</v>
      </c>
      <c r="B99" t="s">
        <v>62</v>
      </c>
      <c r="C99" s="44" t="s">
        <v>188</v>
      </c>
      <c r="D99" s="78">
        <v>72.736516739333538</v>
      </c>
      <c r="E99" s="78">
        <v>75.94370297415135</v>
      </c>
      <c r="F99" s="78">
        <v>82.358075443786987</v>
      </c>
    </row>
    <row r="100" spans="1:6" x14ac:dyDescent="0.2">
      <c r="A100" t="s">
        <v>50</v>
      </c>
      <c r="B100" t="s">
        <v>62</v>
      </c>
      <c r="C100" s="44" t="s">
        <v>188</v>
      </c>
      <c r="D100" s="78">
        <v>105.11811984194954</v>
      </c>
      <c r="E100" s="78">
        <v>109.75311478122079</v>
      </c>
      <c r="F100" s="78">
        <v>119.02310465976329</v>
      </c>
    </row>
    <row r="101" spans="1:6" x14ac:dyDescent="0.2">
      <c r="A101" t="s">
        <v>55</v>
      </c>
      <c r="B101" t="s">
        <v>62</v>
      </c>
      <c r="C101" s="44" t="s">
        <v>188</v>
      </c>
      <c r="D101" s="78">
        <v>426.32967137865938</v>
      </c>
      <c r="E101" s="78">
        <v>426.32967137865938</v>
      </c>
      <c r="F101" s="78">
        <v>465.32063797784957</v>
      </c>
    </row>
    <row r="102" spans="1:6" x14ac:dyDescent="0.2">
      <c r="A102" t="s">
        <v>33</v>
      </c>
      <c r="B102" t="s">
        <v>74</v>
      </c>
      <c r="C102" s="44" t="s">
        <v>188</v>
      </c>
      <c r="D102" s="78">
        <v>89.107294514170036</v>
      </c>
      <c r="E102" s="78">
        <v>93.036320829959507</v>
      </c>
      <c r="F102" s="78">
        <v>100.89437346153845</v>
      </c>
    </row>
    <row r="103" spans="1:6" x14ac:dyDescent="0.2">
      <c r="A103" t="s">
        <v>40</v>
      </c>
      <c r="B103" t="s">
        <v>74</v>
      </c>
      <c r="C103" s="44" t="s">
        <v>188</v>
      </c>
      <c r="D103" s="78">
        <v>127.91558242914981</v>
      </c>
      <c r="E103" s="78">
        <v>133.12305611336032</v>
      </c>
      <c r="F103" s="78">
        <v>143.53800348178137</v>
      </c>
    </row>
    <row r="104" spans="1:6" x14ac:dyDescent="0.2">
      <c r="A104" t="s">
        <v>47</v>
      </c>
      <c r="B104" t="s">
        <v>74</v>
      </c>
      <c r="C104" s="44" t="s">
        <v>188</v>
      </c>
      <c r="D104" s="78">
        <v>66.503263299595147</v>
      </c>
      <c r="E104" s="78">
        <v>69.435605404858308</v>
      </c>
      <c r="F104" s="78">
        <v>75.300289615384628</v>
      </c>
    </row>
    <row r="105" spans="1:6" x14ac:dyDescent="0.2">
      <c r="A105" t="s">
        <v>50</v>
      </c>
      <c r="B105" t="s">
        <v>74</v>
      </c>
      <c r="C105" s="44" t="s">
        <v>188</v>
      </c>
      <c r="D105" s="78">
        <v>112.4199972165992</v>
      </c>
      <c r="E105" s="78">
        <v>116.99664195344128</v>
      </c>
      <c r="F105" s="78">
        <v>126.14993142712549</v>
      </c>
    </row>
    <row r="106" spans="1:6" x14ac:dyDescent="0.2">
      <c r="A106" t="s">
        <v>55</v>
      </c>
      <c r="B106" t="s">
        <v>74</v>
      </c>
      <c r="C106" s="44" t="s">
        <v>188</v>
      </c>
      <c r="D106" s="78">
        <v>312.51377973178137</v>
      </c>
      <c r="E106" s="78">
        <v>312.51377973178137</v>
      </c>
      <c r="F106" s="78">
        <v>344.47364815283407</v>
      </c>
    </row>
    <row r="107" spans="1:6" x14ac:dyDescent="0.2">
      <c r="A107" t="s">
        <v>33</v>
      </c>
      <c r="B107" t="s">
        <v>82</v>
      </c>
      <c r="C107" s="44" t="s">
        <v>188</v>
      </c>
      <c r="D107" s="78">
        <v>81.490449548427279</v>
      </c>
      <c r="E107" s="78">
        <v>85.042878698224854</v>
      </c>
      <c r="F107" s="78">
        <v>92.14773699781999</v>
      </c>
    </row>
    <row r="108" spans="1:6" x14ac:dyDescent="0.2">
      <c r="A108" t="s">
        <v>40</v>
      </c>
      <c r="B108" t="s">
        <v>82</v>
      </c>
      <c r="C108" s="44" t="s">
        <v>188</v>
      </c>
      <c r="D108" s="78">
        <v>120.63679891388973</v>
      </c>
      <c r="E108" s="78">
        <v>125.91531612036746</v>
      </c>
      <c r="F108" s="78">
        <v>136.47235053332292</v>
      </c>
    </row>
    <row r="109" spans="1:6" x14ac:dyDescent="0.2">
      <c r="A109" t="s">
        <v>47</v>
      </c>
      <c r="B109" t="s">
        <v>82</v>
      </c>
      <c r="C109" s="44" t="s">
        <v>188</v>
      </c>
      <c r="D109" s="78">
        <v>74.152409977421357</v>
      </c>
      <c r="E109" s="78">
        <v>77.38128143491123</v>
      </c>
      <c r="F109" s="78">
        <v>83.839024349890991</v>
      </c>
    </row>
    <row r="110" spans="1:6" x14ac:dyDescent="0.2">
      <c r="A110" t="s">
        <v>50</v>
      </c>
      <c r="B110" t="s">
        <v>82</v>
      </c>
      <c r="C110" s="44" t="s">
        <v>188</v>
      </c>
      <c r="D110" s="78">
        <v>120.63679891388973</v>
      </c>
      <c r="E110" s="78">
        <v>125.91531612036746</v>
      </c>
      <c r="F110" s="78">
        <v>136.47235053332292</v>
      </c>
    </row>
    <row r="111" spans="1:6" x14ac:dyDescent="0.2">
      <c r="A111" t="s">
        <v>55</v>
      </c>
      <c r="B111" t="s">
        <v>82</v>
      </c>
      <c r="C111" s="44" t="s">
        <v>188</v>
      </c>
      <c r="D111" s="78">
        <v>338.52626455932733</v>
      </c>
      <c r="E111" s="78">
        <v>338.52626455932733</v>
      </c>
      <c r="F111" s="78">
        <v>372.79974634070385</v>
      </c>
    </row>
    <row r="112" spans="1:6" x14ac:dyDescent="0.2">
      <c r="A112" t="s">
        <v>33</v>
      </c>
      <c r="B112" t="s">
        <v>88</v>
      </c>
      <c r="C112" s="44" t="s">
        <v>188</v>
      </c>
      <c r="D112" s="78">
        <v>89.690639364683889</v>
      </c>
      <c r="E112" s="78">
        <v>93.302380255372157</v>
      </c>
      <c r="F112" s="78">
        <v>100.52586203674868</v>
      </c>
    </row>
    <row r="113" spans="1:6" x14ac:dyDescent="0.2">
      <c r="A113" t="s">
        <v>40</v>
      </c>
      <c r="B113" t="s">
        <v>88</v>
      </c>
      <c r="C113" s="44" t="s">
        <v>188</v>
      </c>
      <c r="D113" s="78">
        <v>137.03560428994081</v>
      </c>
      <c r="E113" s="78">
        <v>142.55387352071006</v>
      </c>
      <c r="F113" s="78">
        <v>153.5904119822485</v>
      </c>
    </row>
    <row r="114" spans="1:6" x14ac:dyDescent="0.2">
      <c r="A114" t="s">
        <v>47</v>
      </c>
      <c r="B114" t="s">
        <v>88</v>
      </c>
      <c r="C114" s="44" t="s">
        <v>188</v>
      </c>
      <c r="D114" s="78">
        <v>79.568898396138266</v>
      </c>
      <c r="E114" s="78">
        <v>82.773048193709116</v>
      </c>
      <c r="F114" s="78">
        <v>89.181347788850815</v>
      </c>
    </row>
    <row r="115" spans="1:6" x14ac:dyDescent="0.2">
      <c r="A115" t="s">
        <v>50</v>
      </c>
      <c r="B115" t="s">
        <v>88</v>
      </c>
      <c r="C115" s="44" t="s">
        <v>188</v>
      </c>
      <c r="D115" s="78">
        <v>109.06069071161633</v>
      </c>
      <c r="E115" s="78">
        <v>113.45244172376208</v>
      </c>
      <c r="F115" s="78">
        <v>122.23594374805357</v>
      </c>
    </row>
    <row r="116" spans="1:6" x14ac:dyDescent="0.2">
      <c r="A116" t="s">
        <v>55</v>
      </c>
      <c r="B116" t="s">
        <v>88</v>
      </c>
      <c r="C116" s="44" t="s">
        <v>188</v>
      </c>
      <c r="D116" s="78">
        <v>424.62587542821552</v>
      </c>
      <c r="E116" s="78">
        <v>424.62587542821552</v>
      </c>
      <c r="F116" s="78">
        <v>476.56960012457182</v>
      </c>
    </row>
    <row r="117" spans="1:6" x14ac:dyDescent="0.2">
      <c r="A117" t="s">
        <v>33</v>
      </c>
      <c r="B117" t="s">
        <v>96</v>
      </c>
      <c r="C117" s="44" t="s">
        <v>188</v>
      </c>
      <c r="D117" s="44">
        <v>93.334610849268131</v>
      </c>
      <c r="E117" s="44">
        <v>97.300638784490801</v>
      </c>
      <c r="F117" s="44">
        <v>105.23269465493614</v>
      </c>
    </row>
    <row r="118" spans="1:6" x14ac:dyDescent="0.2">
      <c r="A118" t="s">
        <v>40</v>
      </c>
      <c r="B118" t="s">
        <v>96</v>
      </c>
      <c r="C118" s="44" t="s">
        <v>188</v>
      </c>
      <c r="D118" s="44">
        <v>126.80560804827158</v>
      </c>
      <c r="E118" s="44">
        <v>132.0926584531299</v>
      </c>
      <c r="F118" s="44">
        <v>142.66675926284648</v>
      </c>
    </row>
    <row r="119" spans="1:6" x14ac:dyDescent="0.2">
      <c r="A119" t="s">
        <v>47</v>
      </c>
      <c r="B119" t="s">
        <v>96</v>
      </c>
      <c r="C119" s="44" t="s">
        <v>188</v>
      </c>
      <c r="D119" s="44">
        <v>77.685502216132022</v>
      </c>
      <c r="E119" s="44">
        <v>80.985239867953894</v>
      </c>
      <c r="F119" s="44">
        <v>87.584715171597622</v>
      </c>
    </row>
    <row r="120" spans="1:6" x14ac:dyDescent="0.2">
      <c r="A120" t="s">
        <v>50</v>
      </c>
      <c r="B120" t="s">
        <v>96</v>
      </c>
      <c r="C120" s="44" t="s">
        <v>188</v>
      </c>
      <c r="D120" s="44">
        <v>114.9069974501713</v>
      </c>
      <c r="E120" s="44">
        <v>119.71436081049517</v>
      </c>
      <c r="F120" s="44">
        <v>129.32908753114293</v>
      </c>
    </row>
    <row r="121" spans="1:6" x14ac:dyDescent="0.2">
      <c r="A121" t="s">
        <v>55</v>
      </c>
      <c r="B121" t="s">
        <v>96</v>
      </c>
      <c r="C121" s="44" t="s">
        <v>188</v>
      </c>
      <c r="D121" s="44">
        <v>384.46098380769229</v>
      </c>
      <c r="E121" s="44">
        <v>384.46098380769229</v>
      </c>
      <c r="F121" s="44">
        <v>424.88997368623478</v>
      </c>
    </row>
    <row r="122" spans="1:6" x14ac:dyDescent="0.2">
      <c r="A122" t="s">
        <v>33</v>
      </c>
      <c r="B122" t="s">
        <v>32</v>
      </c>
      <c r="C122" s="44" t="s">
        <v>189</v>
      </c>
      <c r="D122" s="78">
        <v>122.59866449314855</v>
      </c>
      <c r="E122" s="78">
        <v>122.86300128464651</v>
      </c>
      <c r="F122" s="78">
        <v>123.10330745873559</v>
      </c>
    </row>
    <row r="123" spans="1:6" x14ac:dyDescent="0.2">
      <c r="A123" t="s">
        <v>40</v>
      </c>
      <c r="B123" t="s">
        <v>32</v>
      </c>
      <c r="C123" s="44" t="s">
        <v>189</v>
      </c>
      <c r="D123" s="78">
        <v>132.68325060728748</v>
      </c>
      <c r="E123" s="78">
        <v>132.9668190283401</v>
      </c>
      <c r="F123" s="78">
        <v>133.22460850202432</v>
      </c>
    </row>
    <row r="124" spans="1:6" x14ac:dyDescent="0.2">
      <c r="A124" t="s">
        <v>47</v>
      </c>
      <c r="B124" t="s">
        <v>32</v>
      </c>
      <c r="C124" s="44" t="s">
        <v>189</v>
      </c>
      <c r="D124" s="78">
        <v>100.15126715781689</v>
      </c>
      <c r="E124" s="78">
        <v>100.3672047843351</v>
      </c>
      <c r="F124" s="78">
        <v>100.56351171753347</v>
      </c>
    </row>
    <row r="125" spans="1:6" x14ac:dyDescent="0.2">
      <c r="A125" t="s">
        <v>50</v>
      </c>
      <c r="B125" t="s">
        <v>32</v>
      </c>
      <c r="C125" s="44" t="s">
        <v>189</v>
      </c>
      <c r="D125" s="78">
        <v>131.49577824275926</v>
      </c>
      <c r="E125" s="78">
        <v>131.77929823263781</v>
      </c>
      <c r="F125" s="78">
        <v>132.03704367798196</v>
      </c>
    </row>
    <row r="126" spans="1:6" x14ac:dyDescent="0.2">
      <c r="A126" t="s">
        <v>55</v>
      </c>
      <c r="B126" t="s">
        <v>32</v>
      </c>
      <c r="C126" s="44" t="s">
        <v>189</v>
      </c>
      <c r="D126" s="78">
        <v>397.11253565283403</v>
      </c>
      <c r="E126" s="78">
        <v>397.93711229757093</v>
      </c>
      <c r="F126" s="78">
        <v>398.68672742914981</v>
      </c>
    </row>
    <row r="127" spans="1:6" x14ac:dyDescent="0.2">
      <c r="A127" t="s">
        <v>33</v>
      </c>
      <c r="B127" t="s">
        <v>62</v>
      </c>
      <c r="C127" s="44" t="s">
        <v>189</v>
      </c>
      <c r="D127" s="78">
        <v>92.862594966521328</v>
      </c>
      <c r="E127" s="78">
        <v>93.078790057614455</v>
      </c>
      <c r="F127" s="78">
        <v>93.275331049517291</v>
      </c>
    </row>
    <row r="128" spans="1:6" x14ac:dyDescent="0.2">
      <c r="A128" t="s">
        <v>40</v>
      </c>
      <c r="B128" t="s">
        <v>62</v>
      </c>
      <c r="C128" s="44" t="s">
        <v>189</v>
      </c>
      <c r="D128" s="78">
        <v>125.63706154624728</v>
      </c>
      <c r="E128" s="78">
        <v>125.92719767985052</v>
      </c>
      <c r="F128" s="78">
        <v>126.190957801308</v>
      </c>
    </row>
    <row r="129" spans="1:6" x14ac:dyDescent="0.2">
      <c r="A129" t="s">
        <v>47</v>
      </c>
      <c r="B129" t="s">
        <v>62</v>
      </c>
      <c r="C129" s="44" t="s">
        <v>189</v>
      </c>
      <c r="D129" s="78">
        <v>75.767307731236372</v>
      </c>
      <c r="E129" s="78">
        <v>75.94370297415135</v>
      </c>
      <c r="F129" s="78">
        <v>76.104062285892255</v>
      </c>
    </row>
    <row r="130" spans="1:6" x14ac:dyDescent="0.2">
      <c r="A130" t="s">
        <v>50</v>
      </c>
      <c r="B130" t="s">
        <v>62</v>
      </c>
      <c r="C130" s="44" t="s">
        <v>189</v>
      </c>
      <c r="D130" s="78">
        <v>109.49819005956088</v>
      </c>
      <c r="E130" s="78">
        <v>109.75311478122079</v>
      </c>
      <c r="F130" s="78">
        <v>109.98486452818435</v>
      </c>
    </row>
    <row r="131" spans="1:6" x14ac:dyDescent="0.2">
      <c r="A131" t="s">
        <v>55</v>
      </c>
      <c r="B131" t="s">
        <v>62</v>
      </c>
      <c r="C131" s="44" t="s">
        <v>189</v>
      </c>
      <c r="D131" s="78">
        <v>425.61483699100745</v>
      </c>
      <c r="E131" s="78">
        <v>426.32967137865938</v>
      </c>
      <c r="F131" s="78">
        <v>426.97952082197918</v>
      </c>
    </row>
    <row r="132" spans="1:6" x14ac:dyDescent="0.2">
      <c r="A132" t="s">
        <v>33</v>
      </c>
      <c r="B132" t="s">
        <v>74</v>
      </c>
      <c r="C132" s="44" t="s">
        <v>189</v>
      </c>
      <c r="D132" s="78">
        <v>92.820224382591078</v>
      </c>
      <c r="E132" s="78">
        <v>93.036320829959507</v>
      </c>
      <c r="F132" s="78">
        <v>93.232772145748967</v>
      </c>
    </row>
    <row r="133" spans="1:6" x14ac:dyDescent="0.2">
      <c r="A133" t="s">
        <v>40</v>
      </c>
      <c r="B133" t="s">
        <v>74</v>
      </c>
      <c r="C133" s="44" t="s">
        <v>189</v>
      </c>
      <c r="D133" s="78">
        <v>132.83664506072873</v>
      </c>
      <c r="E133" s="78">
        <v>133.12305611336032</v>
      </c>
      <c r="F133" s="78">
        <v>133.38342979757084</v>
      </c>
    </row>
    <row r="134" spans="1:6" x14ac:dyDescent="0.2">
      <c r="A134" t="s">
        <v>47</v>
      </c>
      <c r="B134" t="s">
        <v>74</v>
      </c>
      <c r="C134" s="44" t="s">
        <v>189</v>
      </c>
      <c r="D134" s="78">
        <v>69.274326589068821</v>
      </c>
      <c r="E134" s="78">
        <v>69.435605404858308</v>
      </c>
      <c r="F134" s="78">
        <v>69.58222251012144</v>
      </c>
    </row>
    <row r="135" spans="1:6" x14ac:dyDescent="0.2">
      <c r="A135" t="s">
        <v>50</v>
      </c>
      <c r="B135" t="s">
        <v>74</v>
      </c>
      <c r="C135" s="44" t="s">
        <v>189</v>
      </c>
      <c r="D135" s="78">
        <v>116.74492649291498</v>
      </c>
      <c r="E135" s="78">
        <v>116.99664195344128</v>
      </c>
      <c r="F135" s="78">
        <v>117.22547419028339</v>
      </c>
    </row>
    <row r="136" spans="1:6" x14ac:dyDescent="0.2">
      <c r="A136" t="s">
        <v>55</v>
      </c>
      <c r="B136" t="s">
        <v>74</v>
      </c>
      <c r="C136" s="44" t="s">
        <v>189</v>
      </c>
      <c r="D136" s="78">
        <v>311.92784881072879</v>
      </c>
      <c r="E136" s="78">
        <v>312.51377973178137</v>
      </c>
      <c r="F136" s="78">
        <v>313.0464442054656</v>
      </c>
    </row>
    <row r="137" spans="1:6" x14ac:dyDescent="0.2">
      <c r="A137" t="s">
        <v>33</v>
      </c>
      <c r="B137" t="s">
        <v>82</v>
      </c>
      <c r="C137" s="44" t="s">
        <v>189</v>
      </c>
      <c r="D137" s="78">
        <v>84.847495094985973</v>
      </c>
      <c r="E137" s="78">
        <v>85.042878698224854</v>
      </c>
      <c r="F137" s="78">
        <v>85.220500155714731</v>
      </c>
    </row>
    <row r="138" spans="1:6" x14ac:dyDescent="0.2">
      <c r="A138" t="s">
        <v>40</v>
      </c>
      <c r="B138" t="s">
        <v>82</v>
      </c>
      <c r="C138" s="44" t="s">
        <v>189</v>
      </c>
      <c r="D138" s="78">
        <v>125.6249976740112</v>
      </c>
      <c r="E138" s="78">
        <v>125.91531612036746</v>
      </c>
      <c r="F138" s="78">
        <v>126.17924198069137</v>
      </c>
    </row>
    <row r="139" spans="1:6" x14ac:dyDescent="0.2">
      <c r="A139" t="s">
        <v>47</v>
      </c>
      <c r="B139" t="s">
        <v>82</v>
      </c>
      <c r="C139" s="44" t="s">
        <v>189</v>
      </c>
      <c r="D139" s="78">
        <v>77.203693504749296</v>
      </c>
      <c r="E139" s="78">
        <v>77.38128143491123</v>
      </c>
      <c r="F139" s="78">
        <v>77.542725007785734</v>
      </c>
    </row>
    <row r="140" spans="1:6" x14ac:dyDescent="0.2">
      <c r="A140" t="s">
        <v>50</v>
      </c>
      <c r="B140" t="s">
        <v>82</v>
      </c>
      <c r="C140" s="44" t="s">
        <v>189</v>
      </c>
      <c r="D140" s="78">
        <v>125.6249976740112</v>
      </c>
      <c r="E140" s="78">
        <v>125.91531612036746</v>
      </c>
      <c r="F140" s="78">
        <v>126.17924198069137</v>
      </c>
    </row>
    <row r="141" spans="1:6" x14ac:dyDescent="0.2">
      <c r="A141" t="s">
        <v>55</v>
      </c>
      <c r="B141" t="s">
        <v>82</v>
      </c>
      <c r="C141" s="44" t="s">
        <v>189</v>
      </c>
      <c r="D141" s="78">
        <v>337.89791739333538</v>
      </c>
      <c r="E141" s="78">
        <v>338.52626455932733</v>
      </c>
      <c r="F141" s="78">
        <v>339.09748925568363</v>
      </c>
    </row>
    <row r="142" spans="1:6" x14ac:dyDescent="0.2">
      <c r="A142" t="s">
        <v>33</v>
      </c>
      <c r="B142" t="s">
        <v>88</v>
      </c>
      <c r="C142" s="44" t="s">
        <v>189</v>
      </c>
      <c r="D142" s="78">
        <v>93.103734506384299</v>
      </c>
      <c r="E142" s="78">
        <v>93.302380255372157</v>
      </c>
      <c r="F142" s="78">
        <v>93.482967299906576</v>
      </c>
    </row>
    <row r="143" spans="1:6" x14ac:dyDescent="0.2">
      <c r="A143" t="s">
        <v>40</v>
      </c>
      <c r="B143" t="s">
        <v>88</v>
      </c>
      <c r="C143" s="44" t="s">
        <v>189</v>
      </c>
      <c r="D143" s="78">
        <v>142.25036871301771</v>
      </c>
      <c r="E143" s="78">
        <v>142.55387352071006</v>
      </c>
      <c r="F143" s="78">
        <v>142.82978698224852</v>
      </c>
    </row>
    <row r="144" spans="1:6" x14ac:dyDescent="0.2">
      <c r="A144" t="s">
        <v>47</v>
      </c>
      <c r="B144" t="s">
        <v>88</v>
      </c>
      <c r="C144" s="44" t="s">
        <v>189</v>
      </c>
      <c r="D144" s="78">
        <v>82.596819954842715</v>
      </c>
      <c r="E144" s="78">
        <v>82.773048193709116</v>
      </c>
      <c r="F144" s="78">
        <v>82.933255683587674</v>
      </c>
    </row>
    <row r="145" spans="1:6" x14ac:dyDescent="0.2">
      <c r="A145" t="s">
        <v>50</v>
      </c>
      <c r="B145" t="s">
        <v>88</v>
      </c>
      <c r="C145" s="44" t="s">
        <v>189</v>
      </c>
      <c r="D145" s="78">
        <v>113.21089541809407</v>
      </c>
      <c r="E145" s="78">
        <v>113.45244172376208</v>
      </c>
      <c r="F145" s="78">
        <v>113.67202927436935</v>
      </c>
    </row>
    <row r="146" spans="1:6" x14ac:dyDescent="0.2">
      <c r="A146" t="s">
        <v>55</v>
      </c>
      <c r="B146" t="s">
        <v>88</v>
      </c>
      <c r="C146" s="44" t="s">
        <v>189</v>
      </c>
      <c r="D146" s="78">
        <v>423.67357380878229</v>
      </c>
      <c r="E146" s="78">
        <v>424.62587542821552</v>
      </c>
      <c r="F146" s="78">
        <v>425.49160417315471</v>
      </c>
    </row>
    <row r="147" spans="1:6" x14ac:dyDescent="0.2">
      <c r="A147" t="s">
        <v>33</v>
      </c>
      <c r="B147" t="s">
        <v>96</v>
      </c>
      <c r="C147" s="44" t="s">
        <v>189</v>
      </c>
      <c r="D147" s="44">
        <v>97.08250724805356</v>
      </c>
      <c r="E147" s="44">
        <v>97.300638784490801</v>
      </c>
      <c r="F147" s="44">
        <v>97.498940181251939</v>
      </c>
    </row>
    <row r="148" spans="1:6" x14ac:dyDescent="0.2">
      <c r="A148" t="s">
        <v>40</v>
      </c>
      <c r="B148" t="s">
        <v>96</v>
      </c>
      <c r="C148" s="44" t="s">
        <v>189</v>
      </c>
      <c r="D148" s="44">
        <v>131.80187068086266</v>
      </c>
      <c r="E148" s="44">
        <v>132.0926584531299</v>
      </c>
      <c r="F148" s="44">
        <v>132.35701097337278</v>
      </c>
    </row>
    <row r="149" spans="1:6" x14ac:dyDescent="0.2">
      <c r="A149" t="s">
        <v>47</v>
      </c>
      <c r="B149" t="s">
        <v>96</v>
      </c>
      <c r="C149" s="44" t="s">
        <v>189</v>
      </c>
      <c r="D149" s="44">
        <v>80.803754297103694</v>
      </c>
      <c r="E149" s="44">
        <v>80.985239867953894</v>
      </c>
      <c r="F149" s="44">
        <v>81.150226750545002</v>
      </c>
    </row>
    <row r="150" spans="1:6" x14ac:dyDescent="0.2">
      <c r="A150" t="s">
        <v>50</v>
      </c>
      <c r="B150" t="s">
        <v>96</v>
      </c>
      <c r="C150" s="44" t="s">
        <v>189</v>
      </c>
      <c r="D150" s="44">
        <v>119.44995582567736</v>
      </c>
      <c r="E150" s="44">
        <v>119.71436081049517</v>
      </c>
      <c r="F150" s="44">
        <v>119.95472897851138</v>
      </c>
    </row>
    <row r="151" spans="1:6" x14ac:dyDescent="0.2">
      <c r="A151" t="s">
        <v>55</v>
      </c>
      <c r="B151" t="s">
        <v>96</v>
      </c>
      <c r="C151" s="44" t="s">
        <v>189</v>
      </c>
      <c r="D151" s="44">
        <v>383.71978565991895</v>
      </c>
      <c r="E151" s="44">
        <v>384.46098380769229</v>
      </c>
      <c r="F151" s="44">
        <v>385.13480030566797</v>
      </c>
    </row>
    <row r="152" spans="1:6" x14ac:dyDescent="0.2">
      <c r="A152" t="s">
        <v>33</v>
      </c>
      <c r="B152" t="s">
        <v>32</v>
      </c>
      <c r="C152" s="44" t="s">
        <v>190</v>
      </c>
      <c r="D152" s="78">
        <v>122.86300128464651</v>
      </c>
      <c r="E152" s="78">
        <v>122.86300128464651</v>
      </c>
      <c r="F152" s="78">
        <v>132.47524824820925</v>
      </c>
    </row>
    <row r="153" spans="1:6" x14ac:dyDescent="0.2">
      <c r="A153" t="s">
        <v>40</v>
      </c>
      <c r="B153" t="s">
        <v>32</v>
      </c>
      <c r="C153" s="44" t="s">
        <v>190</v>
      </c>
      <c r="D153" s="78">
        <v>132.9668190283401</v>
      </c>
      <c r="E153" s="78">
        <v>132.9668190283401</v>
      </c>
      <c r="F153" s="78">
        <v>143.27839797570854</v>
      </c>
    </row>
    <row r="154" spans="1:6" x14ac:dyDescent="0.2">
      <c r="A154" t="s">
        <v>47</v>
      </c>
      <c r="B154" t="s">
        <v>32</v>
      </c>
      <c r="C154" s="44" t="s">
        <v>190</v>
      </c>
      <c r="D154" s="78">
        <v>100.3672047843351</v>
      </c>
      <c r="E154" s="78">
        <v>100.3672047843351</v>
      </c>
      <c r="F154" s="78">
        <v>108.21948211227031</v>
      </c>
    </row>
    <row r="155" spans="1:6" x14ac:dyDescent="0.2">
      <c r="A155" t="s">
        <v>50</v>
      </c>
      <c r="B155" t="s">
        <v>32</v>
      </c>
      <c r="C155" s="44" t="s">
        <v>190</v>
      </c>
      <c r="D155" s="78">
        <v>131.77929823263781</v>
      </c>
      <c r="E155" s="78">
        <v>131.77929823263781</v>
      </c>
      <c r="F155" s="78">
        <v>142.08911604640301</v>
      </c>
    </row>
    <row r="156" spans="1:6" x14ac:dyDescent="0.2">
      <c r="A156" t="s">
        <v>55</v>
      </c>
      <c r="B156" t="s">
        <v>32</v>
      </c>
      <c r="C156" s="44" t="s">
        <v>190</v>
      </c>
      <c r="D156" s="78">
        <v>382.94480966599195</v>
      </c>
      <c r="E156" s="78">
        <v>397.93711229757093</v>
      </c>
      <c r="F156" s="78">
        <v>412.92941492914986</v>
      </c>
    </row>
    <row r="157" spans="1:6" x14ac:dyDescent="0.2">
      <c r="A157" t="s">
        <v>33</v>
      </c>
      <c r="B157" t="s">
        <v>62</v>
      </c>
      <c r="C157" s="44" t="s">
        <v>190</v>
      </c>
      <c r="D157" s="78">
        <v>93.078790057614455</v>
      </c>
      <c r="E157" s="78">
        <v>93.078790057614455</v>
      </c>
      <c r="F157" s="78">
        <v>100.94042973372781</v>
      </c>
    </row>
    <row r="158" spans="1:6" x14ac:dyDescent="0.2">
      <c r="A158" t="s">
        <v>40</v>
      </c>
      <c r="B158" t="s">
        <v>62</v>
      </c>
      <c r="C158" s="44" t="s">
        <v>190</v>
      </c>
      <c r="D158" s="78">
        <v>125.92719767985052</v>
      </c>
      <c r="E158" s="78">
        <v>125.92719767985052</v>
      </c>
      <c r="F158" s="78">
        <v>136.47760253815014</v>
      </c>
    </row>
    <row r="159" spans="1:6" x14ac:dyDescent="0.2">
      <c r="A159" t="s">
        <v>47</v>
      </c>
      <c r="B159" t="s">
        <v>62</v>
      </c>
      <c r="C159" s="44" t="s">
        <v>190</v>
      </c>
      <c r="D159" s="78">
        <v>75.94370297415135</v>
      </c>
      <c r="E159" s="78">
        <v>75.94370297415135</v>
      </c>
      <c r="F159" s="78">
        <v>82.358075443786987</v>
      </c>
    </row>
    <row r="160" spans="1:6" x14ac:dyDescent="0.2">
      <c r="A160" t="s">
        <v>50</v>
      </c>
      <c r="B160" t="s">
        <v>62</v>
      </c>
      <c r="C160" s="44" t="s">
        <v>190</v>
      </c>
      <c r="D160" s="78">
        <v>109.75311478122079</v>
      </c>
      <c r="E160" s="78">
        <v>109.75311478122079</v>
      </c>
      <c r="F160" s="78">
        <v>119.02310465976329</v>
      </c>
    </row>
    <row r="161" spans="1:6" x14ac:dyDescent="0.2">
      <c r="A161" t="s">
        <v>55</v>
      </c>
      <c r="B161" t="s">
        <v>62</v>
      </c>
      <c r="C161" s="44" t="s">
        <v>190</v>
      </c>
      <c r="D161" s="78">
        <v>413.33268251226258</v>
      </c>
      <c r="E161" s="78">
        <v>426.32967137865938</v>
      </c>
      <c r="F161" s="78">
        <v>439.32666024505613</v>
      </c>
    </row>
    <row r="162" spans="1:6" x14ac:dyDescent="0.2">
      <c r="A162" t="s">
        <v>33</v>
      </c>
      <c r="B162" t="s">
        <v>74</v>
      </c>
      <c r="C162" s="44" t="s">
        <v>190</v>
      </c>
      <c r="D162" s="78">
        <v>93.036320829959507</v>
      </c>
      <c r="E162" s="78">
        <v>93.036320829959507</v>
      </c>
      <c r="F162" s="78">
        <v>100.89437346153845</v>
      </c>
    </row>
    <row r="163" spans="1:6" x14ac:dyDescent="0.2">
      <c r="A163" t="s">
        <v>40</v>
      </c>
      <c r="B163" t="s">
        <v>74</v>
      </c>
      <c r="C163" s="44" t="s">
        <v>190</v>
      </c>
      <c r="D163" s="78">
        <v>133.12305611336032</v>
      </c>
      <c r="E163" s="78">
        <v>133.12305611336032</v>
      </c>
      <c r="F163" s="78">
        <v>143.53800348178137</v>
      </c>
    </row>
    <row r="164" spans="1:6" x14ac:dyDescent="0.2">
      <c r="A164" t="s">
        <v>47</v>
      </c>
      <c r="B164" t="s">
        <v>74</v>
      </c>
      <c r="C164" s="44" t="s">
        <v>190</v>
      </c>
      <c r="D164" s="78">
        <v>69.435605404858308</v>
      </c>
      <c r="E164" s="78">
        <v>69.435605404858308</v>
      </c>
      <c r="F164" s="78">
        <v>75.300289615384628</v>
      </c>
    </row>
    <row r="165" spans="1:6" x14ac:dyDescent="0.2">
      <c r="A165" t="s">
        <v>50</v>
      </c>
      <c r="B165" t="s">
        <v>74</v>
      </c>
      <c r="C165" s="44" t="s">
        <v>190</v>
      </c>
      <c r="D165" s="78">
        <v>116.99664195344128</v>
      </c>
      <c r="E165" s="78">
        <v>116.99664195344128</v>
      </c>
      <c r="F165" s="78">
        <v>126.14993142712549</v>
      </c>
    </row>
    <row r="166" spans="1:6" x14ac:dyDescent="0.2">
      <c r="A166" t="s">
        <v>55</v>
      </c>
      <c r="B166" t="s">
        <v>74</v>
      </c>
      <c r="C166" s="44" t="s">
        <v>190</v>
      </c>
      <c r="D166" s="78">
        <v>301.86049025809717</v>
      </c>
      <c r="E166" s="78">
        <v>312.51377973178137</v>
      </c>
      <c r="F166" s="78">
        <v>323.16706920546562</v>
      </c>
    </row>
    <row r="167" spans="1:6" x14ac:dyDescent="0.2">
      <c r="A167" t="s">
        <v>33</v>
      </c>
      <c r="B167" t="s">
        <v>82</v>
      </c>
      <c r="C167" s="44" t="s">
        <v>190</v>
      </c>
      <c r="D167" s="78">
        <v>85.042878698224854</v>
      </c>
      <c r="E167" s="78">
        <v>85.042878698224854</v>
      </c>
      <c r="F167" s="78">
        <v>92.14773699781999</v>
      </c>
    </row>
    <row r="168" spans="1:6" x14ac:dyDescent="0.2">
      <c r="A168" t="s">
        <v>40</v>
      </c>
      <c r="B168" t="s">
        <v>82</v>
      </c>
      <c r="C168" s="44" t="s">
        <v>190</v>
      </c>
      <c r="D168" s="78">
        <v>125.91531612036746</v>
      </c>
      <c r="E168" s="78">
        <v>125.91531612036746</v>
      </c>
      <c r="F168" s="78">
        <v>136.47235053332292</v>
      </c>
    </row>
    <row r="169" spans="1:6" x14ac:dyDescent="0.2">
      <c r="A169" t="s">
        <v>47</v>
      </c>
      <c r="B169" t="s">
        <v>82</v>
      </c>
      <c r="C169" s="44" t="s">
        <v>190</v>
      </c>
      <c r="D169" s="78">
        <v>77.38128143491123</v>
      </c>
      <c r="E169" s="78">
        <v>77.38128143491123</v>
      </c>
      <c r="F169" s="78">
        <v>83.839024349890991</v>
      </c>
    </row>
    <row r="170" spans="1:6" x14ac:dyDescent="0.2">
      <c r="A170" t="s">
        <v>50</v>
      </c>
      <c r="B170" t="s">
        <v>82</v>
      </c>
      <c r="C170" s="44" t="s">
        <v>190</v>
      </c>
      <c r="D170" s="78">
        <v>125.91531612036746</v>
      </c>
      <c r="E170" s="78">
        <v>125.91531612036746</v>
      </c>
      <c r="F170" s="78">
        <v>136.47235053332292</v>
      </c>
    </row>
    <row r="171" spans="1:6" x14ac:dyDescent="0.2">
      <c r="A171" t="s">
        <v>55</v>
      </c>
      <c r="B171" t="s">
        <v>82</v>
      </c>
      <c r="C171" s="44" t="s">
        <v>190</v>
      </c>
      <c r="D171" s="78">
        <v>327.10177063220181</v>
      </c>
      <c r="E171" s="78">
        <v>338.52626455932733</v>
      </c>
      <c r="F171" s="78">
        <v>349.9507584864528</v>
      </c>
    </row>
    <row r="172" spans="1:6" x14ac:dyDescent="0.2">
      <c r="A172" t="s">
        <v>33</v>
      </c>
      <c r="B172" t="s">
        <v>88</v>
      </c>
      <c r="C172" s="44" t="s">
        <v>190</v>
      </c>
      <c r="D172" s="78">
        <v>93.302380255372157</v>
      </c>
      <c r="E172" s="78">
        <v>93.302380255372157</v>
      </c>
      <c r="F172" s="78">
        <v>100.52586203674868</v>
      </c>
    </row>
    <row r="173" spans="1:6" x14ac:dyDescent="0.2">
      <c r="A173" t="s">
        <v>40</v>
      </c>
      <c r="B173" t="s">
        <v>88</v>
      </c>
      <c r="C173" s="44" t="s">
        <v>190</v>
      </c>
      <c r="D173" s="78">
        <v>142.55387352071006</v>
      </c>
      <c r="E173" s="78">
        <v>142.55387352071006</v>
      </c>
      <c r="F173" s="78">
        <v>153.5904119822485</v>
      </c>
    </row>
    <row r="174" spans="1:6" x14ac:dyDescent="0.2">
      <c r="A174" t="s">
        <v>47</v>
      </c>
      <c r="B174" t="s">
        <v>88</v>
      </c>
      <c r="C174" s="44" t="s">
        <v>190</v>
      </c>
      <c r="D174" s="78">
        <v>82.773048193709116</v>
      </c>
      <c r="E174" s="78">
        <v>82.773048193709116</v>
      </c>
      <c r="F174" s="78">
        <v>89.181347788850815</v>
      </c>
    </row>
    <row r="175" spans="1:6" x14ac:dyDescent="0.2">
      <c r="A175" t="s">
        <v>50</v>
      </c>
      <c r="B175" t="s">
        <v>88</v>
      </c>
      <c r="C175" s="44" t="s">
        <v>190</v>
      </c>
      <c r="D175" s="78">
        <v>113.45244172376208</v>
      </c>
      <c r="E175" s="78">
        <v>113.45244172376208</v>
      </c>
      <c r="F175" s="78">
        <v>122.23594374805357</v>
      </c>
    </row>
    <row r="176" spans="1:6" x14ac:dyDescent="0.2">
      <c r="A176" t="s">
        <v>55</v>
      </c>
      <c r="B176" t="s">
        <v>88</v>
      </c>
      <c r="C176" s="44" t="s">
        <v>190</v>
      </c>
      <c r="D176" s="78">
        <v>407.31130052943007</v>
      </c>
      <c r="E176" s="78">
        <v>424.62587542821552</v>
      </c>
      <c r="F176" s="78">
        <v>441.94045032700092</v>
      </c>
    </row>
    <row r="177" spans="1:6" x14ac:dyDescent="0.2">
      <c r="A177" t="s">
        <v>33</v>
      </c>
      <c r="B177" t="s">
        <v>96</v>
      </c>
      <c r="C177" s="44" t="s">
        <v>190</v>
      </c>
      <c r="D177" s="44">
        <v>97.300638784490801</v>
      </c>
      <c r="E177" s="44">
        <v>97.300638784490801</v>
      </c>
      <c r="F177" s="44">
        <v>105.23269465493614</v>
      </c>
    </row>
    <row r="178" spans="1:6" x14ac:dyDescent="0.2">
      <c r="A178" t="s">
        <v>40</v>
      </c>
      <c r="B178" t="s">
        <v>96</v>
      </c>
      <c r="C178" s="44" t="s">
        <v>190</v>
      </c>
      <c r="D178" s="44">
        <v>132.0926584531299</v>
      </c>
      <c r="E178" s="44">
        <v>132.0926584531299</v>
      </c>
      <c r="F178" s="44">
        <v>142.66675926284648</v>
      </c>
    </row>
    <row r="179" spans="1:6" x14ac:dyDescent="0.2">
      <c r="A179" t="s">
        <v>47</v>
      </c>
      <c r="B179" t="s">
        <v>96</v>
      </c>
      <c r="C179" s="44" t="s">
        <v>190</v>
      </c>
      <c r="D179" s="44">
        <v>80.985239867953894</v>
      </c>
      <c r="E179" s="44">
        <v>80.985239867953894</v>
      </c>
      <c r="F179" s="44">
        <v>87.584715171597622</v>
      </c>
    </row>
    <row r="180" spans="1:6" x14ac:dyDescent="0.2">
      <c r="A180" t="s">
        <v>50</v>
      </c>
      <c r="B180" t="s">
        <v>96</v>
      </c>
      <c r="C180" s="44" t="s">
        <v>190</v>
      </c>
      <c r="D180" s="44">
        <v>119.71436081049517</v>
      </c>
      <c r="E180" s="44">
        <v>119.71436081049517</v>
      </c>
      <c r="F180" s="44">
        <v>129.32908753114293</v>
      </c>
    </row>
    <row r="181" spans="1:6" x14ac:dyDescent="0.2">
      <c r="A181" t="s">
        <v>55</v>
      </c>
      <c r="B181" t="s">
        <v>96</v>
      </c>
      <c r="C181" s="44" t="s">
        <v>190</v>
      </c>
      <c r="D181" s="44">
        <v>370.98465384817808</v>
      </c>
      <c r="E181" s="44">
        <v>384.46098380769229</v>
      </c>
      <c r="F181" s="44">
        <v>397.93731376720643</v>
      </c>
    </row>
    <row r="182" spans="1:6" x14ac:dyDescent="0.2">
      <c r="A182" t="s">
        <v>33</v>
      </c>
      <c r="B182" t="s">
        <v>32</v>
      </c>
      <c r="C182" s="44" t="s">
        <v>191</v>
      </c>
      <c r="D182" s="78">
        <v>122.86300128464651</v>
      </c>
      <c r="E182" s="78">
        <v>122.86300128464651</v>
      </c>
      <c r="F182" s="78">
        <v>122.86300128464651</v>
      </c>
    </row>
    <row r="183" spans="1:6" x14ac:dyDescent="0.2">
      <c r="A183" t="s">
        <v>40</v>
      </c>
      <c r="B183" t="s">
        <v>32</v>
      </c>
      <c r="C183" s="44" t="s">
        <v>191</v>
      </c>
      <c r="D183" s="78">
        <v>132.9668190283401</v>
      </c>
      <c r="E183" s="78">
        <v>132.9668190283401</v>
      </c>
      <c r="F183" s="78">
        <v>132.9668190283401</v>
      </c>
    </row>
    <row r="184" spans="1:6" x14ac:dyDescent="0.2">
      <c r="A184" t="s">
        <v>47</v>
      </c>
      <c r="B184" t="s">
        <v>32</v>
      </c>
      <c r="C184" s="44" t="s">
        <v>191</v>
      </c>
      <c r="D184" s="78">
        <v>100.3672047843351</v>
      </c>
      <c r="E184" s="78">
        <v>100.3672047843351</v>
      </c>
      <c r="F184" s="78">
        <v>100.3672047843351</v>
      </c>
    </row>
    <row r="185" spans="1:6" x14ac:dyDescent="0.2">
      <c r="A185" t="s">
        <v>50</v>
      </c>
      <c r="B185" t="s">
        <v>32</v>
      </c>
      <c r="C185" s="44" t="s">
        <v>191</v>
      </c>
      <c r="D185" s="78">
        <v>131.77929823263781</v>
      </c>
      <c r="E185" s="78">
        <v>131.77929823263781</v>
      </c>
      <c r="F185" s="78">
        <v>131.77929823263781</v>
      </c>
    </row>
    <row r="186" spans="1:6" x14ac:dyDescent="0.2">
      <c r="A186" t="s">
        <v>55</v>
      </c>
      <c r="B186" t="s">
        <v>32</v>
      </c>
      <c r="C186" s="44" t="s">
        <v>191</v>
      </c>
      <c r="D186" s="78">
        <v>397.93711229757093</v>
      </c>
      <c r="E186" s="78">
        <v>397.93711229757093</v>
      </c>
      <c r="F186" s="78">
        <v>397.93711229757093</v>
      </c>
    </row>
    <row r="187" spans="1:6" x14ac:dyDescent="0.2">
      <c r="A187" t="s">
        <v>33</v>
      </c>
      <c r="B187" t="s">
        <v>62</v>
      </c>
      <c r="C187" s="44" t="s">
        <v>191</v>
      </c>
      <c r="D187" s="78">
        <v>93.078790057614455</v>
      </c>
      <c r="E187" s="78">
        <v>93.078790057614455</v>
      </c>
      <c r="F187" s="78">
        <v>93.078790057614455</v>
      </c>
    </row>
    <row r="188" spans="1:6" x14ac:dyDescent="0.2">
      <c r="A188" t="s">
        <v>40</v>
      </c>
      <c r="B188" t="s">
        <v>62</v>
      </c>
      <c r="C188" s="44" t="s">
        <v>191</v>
      </c>
      <c r="D188" s="78">
        <v>125.92719767985052</v>
      </c>
      <c r="E188" s="78">
        <v>125.92719767985052</v>
      </c>
      <c r="F188" s="78">
        <v>125.92719767985052</v>
      </c>
    </row>
    <row r="189" spans="1:6" x14ac:dyDescent="0.2">
      <c r="A189" t="s">
        <v>47</v>
      </c>
      <c r="B189" t="s">
        <v>62</v>
      </c>
      <c r="C189" s="44" t="s">
        <v>191</v>
      </c>
      <c r="D189" s="78">
        <v>75.94370297415135</v>
      </c>
      <c r="E189" s="78">
        <v>75.94370297415135</v>
      </c>
      <c r="F189" s="78">
        <v>75.94370297415135</v>
      </c>
    </row>
    <row r="190" spans="1:6" x14ac:dyDescent="0.2">
      <c r="A190" t="s">
        <v>50</v>
      </c>
      <c r="B190" t="s">
        <v>62</v>
      </c>
      <c r="C190" s="44" t="s">
        <v>191</v>
      </c>
      <c r="D190" s="78">
        <v>109.75311478122079</v>
      </c>
      <c r="E190" s="78">
        <v>109.75311478122079</v>
      </c>
      <c r="F190" s="78">
        <v>109.75311478122079</v>
      </c>
    </row>
    <row r="191" spans="1:6" x14ac:dyDescent="0.2">
      <c r="A191" t="s">
        <v>55</v>
      </c>
      <c r="B191" t="s">
        <v>62</v>
      </c>
      <c r="C191" s="44" t="s">
        <v>191</v>
      </c>
      <c r="D191" s="78">
        <v>387.33870477946903</v>
      </c>
      <c r="E191" s="78">
        <v>426.32967137865938</v>
      </c>
      <c r="F191" s="78">
        <v>435.42756358513714</v>
      </c>
    </row>
    <row r="192" spans="1:6" x14ac:dyDescent="0.2">
      <c r="A192" t="s">
        <v>33</v>
      </c>
      <c r="B192" t="s">
        <v>74</v>
      </c>
      <c r="C192" s="44" t="s">
        <v>191</v>
      </c>
      <c r="D192" s="78">
        <v>93.036320829959507</v>
      </c>
      <c r="E192" s="78">
        <v>93.036320829959507</v>
      </c>
      <c r="F192" s="78">
        <v>93.036320829959507</v>
      </c>
    </row>
    <row r="193" spans="1:6" x14ac:dyDescent="0.2">
      <c r="A193" t="s">
        <v>40</v>
      </c>
      <c r="B193" t="s">
        <v>74</v>
      </c>
      <c r="C193" s="44" t="s">
        <v>191</v>
      </c>
      <c r="D193" s="78">
        <v>133.12305611336032</v>
      </c>
      <c r="E193" s="78">
        <v>133.12305611336032</v>
      </c>
      <c r="F193" s="78">
        <v>133.12305611336032</v>
      </c>
    </row>
    <row r="194" spans="1:6" x14ac:dyDescent="0.2">
      <c r="A194" t="s">
        <v>47</v>
      </c>
      <c r="B194" t="s">
        <v>74</v>
      </c>
      <c r="C194" s="44" t="s">
        <v>191</v>
      </c>
      <c r="D194" s="78">
        <v>69.435605404858308</v>
      </c>
      <c r="E194" s="78">
        <v>69.435605404858308</v>
      </c>
      <c r="F194" s="78">
        <v>69.435605404858308</v>
      </c>
    </row>
    <row r="195" spans="1:6" x14ac:dyDescent="0.2">
      <c r="A195" t="s">
        <v>50</v>
      </c>
      <c r="B195" t="s">
        <v>74</v>
      </c>
      <c r="C195" s="44" t="s">
        <v>191</v>
      </c>
      <c r="D195" s="78">
        <v>116.99664195344128</v>
      </c>
      <c r="E195" s="78">
        <v>116.99664195344128</v>
      </c>
      <c r="F195" s="78">
        <v>116.99664195344128</v>
      </c>
    </row>
    <row r="196" spans="1:6" x14ac:dyDescent="0.2">
      <c r="A196" t="s">
        <v>55</v>
      </c>
      <c r="B196" t="s">
        <v>74</v>
      </c>
      <c r="C196" s="44" t="s">
        <v>191</v>
      </c>
      <c r="D196" s="78">
        <v>293.97705604757095</v>
      </c>
      <c r="E196" s="78">
        <v>312.51377973178137</v>
      </c>
      <c r="F196" s="78">
        <v>325.93692446862354</v>
      </c>
    </row>
    <row r="197" spans="1:6" x14ac:dyDescent="0.2">
      <c r="A197" t="s">
        <v>33</v>
      </c>
      <c r="B197" t="s">
        <v>82</v>
      </c>
      <c r="C197" s="44" t="s">
        <v>191</v>
      </c>
      <c r="D197" s="78">
        <v>85.042878698224854</v>
      </c>
      <c r="E197" s="78">
        <v>85.042878698224854</v>
      </c>
      <c r="F197" s="78">
        <v>85.042878698224854</v>
      </c>
    </row>
    <row r="198" spans="1:6" x14ac:dyDescent="0.2">
      <c r="A198" t="s">
        <v>40</v>
      </c>
      <c r="B198" t="s">
        <v>82</v>
      </c>
      <c r="C198" s="44" t="s">
        <v>191</v>
      </c>
      <c r="D198" s="78">
        <v>125.91531612036746</v>
      </c>
      <c r="E198" s="78">
        <v>125.91531612036746</v>
      </c>
      <c r="F198" s="78">
        <v>125.91531612036746</v>
      </c>
    </row>
    <row r="199" spans="1:6" x14ac:dyDescent="0.2">
      <c r="A199" t="s">
        <v>47</v>
      </c>
      <c r="B199" t="s">
        <v>82</v>
      </c>
      <c r="C199" s="44" t="s">
        <v>191</v>
      </c>
      <c r="D199" s="78">
        <v>77.38128143491123</v>
      </c>
      <c r="E199" s="78">
        <v>77.38128143491123</v>
      </c>
      <c r="F199" s="78">
        <v>77.38128143491123</v>
      </c>
    </row>
    <row r="200" spans="1:6" x14ac:dyDescent="0.2">
      <c r="A200" t="s">
        <v>50</v>
      </c>
      <c r="B200" t="s">
        <v>82</v>
      </c>
      <c r="C200" s="44" t="s">
        <v>191</v>
      </c>
      <c r="D200" s="78">
        <v>125.91531612036746</v>
      </c>
      <c r="E200" s="78">
        <v>125.91531612036746</v>
      </c>
      <c r="F200" s="78">
        <v>125.91531612036746</v>
      </c>
    </row>
    <row r="201" spans="1:6" x14ac:dyDescent="0.2">
      <c r="A201" t="s">
        <v>55</v>
      </c>
      <c r="B201" t="s">
        <v>82</v>
      </c>
      <c r="C201" s="44" t="s">
        <v>191</v>
      </c>
      <c r="D201" s="78">
        <v>281.40379492369976</v>
      </c>
      <c r="E201" s="78">
        <v>338.52626455932733</v>
      </c>
      <c r="F201" s="78">
        <v>349.9507584864528</v>
      </c>
    </row>
    <row r="202" spans="1:6" x14ac:dyDescent="0.2">
      <c r="A202" t="s">
        <v>33</v>
      </c>
      <c r="B202" t="s">
        <v>88</v>
      </c>
      <c r="C202" s="44" t="s">
        <v>191</v>
      </c>
      <c r="D202" s="78">
        <v>93.302380255372157</v>
      </c>
      <c r="E202" s="78">
        <v>93.302380255372157</v>
      </c>
      <c r="F202" s="78">
        <v>93.302380255372157</v>
      </c>
    </row>
    <row r="203" spans="1:6" x14ac:dyDescent="0.2">
      <c r="A203" t="s">
        <v>40</v>
      </c>
      <c r="B203" t="s">
        <v>88</v>
      </c>
      <c r="C203" s="44" t="s">
        <v>191</v>
      </c>
      <c r="D203" s="78">
        <v>142.55387352071006</v>
      </c>
      <c r="E203" s="78">
        <v>142.55387352071006</v>
      </c>
      <c r="F203" s="78">
        <v>142.55387352071006</v>
      </c>
    </row>
    <row r="204" spans="1:6" x14ac:dyDescent="0.2">
      <c r="A204" t="s">
        <v>47</v>
      </c>
      <c r="B204" t="s">
        <v>88</v>
      </c>
      <c r="C204" s="44" t="s">
        <v>191</v>
      </c>
      <c r="D204" s="78">
        <v>82.773048193709116</v>
      </c>
      <c r="E204" s="78">
        <v>82.773048193709116</v>
      </c>
      <c r="F204" s="78">
        <v>82.773048193709116</v>
      </c>
    </row>
    <row r="205" spans="1:6" x14ac:dyDescent="0.2">
      <c r="A205" t="s">
        <v>50</v>
      </c>
      <c r="B205" t="s">
        <v>88</v>
      </c>
      <c r="C205" s="44" t="s">
        <v>191</v>
      </c>
      <c r="D205" s="78">
        <v>113.45244172376208</v>
      </c>
      <c r="E205" s="78">
        <v>113.45244172376208</v>
      </c>
      <c r="F205" s="78">
        <v>113.45244172376208</v>
      </c>
    </row>
    <row r="206" spans="1:6" x14ac:dyDescent="0.2">
      <c r="A206" t="s">
        <v>55</v>
      </c>
      <c r="B206" t="s">
        <v>88</v>
      </c>
      <c r="C206" s="44" t="s">
        <v>191</v>
      </c>
      <c r="D206" s="78">
        <v>424.62587542821552</v>
      </c>
      <c r="E206" s="78">
        <v>424.62587542821552</v>
      </c>
      <c r="F206" s="78">
        <v>424.62587542821552</v>
      </c>
    </row>
    <row r="207" spans="1:6" x14ac:dyDescent="0.2">
      <c r="A207" t="s">
        <v>33</v>
      </c>
      <c r="B207" t="s">
        <v>96</v>
      </c>
      <c r="C207" s="44" t="s">
        <v>191</v>
      </c>
      <c r="D207" s="44">
        <v>97.300638784490801</v>
      </c>
      <c r="E207" s="44">
        <v>97.300638784490801</v>
      </c>
      <c r="F207" s="44">
        <v>97.300638784490801</v>
      </c>
    </row>
    <row r="208" spans="1:6" x14ac:dyDescent="0.2">
      <c r="A208" t="s">
        <v>40</v>
      </c>
      <c r="B208" t="s">
        <v>96</v>
      </c>
      <c r="C208" s="44" t="s">
        <v>191</v>
      </c>
      <c r="D208" s="44">
        <v>132.0926584531299</v>
      </c>
      <c r="E208" s="44">
        <v>132.0926584531299</v>
      </c>
      <c r="F208" s="44">
        <v>132.0926584531299</v>
      </c>
    </row>
    <row r="209" spans="1:6" x14ac:dyDescent="0.2">
      <c r="A209" t="s">
        <v>47</v>
      </c>
      <c r="B209" t="s">
        <v>96</v>
      </c>
      <c r="C209" s="44" t="s">
        <v>191</v>
      </c>
      <c r="D209" s="44">
        <v>80.985239867953894</v>
      </c>
      <c r="E209" s="44">
        <v>80.985239867953894</v>
      </c>
      <c r="F209" s="44">
        <v>80.985239867953894</v>
      </c>
    </row>
    <row r="210" spans="1:6" x14ac:dyDescent="0.2">
      <c r="A210" t="s">
        <v>50</v>
      </c>
      <c r="B210" t="s">
        <v>96</v>
      </c>
      <c r="C210" s="44" t="s">
        <v>191</v>
      </c>
      <c r="D210" s="44">
        <v>119.71436081049517</v>
      </c>
      <c r="E210" s="44">
        <v>119.71436081049517</v>
      </c>
      <c r="F210" s="44">
        <v>119.71436081049517</v>
      </c>
    </row>
    <row r="211" spans="1:6" x14ac:dyDescent="0.2">
      <c r="A211" t="s">
        <v>55</v>
      </c>
      <c r="B211" t="s">
        <v>96</v>
      </c>
      <c r="C211" s="44" t="s">
        <v>191</v>
      </c>
      <c r="D211" s="44">
        <v>350.12329507085013</v>
      </c>
      <c r="E211" s="44">
        <v>384.46098380769229</v>
      </c>
      <c r="F211" s="44">
        <v>404.02861490890683</v>
      </c>
    </row>
    <row r="212" spans="1:6" x14ac:dyDescent="0.2">
      <c r="A212" t="s">
        <v>33</v>
      </c>
      <c r="B212" t="s">
        <v>32</v>
      </c>
      <c r="C212" s="44" t="s">
        <v>192</v>
      </c>
      <c r="D212" s="78">
        <v>121.13279683120523</v>
      </c>
      <c r="E212" s="78">
        <v>122.86300128464651</v>
      </c>
      <c r="F212" s="78">
        <v>124.49708326845219</v>
      </c>
    </row>
    <row r="213" spans="1:6" x14ac:dyDescent="0.2">
      <c r="A213" t="s">
        <v>40</v>
      </c>
      <c r="B213" t="s">
        <v>32</v>
      </c>
      <c r="C213" s="44" t="s">
        <v>192</v>
      </c>
      <c r="D213" s="78">
        <v>131.11073481781378</v>
      </c>
      <c r="E213" s="78">
        <v>132.9668190283401</v>
      </c>
      <c r="F213" s="78">
        <v>134.71978744939275</v>
      </c>
    </row>
    <row r="214" spans="1:6" x14ac:dyDescent="0.2">
      <c r="A214" t="s">
        <v>47</v>
      </c>
      <c r="B214" t="s">
        <v>32</v>
      </c>
      <c r="C214" s="44" t="s">
        <v>192</v>
      </c>
      <c r="D214" s="78">
        <v>98.953794865306762</v>
      </c>
      <c r="E214" s="78">
        <v>100.3672047843351</v>
      </c>
      <c r="F214" s="78">
        <v>101.70209193008409</v>
      </c>
    </row>
    <row r="215" spans="1:6" x14ac:dyDescent="0.2">
      <c r="A215" t="s">
        <v>50</v>
      </c>
      <c r="B215" t="s">
        <v>32</v>
      </c>
      <c r="C215" s="44" t="s">
        <v>192</v>
      </c>
      <c r="D215" s="78">
        <v>129.92353102616008</v>
      </c>
      <c r="E215" s="78">
        <v>131.77929823263781</v>
      </c>
      <c r="F215" s="78">
        <v>133.53196726097792</v>
      </c>
    </row>
    <row r="216" spans="1:6" x14ac:dyDescent="0.2">
      <c r="A216" t="s">
        <v>55</v>
      </c>
      <c r="B216" t="s">
        <v>32</v>
      </c>
      <c r="C216" s="44" t="s">
        <v>192</v>
      </c>
      <c r="D216" s="78">
        <v>392.53988335020239</v>
      </c>
      <c r="E216" s="78">
        <v>397.93711229757093</v>
      </c>
      <c r="F216" s="78">
        <v>403.03449519230776</v>
      </c>
    </row>
    <row r="217" spans="1:6" x14ac:dyDescent="0.2">
      <c r="A217" t="s">
        <v>33</v>
      </c>
      <c r="B217" t="s">
        <v>62</v>
      </c>
      <c r="C217" s="44" t="s">
        <v>192</v>
      </c>
      <c r="D217" s="78">
        <v>91.66369491591405</v>
      </c>
      <c r="E217" s="78">
        <v>93.078790057614455</v>
      </c>
      <c r="F217" s="78">
        <v>94.415268802553726</v>
      </c>
    </row>
    <row r="218" spans="1:6" x14ac:dyDescent="0.2">
      <c r="A218" t="s">
        <v>40</v>
      </c>
      <c r="B218" t="s">
        <v>62</v>
      </c>
      <c r="C218" s="44" t="s">
        <v>192</v>
      </c>
      <c r="D218" s="78">
        <v>124.02812480535658</v>
      </c>
      <c r="E218" s="78">
        <v>125.92719767985052</v>
      </c>
      <c r="F218" s="78">
        <v>127.72076650576145</v>
      </c>
    </row>
    <row r="219" spans="1:6" x14ac:dyDescent="0.2">
      <c r="A219" t="s">
        <v>47</v>
      </c>
      <c r="B219" t="s">
        <v>62</v>
      </c>
      <c r="C219" s="44" t="s">
        <v>192</v>
      </c>
      <c r="D219" s="78">
        <v>74.789115929616926</v>
      </c>
      <c r="E219" s="78">
        <v>75.94370297415135</v>
      </c>
      <c r="F219" s="78">
        <v>77.034146293989394</v>
      </c>
    </row>
    <row r="220" spans="1:6" x14ac:dyDescent="0.2">
      <c r="A220" t="s">
        <v>50</v>
      </c>
      <c r="B220" t="s">
        <v>62</v>
      </c>
      <c r="C220" s="44" t="s">
        <v>192</v>
      </c>
      <c r="D220" s="78">
        <v>108.08451660308315</v>
      </c>
      <c r="E220" s="78">
        <v>109.75311478122079</v>
      </c>
      <c r="F220" s="78">
        <v>111.32901306057302</v>
      </c>
    </row>
    <row r="221" spans="1:6" x14ac:dyDescent="0.2">
      <c r="A221" t="s">
        <v>55</v>
      </c>
      <c r="B221" t="s">
        <v>62</v>
      </c>
      <c r="C221" s="44" t="s">
        <v>192</v>
      </c>
      <c r="D221" s="78">
        <v>421.65075538675649</v>
      </c>
      <c r="E221" s="78">
        <v>426.32967137865938</v>
      </c>
      <c r="F221" s="78">
        <v>430.74864759323418</v>
      </c>
    </row>
    <row r="222" spans="1:6" x14ac:dyDescent="0.2">
      <c r="A222" t="s">
        <v>33</v>
      </c>
      <c r="B222" t="s">
        <v>74</v>
      </c>
      <c r="C222" s="44" t="s">
        <v>192</v>
      </c>
      <c r="D222" s="78">
        <v>91.621871356275278</v>
      </c>
      <c r="E222" s="78">
        <v>93.036320829959507</v>
      </c>
      <c r="F222" s="78">
        <v>94.372189777327932</v>
      </c>
    </row>
    <row r="223" spans="1:6" x14ac:dyDescent="0.2">
      <c r="A223" t="s">
        <v>40</v>
      </c>
      <c r="B223" t="s">
        <v>74</v>
      </c>
      <c r="C223" s="44" t="s">
        <v>192</v>
      </c>
      <c r="D223" s="78">
        <v>131.24836558704453</v>
      </c>
      <c r="E223" s="78">
        <v>133.12305611336032</v>
      </c>
      <c r="F223" s="78">
        <v>134.89359716599191</v>
      </c>
    </row>
    <row r="224" spans="1:6" x14ac:dyDescent="0.2">
      <c r="A224" t="s">
        <v>47</v>
      </c>
      <c r="B224" t="s">
        <v>74</v>
      </c>
      <c r="C224" s="44" t="s">
        <v>192</v>
      </c>
      <c r="D224" s="78">
        <v>68.379962246963572</v>
      </c>
      <c r="E224" s="78">
        <v>69.435605404858308</v>
      </c>
      <c r="F224" s="78">
        <v>70.432601720647767</v>
      </c>
    </row>
    <row r="225" spans="1:6" x14ac:dyDescent="0.2">
      <c r="A225" t="s">
        <v>50</v>
      </c>
      <c r="B225" t="s">
        <v>74</v>
      </c>
      <c r="C225" s="44" t="s">
        <v>192</v>
      </c>
      <c r="D225" s="78">
        <v>115.34904984817814</v>
      </c>
      <c r="E225" s="78">
        <v>116.99664195344128</v>
      </c>
      <c r="F225" s="78">
        <v>118.55270116396763</v>
      </c>
    </row>
    <row r="226" spans="1:6" x14ac:dyDescent="0.2">
      <c r="A226" t="s">
        <v>55</v>
      </c>
      <c r="B226" t="s">
        <v>74</v>
      </c>
      <c r="C226" s="44" t="s">
        <v>192</v>
      </c>
      <c r="D226" s="78">
        <v>308.67859552125515</v>
      </c>
      <c r="E226" s="78">
        <v>312.51377973178137</v>
      </c>
      <c r="F226" s="78">
        <v>316.13589815283405</v>
      </c>
    </row>
    <row r="227" spans="1:6" x14ac:dyDescent="0.2">
      <c r="A227" t="s">
        <v>33</v>
      </c>
      <c r="B227" t="s">
        <v>82</v>
      </c>
      <c r="C227" s="44" t="s">
        <v>192</v>
      </c>
      <c r="D227" s="78">
        <v>83.76400420429772</v>
      </c>
      <c r="E227" s="78">
        <v>85.042878698224854</v>
      </c>
      <c r="F227" s="78">
        <v>86.250704609156031</v>
      </c>
    </row>
    <row r="228" spans="1:6" x14ac:dyDescent="0.2">
      <c r="A228" t="s">
        <v>40</v>
      </c>
      <c r="B228" t="s">
        <v>82</v>
      </c>
      <c r="C228" s="44" t="s">
        <v>192</v>
      </c>
      <c r="D228" s="78">
        <v>124.0150499260355</v>
      </c>
      <c r="E228" s="78">
        <v>125.91531612036746</v>
      </c>
      <c r="F228" s="78">
        <v>127.71001197056991</v>
      </c>
    </row>
    <row r="229" spans="1:6" x14ac:dyDescent="0.2">
      <c r="A229" t="s">
        <v>47</v>
      </c>
      <c r="B229" t="s">
        <v>82</v>
      </c>
      <c r="C229" s="44" t="s">
        <v>192</v>
      </c>
      <c r="D229" s="78">
        <v>76.218887710214872</v>
      </c>
      <c r="E229" s="78">
        <v>77.38128143491123</v>
      </c>
      <c r="F229" s="78">
        <v>78.479097730457795</v>
      </c>
    </row>
    <row r="230" spans="1:6" x14ac:dyDescent="0.2">
      <c r="A230" t="s">
        <v>50</v>
      </c>
      <c r="B230" t="s">
        <v>82</v>
      </c>
      <c r="C230" s="44" t="s">
        <v>192</v>
      </c>
      <c r="D230" s="78">
        <v>124.0150499260355</v>
      </c>
      <c r="E230" s="78">
        <v>125.91531612036746</v>
      </c>
      <c r="F230" s="78">
        <v>127.71001197056991</v>
      </c>
    </row>
    <row r="231" spans="1:6" x14ac:dyDescent="0.2">
      <c r="A231" t="s">
        <v>55</v>
      </c>
      <c r="B231" t="s">
        <v>82</v>
      </c>
      <c r="C231" s="44" t="s">
        <v>192</v>
      </c>
      <c r="D231" s="78">
        <v>334.41344674556211</v>
      </c>
      <c r="E231" s="78">
        <v>338.52626455932733</v>
      </c>
      <c r="F231" s="78">
        <v>342.41059249455003</v>
      </c>
    </row>
    <row r="232" spans="1:6" x14ac:dyDescent="0.2">
      <c r="A232" t="s">
        <v>33</v>
      </c>
      <c r="B232" t="s">
        <v>88</v>
      </c>
      <c r="C232" s="44" t="s">
        <v>192</v>
      </c>
      <c r="D232" s="78">
        <v>92.0021535347244</v>
      </c>
      <c r="E232" s="78">
        <v>93.302380255372157</v>
      </c>
      <c r="F232" s="78">
        <v>94.530372158206177</v>
      </c>
    </row>
    <row r="233" spans="1:6" x14ac:dyDescent="0.2">
      <c r="A233" t="s">
        <v>40</v>
      </c>
      <c r="B233" t="s">
        <v>88</v>
      </c>
      <c r="C233" s="44" t="s">
        <v>192</v>
      </c>
      <c r="D233" s="78">
        <v>140.56729659763315</v>
      </c>
      <c r="E233" s="78">
        <v>142.55387352071006</v>
      </c>
      <c r="F233" s="78">
        <v>144.4300850591716</v>
      </c>
    </row>
    <row r="234" spans="1:6" x14ac:dyDescent="0.2">
      <c r="A234" t="s">
        <v>47</v>
      </c>
      <c r="B234" t="s">
        <v>88</v>
      </c>
      <c r="C234" s="44" t="s">
        <v>192</v>
      </c>
      <c r="D234" s="78">
        <v>81.61955426658362</v>
      </c>
      <c r="E234" s="78">
        <v>82.773048193709116</v>
      </c>
      <c r="F234" s="78">
        <v>83.862459124883202</v>
      </c>
    </row>
    <row r="235" spans="1:6" x14ac:dyDescent="0.2">
      <c r="A235" t="s">
        <v>50</v>
      </c>
      <c r="B235" t="s">
        <v>88</v>
      </c>
      <c r="C235" s="44" t="s">
        <v>192</v>
      </c>
      <c r="D235" s="78">
        <v>111.8714113593896</v>
      </c>
      <c r="E235" s="78">
        <v>113.45244172376208</v>
      </c>
      <c r="F235" s="78">
        <v>114.94563706789162</v>
      </c>
    </row>
    <row r="236" spans="1:6" x14ac:dyDescent="0.2">
      <c r="A236" t="s">
        <v>55</v>
      </c>
      <c r="B236" t="s">
        <v>88</v>
      </c>
      <c r="C236" s="44" t="s">
        <v>192</v>
      </c>
      <c r="D236" s="78">
        <v>418.39262846465272</v>
      </c>
      <c r="E236" s="78">
        <v>424.62587542821552</v>
      </c>
      <c r="F236" s="78">
        <v>430.51283089380252</v>
      </c>
    </row>
    <row r="237" spans="1:6" x14ac:dyDescent="0.2">
      <c r="A237" t="s">
        <v>33</v>
      </c>
      <c r="B237" t="s">
        <v>96</v>
      </c>
      <c r="C237" s="44" t="s">
        <v>192</v>
      </c>
      <c r="D237" s="44">
        <v>95.872868727810641</v>
      </c>
      <c r="E237" s="44">
        <v>97.300638784490801</v>
      </c>
      <c r="F237" s="44">
        <v>98.649088282466508</v>
      </c>
    </row>
    <row r="238" spans="1:6" x14ac:dyDescent="0.2">
      <c r="A238" t="s">
        <v>40</v>
      </c>
      <c r="B238" t="s">
        <v>96</v>
      </c>
      <c r="C238" s="44" t="s">
        <v>192</v>
      </c>
      <c r="D238" s="44">
        <v>130.18932030738088</v>
      </c>
      <c r="E238" s="44">
        <v>132.0926584531299</v>
      </c>
      <c r="F238" s="44">
        <v>133.89025559078172</v>
      </c>
    </row>
    <row r="239" spans="1:6" x14ac:dyDescent="0.2">
      <c r="A239" t="s">
        <v>47</v>
      </c>
      <c r="B239" t="s">
        <v>96</v>
      </c>
      <c r="C239" s="44" t="s">
        <v>192</v>
      </c>
      <c r="D239" s="44">
        <v>79.797334313298023</v>
      </c>
      <c r="E239" s="44">
        <v>80.985239867953894</v>
      </c>
      <c r="F239" s="44">
        <v>82.107150669573343</v>
      </c>
    </row>
    <row r="240" spans="1:6" x14ac:dyDescent="0.2">
      <c r="A240" t="s">
        <v>50</v>
      </c>
      <c r="B240" t="s">
        <v>96</v>
      </c>
      <c r="C240" s="44" t="s">
        <v>192</v>
      </c>
      <c r="D240" s="44">
        <v>117.98371000077857</v>
      </c>
      <c r="E240" s="44">
        <v>119.71436081049517</v>
      </c>
      <c r="F240" s="44">
        <v>121.3488643530053</v>
      </c>
    </row>
    <row r="241" spans="1:6" x14ac:dyDescent="0.2">
      <c r="A241" t="s">
        <v>55</v>
      </c>
      <c r="B241" t="s">
        <v>96</v>
      </c>
      <c r="C241" s="44" t="s">
        <v>192</v>
      </c>
      <c r="D241" s="44">
        <v>379.60950502226711</v>
      </c>
      <c r="E241" s="44">
        <v>384.46098380769229</v>
      </c>
      <c r="F241" s="44">
        <v>389.04293599392702</v>
      </c>
    </row>
    <row r="242" spans="1:6" x14ac:dyDescent="0.2">
      <c r="A242" t="s">
        <v>33</v>
      </c>
      <c r="B242" t="s">
        <v>32</v>
      </c>
      <c r="C242" s="44" t="s">
        <v>193</v>
      </c>
      <c r="D242" s="78">
        <v>122.86300128464651</v>
      </c>
      <c r="E242" s="78">
        <v>122.86300128464651</v>
      </c>
      <c r="F242" s="78">
        <v>123.87514703363439</v>
      </c>
    </row>
    <row r="243" spans="1:6" x14ac:dyDescent="0.2">
      <c r="A243" t="s">
        <v>40</v>
      </c>
      <c r="B243" t="s">
        <v>32</v>
      </c>
      <c r="C243" s="44" t="s">
        <v>193</v>
      </c>
      <c r="D243" s="78">
        <v>132.9668190283401</v>
      </c>
      <c r="E243" s="78">
        <v>132.9668190283401</v>
      </c>
      <c r="F243" s="78">
        <v>133.97896477732795</v>
      </c>
    </row>
    <row r="244" spans="1:6" x14ac:dyDescent="0.2">
      <c r="A244" t="s">
        <v>47</v>
      </c>
      <c r="B244" t="s">
        <v>32</v>
      </c>
      <c r="C244" s="44" t="s">
        <v>193</v>
      </c>
      <c r="D244" s="78">
        <v>100.3672047843351</v>
      </c>
      <c r="E244" s="78">
        <v>100.3672047843351</v>
      </c>
      <c r="F244" s="78">
        <v>101.37935053332295</v>
      </c>
    </row>
    <row r="245" spans="1:6" x14ac:dyDescent="0.2">
      <c r="A245" t="s">
        <v>50</v>
      </c>
      <c r="B245" t="s">
        <v>32</v>
      </c>
      <c r="C245" s="44" t="s">
        <v>193</v>
      </c>
      <c r="D245" s="78">
        <v>131.77929823263781</v>
      </c>
      <c r="E245" s="78">
        <v>131.77929823263781</v>
      </c>
      <c r="F245" s="78">
        <v>132.79144398162566</v>
      </c>
    </row>
    <row r="246" spans="1:6" x14ac:dyDescent="0.2">
      <c r="A246" t="s">
        <v>55</v>
      </c>
      <c r="B246" t="s">
        <v>32</v>
      </c>
      <c r="C246" s="44" t="s">
        <v>193</v>
      </c>
      <c r="D246" s="78">
        <v>383.26091796558705</v>
      </c>
      <c r="E246" s="78">
        <v>397.93711229757093</v>
      </c>
      <c r="F246" s="78">
        <v>397.93703132591099</v>
      </c>
    </row>
    <row r="247" spans="1:6" x14ac:dyDescent="0.2">
      <c r="A247" t="s">
        <v>33</v>
      </c>
      <c r="B247" t="s">
        <v>62</v>
      </c>
      <c r="C247" s="44" t="s">
        <v>193</v>
      </c>
      <c r="D247" s="78">
        <v>93.078790057614455</v>
      </c>
      <c r="E247" s="78">
        <v>93.078790057614455</v>
      </c>
      <c r="F247" s="78">
        <v>94.090935806602317</v>
      </c>
    </row>
    <row r="248" spans="1:6" x14ac:dyDescent="0.2">
      <c r="A248" t="s">
        <v>40</v>
      </c>
      <c r="B248" t="s">
        <v>62</v>
      </c>
      <c r="C248" s="44" t="s">
        <v>193</v>
      </c>
      <c r="D248" s="78">
        <v>125.92719767985052</v>
      </c>
      <c r="E248" s="78">
        <v>125.92719767985052</v>
      </c>
      <c r="F248" s="78">
        <v>126.93934342883837</v>
      </c>
    </row>
    <row r="249" spans="1:6" x14ac:dyDescent="0.2">
      <c r="A249" t="s">
        <v>47</v>
      </c>
      <c r="B249" t="s">
        <v>62</v>
      </c>
      <c r="C249" s="44" t="s">
        <v>193</v>
      </c>
      <c r="D249" s="78">
        <v>75.94370297415135</v>
      </c>
      <c r="E249" s="78">
        <v>75.94370297415135</v>
      </c>
      <c r="F249" s="78">
        <v>76.955848723139198</v>
      </c>
    </row>
    <row r="250" spans="1:6" x14ac:dyDescent="0.2">
      <c r="A250" t="s">
        <v>50</v>
      </c>
      <c r="B250" t="s">
        <v>62</v>
      </c>
      <c r="C250" s="44" t="s">
        <v>193</v>
      </c>
      <c r="D250" s="78">
        <v>109.75311478122079</v>
      </c>
      <c r="E250" s="78">
        <v>109.75311478122079</v>
      </c>
      <c r="F250" s="78">
        <v>110.76526053020864</v>
      </c>
    </row>
    <row r="251" spans="1:6" x14ac:dyDescent="0.2">
      <c r="A251" t="s">
        <v>55</v>
      </c>
      <c r="B251" t="s">
        <v>62</v>
      </c>
      <c r="C251" s="44" t="s">
        <v>193</v>
      </c>
      <c r="D251" s="78">
        <v>413.1717766418173</v>
      </c>
      <c r="E251" s="78">
        <v>426.32967137865938</v>
      </c>
      <c r="F251" s="78">
        <v>426.32967137865938</v>
      </c>
    </row>
    <row r="252" spans="1:6" x14ac:dyDescent="0.2">
      <c r="A252" t="s">
        <v>33</v>
      </c>
      <c r="B252" t="s">
        <v>74</v>
      </c>
      <c r="C252" s="44" t="s">
        <v>193</v>
      </c>
      <c r="D252" s="78">
        <v>93.036320829959507</v>
      </c>
      <c r="E252" s="78">
        <v>93.036320829959507</v>
      </c>
      <c r="F252" s="78">
        <v>94.048466578947355</v>
      </c>
    </row>
    <row r="253" spans="1:6" x14ac:dyDescent="0.2">
      <c r="A253" t="s">
        <v>40</v>
      </c>
      <c r="B253" t="s">
        <v>74</v>
      </c>
      <c r="C253" s="44" t="s">
        <v>193</v>
      </c>
      <c r="D253" s="78">
        <v>133.12305611336032</v>
      </c>
      <c r="E253" s="78">
        <v>133.12305611336032</v>
      </c>
      <c r="F253" s="78">
        <v>134.13520186234817</v>
      </c>
    </row>
    <row r="254" spans="1:6" x14ac:dyDescent="0.2">
      <c r="A254" t="s">
        <v>47</v>
      </c>
      <c r="B254" t="s">
        <v>74</v>
      </c>
      <c r="C254" s="44" t="s">
        <v>193</v>
      </c>
      <c r="D254" s="78">
        <v>69.435605404858308</v>
      </c>
      <c r="E254" s="78">
        <v>69.435605404858308</v>
      </c>
      <c r="F254" s="78">
        <v>70.447751153846156</v>
      </c>
    </row>
    <row r="255" spans="1:6" x14ac:dyDescent="0.2">
      <c r="A255" t="s">
        <v>50</v>
      </c>
      <c r="B255" t="s">
        <v>74</v>
      </c>
      <c r="C255" s="44" t="s">
        <v>193</v>
      </c>
      <c r="D255" s="78">
        <v>116.99664195344128</v>
      </c>
      <c r="E255" s="78">
        <v>116.99664195344128</v>
      </c>
      <c r="F255" s="78">
        <v>118.00878770242916</v>
      </c>
    </row>
    <row r="256" spans="1:6" x14ac:dyDescent="0.2">
      <c r="A256" t="s">
        <v>55</v>
      </c>
      <c r="B256" t="s">
        <v>74</v>
      </c>
      <c r="C256" s="44" t="s">
        <v>193</v>
      </c>
      <c r="D256" s="78">
        <v>293.28301050101214</v>
      </c>
      <c r="E256" s="78">
        <v>312.51377973178137</v>
      </c>
      <c r="F256" s="78">
        <v>312.51377973178137</v>
      </c>
    </row>
    <row r="257" spans="1:6" x14ac:dyDescent="0.2">
      <c r="A257" t="s">
        <v>33</v>
      </c>
      <c r="B257" t="s">
        <v>82</v>
      </c>
      <c r="C257" s="44" t="s">
        <v>193</v>
      </c>
      <c r="D257" s="78">
        <v>84.118789629398947</v>
      </c>
      <c r="E257" s="78">
        <v>85.042878698224854</v>
      </c>
      <c r="F257" s="78">
        <v>85.130935378386795</v>
      </c>
    </row>
    <row r="258" spans="1:6" x14ac:dyDescent="0.2">
      <c r="A258" t="s">
        <v>40</v>
      </c>
      <c r="B258" t="s">
        <v>82</v>
      </c>
      <c r="C258" s="44" t="s">
        <v>193</v>
      </c>
      <c r="D258" s="78">
        <v>124.99122705154154</v>
      </c>
      <c r="E258" s="78">
        <v>125.91531612036746</v>
      </c>
      <c r="F258" s="78">
        <v>126.00337280052942</v>
      </c>
    </row>
    <row r="259" spans="1:6" x14ac:dyDescent="0.2">
      <c r="A259" t="s">
        <v>47</v>
      </c>
      <c r="B259" t="s">
        <v>82</v>
      </c>
      <c r="C259" s="44" t="s">
        <v>193</v>
      </c>
      <c r="D259" s="78">
        <v>76.457192366085323</v>
      </c>
      <c r="E259" s="78">
        <v>77.38128143491123</v>
      </c>
      <c r="F259" s="78">
        <v>77.469338115073171</v>
      </c>
    </row>
    <row r="260" spans="1:6" x14ac:dyDescent="0.2">
      <c r="A260" t="s">
        <v>50</v>
      </c>
      <c r="B260" t="s">
        <v>82</v>
      </c>
      <c r="C260" s="44" t="s">
        <v>193</v>
      </c>
      <c r="D260" s="78">
        <v>124.99122705154154</v>
      </c>
      <c r="E260" s="78">
        <v>125.91531612036746</v>
      </c>
      <c r="F260" s="78">
        <v>126.00337280052942</v>
      </c>
    </row>
    <row r="261" spans="1:6" x14ac:dyDescent="0.2">
      <c r="A261" t="s">
        <v>55</v>
      </c>
      <c r="B261" t="s">
        <v>82</v>
      </c>
      <c r="C261" s="44" t="s">
        <v>193</v>
      </c>
      <c r="D261" s="78">
        <v>327.64569775770792</v>
      </c>
      <c r="E261" s="78">
        <v>338.52626455932733</v>
      </c>
      <c r="F261" s="78">
        <v>338.52626455932733</v>
      </c>
    </row>
    <row r="262" spans="1:6" x14ac:dyDescent="0.2">
      <c r="A262" t="s">
        <v>33</v>
      </c>
      <c r="B262" t="s">
        <v>88</v>
      </c>
      <c r="C262" s="44" t="s">
        <v>193</v>
      </c>
      <c r="D262" s="78">
        <v>93.302380255372157</v>
      </c>
      <c r="E262" s="78">
        <v>93.302380255372157</v>
      </c>
      <c r="F262" s="78">
        <v>94.314526004360019</v>
      </c>
    </row>
    <row r="263" spans="1:6" x14ac:dyDescent="0.2">
      <c r="A263" t="s">
        <v>40</v>
      </c>
      <c r="B263" t="s">
        <v>88</v>
      </c>
      <c r="C263" s="44" t="s">
        <v>193</v>
      </c>
      <c r="D263" s="78">
        <v>142.55387352071006</v>
      </c>
      <c r="E263" s="78">
        <v>142.55387352071006</v>
      </c>
      <c r="F263" s="78">
        <v>143.5660192696979</v>
      </c>
    </row>
    <row r="264" spans="1:6" x14ac:dyDescent="0.2">
      <c r="A264" t="s">
        <v>47</v>
      </c>
      <c r="B264" t="s">
        <v>88</v>
      </c>
      <c r="C264" s="44" t="s">
        <v>193</v>
      </c>
      <c r="D264" s="78">
        <v>82.773048193709116</v>
      </c>
      <c r="E264" s="78">
        <v>82.773048193709116</v>
      </c>
      <c r="F264" s="78">
        <v>83.785193942696978</v>
      </c>
    </row>
    <row r="265" spans="1:6" x14ac:dyDescent="0.2">
      <c r="A265" t="s">
        <v>50</v>
      </c>
      <c r="B265" t="s">
        <v>88</v>
      </c>
      <c r="C265" s="44" t="s">
        <v>193</v>
      </c>
      <c r="D265" s="78">
        <v>113.45244172376208</v>
      </c>
      <c r="E265" s="78">
        <v>113.45244172376208</v>
      </c>
      <c r="F265" s="78">
        <v>114.46458747274993</v>
      </c>
    </row>
    <row r="266" spans="1:6" x14ac:dyDescent="0.2">
      <c r="A266" t="s">
        <v>55</v>
      </c>
      <c r="B266" t="s">
        <v>88</v>
      </c>
      <c r="C266" s="44" t="s">
        <v>193</v>
      </c>
      <c r="D266" s="78">
        <v>409.9958146994706</v>
      </c>
      <c r="E266" s="78">
        <v>424.62587542821552</v>
      </c>
      <c r="F266" s="78">
        <v>424.62587542821552</v>
      </c>
    </row>
    <row r="267" spans="1:6" x14ac:dyDescent="0.2">
      <c r="A267" t="s">
        <v>33</v>
      </c>
      <c r="B267" t="s">
        <v>96</v>
      </c>
      <c r="C267" s="44" t="s">
        <v>193</v>
      </c>
      <c r="D267" s="44">
        <v>97.115820970725622</v>
      </c>
      <c r="E267" s="44">
        <v>97.300638784490801</v>
      </c>
      <c r="F267" s="44">
        <v>98.12796671971347</v>
      </c>
    </row>
    <row r="268" spans="1:6" x14ac:dyDescent="0.2">
      <c r="A268" t="s">
        <v>40</v>
      </c>
      <c r="B268" t="s">
        <v>96</v>
      </c>
      <c r="C268" s="44" t="s">
        <v>193</v>
      </c>
      <c r="D268" s="44">
        <v>131.90784063936471</v>
      </c>
      <c r="E268" s="44">
        <v>132.0926584531299</v>
      </c>
      <c r="F268" s="44">
        <v>132.91998638835256</v>
      </c>
    </row>
    <row r="269" spans="1:6" x14ac:dyDescent="0.2">
      <c r="A269" t="s">
        <v>47</v>
      </c>
      <c r="B269" t="s">
        <v>96</v>
      </c>
      <c r="C269" s="44" t="s">
        <v>193</v>
      </c>
      <c r="D269" s="44">
        <v>80.800422054188729</v>
      </c>
      <c r="E269" s="44">
        <v>80.985239867953894</v>
      </c>
      <c r="F269" s="44">
        <v>81.812567803176577</v>
      </c>
    </row>
    <row r="270" spans="1:6" x14ac:dyDescent="0.2">
      <c r="A270" t="s">
        <v>50</v>
      </c>
      <c r="B270" t="s">
        <v>96</v>
      </c>
      <c r="C270" s="44" t="s">
        <v>193</v>
      </c>
      <c r="D270" s="44">
        <v>119.52954299672999</v>
      </c>
      <c r="E270" s="44">
        <v>119.71436081049517</v>
      </c>
      <c r="F270" s="44">
        <v>120.54168874571786</v>
      </c>
    </row>
    <row r="271" spans="1:6" x14ac:dyDescent="0.2">
      <c r="A271" t="s">
        <v>55</v>
      </c>
      <c r="B271" t="s">
        <v>96</v>
      </c>
      <c r="C271" s="44" t="s">
        <v>193</v>
      </c>
      <c r="D271" s="44">
        <v>369.83092307894731</v>
      </c>
      <c r="E271" s="44">
        <v>384.46098380769229</v>
      </c>
      <c r="F271" s="44">
        <v>384.46098380769229</v>
      </c>
    </row>
    <row r="272" spans="1:6" x14ac:dyDescent="0.2">
      <c r="A272" t="s">
        <v>33</v>
      </c>
      <c r="B272" t="s">
        <v>32</v>
      </c>
      <c r="C272" s="44" t="s">
        <v>194</v>
      </c>
      <c r="D272" s="78">
        <v>118.51900506072874</v>
      </c>
      <c r="E272" s="78">
        <v>122.86300128464651</v>
      </c>
      <c r="F272" s="78">
        <v>123.94900034062596</v>
      </c>
    </row>
    <row r="273" spans="1:6" x14ac:dyDescent="0.2">
      <c r="A273" t="s">
        <v>40</v>
      </c>
      <c r="B273" t="s">
        <v>32</v>
      </c>
      <c r="C273" s="44" t="s">
        <v>194</v>
      </c>
      <c r="D273" s="78">
        <v>127.14176842105266</v>
      </c>
      <c r="E273" s="78">
        <v>132.9668190283401</v>
      </c>
      <c r="F273" s="78">
        <v>132.9668190283401</v>
      </c>
    </row>
    <row r="274" spans="1:6" x14ac:dyDescent="0.2">
      <c r="A274" t="s">
        <v>47</v>
      </c>
      <c r="B274" t="s">
        <v>32</v>
      </c>
      <c r="C274" s="44" t="s">
        <v>194</v>
      </c>
      <c r="D274" s="78">
        <v>96.818579453441302</v>
      </c>
      <c r="E274" s="78">
        <v>100.3672047843351</v>
      </c>
      <c r="F274" s="78">
        <v>101.25436111705856</v>
      </c>
    </row>
    <row r="275" spans="1:6" x14ac:dyDescent="0.2">
      <c r="A275" t="s">
        <v>50</v>
      </c>
      <c r="B275" t="s">
        <v>32</v>
      </c>
      <c r="C275" s="44" t="s">
        <v>194</v>
      </c>
      <c r="D275" s="78">
        <v>127.1200536437247</v>
      </c>
      <c r="E275" s="78">
        <v>131.77929823263781</v>
      </c>
      <c r="F275" s="78">
        <v>132.94410937986609</v>
      </c>
    </row>
    <row r="276" spans="1:6" x14ac:dyDescent="0.2">
      <c r="A276" t="s">
        <v>55</v>
      </c>
      <c r="B276" t="s">
        <v>32</v>
      </c>
      <c r="C276" s="44" t="s">
        <v>194</v>
      </c>
      <c r="D276" s="78">
        <v>384.38637722672064</v>
      </c>
      <c r="E276" s="78">
        <v>397.93711229757093</v>
      </c>
      <c r="F276" s="78">
        <v>401.32479606528352</v>
      </c>
    </row>
    <row r="277" spans="1:6" x14ac:dyDescent="0.2">
      <c r="A277" t="s">
        <v>33</v>
      </c>
      <c r="B277" t="s">
        <v>62</v>
      </c>
      <c r="C277" s="44" t="s">
        <v>194</v>
      </c>
      <c r="D277" s="78">
        <v>90.055082489878529</v>
      </c>
      <c r="E277" s="78">
        <v>93.078790057614455</v>
      </c>
      <c r="F277" s="78">
        <v>93.834716949548437</v>
      </c>
    </row>
    <row r="278" spans="1:6" x14ac:dyDescent="0.2">
      <c r="A278" t="s">
        <v>40</v>
      </c>
      <c r="B278" t="s">
        <v>62</v>
      </c>
      <c r="C278" s="44" t="s">
        <v>194</v>
      </c>
      <c r="D278" s="78">
        <v>120.85488765182187</v>
      </c>
      <c r="E278" s="78">
        <v>125.92719767985052</v>
      </c>
      <c r="F278" s="78">
        <v>125.92719767985052</v>
      </c>
    </row>
    <row r="279" spans="1:6" x14ac:dyDescent="0.2">
      <c r="A279" t="s">
        <v>47</v>
      </c>
      <c r="B279" t="s">
        <v>62</v>
      </c>
      <c r="C279" s="44" t="s">
        <v>194</v>
      </c>
      <c r="D279" s="78">
        <v>73.476636639676101</v>
      </c>
      <c r="E279" s="78">
        <v>75.94370297415135</v>
      </c>
      <c r="F279" s="78">
        <v>76.560469557770162</v>
      </c>
    </row>
    <row r="280" spans="1:6" x14ac:dyDescent="0.2">
      <c r="A280" t="s">
        <v>50</v>
      </c>
      <c r="B280" t="s">
        <v>62</v>
      </c>
      <c r="C280" s="44" t="s">
        <v>194</v>
      </c>
      <c r="D280" s="78">
        <v>106.18773405870445</v>
      </c>
      <c r="E280" s="78">
        <v>109.75311478122079</v>
      </c>
      <c r="F280" s="78">
        <v>110.6444599618499</v>
      </c>
    </row>
    <row r="281" spans="1:6" x14ac:dyDescent="0.2">
      <c r="A281" t="s">
        <v>55</v>
      </c>
      <c r="B281" t="s">
        <v>62</v>
      </c>
      <c r="C281" s="44" t="s">
        <v>194</v>
      </c>
      <c r="D281" s="78">
        <v>411.64557338056682</v>
      </c>
      <c r="E281" s="78">
        <v>426.32967137865938</v>
      </c>
      <c r="F281" s="78">
        <v>426.32967137865938</v>
      </c>
    </row>
    <row r="282" spans="1:6" x14ac:dyDescent="0.2">
      <c r="A282" t="s">
        <v>33</v>
      </c>
      <c r="B282" t="s">
        <v>74</v>
      </c>
      <c r="C282" s="44" t="s">
        <v>194</v>
      </c>
      <c r="D282" s="78">
        <v>90.01399289473683</v>
      </c>
      <c r="E282" s="78">
        <v>93.036320829959507</v>
      </c>
      <c r="F282" s="78">
        <v>93.791902813765176</v>
      </c>
    </row>
    <row r="283" spans="1:6" x14ac:dyDescent="0.2">
      <c r="A283" t="s">
        <v>40</v>
      </c>
      <c r="B283" t="s">
        <v>74</v>
      </c>
      <c r="C283" s="44" t="s">
        <v>194</v>
      </c>
      <c r="D283" s="78">
        <v>128.41630105263158</v>
      </c>
      <c r="E283" s="78">
        <v>133.12305611336032</v>
      </c>
      <c r="F283" s="78">
        <v>134.2997448785425</v>
      </c>
    </row>
    <row r="284" spans="1:6" x14ac:dyDescent="0.2">
      <c r="A284" t="s">
        <v>47</v>
      </c>
      <c r="B284" t="s">
        <v>74</v>
      </c>
      <c r="C284" s="44" t="s">
        <v>194</v>
      </c>
      <c r="D284" s="78">
        <v>67.179957631578944</v>
      </c>
      <c r="E284" s="78">
        <v>69.435605404858308</v>
      </c>
      <c r="F284" s="78">
        <v>69.999517348178145</v>
      </c>
    </row>
    <row r="285" spans="1:6" x14ac:dyDescent="0.2">
      <c r="A285" t="s">
        <v>50</v>
      </c>
      <c r="B285" t="s">
        <v>74</v>
      </c>
      <c r="C285" s="44" t="s">
        <v>194</v>
      </c>
      <c r="D285" s="78">
        <v>112.86005921052632</v>
      </c>
      <c r="E285" s="78">
        <v>116.99664195344128</v>
      </c>
      <c r="F285" s="78">
        <v>118.03078763917004</v>
      </c>
    </row>
    <row r="286" spans="1:6" x14ac:dyDescent="0.2">
      <c r="A286" t="s">
        <v>55</v>
      </c>
      <c r="B286" t="s">
        <v>74</v>
      </c>
      <c r="C286" s="44" t="s">
        <v>194</v>
      </c>
      <c r="D286" s="78">
        <v>300.4776113360324</v>
      </c>
      <c r="E286" s="78">
        <v>312.51377973178137</v>
      </c>
      <c r="F286" s="78">
        <v>312.51377973178137</v>
      </c>
    </row>
    <row r="287" spans="1:6" x14ac:dyDescent="0.2">
      <c r="A287" t="s">
        <v>33</v>
      </c>
      <c r="B287" t="s">
        <v>82</v>
      </c>
      <c r="C287" s="44" t="s">
        <v>194</v>
      </c>
      <c r="D287" s="78">
        <v>82.310240890688277</v>
      </c>
      <c r="E287" s="78">
        <v>85.042878698224854</v>
      </c>
      <c r="F287" s="78">
        <v>85.726038150109005</v>
      </c>
    </row>
    <row r="288" spans="1:6" x14ac:dyDescent="0.2">
      <c r="A288" t="s">
        <v>40</v>
      </c>
      <c r="B288" t="s">
        <v>82</v>
      </c>
      <c r="C288" s="44" t="s">
        <v>194</v>
      </c>
      <c r="D288" s="78">
        <v>121.85491826923078</v>
      </c>
      <c r="E288" s="78">
        <v>125.91531612036746</v>
      </c>
      <c r="F288" s="78">
        <v>126.93041558315166</v>
      </c>
    </row>
    <row r="289" spans="1:6" x14ac:dyDescent="0.2">
      <c r="A289" t="s">
        <v>47</v>
      </c>
      <c r="B289" t="s">
        <v>82</v>
      </c>
      <c r="C289" s="44" t="s">
        <v>194</v>
      </c>
      <c r="D289" s="78">
        <v>74.897534159919019</v>
      </c>
      <c r="E289" s="78">
        <v>77.38128143491123</v>
      </c>
      <c r="F289" s="78">
        <v>78.002218253659308</v>
      </c>
    </row>
    <row r="290" spans="1:6" x14ac:dyDescent="0.2">
      <c r="A290" t="s">
        <v>50</v>
      </c>
      <c r="B290" t="s">
        <v>82</v>
      </c>
      <c r="C290" s="44" t="s">
        <v>194</v>
      </c>
      <c r="D290" s="78">
        <v>121.85491826923078</v>
      </c>
      <c r="E290" s="78">
        <v>125.91531612036746</v>
      </c>
      <c r="F290" s="78">
        <v>126.93041558315166</v>
      </c>
    </row>
    <row r="291" spans="1:6" x14ac:dyDescent="0.2">
      <c r="A291" t="s">
        <v>55</v>
      </c>
      <c r="B291" t="s">
        <v>82</v>
      </c>
      <c r="C291" s="44" t="s">
        <v>194</v>
      </c>
      <c r="D291" s="78">
        <v>329.73819230769232</v>
      </c>
      <c r="E291" s="78">
        <v>338.52626455932733</v>
      </c>
      <c r="F291" s="78">
        <v>340.72328262223613</v>
      </c>
    </row>
    <row r="292" spans="1:6" x14ac:dyDescent="0.2">
      <c r="A292" t="s">
        <v>33</v>
      </c>
      <c r="B292" t="s">
        <v>88</v>
      </c>
      <c r="C292" s="44" t="s">
        <v>194</v>
      </c>
      <c r="D292" s="78">
        <v>89.968465587044534</v>
      </c>
      <c r="E292" s="78">
        <v>93.302380255372157</v>
      </c>
      <c r="F292" s="78">
        <v>94.135858922454076</v>
      </c>
    </row>
    <row r="293" spans="1:6" x14ac:dyDescent="0.2">
      <c r="A293" t="s">
        <v>40</v>
      </c>
      <c r="B293" t="s">
        <v>88</v>
      </c>
      <c r="C293" s="44" t="s">
        <v>194</v>
      </c>
      <c r="D293" s="78">
        <v>137.46008653846152</v>
      </c>
      <c r="E293" s="78">
        <v>142.55387352071006</v>
      </c>
      <c r="F293" s="78">
        <v>143.82732026627218</v>
      </c>
    </row>
    <row r="294" spans="1:6" x14ac:dyDescent="0.2">
      <c r="A294" t="s">
        <v>47</v>
      </c>
      <c r="B294" t="s">
        <v>88</v>
      </c>
      <c r="C294" s="44" t="s">
        <v>194</v>
      </c>
      <c r="D294" s="78">
        <v>79.815371457489888</v>
      </c>
      <c r="E294" s="78">
        <v>82.773048193709116</v>
      </c>
      <c r="F294" s="78">
        <v>83.512467377763954</v>
      </c>
    </row>
    <row r="295" spans="1:6" x14ac:dyDescent="0.2">
      <c r="A295" t="s">
        <v>50</v>
      </c>
      <c r="B295" t="s">
        <v>88</v>
      </c>
      <c r="C295" s="44" t="s">
        <v>194</v>
      </c>
      <c r="D295" s="78">
        <v>109.39851771255063</v>
      </c>
      <c r="E295" s="78">
        <v>113.45244172376208</v>
      </c>
      <c r="F295" s="78">
        <v>114.46592272656495</v>
      </c>
    </row>
    <row r="296" spans="1:6" x14ac:dyDescent="0.2">
      <c r="A296" t="s">
        <v>55</v>
      </c>
      <c r="B296" t="s">
        <v>88</v>
      </c>
      <c r="C296" s="44" t="s">
        <v>194</v>
      </c>
      <c r="D296" s="78">
        <v>411.30697165991904</v>
      </c>
      <c r="E296" s="78">
        <v>424.62587542821552</v>
      </c>
      <c r="F296" s="78">
        <v>427.95560137028968</v>
      </c>
    </row>
    <row r="297" spans="1:6" x14ac:dyDescent="0.2">
      <c r="A297" t="s">
        <v>33</v>
      </c>
      <c r="B297" t="s">
        <v>96</v>
      </c>
      <c r="C297" s="44" t="s">
        <v>194</v>
      </c>
      <c r="D297" s="44">
        <v>94.021038761133596</v>
      </c>
      <c r="E297" s="44">
        <v>97.300638784490801</v>
      </c>
      <c r="F297" s="44">
        <v>98.12053879033013</v>
      </c>
    </row>
    <row r="298" spans="1:6" x14ac:dyDescent="0.2">
      <c r="A298" t="s">
        <v>40</v>
      </c>
      <c r="B298" t="s">
        <v>96</v>
      </c>
      <c r="C298" s="44" t="s">
        <v>194</v>
      </c>
      <c r="D298" s="44">
        <v>127.12689803441296</v>
      </c>
      <c r="E298" s="44">
        <v>132.0926584531299</v>
      </c>
      <c r="F298" s="44">
        <v>132.76980760113673</v>
      </c>
    </row>
    <row r="299" spans="1:6" x14ac:dyDescent="0.2">
      <c r="A299" t="s">
        <v>47</v>
      </c>
      <c r="B299" t="s">
        <v>96</v>
      </c>
      <c r="C299" s="44" t="s">
        <v>194</v>
      </c>
      <c r="D299" s="44">
        <v>78.256610655870432</v>
      </c>
      <c r="E299" s="44">
        <v>80.985239867953894</v>
      </c>
      <c r="F299" s="44">
        <v>81.667397170974766</v>
      </c>
    </row>
    <row r="300" spans="1:6" x14ac:dyDescent="0.2">
      <c r="A300" t="s">
        <v>50</v>
      </c>
      <c r="B300" t="s">
        <v>96</v>
      </c>
      <c r="C300" s="44" t="s">
        <v>194</v>
      </c>
      <c r="D300" s="44">
        <v>115.60961209514171</v>
      </c>
      <c r="E300" s="44">
        <v>119.71436081049517</v>
      </c>
      <c r="F300" s="44">
        <v>120.74054798933355</v>
      </c>
    </row>
    <row r="301" spans="1:6" x14ac:dyDescent="0.2">
      <c r="A301" t="s">
        <v>55</v>
      </c>
      <c r="B301" t="s">
        <v>96</v>
      </c>
      <c r="C301" s="44" t="s">
        <v>194</v>
      </c>
      <c r="D301" s="44">
        <v>371.86061529554649</v>
      </c>
      <c r="E301" s="44">
        <v>384.46098380769229</v>
      </c>
      <c r="F301" s="44">
        <v>386.17921587753034</v>
      </c>
    </row>
    <row r="302" spans="1:6" x14ac:dyDescent="0.2">
      <c r="A302" t="s">
        <v>33</v>
      </c>
      <c r="B302" t="s">
        <v>32</v>
      </c>
      <c r="C302" s="44" t="s">
        <v>195</v>
      </c>
      <c r="D302" s="78">
        <v>113.80530703052007</v>
      </c>
      <c r="E302" s="78">
        <v>122.86300128464651</v>
      </c>
      <c r="F302" s="78">
        <v>124.15695760666459</v>
      </c>
    </row>
    <row r="303" spans="1:6" x14ac:dyDescent="0.2">
      <c r="A303" t="s">
        <v>40</v>
      </c>
      <c r="B303" t="s">
        <v>32</v>
      </c>
      <c r="C303" s="44" t="s">
        <v>195</v>
      </c>
      <c r="D303" s="78">
        <v>123.07662672064778</v>
      </c>
      <c r="E303" s="78">
        <v>132.9668190283401</v>
      </c>
      <c r="F303" s="78">
        <v>134.37970364372472</v>
      </c>
    </row>
    <row r="304" spans="1:6" x14ac:dyDescent="0.2">
      <c r="A304" t="s">
        <v>47</v>
      </c>
      <c r="B304" t="s">
        <v>32</v>
      </c>
      <c r="C304" s="44" t="s">
        <v>195</v>
      </c>
      <c r="D304" s="78">
        <v>92.967943456088449</v>
      </c>
      <c r="E304" s="78">
        <v>100.3672047843351</v>
      </c>
      <c r="F304" s="78">
        <v>101.42424211694176</v>
      </c>
    </row>
    <row r="305" spans="1:6" x14ac:dyDescent="0.2">
      <c r="A305" t="s">
        <v>50</v>
      </c>
      <c r="B305" t="s">
        <v>32</v>
      </c>
      <c r="C305" s="44" t="s">
        <v>195</v>
      </c>
      <c r="D305" s="78">
        <v>122.064277600436</v>
      </c>
      <c r="E305" s="78">
        <v>131.77929823263781</v>
      </c>
      <c r="F305" s="78">
        <v>133.16715832295233</v>
      </c>
    </row>
    <row r="306" spans="1:6" x14ac:dyDescent="0.2">
      <c r="A306" t="s">
        <v>55</v>
      </c>
      <c r="B306" t="s">
        <v>32</v>
      </c>
      <c r="C306" s="44" t="s">
        <v>195</v>
      </c>
      <c r="D306" s="78">
        <v>369.68238810728747</v>
      </c>
      <c r="E306" s="78">
        <v>397.93711229757093</v>
      </c>
      <c r="F306" s="78">
        <v>401.97350146761136</v>
      </c>
    </row>
    <row r="307" spans="1:6" x14ac:dyDescent="0.2">
      <c r="A307" t="s">
        <v>33</v>
      </c>
      <c r="B307" t="s">
        <v>62</v>
      </c>
      <c r="C307" s="44" t="s">
        <v>195</v>
      </c>
      <c r="D307" s="78">
        <v>93.078790057614455</v>
      </c>
      <c r="E307" s="78">
        <v>93.078790057614455</v>
      </c>
      <c r="F307" s="78">
        <v>101.54517124727499</v>
      </c>
    </row>
    <row r="308" spans="1:6" x14ac:dyDescent="0.2">
      <c r="A308" t="s">
        <v>40</v>
      </c>
      <c r="B308" t="s">
        <v>62</v>
      </c>
      <c r="C308" s="44" t="s">
        <v>195</v>
      </c>
      <c r="D308" s="78">
        <v>125.92719767985052</v>
      </c>
      <c r="E308" s="78">
        <v>125.92719767985052</v>
      </c>
      <c r="F308" s="78">
        <v>137.49206454375582</v>
      </c>
    </row>
    <row r="309" spans="1:6" x14ac:dyDescent="0.2">
      <c r="A309" t="s">
        <v>47</v>
      </c>
      <c r="B309" t="s">
        <v>62</v>
      </c>
      <c r="C309" s="44" t="s">
        <v>195</v>
      </c>
      <c r="D309" s="78">
        <v>75.94370297415135</v>
      </c>
      <c r="E309" s="78">
        <v>75.94370297415135</v>
      </c>
      <c r="F309" s="78">
        <v>82.85148871068202</v>
      </c>
    </row>
    <row r="310" spans="1:6" x14ac:dyDescent="0.2">
      <c r="A310" t="s">
        <v>50</v>
      </c>
      <c r="B310" t="s">
        <v>62</v>
      </c>
      <c r="C310" s="44" t="s">
        <v>195</v>
      </c>
      <c r="D310" s="78">
        <v>109.75311478122079</v>
      </c>
      <c r="E310" s="78">
        <v>109.75311478122079</v>
      </c>
      <c r="F310" s="78">
        <v>119.73618080426657</v>
      </c>
    </row>
    <row r="311" spans="1:6" x14ac:dyDescent="0.2">
      <c r="A311" t="s">
        <v>55</v>
      </c>
      <c r="B311" t="s">
        <v>62</v>
      </c>
      <c r="C311" s="44" t="s">
        <v>195</v>
      </c>
      <c r="D311" s="78">
        <v>401.39794754360014</v>
      </c>
      <c r="E311" s="78">
        <v>426.32967137865938</v>
      </c>
      <c r="F311" s="78">
        <v>429.89134621223917</v>
      </c>
    </row>
    <row r="312" spans="1:6" x14ac:dyDescent="0.2">
      <c r="A312" t="s">
        <v>33</v>
      </c>
      <c r="B312" t="s">
        <v>74</v>
      </c>
      <c r="C312" s="44" t="s">
        <v>195</v>
      </c>
      <c r="D312" s="78">
        <v>93.036320829959507</v>
      </c>
      <c r="E312" s="78">
        <v>93.036320829959507</v>
      </c>
      <c r="F312" s="78">
        <v>101.49883904858298</v>
      </c>
    </row>
    <row r="313" spans="1:6" x14ac:dyDescent="0.2">
      <c r="A313" t="s">
        <v>40</v>
      </c>
      <c r="B313" t="s">
        <v>74</v>
      </c>
      <c r="C313" s="44" t="s">
        <v>195</v>
      </c>
      <c r="D313" s="78">
        <v>123.30897109311742</v>
      </c>
      <c r="E313" s="78">
        <v>133.12305611336032</v>
      </c>
      <c r="F313" s="78">
        <v>134.5250682591093</v>
      </c>
    </row>
    <row r="314" spans="1:6" x14ac:dyDescent="0.2">
      <c r="A314" t="s">
        <v>47</v>
      </c>
      <c r="B314" t="s">
        <v>74</v>
      </c>
      <c r="C314" s="44" t="s">
        <v>195</v>
      </c>
      <c r="D314" s="78">
        <v>69.435605404858308</v>
      </c>
      <c r="E314" s="78">
        <v>69.435605404858308</v>
      </c>
      <c r="F314" s="78">
        <v>75.751419170040478</v>
      </c>
    </row>
    <row r="315" spans="1:6" x14ac:dyDescent="0.2">
      <c r="A315" t="s">
        <v>50</v>
      </c>
      <c r="B315" t="s">
        <v>74</v>
      </c>
      <c r="C315" s="44" t="s">
        <v>195</v>
      </c>
      <c r="D315" s="78">
        <v>108.37142687246961</v>
      </c>
      <c r="E315" s="78">
        <v>116.99664195344128</v>
      </c>
      <c r="F315" s="78">
        <v>118.22881553643724</v>
      </c>
    </row>
    <row r="316" spans="1:6" x14ac:dyDescent="0.2">
      <c r="A316" t="s">
        <v>55</v>
      </c>
      <c r="B316" t="s">
        <v>74</v>
      </c>
      <c r="C316" s="44" t="s">
        <v>195</v>
      </c>
      <c r="D316" s="78">
        <v>292.07790232793525</v>
      </c>
      <c r="E316" s="78">
        <v>312.51377973178137</v>
      </c>
      <c r="F316" s="78">
        <v>315.43319078947371</v>
      </c>
    </row>
    <row r="317" spans="1:6" x14ac:dyDescent="0.2">
      <c r="A317" t="s">
        <v>33</v>
      </c>
      <c r="B317" t="s">
        <v>82</v>
      </c>
      <c r="C317" s="44" t="s">
        <v>195</v>
      </c>
      <c r="D317" s="78">
        <v>85.042878698224854</v>
      </c>
      <c r="E317" s="78">
        <v>85.042878698224854</v>
      </c>
      <c r="F317" s="78">
        <v>92.694264559327294</v>
      </c>
    </row>
    <row r="318" spans="1:6" x14ac:dyDescent="0.2">
      <c r="A318" t="s">
        <v>40</v>
      </c>
      <c r="B318" t="s">
        <v>82</v>
      </c>
      <c r="C318" s="44" t="s">
        <v>195</v>
      </c>
      <c r="D318" s="78">
        <v>125.91531612036746</v>
      </c>
      <c r="E318" s="78">
        <v>125.91531612036746</v>
      </c>
      <c r="F318" s="78">
        <v>137.28443010355028</v>
      </c>
    </row>
    <row r="319" spans="1:6" x14ac:dyDescent="0.2">
      <c r="A319" t="s">
        <v>47</v>
      </c>
      <c r="B319" t="s">
        <v>82</v>
      </c>
      <c r="C319" s="44" t="s">
        <v>195</v>
      </c>
      <c r="D319" s="78">
        <v>77.38128143491123</v>
      </c>
      <c r="E319" s="78">
        <v>77.38128143491123</v>
      </c>
      <c r="F319" s="78">
        <v>84.335773804889442</v>
      </c>
    </row>
    <row r="320" spans="1:6" x14ac:dyDescent="0.2">
      <c r="A320" t="s">
        <v>50</v>
      </c>
      <c r="B320" t="s">
        <v>82</v>
      </c>
      <c r="C320" s="44" t="s">
        <v>195</v>
      </c>
      <c r="D320" s="78">
        <v>125.91531612036746</v>
      </c>
      <c r="E320" s="78">
        <v>125.91531612036746</v>
      </c>
      <c r="F320" s="78">
        <v>137.28443010355028</v>
      </c>
    </row>
    <row r="321" spans="1:6" x14ac:dyDescent="0.2">
      <c r="A321" t="s">
        <v>55</v>
      </c>
      <c r="B321" t="s">
        <v>82</v>
      </c>
      <c r="C321" s="44" t="s">
        <v>195</v>
      </c>
      <c r="D321" s="78">
        <v>338.52626455932733</v>
      </c>
      <c r="E321" s="78">
        <v>338.52626455932733</v>
      </c>
      <c r="F321" s="78">
        <v>363.13286686390529</v>
      </c>
    </row>
    <row r="322" spans="1:6" x14ac:dyDescent="0.2">
      <c r="A322" t="s">
        <v>33</v>
      </c>
      <c r="B322" t="s">
        <v>88</v>
      </c>
      <c r="C322" s="44" t="s">
        <v>195</v>
      </c>
      <c r="D322" s="78">
        <v>85.523246029274375</v>
      </c>
      <c r="E322" s="78">
        <v>93.302380255372157</v>
      </c>
      <c r="F322" s="78">
        <v>93.302380255372157</v>
      </c>
    </row>
    <row r="323" spans="1:6" x14ac:dyDescent="0.2">
      <c r="A323" t="s">
        <v>40</v>
      </c>
      <c r="B323" t="s">
        <v>88</v>
      </c>
      <c r="C323" s="44" t="s">
        <v>195</v>
      </c>
      <c r="D323" s="78">
        <v>130.66837056213015</v>
      </c>
      <c r="E323" s="78">
        <v>142.55387352071006</v>
      </c>
      <c r="F323" s="78">
        <v>142.55387352071006</v>
      </c>
    </row>
    <row r="324" spans="1:6" x14ac:dyDescent="0.2">
      <c r="A324" t="s">
        <v>47</v>
      </c>
      <c r="B324" t="s">
        <v>88</v>
      </c>
      <c r="C324" s="44" t="s">
        <v>195</v>
      </c>
      <c r="D324" s="78">
        <v>75.871802475864229</v>
      </c>
      <c r="E324" s="78">
        <v>82.773048193709116</v>
      </c>
      <c r="F324" s="78">
        <v>82.773048193709116</v>
      </c>
    </row>
    <row r="325" spans="1:6" x14ac:dyDescent="0.2">
      <c r="A325" t="s">
        <v>50</v>
      </c>
      <c r="B325" t="s">
        <v>88</v>
      </c>
      <c r="C325" s="44" t="s">
        <v>195</v>
      </c>
      <c r="D325" s="78">
        <v>103.993285697602</v>
      </c>
      <c r="E325" s="78">
        <v>113.45244172376208</v>
      </c>
      <c r="F325" s="78">
        <v>113.45244172376208</v>
      </c>
    </row>
    <row r="326" spans="1:6" x14ac:dyDescent="0.2">
      <c r="A326" t="s">
        <v>55</v>
      </c>
      <c r="B326" t="s">
        <v>88</v>
      </c>
      <c r="C326" s="44" t="s">
        <v>195</v>
      </c>
      <c r="D326" s="78">
        <v>424.62587542821552</v>
      </c>
      <c r="E326" s="78">
        <v>424.62587542821552</v>
      </c>
      <c r="F326" s="78">
        <v>461.91880597944555</v>
      </c>
    </row>
    <row r="327" spans="1:6" x14ac:dyDescent="0.2">
      <c r="A327" t="s">
        <v>33</v>
      </c>
      <c r="B327" t="s">
        <v>96</v>
      </c>
      <c r="C327" s="44" t="s">
        <v>195</v>
      </c>
      <c r="D327" s="44">
        <v>60.351269697913423</v>
      </c>
      <c r="E327" s="44">
        <v>97.300638784490801</v>
      </c>
      <c r="F327" s="44">
        <v>136.88777491435687</v>
      </c>
    </row>
    <row r="328" spans="1:6" x14ac:dyDescent="0.2">
      <c r="A328" t="s">
        <v>40</v>
      </c>
      <c r="B328" t="s">
        <v>96</v>
      </c>
      <c r="C328" s="44" t="s">
        <v>195</v>
      </c>
      <c r="D328" s="44">
        <v>77.461777327935238</v>
      </c>
      <c r="E328" s="44">
        <v>132.0926584531299</v>
      </c>
      <c r="F328" s="44">
        <v>180.17382105263161</v>
      </c>
    </row>
    <row r="329" spans="1:6" x14ac:dyDescent="0.2">
      <c r="A329" t="s">
        <v>47</v>
      </c>
      <c r="B329" t="s">
        <v>96</v>
      </c>
      <c r="C329" s="44" t="s">
        <v>195</v>
      </c>
      <c r="D329" s="44">
        <v>59.300413889753969</v>
      </c>
      <c r="E329" s="44">
        <v>80.985239867953894</v>
      </c>
      <c r="F329" s="44">
        <v>113.52358221737778</v>
      </c>
    </row>
    <row r="330" spans="1:6" x14ac:dyDescent="0.2">
      <c r="A330" t="s">
        <v>50</v>
      </c>
      <c r="B330" t="s">
        <v>96</v>
      </c>
      <c r="C330" s="44" t="s">
        <v>195</v>
      </c>
      <c r="D330" s="44">
        <v>83.365456166303332</v>
      </c>
      <c r="E330" s="44">
        <v>119.71436081049517</v>
      </c>
      <c r="F330" s="44">
        <v>175.81215540330115</v>
      </c>
    </row>
    <row r="331" spans="1:6" x14ac:dyDescent="0.2">
      <c r="A331" t="s">
        <v>55</v>
      </c>
      <c r="B331" t="s">
        <v>96</v>
      </c>
      <c r="C331" s="44" t="s">
        <v>195</v>
      </c>
      <c r="D331" s="44">
        <v>263.33641467611341</v>
      </c>
      <c r="E331" s="44">
        <v>384.46098380769229</v>
      </c>
      <c r="F331" s="44">
        <v>551.42819559716588</v>
      </c>
    </row>
  </sheetData>
  <sortState xmlns:xlrd2="http://schemas.microsoft.com/office/spreadsheetml/2017/richdata2" ref="A2:F332">
    <sortCondition ref="C2:C332"/>
    <sortCondition ref="A2:A332"/>
    <sortCondition ref="B2:B332"/>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BA63D-D085-C34B-B749-E046A8ABD30E}">
  <dimension ref="A1:BG301"/>
  <sheetViews>
    <sheetView workbookViewId="0">
      <selection activeCell="F1" sqref="A1:F1048576"/>
    </sheetView>
  </sheetViews>
  <sheetFormatPr baseColWidth="10" defaultColWidth="11" defaultRowHeight="16" x14ac:dyDescent="0.2"/>
  <cols>
    <col min="10" max="10" width="19.83203125" customWidth="1"/>
  </cols>
  <sheetData>
    <row r="1" spans="1:59" x14ac:dyDescent="0.2">
      <c r="A1" t="s">
        <v>6</v>
      </c>
      <c r="B1" t="s">
        <v>197</v>
      </c>
      <c r="C1" t="s">
        <v>5</v>
      </c>
      <c r="D1" s="44" t="s">
        <v>29</v>
      </c>
      <c r="E1" s="44" t="s">
        <v>56</v>
      </c>
      <c r="F1" s="44" t="s">
        <v>31</v>
      </c>
      <c r="I1" t="s">
        <v>6</v>
      </c>
      <c r="J1" t="s">
        <v>197</v>
      </c>
      <c r="K1" t="s">
        <v>5</v>
      </c>
      <c r="L1" t="s">
        <v>200</v>
      </c>
      <c r="O1" t="s">
        <v>6</v>
      </c>
      <c r="P1" t="s">
        <v>197</v>
      </c>
      <c r="Q1" t="s">
        <v>5</v>
      </c>
      <c r="R1" t="s">
        <v>200</v>
      </c>
      <c r="V1" s="90" t="s">
        <v>5</v>
      </c>
      <c r="W1" s="90"/>
      <c r="X1" s="90"/>
      <c r="Y1" s="90"/>
      <c r="Z1" s="90"/>
      <c r="AA1" s="90"/>
      <c r="BD1" t="s">
        <v>51</v>
      </c>
      <c r="BE1" t="s">
        <v>34</v>
      </c>
      <c r="BF1" t="s">
        <v>41</v>
      </c>
      <c r="BG1" t="s">
        <v>201</v>
      </c>
    </row>
    <row r="2" spans="1:59" x14ac:dyDescent="0.2">
      <c r="A2" t="s">
        <v>47</v>
      </c>
      <c r="B2" s="44" t="s">
        <v>194</v>
      </c>
      <c r="C2" t="s">
        <v>96</v>
      </c>
      <c r="D2" s="44">
        <v>59.300413889753969</v>
      </c>
      <c r="E2" s="44">
        <v>80.985239867953894</v>
      </c>
      <c r="F2" s="44">
        <v>113.52358221737778</v>
      </c>
      <c r="I2" t="str">
        <f t="shared" ref="I2:J2" si="0">A2</f>
        <v>Admin staff</v>
      </c>
      <c r="J2" t="str">
        <f t="shared" si="0"/>
        <v>Annual Leave</v>
      </c>
      <c r="K2" t="str">
        <f>C2</f>
        <v>ALL</v>
      </c>
      <c r="L2" t="str">
        <f>TEXT(E2, "0,0") &amp; " (" &amp; TEXT(D2, "0,0") &amp; " - " &amp; TEXT(F2, "0,0") &amp; ")"</f>
        <v>81 (59 - 114)</v>
      </c>
      <c r="O2" t="s">
        <v>47</v>
      </c>
      <c r="P2" t="s">
        <v>194</v>
      </c>
      <c r="Q2" t="s">
        <v>96</v>
      </c>
      <c r="R2" t="s">
        <v>202</v>
      </c>
      <c r="T2" s="91" t="s">
        <v>203</v>
      </c>
      <c r="U2" t="s">
        <v>197</v>
      </c>
      <c r="V2" t="s">
        <v>74</v>
      </c>
      <c r="W2" t="s">
        <v>82</v>
      </c>
      <c r="X2" t="s">
        <v>62</v>
      </c>
      <c r="Y2" t="s">
        <v>32</v>
      </c>
      <c r="Z2" t="s">
        <v>88</v>
      </c>
      <c r="AA2" t="s">
        <v>96</v>
      </c>
      <c r="BA2" t="s">
        <v>47</v>
      </c>
      <c r="BB2" t="s">
        <v>74</v>
      </c>
      <c r="BC2" s="44">
        <v>69.435605404858308</v>
      </c>
      <c r="BD2" s="81">
        <f>$BC9/$BC2</f>
        <v>1.6849661102725144</v>
      </c>
      <c r="BE2" s="81">
        <f>$BC16/$BC2</f>
        <v>1.3398935645119312</v>
      </c>
      <c r="BF2" s="81">
        <f>$BC23/$BC2</f>
        <v>1.9172160354498169</v>
      </c>
      <c r="BG2" s="81">
        <f>$BC30/$BC2</f>
        <v>4.5007712960750714</v>
      </c>
    </row>
    <row r="3" spans="1:59" x14ac:dyDescent="0.2">
      <c r="A3" t="s">
        <v>47</v>
      </c>
      <c r="B3" s="44" t="s">
        <v>194</v>
      </c>
      <c r="C3" t="s">
        <v>74</v>
      </c>
      <c r="D3" s="44">
        <v>57.737442267206475</v>
      </c>
      <c r="E3" s="44">
        <v>69.435605404858308</v>
      </c>
      <c r="F3" s="44">
        <v>81.133768542510111</v>
      </c>
      <c r="I3" t="str">
        <f t="shared" ref="I3:I66" si="1">A3</f>
        <v>Admin staff</v>
      </c>
      <c r="J3" t="str">
        <f t="shared" ref="J3:J66" si="2">B3</f>
        <v>Annual Leave</v>
      </c>
      <c r="K3" t="str">
        <f t="shared" ref="K3:K66" si="3">C3</f>
        <v>NSW</v>
      </c>
      <c r="L3" t="str">
        <f t="shared" ref="L3:L66" si="4">TEXT(E3, "0,0") &amp; " (" &amp; TEXT(D3, "0,0") &amp; " - " &amp; TEXT(F3, "0,0") &amp; ")"</f>
        <v>69 (58 - 81)</v>
      </c>
      <c r="O3" t="s">
        <v>47</v>
      </c>
      <c r="P3" t="s">
        <v>194</v>
      </c>
      <c r="Q3" t="s">
        <v>74</v>
      </c>
      <c r="R3" t="s">
        <v>204</v>
      </c>
      <c r="T3" s="91"/>
      <c r="V3" s="90" t="s">
        <v>200</v>
      </c>
      <c r="W3" s="90"/>
      <c r="X3" s="90"/>
      <c r="Y3" s="90"/>
      <c r="Z3" s="90"/>
      <c r="AA3" s="90"/>
      <c r="AH3" t="s">
        <v>47</v>
      </c>
      <c r="AI3" t="s">
        <v>96</v>
      </c>
      <c r="AJ3" s="44" t="s">
        <v>10</v>
      </c>
      <c r="AK3" s="44">
        <v>57.737442267206475</v>
      </c>
      <c r="AL3" s="44">
        <v>81.180168558393035</v>
      </c>
      <c r="AM3" s="44">
        <v>118.32334864528184</v>
      </c>
      <c r="AP3" s="44" t="str">
        <f t="shared" ref="AP3:AQ3" si="5">AH3</f>
        <v>Admin staff</v>
      </c>
      <c r="AQ3" s="44" t="str">
        <f t="shared" si="5"/>
        <v>ALL</v>
      </c>
      <c r="AR3" s="44" t="str">
        <f>AJ3</f>
        <v>Base Salary</v>
      </c>
      <c r="AS3" t="str">
        <f>TEXT(AL3, "0,0") &amp; " (" &amp; TEXT(AK3, "0,0") &amp; " - " &amp; TEXT(AM3, "0,0") &amp; ")"</f>
        <v>81 (58 - 118)</v>
      </c>
      <c r="BB3" t="s">
        <v>82</v>
      </c>
      <c r="BC3" s="44">
        <v>77.38128143491123</v>
      </c>
      <c r="BD3" s="81">
        <f>BC10/$BC3</f>
        <v>1.6272063965014631</v>
      </c>
      <c r="BE3" s="81">
        <f>BC17/$BC3</f>
        <v>1.0990109897541323</v>
      </c>
      <c r="BF3" s="81">
        <f>BC24/$BC3</f>
        <v>1.6272063965014631</v>
      </c>
      <c r="BG3" s="81">
        <f>BC31/$BC3</f>
        <v>4.3747823541029947</v>
      </c>
    </row>
    <row r="4" spans="1:59" x14ac:dyDescent="0.2">
      <c r="A4" t="s">
        <v>47</v>
      </c>
      <c r="B4" s="44" t="s">
        <v>194</v>
      </c>
      <c r="C4" t="s">
        <v>82</v>
      </c>
      <c r="D4" s="44">
        <v>58.089778573653071</v>
      </c>
      <c r="E4" s="44">
        <v>77.38128143491123</v>
      </c>
      <c r="F4" s="44">
        <v>96.672784296169425</v>
      </c>
      <c r="I4" t="str">
        <f t="shared" si="1"/>
        <v>Admin staff</v>
      </c>
      <c r="J4" t="str">
        <f t="shared" si="2"/>
        <v>Annual Leave</v>
      </c>
      <c r="K4" t="str">
        <f t="shared" si="3"/>
        <v>QLD</v>
      </c>
      <c r="L4" t="str">
        <f t="shared" si="4"/>
        <v>77 (58 - 97)</v>
      </c>
      <c r="O4" t="s">
        <v>47</v>
      </c>
      <c r="P4" t="s">
        <v>194</v>
      </c>
      <c r="Q4" t="s">
        <v>82</v>
      </c>
      <c r="R4" t="s">
        <v>205</v>
      </c>
      <c r="T4" s="80" t="s">
        <v>47</v>
      </c>
      <c r="U4" t="s">
        <v>194</v>
      </c>
      <c r="V4" t="s">
        <v>204</v>
      </c>
      <c r="W4" t="s">
        <v>205</v>
      </c>
      <c r="X4" t="s">
        <v>206</v>
      </c>
      <c r="Y4" t="s">
        <v>207</v>
      </c>
      <c r="Z4" t="s">
        <v>208</v>
      </c>
      <c r="AA4" t="s">
        <v>202</v>
      </c>
      <c r="AH4" t="s">
        <v>47</v>
      </c>
      <c r="AI4" t="s">
        <v>74</v>
      </c>
      <c r="AJ4" s="44" t="s">
        <v>10</v>
      </c>
      <c r="AK4" s="44">
        <v>57.737442267206475</v>
      </c>
      <c r="AL4" s="44">
        <v>69.435605404858308</v>
      </c>
      <c r="AM4" s="44">
        <v>81.133768542510111</v>
      </c>
      <c r="AP4" s="44" t="str">
        <f t="shared" ref="AP4:AP32" si="6">AH4</f>
        <v>Admin staff</v>
      </c>
      <c r="AQ4" s="44" t="str">
        <f t="shared" ref="AQ4:AQ32" si="7">AI4</f>
        <v>NSW</v>
      </c>
      <c r="AR4" s="44" t="str">
        <f t="shared" ref="AR4:AR32" si="8">AJ4</f>
        <v>Base Salary</v>
      </c>
      <c r="AS4" t="str">
        <f t="shared" ref="AS4:AS32" si="9">TEXT(AL4, "0,0") &amp; " (" &amp; TEXT(AK4, "0,0") &amp; " - " &amp; TEXT(AM4, "0,0") &amp; ")"</f>
        <v>69 (58 - 81)</v>
      </c>
      <c r="BB4" t="s">
        <v>62</v>
      </c>
      <c r="BC4" s="44">
        <v>75.94370297415135</v>
      </c>
      <c r="BD4" s="81">
        <f>BC11/$BC4</f>
        <v>1.4451904566541482</v>
      </c>
      <c r="BE4" s="81">
        <f>BC18/$BC4</f>
        <v>1.2256288067661818</v>
      </c>
      <c r="BF4" s="81">
        <f>BC25/$BC4</f>
        <v>1.6581650979372424</v>
      </c>
      <c r="BG4" s="81">
        <f>BC32/$BC4</f>
        <v>5.6137593333283666</v>
      </c>
    </row>
    <row r="5" spans="1:59" x14ac:dyDescent="0.2">
      <c r="A5" t="s">
        <v>47</v>
      </c>
      <c r="B5" s="44" t="s">
        <v>194</v>
      </c>
      <c r="C5" t="s">
        <v>62</v>
      </c>
      <c r="D5" s="44">
        <v>68.20481267517907</v>
      </c>
      <c r="E5" s="44">
        <v>75.94370297415135</v>
      </c>
      <c r="F5" s="44">
        <v>83.682593273123629</v>
      </c>
      <c r="I5" t="str">
        <f t="shared" si="1"/>
        <v>Admin staff</v>
      </c>
      <c r="J5" t="str">
        <f t="shared" si="2"/>
        <v>Annual Leave</v>
      </c>
      <c r="K5" t="str">
        <f t="shared" si="3"/>
        <v>SA</v>
      </c>
      <c r="L5" t="str">
        <f t="shared" si="4"/>
        <v>76 (68 - 84)</v>
      </c>
      <c r="O5" t="s">
        <v>47</v>
      </c>
      <c r="P5" t="s">
        <v>194</v>
      </c>
      <c r="Q5" t="s">
        <v>62</v>
      </c>
      <c r="R5" t="s">
        <v>206</v>
      </c>
      <c r="T5" s="80"/>
      <c r="U5" t="s">
        <v>191</v>
      </c>
      <c r="V5" t="s">
        <v>204</v>
      </c>
      <c r="W5" t="s">
        <v>205</v>
      </c>
      <c r="X5" t="s">
        <v>206</v>
      </c>
      <c r="Y5" t="s">
        <v>207</v>
      </c>
      <c r="Z5" t="s">
        <v>208</v>
      </c>
      <c r="AA5" t="s">
        <v>202</v>
      </c>
      <c r="AH5" t="s">
        <v>47</v>
      </c>
      <c r="AI5" t="s">
        <v>82</v>
      </c>
      <c r="AJ5" s="44" t="s">
        <v>10</v>
      </c>
      <c r="AK5" s="44">
        <v>58.089778573653071</v>
      </c>
      <c r="AL5" s="44">
        <v>77.38128143491123</v>
      </c>
      <c r="AM5" s="44">
        <v>96.672784296169425</v>
      </c>
      <c r="AP5" s="44" t="str">
        <f t="shared" si="6"/>
        <v>Admin staff</v>
      </c>
      <c r="AQ5" s="44" t="str">
        <f t="shared" si="7"/>
        <v>QLD</v>
      </c>
      <c r="AR5" s="44" t="str">
        <f t="shared" si="8"/>
        <v>Base Salary</v>
      </c>
      <c r="AS5" t="str">
        <f t="shared" si="9"/>
        <v>77 (58 - 97)</v>
      </c>
      <c r="BB5" t="s">
        <v>32</v>
      </c>
      <c r="BC5" s="44">
        <v>100.3672047843351</v>
      </c>
      <c r="BD5" s="81">
        <f>BC12/$BC5</f>
        <v>1.312971687473012</v>
      </c>
      <c r="BE5" s="81">
        <f>BC19/$BC5</f>
        <v>1.2241349308137996</v>
      </c>
      <c r="BF5" s="81">
        <f>BC26/$BC5</f>
        <v>1.3248034486369695</v>
      </c>
      <c r="BG5" s="81">
        <f>BC33/$BC5</f>
        <v>3.9648121430963603</v>
      </c>
    </row>
    <row r="6" spans="1:59" x14ac:dyDescent="0.2">
      <c r="A6" t="s">
        <v>47</v>
      </c>
      <c r="B6" s="44" t="s">
        <v>194</v>
      </c>
      <c r="C6" t="s">
        <v>32</v>
      </c>
      <c r="D6" s="44">
        <v>82.411060923388348</v>
      </c>
      <c r="E6" s="44">
        <v>100.3672047843351</v>
      </c>
      <c r="F6" s="44">
        <v>118.32334864528184</v>
      </c>
      <c r="I6" t="str">
        <f t="shared" si="1"/>
        <v>Admin staff</v>
      </c>
      <c r="J6" t="str">
        <f t="shared" si="2"/>
        <v>Annual Leave</v>
      </c>
      <c r="K6" t="str">
        <f t="shared" si="3"/>
        <v>VIC</v>
      </c>
      <c r="L6" t="str">
        <f t="shared" si="4"/>
        <v>100 (82 - 118)</v>
      </c>
      <c r="O6" t="s">
        <v>47</v>
      </c>
      <c r="P6" t="s">
        <v>194</v>
      </c>
      <c r="Q6" t="s">
        <v>32</v>
      </c>
      <c r="R6" t="s">
        <v>207</v>
      </c>
      <c r="T6" s="80"/>
      <c r="U6" t="s">
        <v>188</v>
      </c>
      <c r="V6" t="s">
        <v>209</v>
      </c>
      <c r="W6" t="s">
        <v>210</v>
      </c>
      <c r="X6" t="s">
        <v>211</v>
      </c>
      <c r="Y6" t="s">
        <v>212</v>
      </c>
      <c r="Z6" t="s">
        <v>213</v>
      </c>
      <c r="AA6" t="s">
        <v>214</v>
      </c>
      <c r="AH6" t="s">
        <v>47</v>
      </c>
      <c r="AI6" t="s">
        <v>62</v>
      </c>
      <c r="AJ6" s="44" t="s">
        <v>10</v>
      </c>
      <c r="AK6" s="44">
        <v>68.20481267517907</v>
      </c>
      <c r="AL6" s="44">
        <v>75.94370297415135</v>
      </c>
      <c r="AM6" s="44">
        <v>83.682593273123629</v>
      </c>
      <c r="AP6" s="44" t="str">
        <f t="shared" si="6"/>
        <v>Admin staff</v>
      </c>
      <c r="AQ6" s="44" t="str">
        <f t="shared" si="7"/>
        <v>SA</v>
      </c>
      <c r="AR6" s="44" t="str">
        <f t="shared" si="8"/>
        <v>Base Salary</v>
      </c>
      <c r="AS6" t="str">
        <f t="shared" si="9"/>
        <v>76 (68 - 84)</v>
      </c>
      <c r="BB6" t="s">
        <v>88</v>
      </c>
      <c r="BC6" s="44">
        <v>82.773048193709116</v>
      </c>
      <c r="BD6" s="81">
        <f>BC13/$BC6</f>
        <v>1.3706447231260073</v>
      </c>
      <c r="BE6" s="81">
        <f>BC20/$BC6</f>
        <v>1.1272072527403103</v>
      </c>
      <c r="BF6" s="81">
        <f>BC27/$BC6</f>
        <v>1.7222257320655781</v>
      </c>
      <c r="BG6" s="81">
        <f>BC34/$BC6</f>
        <v>5.1300016695590021</v>
      </c>
    </row>
    <row r="7" spans="1:59" x14ac:dyDescent="0.2">
      <c r="A7" t="s">
        <v>47</v>
      </c>
      <c r="B7" s="44" t="s">
        <v>194</v>
      </c>
      <c r="C7" t="s">
        <v>88</v>
      </c>
      <c r="D7" s="44">
        <v>75.275442113048882</v>
      </c>
      <c r="E7" s="44">
        <v>82.773048193709116</v>
      </c>
      <c r="F7" s="44">
        <v>90.270654274369349</v>
      </c>
      <c r="I7" t="str">
        <f t="shared" si="1"/>
        <v>Admin staff</v>
      </c>
      <c r="J7" t="str">
        <f t="shared" si="2"/>
        <v>Annual Leave</v>
      </c>
      <c r="K7" t="str">
        <f t="shared" si="3"/>
        <v>WA</v>
      </c>
      <c r="L7" t="str">
        <f t="shared" si="4"/>
        <v>83 (75 - 90)</v>
      </c>
      <c r="O7" t="s">
        <v>47</v>
      </c>
      <c r="P7" t="s">
        <v>194</v>
      </c>
      <c r="Q7" t="s">
        <v>88</v>
      </c>
      <c r="R7" t="s">
        <v>208</v>
      </c>
      <c r="U7" s="44" t="s">
        <v>10</v>
      </c>
      <c r="V7" t="s">
        <v>204</v>
      </c>
      <c r="W7" t="s">
        <v>205</v>
      </c>
      <c r="X7" t="s">
        <v>206</v>
      </c>
      <c r="Y7" t="s">
        <v>207</v>
      </c>
      <c r="Z7" t="s">
        <v>208</v>
      </c>
      <c r="AA7" t="s">
        <v>215</v>
      </c>
      <c r="AH7" t="s">
        <v>47</v>
      </c>
      <c r="AI7" t="s">
        <v>32</v>
      </c>
      <c r="AJ7" s="44" t="s">
        <v>10</v>
      </c>
      <c r="AK7" s="44">
        <v>82.411060923388348</v>
      </c>
      <c r="AL7" s="44">
        <v>100.3672047843351</v>
      </c>
      <c r="AM7" s="44">
        <v>118.32334864528184</v>
      </c>
      <c r="AP7" s="44" t="str">
        <f t="shared" si="6"/>
        <v>Admin staff</v>
      </c>
      <c r="AQ7" s="44" t="str">
        <f t="shared" si="7"/>
        <v>VIC</v>
      </c>
      <c r="AR7" s="44" t="str">
        <f t="shared" si="8"/>
        <v>Base Salary</v>
      </c>
      <c r="AS7" t="str">
        <f t="shared" si="9"/>
        <v>100 (82 - 118)</v>
      </c>
      <c r="BB7" t="s">
        <v>96</v>
      </c>
      <c r="BC7" s="44">
        <v>81.180168558393035</v>
      </c>
      <c r="BD7" s="81">
        <f>BC14/$BC7</f>
        <v>1.4730120014012071</v>
      </c>
      <c r="BE7" s="81">
        <f>BC21/$BC7</f>
        <v>1.2005970910870554</v>
      </c>
      <c r="BF7" s="81">
        <f>BC28/$BC7</f>
        <v>1.6272108673623644</v>
      </c>
      <c r="BG7" s="81">
        <f>BC35/$BC7</f>
        <v>4.6807803854926213</v>
      </c>
    </row>
    <row r="8" spans="1:59" x14ac:dyDescent="0.2">
      <c r="A8" t="s">
        <v>47</v>
      </c>
      <c r="B8" s="44" t="s">
        <v>191</v>
      </c>
      <c r="C8" t="s">
        <v>96</v>
      </c>
      <c r="D8" s="44">
        <v>59.300413889753969</v>
      </c>
      <c r="E8" s="44">
        <v>80.985239867953894</v>
      </c>
      <c r="F8" s="44">
        <v>113.52358221737778</v>
      </c>
      <c r="I8" t="str">
        <f t="shared" si="1"/>
        <v>Admin staff</v>
      </c>
      <c r="J8" t="str">
        <f t="shared" si="2"/>
        <v>Attraction and Retention Allowance</v>
      </c>
      <c r="K8" t="str">
        <f t="shared" si="3"/>
        <v>ALL</v>
      </c>
      <c r="L8" t="str">
        <f t="shared" si="4"/>
        <v>81 (59 - 114)</v>
      </c>
      <c r="O8" t="s">
        <v>47</v>
      </c>
      <c r="P8" t="s">
        <v>191</v>
      </c>
      <c r="Q8" t="s">
        <v>96</v>
      </c>
      <c r="R8" t="s">
        <v>202</v>
      </c>
      <c r="T8" s="80"/>
      <c r="U8" t="s">
        <v>198</v>
      </c>
      <c r="V8" t="s">
        <v>216</v>
      </c>
      <c r="W8" t="s">
        <v>217</v>
      </c>
      <c r="X8" t="s">
        <v>218</v>
      </c>
      <c r="Y8" t="s">
        <v>219</v>
      </c>
      <c r="Z8" t="s">
        <v>220</v>
      </c>
      <c r="AA8" t="s">
        <v>221</v>
      </c>
      <c r="AH8" t="s">
        <v>47</v>
      </c>
      <c r="AI8" t="s">
        <v>88</v>
      </c>
      <c r="AJ8" s="44" t="s">
        <v>10</v>
      </c>
      <c r="AK8" s="44">
        <v>75.275442113048882</v>
      </c>
      <c r="AL8" s="44">
        <v>82.773048193709116</v>
      </c>
      <c r="AM8" s="44">
        <v>90.270654274369349</v>
      </c>
      <c r="AP8" s="44" t="str">
        <f t="shared" si="6"/>
        <v>Admin staff</v>
      </c>
      <c r="AQ8" s="44" t="str">
        <f t="shared" si="7"/>
        <v>WA</v>
      </c>
      <c r="AR8" s="44" t="str">
        <f t="shared" si="8"/>
        <v>Base Salary</v>
      </c>
      <c r="AS8" t="str">
        <f t="shared" si="9"/>
        <v>83 (75 - 90)</v>
      </c>
      <c r="BD8" t="s">
        <v>48</v>
      </c>
      <c r="BE8" t="s">
        <v>34</v>
      </c>
      <c r="BF8" t="s">
        <v>41</v>
      </c>
      <c r="BG8" t="s">
        <v>201</v>
      </c>
    </row>
    <row r="9" spans="1:59" x14ac:dyDescent="0.2">
      <c r="A9" t="s">
        <v>47</v>
      </c>
      <c r="B9" s="44" t="s">
        <v>191</v>
      </c>
      <c r="C9" t="s">
        <v>74</v>
      </c>
      <c r="D9" s="44">
        <v>57.737442267206475</v>
      </c>
      <c r="E9" s="44">
        <v>69.435605404858308</v>
      </c>
      <c r="F9" s="44">
        <v>81.133768542510111</v>
      </c>
      <c r="I9" t="str">
        <f t="shared" si="1"/>
        <v>Admin staff</v>
      </c>
      <c r="J9" t="str">
        <f t="shared" si="2"/>
        <v>Attraction and Retention Allowance</v>
      </c>
      <c r="K9" t="str">
        <f t="shared" si="3"/>
        <v>NSW</v>
      </c>
      <c r="L9" t="str">
        <f t="shared" si="4"/>
        <v>69 (58 - 81)</v>
      </c>
      <c r="O9" t="s">
        <v>47</v>
      </c>
      <c r="P9" t="s">
        <v>191</v>
      </c>
      <c r="Q9" t="s">
        <v>74</v>
      </c>
      <c r="R9" t="s">
        <v>204</v>
      </c>
      <c r="T9" s="80"/>
      <c r="U9" t="s">
        <v>195</v>
      </c>
      <c r="V9" t="s">
        <v>204</v>
      </c>
      <c r="W9" t="s">
        <v>205</v>
      </c>
      <c r="X9" t="s">
        <v>206</v>
      </c>
      <c r="Y9" t="s">
        <v>207</v>
      </c>
      <c r="Z9" t="s">
        <v>208</v>
      </c>
      <c r="AA9" t="s">
        <v>202</v>
      </c>
      <c r="AH9" t="s">
        <v>50</v>
      </c>
      <c r="AI9" t="s">
        <v>96</v>
      </c>
      <c r="AJ9" s="44" t="s">
        <v>10</v>
      </c>
      <c r="AK9" s="44">
        <v>79.553107988165678</v>
      </c>
      <c r="AL9" s="44">
        <v>119.57936256228588</v>
      </c>
      <c r="AM9" s="44">
        <v>168.18382155091874</v>
      </c>
      <c r="AP9" s="44" t="str">
        <f t="shared" si="6"/>
        <v>Bioinformatics staff</v>
      </c>
      <c r="AQ9" s="44" t="str">
        <f t="shared" si="7"/>
        <v>ALL</v>
      </c>
      <c r="AR9" s="44" t="str">
        <f t="shared" si="8"/>
        <v>Base Salary</v>
      </c>
      <c r="AS9" t="str">
        <f t="shared" si="9"/>
        <v>120 (80 - 168)</v>
      </c>
      <c r="BA9" t="s">
        <v>50</v>
      </c>
      <c r="BB9" t="s">
        <v>74</v>
      </c>
      <c r="BC9" s="44">
        <v>116.99664195344128</v>
      </c>
      <c r="BD9" s="81">
        <f t="shared" ref="BD9:BD14" si="10">$BC2/$BC9</f>
        <v>0.59348374658898462</v>
      </c>
      <c r="BE9" s="81">
        <f t="shared" ref="BE9:BE14" si="11">$BC16/$BC9</f>
        <v>0.79520505269701014</v>
      </c>
      <c r="BF9" s="81">
        <f t="shared" ref="BF9:BF14" si="12">$BC23/$BC9</f>
        <v>1.1378365557392367</v>
      </c>
      <c r="BG9" s="81">
        <f t="shared" ref="BG9:BG14" si="13">$BC30/$BC9</f>
        <v>2.6711346113347934</v>
      </c>
    </row>
    <row r="10" spans="1:59" x14ac:dyDescent="0.2">
      <c r="A10" t="s">
        <v>47</v>
      </c>
      <c r="B10" s="44" t="s">
        <v>191</v>
      </c>
      <c r="C10" t="s">
        <v>82</v>
      </c>
      <c r="D10" s="44">
        <v>58.089778573653071</v>
      </c>
      <c r="E10" s="44">
        <v>77.38128143491123</v>
      </c>
      <c r="F10" s="44">
        <v>96.672784296169425</v>
      </c>
      <c r="I10" t="str">
        <f t="shared" si="1"/>
        <v>Admin staff</v>
      </c>
      <c r="J10" t="str">
        <f t="shared" si="2"/>
        <v>Attraction and Retention Allowance</v>
      </c>
      <c r="K10" t="str">
        <f t="shared" si="3"/>
        <v>QLD</v>
      </c>
      <c r="L10" t="str">
        <f t="shared" si="4"/>
        <v>77 (58 - 97)</v>
      </c>
      <c r="O10" t="s">
        <v>47</v>
      </c>
      <c r="P10" t="s">
        <v>191</v>
      </c>
      <c r="Q10" t="s">
        <v>82</v>
      </c>
      <c r="R10" t="s">
        <v>205</v>
      </c>
      <c r="T10" s="80"/>
      <c r="U10" t="s">
        <v>190</v>
      </c>
      <c r="V10" t="s">
        <v>204</v>
      </c>
      <c r="W10" t="s">
        <v>205</v>
      </c>
      <c r="X10" t="s">
        <v>206</v>
      </c>
      <c r="Y10" t="s">
        <v>207</v>
      </c>
      <c r="Z10" t="s">
        <v>208</v>
      </c>
      <c r="AA10" t="s">
        <v>202</v>
      </c>
      <c r="AH10" t="s">
        <v>50</v>
      </c>
      <c r="AI10" t="s">
        <v>74</v>
      </c>
      <c r="AJ10" s="44" t="s">
        <v>10</v>
      </c>
      <c r="AK10" s="44">
        <v>85.522450093428859</v>
      </c>
      <c r="AL10" s="44">
        <v>116.99664195344128</v>
      </c>
      <c r="AM10" s="44">
        <v>148.47083381345377</v>
      </c>
      <c r="AP10" s="44" t="str">
        <f t="shared" si="6"/>
        <v>Bioinformatics staff</v>
      </c>
      <c r="AQ10" s="44" t="str">
        <f t="shared" si="7"/>
        <v>NSW</v>
      </c>
      <c r="AR10" s="44" t="str">
        <f t="shared" si="8"/>
        <v>Base Salary</v>
      </c>
      <c r="AS10" t="str">
        <f t="shared" si="9"/>
        <v>117 (86 - 148)</v>
      </c>
      <c r="BB10" t="s">
        <v>82</v>
      </c>
      <c r="BC10" s="44">
        <v>125.91531612036746</v>
      </c>
      <c r="BD10" s="81">
        <f t="shared" si="10"/>
        <v>0.61455018991446109</v>
      </c>
      <c r="BE10" s="81">
        <f t="shared" si="11"/>
        <v>0.67539741247148188</v>
      </c>
      <c r="BF10" s="81">
        <f t="shared" si="12"/>
        <v>1</v>
      </c>
      <c r="BG10" s="81">
        <f t="shared" si="13"/>
        <v>2.6885233265484287</v>
      </c>
    </row>
    <row r="11" spans="1:59" x14ac:dyDescent="0.2">
      <c r="A11" t="s">
        <v>47</v>
      </c>
      <c r="B11" s="44" t="s">
        <v>191</v>
      </c>
      <c r="C11" t="s">
        <v>62</v>
      </c>
      <c r="D11" s="44">
        <v>68.20481267517907</v>
      </c>
      <c r="E11" s="44">
        <v>75.94370297415135</v>
      </c>
      <c r="F11" s="44">
        <v>83.682593273123629</v>
      </c>
      <c r="I11" t="str">
        <f t="shared" si="1"/>
        <v>Admin staff</v>
      </c>
      <c r="J11" t="str">
        <f t="shared" si="2"/>
        <v>Attraction and Retention Allowance</v>
      </c>
      <c r="K11" t="str">
        <f t="shared" si="3"/>
        <v>SA</v>
      </c>
      <c r="L11" t="str">
        <f t="shared" si="4"/>
        <v>76 (68 - 84)</v>
      </c>
      <c r="O11" t="s">
        <v>47</v>
      </c>
      <c r="P11" t="s">
        <v>191</v>
      </c>
      <c r="Q11" t="s">
        <v>62</v>
      </c>
      <c r="R11" t="s">
        <v>206</v>
      </c>
      <c r="T11" s="80"/>
      <c r="U11" t="s">
        <v>193</v>
      </c>
      <c r="V11" t="s">
        <v>204</v>
      </c>
      <c r="W11" t="s">
        <v>205</v>
      </c>
      <c r="X11" t="s">
        <v>206</v>
      </c>
      <c r="Y11" t="s">
        <v>207</v>
      </c>
      <c r="Z11" t="s">
        <v>208</v>
      </c>
      <c r="AA11" t="s">
        <v>202</v>
      </c>
      <c r="AH11" t="s">
        <v>50</v>
      </c>
      <c r="AI11" t="s">
        <v>82</v>
      </c>
      <c r="AJ11" s="44" t="s">
        <v>10</v>
      </c>
      <c r="AK11" s="44">
        <v>83.646810689816263</v>
      </c>
      <c r="AL11" s="44">
        <v>125.91531612036746</v>
      </c>
      <c r="AM11" s="44">
        <v>168.18382155091874</v>
      </c>
      <c r="AP11" s="44" t="str">
        <f t="shared" si="6"/>
        <v>Bioinformatics staff</v>
      </c>
      <c r="AQ11" s="44" t="str">
        <f t="shared" si="7"/>
        <v>QLD</v>
      </c>
      <c r="AR11" s="44" t="str">
        <f t="shared" si="8"/>
        <v>Base Salary</v>
      </c>
      <c r="AS11" t="str">
        <f t="shared" si="9"/>
        <v>126 (84 - 168)</v>
      </c>
      <c r="BB11" t="s">
        <v>62</v>
      </c>
      <c r="BC11" s="44">
        <v>109.75311478122079</v>
      </c>
      <c r="BD11" s="81">
        <f t="shared" si="10"/>
        <v>0.69195032073154095</v>
      </c>
      <c r="BE11" s="81">
        <f t="shared" si="11"/>
        <v>0.84807424593967529</v>
      </c>
      <c r="BF11" s="81">
        <f t="shared" si="12"/>
        <v>1.1473678713435218</v>
      </c>
      <c r="BG11" s="81">
        <f t="shared" si="13"/>
        <v>3.8844425712062449</v>
      </c>
    </row>
    <row r="12" spans="1:59" x14ac:dyDescent="0.2">
      <c r="A12" t="s">
        <v>47</v>
      </c>
      <c r="B12" s="44" t="s">
        <v>191</v>
      </c>
      <c r="C12" t="s">
        <v>32</v>
      </c>
      <c r="D12" s="44">
        <v>82.411060923388348</v>
      </c>
      <c r="E12" s="44">
        <v>100.3672047843351</v>
      </c>
      <c r="F12" s="44">
        <v>118.32334864528184</v>
      </c>
      <c r="I12" t="str">
        <f t="shared" si="1"/>
        <v>Admin staff</v>
      </c>
      <c r="J12" t="str">
        <f t="shared" si="2"/>
        <v>Attraction and Retention Allowance</v>
      </c>
      <c r="K12" t="str">
        <f t="shared" si="3"/>
        <v>VIC</v>
      </c>
      <c r="L12" t="str">
        <f t="shared" si="4"/>
        <v>100 (82 - 118)</v>
      </c>
      <c r="O12" t="s">
        <v>47</v>
      </c>
      <c r="P12" t="s">
        <v>191</v>
      </c>
      <c r="Q12" t="s">
        <v>32</v>
      </c>
      <c r="R12" t="s">
        <v>207</v>
      </c>
      <c r="T12" s="80"/>
      <c r="U12" t="s">
        <v>189</v>
      </c>
      <c r="V12" t="s">
        <v>204</v>
      </c>
      <c r="W12" t="s">
        <v>205</v>
      </c>
      <c r="X12" t="s">
        <v>206</v>
      </c>
      <c r="Y12" t="s">
        <v>222</v>
      </c>
      <c r="Z12" t="s">
        <v>208</v>
      </c>
      <c r="AA12" t="s">
        <v>202</v>
      </c>
      <c r="AH12" t="s">
        <v>50</v>
      </c>
      <c r="AI12" t="s">
        <v>62</v>
      </c>
      <c r="AJ12" s="44" t="s">
        <v>10</v>
      </c>
      <c r="AK12" s="44">
        <v>79.553107988165678</v>
      </c>
      <c r="AL12" s="44">
        <v>109.75311478122079</v>
      </c>
      <c r="AM12" s="44">
        <v>139.95312157427591</v>
      </c>
      <c r="AP12" s="44" t="str">
        <f t="shared" si="6"/>
        <v>Bioinformatics staff</v>
      </c>
      <c r="AQ12" s="44" t="str">
        <f t="shared" si="7"/>
        <v>SA</v>
      </c>
      <c r="AR12" s="44" t="str">
        <f t="shared" si="8"/>
        <v>Base Salary</v>
      </c>
      <c r="AS12" t="str">
        <f t="shared" si="9"/>
        <v>110 (80 - 140)</v>
      </c>
      <c r="BB12" t="s">
        <v>32</v>
      </c>
      <c r="BC12" s="44">
        <v>131.77929823263781</v>
      </c>
      <c r="BD12" s="81">
        <f t="shared" si="10"/>
        <v>0.76163104622966593</v>
      </c>
      <c r="BE12" s="81">
        <f t="shared" si="11"/>
        <v>0.93233916808199391</v>
      </c>
      <c r="BF12" s="81">
        <f t="shared" si="12"/>
        <v>1.0090114366340446</v>
      </c>
      <c r="BG12" s="81">
        <f t="shared" si="13"/>
        <v>3.0197240206505649</v>
      </c>
    </row>
    <row r="13" spans="1:59" x14ac:dyDescent="0.2">
      <c r="A13" t="s">
        <v>47</v>
      </c>
      <c r="B13" s="44" t="s">
        <v>191</v>
      </c>
      <c r="C13" t="s">
        <v>88</v>
      </c>
      <c r="D13" s="44">
        <v>75.275442113048882</v>
      </c>
      <c r="E13" s="44">
        <v>82.773048193709116</v>
      </c>
      <c r="F13" s="44">
        <v>90.270654274369349</v>
      </c>
      <c r="I13" t="str">
        <f t="shared" si="1"/>
        <v>Admin staff</v>
      </c>
      <c r="J13" t="str">
        <f t="shared" si="2"/>
        <v>Attraction and Retention Allowance</v>
      </c>
      <c r="K13" t="str">
        <f t="shared" si="3"/>
        <v>WA</v>
      </c>
      <c r="L13" t="str">
        <f t="shared" si="4"/>
        <v>83 (75 - 90)</v>
      </c>
      <c r="O13" t="s">
        <v>47</v>
      </c>
      <c r="P13" t="s">
        <v>191</v>
      </c>
      <c r="Q13" t="s">
        <v>88</v>
      </c>
      <c r="R13" t="s">
        <v>208</v>
      </c>
      <c r="T13" s="80"/>
      <c r="U13" t="s">
        <v>192</v>
      </c>
      <c r="V13" t="s">
        <v>204</v>
      </c>
      <c r="W13" t="s">
        <v>205</v>
      </c>
      <c r="X13" t="s">
        <v>206</v>
      </c>
      <c r="Y13" t="s">
        <v>207</v>
      </c>
      <c r="Z13" t="s">
        <v>208</v>
      </c>
      <c r="AA13" t="s">
        <v>202</v>
      </c>
      <c r="AH13" t="s">
        <v>50</v>
      </c>
      <c r="AI13" t="s">
        <v>32</v>
      </c>
      <c r="AJ13" s="44" t="s">
        <v>10</v>
      </c>
      <c r="AK13" s="44">
        <v>103.01091529118654</v>
      </c>
      <c r="AL13" s="44">
        <v>131.77929823263781</v>
      </c>
      <c r="AM13" s="44">
        <v>160.54768117408906</v>
      </c>
      <c r="AP13" s="44" t="str">
        <f t="shared" si="6"/>
        <v>Bioinformatics staff</v>
      </c>
      <c r="AQ13" s="44" t="str">
        <f t="shared" si="7"/>
        <v>VIC</v>
      </c>
      <c r="AR13" s="44" t="str">
        <f t="shared" si="8"/>
        <v>Base Salary</v>
      </c>
      <c r="AS13" t="str">
        <f t="shared" si="9"/>
        <v>132 (103 - 161)</v>
      </c>
      <c r="BB13" t="s">
        <v>88</v>
      </c>
      <c r="BC13" s="44">
        <v>113.45244172376208</v>
      </c>
      <c r="BD13" s="81">
        <f t="shared" si="10"/>
        <v>0.7295836646270496</v>
      </c>
      <c r="BE13" s="81">
        <f t="shared" si="11"/>
        <v>0.82239199824846443</v>
      </c>
      <c r="BF13" s="81">
        <f t="shared" si="12"/>
        <v>1.2565077609154076</v>
      </c>
      <c r="BG13" s="81">
        <f t="shared" si="13"/>
        <v>3.7427654176197396</v>
      </c>
    </row>
    <row r="14" spans="1:59" x14ac:dyDescent="0.2">
      <c r="A14" t="s">
        <v>47</v>
      </c>
      <c r="B14" s="44" t="s">
        <v>188</v>
      </c>
      <c r="C14" t="s">
        <v>96</v>
      </c>
      <c r="D14" s="44">
        <v>56.886243849268133</v>
      </c>
      <c r="E14" s="44">
        <v>80.985239867953894</v>
      </c>
      <c r="F14" s="44">
        <v>122.7806672376207</v>
      </c>
      <c r="I14" t="str">
        <f t="shared" si="1"/>
        <v>Admin staff</v>
      </c>
      <c r="J14" t="str">
        <f t="shared" si="2"/>
        <v>Average Penalties</v>
      </c>
      <c r="K14" t="str">
        <f t="shared" si="3"/>
        <v>ALL</v>
      </c>
      <c r="L14" t="str">
        <f t="shared" si="4"/>
        <v>81 (57 - 123)</v>
      </c>
      <c r="O14" t="s">
        <v>47</v>
      </c>
      <c r="P14" t="s">
        <v>188</v>
      </c>
      <c r="Q14" t="s">
        <v>96</v>
      </c>
      <c r="R14" t="s">
        <v>214</v>
      </c>
      <c r="T14" s="80"/>
      <c r="U14" t="s">
        <v>199</v>
      </c>
      <c r="V14" t="s">
        <v>223</v>
      </c>
      <c r="W14" t="s">
        <v>205</v>
      </c>
      <c r="X14" t="s">
        <v>206</v>
      </c>
      <c r="Y14" t="s">
        <v>222</v>
      </c>
      <c r="Z14" t="s">
        <v>224</v>
      </c>
      <c r="AA14" t="s">
        <v>202</v>
      </c>
      <c r="AH14" t="s">
        <v>50</v>
      </c>
      <c r="AI14" t="s">
        <v>88</v>
      </c>
      <c r="AJ14" s="44" t="s">
        <v>10</v>
      </c>
      <c r="AK14" s="44">
        <v>104.45400708502025</v>
      </c>
      <c r="AL14" s="44">
        <v>113.45244172376208</v>
      </c>
      <c r="AM14" s="44">
        <v>122.45087636250389</v>
      </c>
      <c r="AP14" s="44" t="str">
        <f t="shared" si="6"/>
        <v>Bioinformatics staff</v>
      </c>
      <c r="AQ14" s="44" t="str">
        <f t="shared" si="7"/>
        <v>WA</v>
      </c>
      <c r="AR14" s="44" t="str">
        <f t="shared" si="8"/>
        <v>Base Salary</v>
      </c>
      <c r="AS14" t="str">
        <f t="shared" si="9"/>
        <v>113 (104 - 122)</v>
      </c>
      <c r="BB14" t="s">
        <v>96</v>
      </c>
      <c r="BC14" s="44">
        <v>119.57936256228588</v>
      </c>
      <c r="BD14" s="81">
        <f t="shared" si="10"/>
        <v>0.67888109468812674</v>
      </c>
      <c r="BE14" s="81">
        <f t="shared" si="11"/>
        <v>0.81506266747656064</v>
      </c>
      <c r="BF14" s="81">
        <f t="shared" si="12"/>
        <v>1.1046826949233781</v>
      </c>
      <c r="BG14" s="81">
        <f t="shared" si="13"/>
        <v>3.1776933120979427</v>
      </c>
    </row>
    <row r="15" spans="1:59" x14ac:dyDescent="0.2">
      <c r="A15" t="s">
        <v>47</v>
      </c>
      <c r="B15" s="44" t="s">
        <v>188</v>
      </c>
      <c r="C15" t="s">
        <v>74</v>
      </c>
      <c r="D15" s="44">
        <v>55.299126477732791</v>
      </c>
      <c r="E15" s="44">
        <v>69.435605404858308</v>
      </c>
      <c r="F15" s="44">
        <v>87.98650538461537</v>
      </c>
      <c r="I15" t="str">
        <f t="shared" si="1"/>
        <v>Admin staff</v>
      </c>
      <c r="J15" t="str">
        <f t="shared" si="2"/>
        <v>Average Penalties</v>
      </c>
      <c r="K15" t="str">
        <f t="shared" si="3"/>
        <v>NSW</v>
      </c>
      <c r="L15" t="str">
        <f t="shared" si="4"/>
        <v>69 (55 - 88)</v>
      </c>
      <c r="O15" t="s">
        <v>47</v>
      </c>
      <c r="P15" t="s">
        <v>188</v>
      </c>
      <c r="Q15" t="s">
        <v>74</v>
      </c>
      <c r="R15" t="s">
        <v>209</v>
      </c>
      <c r="T15" s="80" t="s">
        <v>50</v>
      </c>
      <c r="U15" t="s">
        <v>194</v>
      </c>
      <c r="V15" t="s">
        <v>225</v>
      </c>
      <c r="W15" t="s">
        <v>226</v>
      </c>
      <c r="X15" t="s">
        <v>227</v>
      </c>
      <c r="Y15" t="s">
        <v>228</v>
      </c>
      <c r="Z15" t="s">
        <v>229</v>
      </c>
      <c r="AA15" t="s">
        <v>230</v>
      </c>
      <c r="AH15" t="s">
        <v>33</v>
      </c>
      <c r="AI15" t="s">
        <v>96</v>
      </c>
      <c r="AJ15" s="44" t="s">
        <v>10</v>
      </c>
      <c r="AK15" s="44">
        <v>59.105972282777955</v>
      </c>
      <c r="AL15" s="44">
        <v>97.464674225163506</v>
      </c>
      <c r="AM15" s="44">
        <v>142.71508727810649</v>
      </c>
      <c r="AP15" s="44" t="str">
        <f t="shared" si="6"/>
        <v>Lab technician</v>
      </c>
      <c r="AQ15" s="44" t="str">
        <f t="shared" si="7"/>
        <v>ALL</v>
      </c>
      <c r="AR15" s="44" t="str">
        <f t="shared" si="8"/>
        <v>Base Salary</v>
      </c>
      <c r="AS15" t="str">
        <f t="shared" si="9"/>
        <v>97 (59 - 143)</v>
      </c>
      <c r="BD15" t="s">
        <v>48</v>
      </c>
      <c r="BE15" t="s">
        <v>231</v>
      </c>
      <c r="BF15" t="s">
        <v>41</v>
      </c>
      <c r="BG15" t="s">
        <v>201</v>
      </c>
    </row>
    <row r="16" spans="1:59" x14ac:dyDescent="0.2">
      <c r="A16" t="s">
        <v>47</v>
      </c>
      <c r="B16" s="44" t="s">
        <v>188</v>
      </c>
      <c r="C16" t="s">
        <v>82</v>
      </c>
      <c r="D16" s="44">
        <v>55.675608533167235</v>
      </c>
      <c r="E16" s="44">
        <v>77.38128143491123</v>
      </c>
      <c r="F16" s="44">
        <v>104.75993004515726</v>
      </c>
      <c r="I16" t="str">
        <f t="shared" si="1"/>
        <v>Admin staff</v>
      </c>
      <c r="J16" t="str">
        <f t="shared" si="2"/>
        <v>Average Penalties</v>
      </c>
      <c r="K16" t="str">
        <f t="shared" si="3"/>
        <v>QLD</v>
      </c>
      <c r="L16" t="str">
        <f t="shared" si="4"/>
        <v>77 (56 - 105)</v>
      </c>
      <c r="O16" t="s">
        <v>47</v>
      </c>
      <c r="P16" t="s">
        <v>188</v>
      </c>
      <c r="Q16" t="s">
        <v>82</v>
      </c>
      <c r="R16" t="s">
        <v>210</v>
      </c>
      <c r="T16" s="80"/>
      <c r="U16" t="s">
        <v>191</v>
      </c>
      <c r="V16" t="s">
        <v>225</v>
      </c>
      <c r="W16" t="s">
        <v>226</v>
      </c>
      <c r="X16" t="s">
        <v>227</v>
      </c>
      <c r="Y16" t="s">
        <v>228</v>
      </c>
      <c r="Z16" t="s">
        <v>229</v>
      </c>
      <c r="AA16" t="s">
        <v>230</v>
      </c>
      <c r="AH16" t="s">
        <v>33</v>
      </c>
      <c r="AI16" t="s">
        <v>74</v>
      </c>
      <c r="AJ16" s="44" t="s">
        <v>10</v>
      </c>
      <c r="AK16" s="44">
        <v>71.921924635627533</v>
      </c>
      <c r="AL16" s="44">
        <v>93.036320829959507</v>
      </c>
      <c r="AM16" s="44">
        <v>114.1507170242915</v>
      </c>
      <c r="AP16" s="44" t="str">
        <f t="shared" si="6"/>
        <v>Lab technician</v>
      </c>
      <c r="AQ16" s="44" t="str">
        <f t="shared" si="7"/>
        <v>NSW</v>
      </c>
      <c r="AR16" s="44" t="str">
        <f t="shared" si="8"/>
        <v>Base Salary</v>
      </c>
      <c r="AS16" t="str">
        <f t="shared" si="9"/>
        <v>93 (72 - 114)</v>
      </c>
      <c r="BA16" t="s">
        <v>33</v>
      </c>
      <c r="BB16" t="s">
        <v>74</v>
      </c>
      <c r="BC16" s="44">
        <v>93.036320829959507</v>
      </c>
      <c r="BD16" s="81">
        <f t="shared" ref="BD16:BD21" si="14">$BC2/$BC16</f>
        <v>0.74632793714794765</v>
      </c>
      <c r="BE16" s="81">
        <f t="shared" ref="BE16:BE21" si="15">$BC9/$BC16</f>
        <v>1.257537281243887</v>
      </c>
      <c r="BF16" s="81">
        <f t="shared" ref="BF16:BF21" si="16">$BC23/$BC16</f>
        <v>1.4308718888042282</v>
      </c>
      <c r="BG16" s="81">
        <f t="shared" ref="BG16:BG21" si="17">$BC30/$BC16</f>
        <v>3.3590513569744025</v>
      </c>
    </row>
    <row r="17" spans="1:59" x14ac:dyDescent="0.2">
      <c r="A17" t="s">
        <v>47</v>
      </c>
      <c r="B17" s="44" t="s">
        <v>188</v>
      </c>
      <c r="C17" t="s">
        <v>62</v>
      </c>
      <c r="D17" s="44">
        <v>65.324448302709428</v>
      </c>
      <c r="E17" s="44">
        <v>75.94370297415135</v>
      </c>
      <c r="F17" s="44">
        <v>90.750609467455618</v>
      </c>
      <c r="I17" t="str">
        <f t="shared" si="1"/>
        <v>Admin staff</v>
      </c>
      <c r="J17" t="str">
        <f t="shared" si="2"/>
        <v>Average Penalties</v>
      </c>
      <c r="K17" t="str">
        <f t="shared" si="3"/>
        <v>SA</v>
      </c>
      <c r="L17" t="str">
        <f t="shared" si="4"/>
        <v>76 (65 - 91)</v>
      </c>
      <c r="O17" t="s">
        <v>47</v>
      </c>
      <c r="P17" t="s">
        <v>188</v>
      </c>
      <c r="Q17" t="s">
        <v>62</v>
      </c>
      <c r="R17" t="s">
        <v>211</v>
      </c>
      <c r="T17" s="80"/>
      <c r="U17" t="s">
        <v>188</v>
      </c>
      <c r="V17" t="s">
        <v>232</v>
      </c>
      <c r="W17" t="s">
        <v>233</v>
      </c>
      <c r="X17" t="s">
        <v>234</v>
      </c>
      <c r="Y17" t="s">
        <v>235</v>
      </c>
      <c r="Z17" t="s">
        <v>236</v>
      </c>
      <c r="AA17" t="s">
        <v>237</v>
      </c>
      <c r="AH17" t="s">
        <v>33</v>
      </c>
      <c r="AI17" t="s">
        <v>82</v>
      </c>
      <c r="AJ17" s="44" t="s">
        <v>10</v>
      </c>
      <c r="AK17" s="44">
        <v>59.105972282777955</v>
      </c>
      <c r="AL17" s="44">
        <v>85.042878698224854</v>
      </c>
      <c r="AM17" s="44">
        <v>110.97978511367175</v>
      </c>
      <c r="AP17" s="44" t="str">
        <f t="shared" si="6"/>
        <v>Lab technician</v>
      </c>
      <c r="AQ17" s="44" t="str">
        <f t="shared" si="7"/>
        <v>QLD</v>
      </c>
      <c r="AR17" s="44" t="str">
        <f t="shared" si="8"/>
        <v>Base Salary</v>
      </c>
      <c r="AS17" t="str">
        <f t="shared" si="9"/>
        <v>85 (59 - 111)</v>
      </c>
      <c r="BB17" t="s">
        <v>82</v>
      </c>
      <c r="BC17" s="44">
        <v>85.042878698224854</v>
      </c>
      <c r="BD17" s="81">
        <f t="shared" si="14"/>
        <v>0.90990900848381617</v>
      </c>
      <c r="BE17" s="81">
        <f t="shared" si="15"/>
        <v>1.4806097588391698</v>
      </c>
      <c r="BF17" s="81">
        <f t="shared" si="16"/>
        <v>1.4806097588391698</v>
      </c>
      <c r="BG17" s="81">
        <f t="shared" si="17"/>
        <v>3.9806538741543513</v>
      </c>
    </row>
    <row r="18" spans="1:59" x14ac:dyDescent="0.2">
      <c r="A18" t="s">
        <v>47</v>
      </c>
      <c r="B18" s="44" t="s">
        <v>188</v>
      </c>
      <c r="C18" t="s">
        <v>32</v>
      </c>
      <c r="D18" s="44">
        <v>79.187326105574599</v>
      </c>
      <c r="E18" s="44">
        <v>100.3672047843351</v>
      </c>
      <c r="F18" s="44">
        <v>127.58043366552475</v>
      </c>
      <c r="I18" t="str">
        <f t="shared" si="1"/>
        <v>Admin staff</v>
      </c>
      <c r="J18" t="str">
        <f t="shared" si="2"/>
        <v>Average Penalties</v>
      </c>
      <c r="K18" t="str">
        <f t="shared" si="3"/>
        <v>VIC</v>
      </c>
      <c r="L18" t="str">
        <f t="shared" si="4"/>
        <v>100 (79 - 128)</v>
      </c>
      <c r="O18" t="s">
        <v>47</v>
      </c>
      <c r="P18" t="s">
        <v>188</v>
      </c>
      <c r="Q18" t="s">
        <v>32</v>
      </c>
      <c r="R18" t="s">
        <v>212</v>
      </c>
      <c r="U18" s="44" t="s">
        <v>10</v>
      </c>
      <c r="V18" t="s">
        <v>225</v>
      </c>
      <c r="W18" t="s">
        <v>226</v>
      </c>
      <c r="X18" t="s">
        <v>227</v>
      </c>
      <c r="Y18" t="s">
        <v>228</v>
      </c>
      <c r="Z18" t="s">
        <v>229</v>
      </c>
      <c r="AA18" t="s">
        <v>238</v>
      </c>
      <c r="AH18" t="s">
        <v>33</v>
      </c>
      <c r="AI18" t="s">
        <v>62</v>
      </c>
      <c r="AJ18" s="44" t="s">
        <v>10</v>
      </c>
      <c r="AK18" s="44">
        <v>65.146644814699471</v>
      </c>
      <c r="AL18" s="44">
        <v>93.078790057614455</v>
      </c>
      <c r="AM18" s="44">
        <v>121.01093530052941</v>
      </c>
      <c r="AP18" s="44" t="str">
        <f t="shared" si="6"/>
        <v>Lab technician</v>
      </c>
      <c r="AQ18" s="44" t="str">
        <f t="shared" si="7"/>
        <v>SA</v>
      </c>
      <c r="AR18" s="44" t="str">
        <f t="shared" si="8"/>
        <v>Base Salary</v>
      </c>
      <c r="AS18" t="str">
        <f t="shared" si="9"/>
        <v>93 (65 - 121)</v>
      </c>
      <c r="BB18" t="s">
        <v>62</v>
      </c>
      <c r="BC18" s="44">
        <v>93.078790057614455</v>
      </c>
      <c r="BD18" s="81">
        <f t="shared" si="14"/>
        <v>0.81590771567983722</v>
      </c>
      <c r="BE18" s="81">
        <f t="shared" si="15"/>
        <v>1.1791420442109868</v>
      </c>
      <c r="BF18" s="81">
        <f t="shared" si="16"/>
        <v>1.352909697278009</v>
      </c>
      <c r="BG18" s="81">
        <f t="shared" si="17"/>
        <v>4.5803095540323131</v>
      </c>
    </row>
    <row r="19" spans="1:59" x14ac:dyDescent="0.2">
      <c r="A19" t="s">
        <v>47</v>
      </c>
      <c r="B19" s="44" t="s">
        <v>188</v>
      </c>
      <c r="C19" t="s">
        <v>88</v>
      </c>
      <c r="D19" s="44">
        <v>72.361525109000311</v>
      </c>
      <c r="E19" s="44">
        <v>82.773048193709116</v>
      </c>
      <c r="F19" s="44">
        <v>97.259419456555591</v>
      </c>
      <c r="I19" t="str">
        <f t="shared" si="1"/>
        <v>Admin staff</v>
      </c>
      <c r="J19" t="str">
        <f t="shared" si="2"/>
        <v>Average Penalties</v>
      </c>
      <c r="K19" t="str">
        <f t="shared" si="3"/>
        <v>WA</v>
      </c>
      <c r="L19" t="str">
        <f t="shared" si="4"/>
        <v>83 (72 - 97)</v>
      </c>
      <c r="O19" t="s">
        <v>47</v>
      </c>
      <c r="P19" t="s">
        <v>188</v>
      </c>
      <c r="Q19" t="s">
        <v>88</v>
      </c>
      <c r="R19" t="s">
        <v>213</v>
      </c>
      <c r="T19" s="80"/>
      <c r="U19" t="s">
        <v>198</v>
      </c>
      <c r="V19" t="s">
        <v>239</v>
      </c>
      <c r="W19" t="s">
        <v>240</v>
      </c>
      <c r="X19" t="s">
        <v>241</v>
      </c>
      <c r="Y19" t="s">
        <v>242</v>
      </c>
      <c r="Z19" t="s">
        <v>243</v>
      </c>
      <c r="AA19" t="s">
        <v>244</v>
      </c>
      <c r="AH19" t="s">
        <v>33</v>
      </c>
      <c r="AI19" t="s">
        <v>32</v>
      </c>
      <c r="AJ19" s="44" t="s">
        <v>10</v>
      </c>
      <c r="AK19" s="44">
        <v>103.01091529118654</v>
      </c>
      <c r="AL19" s="44">
        <v>122.86300128464651</v>
      </c>
      <c r="AM19" s="44">
        <v>142.71508727810649</v>
      </c>
      <c r="AP19" s="44" t="str">
        <f t="shared" si="6"/>
        <v>Lab technician</v>
      </c>
      <c r="AQ19" s="44" t="str">
        <f t="shared" si="7"/>
        <v>VIC</v>
      </c>
      <c r="AR19" s="44" t="str">
        <f t="shared" si="8"/>
        <v>Base Salary</v>
      </c>
      <c r="AS19" t="str">
        <f t="shared" si="9"/>
        <v>123 (103 - 143)</v>
      </c>
      <c r="BB19" t="s">
        <v>32</v>
      </c>
      <c r="BC19" s="44">
        <v>122.86300128464651</v>
      </c>
      <c r="BD19" s="81">
        <f t="shared" si="14"/>
        <v>0.81690341058661253</v>
      </c>
      <c r="BE19" s="81">
        <f t="shared" si="15"/>
        <v>1.0725710495003635</v>
      </c>
      <c r="BF19" s="81">
        <f t="shared" si="16"/>
        <v>1.0822364555484467</v>
      </c>
      <c r="BG19" s="81">
        <f t="shared" si="17"/>
        <v>3.2388685620306337</v>
      </c>
    </row>
    <row r="20" spans="1:59" x14ac:dyDescent="0.2">
      <c r="A20" t="s">
        <v>47</v>
      </c>
      <c r="B20" s="44" t="s">
        <v>198</v>
      </c>
      <c r="C20" t="s">
        <v>96</v>
      </c>
      <c r="D20" s="44">
        <v>56.335393195266271</v>
      </c>
      <c r="E20" s="44">
        <v>80.985239867953894</v>
      </c>
      <c r="F20" s="44">
        <v>118.84011361598776</v>
      </c>
      <c r="I20" t="str">
        <f t="shared" si="1"/>
        <v>Admin staff</v>
      </c>
      <c r="J20" t="str">
        <f t="shared" si="2"/>
        <v>Hours worked</v>
      </c>
      <c r="K20" t="str">
        <f t="shared" si="3"/>
        <v>ALL</v>
      </c>
      <c r="L20" t="str">
        <f t="shared" si="4"/>
        <v>81 (56 - 119)</v>
      </c>
      <c r="O20" t="s">
        <v>47</v>
      </c>
      <c r="P20" t="s">
        <v>198</v>
      </c>
      <c r="Q20" t="s">
        <v>96</v>
      </c>
      <c r="R20" t="s">
        <v>221</v>
      </c>
      <c r="T20" s="80"/>
      <c r="U20" t="s">
        <v>195</v>
      </c>
      <c r="V20" t="s">
        <v>225</v>
      </c>
      <c r="W20" t="s">
        <v>226</v>
      </c>
      <c r="X20" t="s">
        <v>227</v>
      </c>
      <c r="Y20" t="s">
        <v>228</v>
      </c>
      <c r="Z20" t="s">
        <v>229</v>
      </c>
      <c r="AA20" t="s">
        <v>230</v>
      </c>
      <c r="AH20" t="s">
        <v>33</v>
      </c>
      <c r="AI20" t="s">
        <v>88</v>
      </c>
      <c r="AJ20" s="44" t="s">
        <v>10</v>
      </c>
      <c r="AK20" s="44">
        <v>75.275442113048882</v>
      </c>
      <c r="AL20" s="44">
        <v>93.302380255372157</v>
      </c>
      <c r="AM20" s="44">
        <v>111.3293183976954</v>
      </c>
      <c r="AP20" s="44" t="str">
        <f t="shared" si="6"/>
        <v>Lab technician</v>
      </c>
      <c r="AQ20" s="44" t="str">
        <f t="shared" si="7"/>
        <v>WA</v>
      </c>
      <c r="AR20" s="44" t="str">
        <f t="shared" si="8"/>
        <v>Base Salary</v>
      </c>
      <c r="AS20" t="str">
        <f t="shared" si="9"/>
        <v>93 (75 - 111)</v>
      </c>
      <c r="BB20" t="s">
        <v>88</v>
      </c>
      <c r="BC20" s="44">
        <v>93.302380255372157</v>
      </c>
      <c r="BD20" s="81">
        <f t="shared" si="14"/>
        <v>0.88714830175989234</v>
      </c>
      <c r="BE20" s="81">
        <f t="shared" si="15"/>
        <v>1.2159651384373951</v>
      </c>
      <c r="BF20" s="81">
        <f t="shared" si="16"/>
        <v>1.5278696334491648</v>
      </c>
      <c r="BG20" s="81">
        <f t="shared" si="17"/>
        <v>4.5510722691746812</v>
      </c>
    </row>
    <row r="21" spans="1:59" x14ac:dyDescent="0.2">
      <c r="A21" t="s">
        <v>47</v>
      </c>
      <c r="B21" s="44" t="s">
        <v>198</v>
      </c>
      <c r="C21" t="s">
        <v>74</v>
      </c>
      <c r="D21" s="44">
        <v>54.850570153846149</v>
      </c>
      <c r="E21" s="44">
        <v>69.435605404858308</v>
      </c>
      <c r="F21" s="44">
        <v>84.93342161474888</v>
      </c>
      <c r="I21" t="str">
        <f t="shared" si="1"/>
        <v>Admin staff</v>
      </c>
      <c r="J21" t="str">
        <f t="shared" si="2"/>
        <v>Hours worked</v>
      </c>
      <c r="K21" t="str">
        <f t="shared" si="3"/>
        <v>NSW</v>
      </c>
      <c r="L21" t="str">
        <f t="shared" si="4"/>
        <v>69 (55 - 85)</v>
      </c>
      <c r="O21" t="s">
        <v>47</v>
      </c>
      <c r="P21" t="s">
        <v>198</v>
      </c>
      <c r="Q21" t="s">
        <v>74</v>
      </c>
      <c r="R21" t="s">
        <v>216</v>
      </c>
      <c r="T21" s="80"/>
      <c r="U21" t="s">
        <v>190</v>
      </c>
      <c r="V21" t="s">
        <v>225</v>
      </c>
      <c r="W21" t="s">
        <v>226</v>
      </c>
      <c r="X21" t="s">
        <v>227</v>
      </c>
      <c r="Y21" t="s">
        <v>228</v>
      </c>
      <c r="Z21" t="s">
        <v>229</v>
      </c>
      <c r="AA21" t="s">
        <v>230</v>
      </c>
      <c r="AH21" t="s">
        <v>40</v>
      </c>
      <c r="AI21" t="s">
        <v>96</v>
      </c>
      <c r="AJ21" s="44" t="s">
        <v>10</v>
      </c>
      <c r="AK21" s="44">
        <v>79.880535931174094</v>
      </c>
      <c r="AL21" s="44">
        <v>132.09725249252568</v>
      </c>
      <c r="AM21" s="44">
        <v>186.05310212550611</v>
      </c>
      <c r="AP21" s="44" t="str">
        <f t="shared" si="6"/>
        <v>Medical scientist</v>
      </c>
      <c r="AQ21" s="44" t="str">
        <f t="shared" si="7"/>
        <v>ALL</v>
      </c>
      <c r="AR21" s="44" t="str">
        <f t="shared" si="8"/>
        <v>Base Salary</v>
      </c>
      <c r="AS21" t="str">
        <f t="shared" si="9"/>
        <v>132 (80 - 186)</v>
      </c>
      <c r="BB21" t="s">
        <v>96</v>
      </c>
      <c r="BC21" s="44">
        <v>97.464674225163506</v>
      </c>
      <c r="BD21" s="81">
        <f t="shared" si="14"/>
        <v>0.83291889296064436</v>
      </c>
      <c r="BE21" s="81">
        <f t="shared" si="15"/>
        <v>1.2268995255248367</v>
      </c>
      <c r="BF21" s="81">
        <f t="shared" si="16"/>
        <v>1.3553346742569905</v>
      </c>
      <c r="BG21" s="81">
        <f t="shared" si="17"/>
        <v>3.8987104168764124</v>
      </c>
    </row>
    <row r="22" spans="1:59" x14ac:dyDescent="0.2">
      <c r="A22" t="s">
        <v>47</v>
      </c>
      <c r="B22" s="44" t="s">
        <v>198</v>
      </c>
      <c r="C22" t="s">
        <v>82</v>
      </c>
      <c r="D22" s="44">
        <v>55.185289644970418</v>
      </c>
      <c r="E22" s="44">
        <v>77.38128143491123</v>
      </c>
      <c r="F22" s="44">
        <v>101.20015986926828</v>
      </c>
      <c r="I22" t="str">
        <f t="shared" si="1"/>
        <v>Admin staff</v>
      </c>
      <c r="J22" t="str">
        <f t="shared" si="2"/>
        <v>Hours worked</v>
      </c>
      <c r="K22" t="str">
        <f t="shared" si="3"/>
        <v>QLD</v>
      </c>
      <c r="L22" t="str">
        <f t="shared" si="4"/>
        <v>77 (55 - 101)</v>
      </c>
      <c r="O22" t="s">
        <v>47</v>
      </c>
      <c r="P22" t="s">
        <v>198</v>
      </c>
      <c r="Q22" t="s">
        <v>82</v>
      </c>
      <c r="R22" t="s">
        <v>217</v>
      </c>
      <c r="T22" s="80"/>
      <c r="U22" t="s">
        <v>193</v>
      </c>
      <c r="V22" t="s">
        <v>225</v>
      </c>
      <c r="W22" t="s">
        <v>226</v>
      </c>
      <c r="X22" t="s">
        <v>227</v>
      </c>
      <c r="Y22" t="s">
        <v>228</v>
      </c>
      <c r="Z22" t="s">
        <v>229</v>
      </c>
      <c r="AA22" t="s">
        <v>230</v>
      </c>
      <c r="AH22" t="s">
        <v>40</v>
      </c>
      <c r="AI22" t="s">
        <v>74</v>
      </c>
      <c r="AJ22" s="44" t="s">
        <v>10</v>
      </c>
      <c r="AK22" s="44">
        <v>86.96887734817814</v>
      </c>
      <c r="AL22" s="44">
        <v>133.12305611336032</v>
      </c>
      <c r="AM22" s="44">
        <v>179.27723487854254</v>
      </c>
      <c r="AP22" s="44" t="str">
        <f t="shared" si="6"/>
        <v>Medical scientist</v>
      </c>
      <c r="AQ22" s="44" t="str">
        <f t="shared" si="7"/>
        <v>NSW</v>
      </c>
      <c r="AR22" s="44" t="str">
        <f t="shared" si="8"/>
        <v>Base Salary</v>
      </c>
      <c r="AS22" t="str">
        <f t="shared" si="9"/>
        <v>133 (87 - 179)</v>
      </c>
      <c r="BD22" t="s">
        <v>48</v>
      </c>
      <c r="BE22" t="s">
        <v>231</v>
      </c>
      <c r="BF22" t="s">
        <v>34</v>
      </c>
      <c r="BG22" t="s">
        <v>201</v>
      </c>
    </row>
    <row r="23" spans="1:59" x14ac:dyDescent="0.2">
      <c r="A23" t="s">
        <v>47</v>
      </c>
      <c r="B23" s="44" t="s">
        <v>198</v>
      </c>
      <c r="C23" t="s">
        <v>62</v>
      </c>
      <c r="D23" s="44">
        <v>64.794572041420125</v>
      </c>
      <c r="E23" s="44">
        <v>75.94370297415135</v>
      </c>
      <c r="F23" s="44">
        <v>87.601612792801603</v>
      </c>
      <c r="I23" t="str">
        <f t="shared" si="1"/>
        <v>Admin staff</v>
      </c>
      <c r="J23" t="str">
        <f t="shared" si="2"/>
        <v>Hours worked</v>
      </c>
      <c r="K23" t="str">
        <f t="shared" si="3"/>
        <v>SA</v>
      </c>
      <c r="L23" t="str">
        <f t="shared" si="4"/>
        <v>76 (65 - 88)</v>
      </c>
      <c r="O23" t="s">
        <v>47</v>
      </c>
      <c r="P23" t="s">
        <v>198</v>
      </c>
      <c r="Q23" t="s">
        <v>62</v>
      </c>
      <c r="R23" t="s">
        <v>218</v>
      </c>
      <c r="T23" s="80"/>
      <c r="U23" t="s">
        <v>189</v>
      </c>
      <c r="V23" t="s">
        <v>245</v>
      </c>
      <c r="W23" t="s">
        <v>246</v>
      </c>
      <c r="X23" t="s">
        <v>247</v>
      </c>
      <c r="Y23" t="s">
        <v>228</v>
      </c>
      <c r="Z23" t="s">
        <v>248</v>
      </c>
      <c r="AA23" t="s">
        <v>230</v>
      </c>
      <c r="AH23" t="s">
        <v>40</v>
      </c>
      <c r="AI23" t="s">
        <v>82</v>
      </c>
      <c r="AJ23" s="44" t="s">
        <v>10</v>
      </c>
      <c r="AK23" s="44">
        <v>83.646810689816263</v>
      </c>
      <c r="AL23" s="44">
        <v>125.91531612036746</v>
      </c>
      <c r="AM23" s="44">
        <v>168.18382155091874</v>
      </c>
      <c r="AP23" s="44" t="str">
        <f t="shared" si="6"/>
        <v>Medical scientist</v>
      </c>
      <c r="AQ23" s="44" t="str">
        <f t="shared" si="7"/>
        <v>QLD</v>
      </c>
      <c r="AR23" s="44" t="str">
        <f t="shared" si="8"/>
        <v>Base Salary</v>
      </c>
      <c r="AS23" t="str">
        <f t="shared" si="9"/>
        <v>126 (84 - 168)</v>
      </c>
      <c r="BA23" t="s">
        <v>40</v>
      </c>
      <c r="BB23" t="s">
        <v>74</v>
      </c>
      <c r="BC23" s="44">
        <v>133.12305611336032</v>
      </c>
      <c r="BD23" s="81">
        <f t="shared" ref="BD23:BD28" si="18">$BC2/$BC23</f>
        <v>0.52158962866455483</v>
      </c>
      <c r="BE23" s="81">
        <f t="shared" ref="BE23:BE28" si="19">$BC9/$BC23</f>
        <v>0.87886084776940021</v>
      </c>
      <c r="BF23" s="81">
        <f t="shared" ref="BF23:BF28" si="20">$BC16/$BC23</f>
        <v>0.69887458676380487</v>
      </c>
      <c r="BG23" s="81">
        <f t="shared" ref="BG23:BG28" si="21">$BC30/$BC23</f>
        <v>2.3475556290238839</v>
      </c>
    </row>
    <row r="24" spans="1:59" x14ac:dyDescent="0.2">
      <c r="A24" t="s">
        <v>47</v>
      </c>
      <c r="B24" s="44" t="s">
        <v>198</v>
      </c>
      <c r="C24" t="s">
        <v>32</v>
      </c>
      <c r="D24" s="44">
        <v>78.290507877218928</v>
      </c>
      <c r="E24" s="44">
        <v>100.3672047843351</v>
      </c>
      <c r="F24" s="44">
        <v>123.86466249368348</v>
      </c>
      <c r="I24" t="str">
        <f t="shared" si="1"/>
        <v>Admin staff</v>
      </c>
      <c r="J24" t="str">
        <f t="shared" si="2"/>
        <v>Hours worked</v>
      </c>
      <c r="K24" t="str">
        <f t="shared" si="3"/>
        <v>VIC</v>
      </c>
      <c r="L24" t="str">
        <f t="shared" si="4"/>
        <v>100 (78 - 124)</v>
      </c>
      <c r="O24" t="s">
        <v>47</v>
      </c>
      <c r="P24" t="s">
        <v>198</v>
      </c>
      <c r="Q24" t="s">
        <v>32</v>
      </c>
      <c r="R24" t="s">
        <v>219</v>
      </c>
      <c r="T24" s="80"/>
      <c r="U24" t="s">
        <v>192</v>
      </c>
      <c r="V24" t="s">
        <v>225</v>
      </c>
      <c r="W24" t="s">
        <v>226</v>
      </c>
      <c r="X24" t="s">
        <v>227</v>
      </c>
      <c r="Y24" t="s">
        <v>228</v>
      </c>
      <c r="Z24" t="s">
        <v>229</v>
      </c>
      <c r="AA24" t="s">
        <v>230</v>
      </c>
      <c r="AH24" t="s">
        <v>40</v>
      </c>
      <c r="AI24" t="s">
        <v>62</v>
      </c>
      <c r="AJ24" s="44" t="s">
        <v>10</v>
      </c>
      <c r="AK24" s="44">
        <v>80.199187869822495</v>
      </c>
      <c r="AL24" s="44">
        <v>125.92719767985052</v>
      </c>
      <c r="AM24" s="44">
        <v>171.65520748987856</v>
      </c>
      <c r="AP24" s="44" t="str">
        <f t="shared" si="6"/>
        <v>Medical scientist</v>
      </c>
      <c r="AQ24" s="44" t="str">
        <f t="shared" si="7"/>
        <v>SA</v>
      </c>
      <c r="AR24" s="44" t="str">
        <f t="shared" si="8"/>
        <v>Base Salary</v>
      </c>
      <c r="AS24" t="str">
        <f t="shared" si="9"/>
        <v>126 (80 - 172)</v>
      </c>
      <c r="BB24" t="s">
        <v>82</v>
      </c>
      <c r="BC24" s="44">
        <v>125.91531612036746</v>
      </c>
      <c r="BD24" s="81">
        <f t="shared" si="18"/>
        <v>0.61455018991446109</v>
      </c>
      <c r="BE24" s="81">
        <f t="shared" si="19"/>
        <v>1</v>
      </c>
      <c r="BF24" s="81">
        <f t="shared" si="20"/>
        <v>0.67539741247148188</v>
      </c>
      <c r="BG24" s="81">
        <f t="shared" si="21"/>
        <v>2.6885233265484287</v>
      </c>
    </row>
    <row r="25" spans="1:59" x14ac:dyDescent="0.2">
      <c r="A25" t="s">
        <v>47</v>
      </c>
      <c r="B25" s="44" t="s">
        <v>198</v>
      </c>
      <c r="C25" t="s">
        <v>88</v>
      </c>
      <c r="D25" s="44">
        <v>71.511670007396432</v>
      </c>
      <c r="E25" s="44">
        <v>82.773048193709116</v>
      </c>
      <c r="F25" s="44">
        <v>94.498205576474803</v>
      </c>
      <c r="I25" t="str">
        <f t="shared" si="1"/>
        <v>Admin staff</v>
      </c>
      <c r="J25" t="str">
        <f t="shared" si="2"/>
        <v>Hours worked</v>
      </c>
      <c r="K25" t="str">
        <f t="shared" si="3"/>
        <v>WA</v>
      </c>
      <c r="L25" t="str">
        <f t="shared" si="4"/>
        <v>83 (72 - 94)</v>
      </c>
      <c r="O25" t="s">
        <v>47</v>
      </c>
      <c r="P25" t="s">
        <v>198</v>
      </c>
      <c r="Q25" t="s">
        <v>88</v>
      </c>
      <c r="R25" t="s">
        <v>220</v>
      </c>
      <c r="T25" s="80"/>
      <c r="U25" t="s">
        <v>199</v>
      </c>
      <c r="V25" t="s">
        <v>245</v>
      </c>
      <c r="W25" t="s">
        <v>246</v>
      </c>
      <c r="X25" t="s">
        <v>249</v>
      </c>
      <c r="Y25" t="s">
        <v>250</v>
      </c>
      <c r="Z25" t="s">
        <v>248</v>
      </c>
      <c r="AA25" t="s">
        <v>251</v>
      </c>
      <c r="AH25" t="s">
        <v>40</v>
      </c>
      <c r="AI25" t="s">
        <v>32</v>
      </c>
      <c r="AJ25" s="44" t="s">
        <v>10</v>
      </c>
      <c r="AK25" s="44">
        <v>79.880535931174094</v>
      </c>
      <c r="AL25" s="44">
        <v>132.9668190283401</v>
      </c>
      <c r="AM25" s="44">
        <v>186.05310212550611</v>
      </c>
      <c r="AP25" s="44" t="str">
        <f t="shared" si="6"/>
        <v>Medical scientist</v>
      </c>
      <c r="AQ25" s="44" t="str">
        <f t="shared" si="7"/>
        <v>VIC</v>
      </c>
      <c r="AR25" s="44" t="str">
        <f t="shared" si="8"/>
        <v>Base Salary</v>
      </c>
      <c r="AS25" t="str">
        <f t="shared" si="9"/>
        <v>133 (80 - 186)</v>
      </c>
      <c r="BB25" t="s">
        <v>62</v>
      </c>
      <c r="BC25" s="44">
        <v>125.92719767985052</v>
      </c>
      <c r="BD25" s="81">
        <f t="shared" si="18"/>
        <v>0.60307625654646824</v>
      </c>
      <c r="BE25" s="81">
        <f t="shared" si="19"/>
        <v>0.87156005059566466</v>
      </c>
      <c r="BF25" s="81">
        <f t="shared" si="20"/>
        <v>0.73914763270006356</v>
      </c>
      <c r="BG25" s="81">
        <f t="shared" si="21"/>
        <v>3.3855249638964686</v>
      </c>
    </row>
    <row r="26" spans="1:59" x14ac:dyDescent="0.2">
      <c r="A26" t="s">
        <v>47</v>
      </c>
      <c r="B26" s="44" t="s">
        <v>195</v>
      </c>
      <c r="C26" t="s">
        <v>96</v>
      </c>
      <c r="D26" s="44">
        <v>59.300413889753969</v>
      </c>
      <c r="E26" s="44">
        <v>80.985239867953894</v>
      </c>
      <c r="F26" s="44">
        <v>113.52358221737778</v>
      </c>
      <c r="I26" t="str">
        <f t="shared" si="1"/>
        <v>Admin staff</v>
      </c>
      <c r="J26" t="str">
        <f t="shared" si="2"/>
        <v xml:space="preserve">Leave Loading (%)		</v>
      </c>
      <c r="K26" t="str">
        <f t="shared" si="3"/>
        <v>ALL</v>
      </c>
      <c r="L26" t="str">
        <f t="shared" si="4"/>
        <v>81 (59 - 114)</v>
      </c>
      <c r="O26" t="s">
        <v>47</v>
      </c>
      <c r="P26" t="s">
        <v>195</v>
      </c>
      <c r="Q26" t="s">
        <v>96</v>
      </c>
      <c r="R26" t="s">
        <v>202</v>
      </c>
      <c r="T26" s="80" t="s">
        <v>33</v>
      </c>
      <c r="U26" t="s">
        <v>194</v>
      </c>
      <c r="V26" t="s">
        <v>252</v>
      </c>
      <c r="W26" t="s">
        <v>253</v>
      </c>
      <c r="X26" t="s">
        <v>254</v>
      </c>
      <c r="Y26" t="s">
        <v>255</v>
      </c>
      <c r="Z26" t="s">
        <v>256</v>
      </c>
      <c r="AA26" t="s">
        <v>257</v>
      </c>
      <c r="AH26" t="s">
        <v>40</v>
      </c>
      <c r="AI26" t="s">
        <v>88</v>
      </c>
      <c r="AJ26" s="44" t="s">
        <v>10</v>
      </c>
      <c r="AK26" s="44">
        <v>101.75434595920274</v>
      </c>
      <c r="AL26" s="44">
        <v>142.55387352071006</v>
      </c>
      <c r="AM26" s="44">
        <v>183.35340108221735</v>
      </c>
      <c r="AP26" s="44" t="str">
        <f t="shared" si="6"/>
        <v>Medical scientist</v>
      </c>
      <c r="AQ26" s="44" t="str">
        <f t="shared" si="7"/>
        <v>WA</v>
      </c>
      <c r="AR26" s="44" t="str">
        <f t="shared" si="8"/>
        <v>Base Salary</v>
      </c>
      <c r="AS26" t="str">
        <f t="shared" si="9"/>
        <v>143 (102 - 183)</v>
      </c>
      <c r="BB26" t="s">
        <v>32</v>
      </c>
      <c r="BC26" s="44">
        <v>132.9668190283401</v>
      </c>
      <c r="BD26" s="81">
        <f t="shared" si="18"/>
        <v>0.75482895295060926</v>
      </c>
      <c r="BE26" s="81">
        <f t="shared" si="19"/>
        <v>0.99106904410904817</v>
      </c>
      <c r="BF26" s="81">
        <f t="shared" si="20"/>
        <v>0.92401248809644687</v>
      </c>
      <c r="BG26" s="81">
        <f t="shared" si="21"/>
        <v>2.992754998619287</v>
      </c>
    </row>
    <row r="27" spans="1:59" x14ac:dyDescent="0.2">
      <c r="A27" t="s">
        <v>47</v>
      </c>
      <c r="B27" s="44" t="s">
        <v>195</v>
      </c>
      <c r="C27" t="s">
        <v>74</v>
      </c>
      <c r="D27" s="44">
        <v>57.737442267206475</v>
      </c>
      <c r="E27" s="44">
        <v>69.435605404858308</v>
      </c>
      <c r="F27" s="44">
        <v>81.133768542510111</v>
      </c>
      <c r="I27" t="str">
        <f t="shared" si="1"/>
        <v>Admin staff</v>
      </c>
      <c r="J27" t="str">
        <f t="shared" si="2"/>
        <v xml:space="preserve">Leave Loading (%)		</v>
      </c>
      <c r="K27" t="str">
        <f t="shared" si="3"/>
        <v>NSW</v>
      </c>
      <c r="L27" t="str">
        <f t="shared" si="4"/>
        <v>69 (58 - 81)</v>
      </c>
      <c r="O27" t="s">
        <v>47</v>
      </c>
      <c r="P27" t="s">
        <v>195</v>
      </c>
      <c r="Q27" t="s">
        <v>74</v>
      </c>
      <c r="R27" t="s">
        <v>204</v>
      </c>
      <c r="T27" s="80"/>
      <c r="U27" t="s">
        <v>191</v>
      </c>
      <c r="V27" t="s">
        <v>252</v>
      </c>
      <c r="W27" t="s">
        <v>253</v>
      </c>
      <c r="X27" t="s">
        <v>254</v>
      </c>
      <c r="Y27" t="s">
        <v>255</v>
      </c>
      <c r="Z27" t="s">
        <v>256</v>
      </c>
      <c r="AA27" t="s">
        <v>257</v>
      </c>
      <c r="AH27" t="s">
        <v>55</v>
      </c>
      <c r="AI27" t="s">
        <v>96</v>
      </c>
      <c r="AJ27" s="44" t="s">
        <v>10</v>
      </c>
      <c r="AK27" s="44">
        <v>268.72383106898161</v>
      </c>
      <c r="AL27" s="44">
        <v>379.98654067911093</v>
      </c>
      <c r="AM27" s="44">
        <v>482.95687512651824</v>
      </c>
      <c r="AP27" s="44" t="str">
        <f t="shared" si="6"/>
        <v>Pathologists</v>
      </c>
      <c r="AQ27" s="44" t="str">
        <f t="shared" si="7"/>
        <v>ALL</v>
      </c>
      <c r="AR27" s="44" t="str">
        <f t="shared" si="8"/>
        <v>Base Salary</v>
      </c>
      <c r="AS27" t="str">
        <f t="shared" si="9"/>
        <v>380 (269 - 483)</v>
      </c>
      <c r="BB27" t="s">
        <v>88</v>
      </c>
      <c r="BC27" s="44">
        <v>142.55387352071006</v>
      </c>
      <c r="BD27" s="81">
        <f t="shared" si="18"/>
        <v>0.58064397795324685</v>
      </c>
      <c r="BE27" s="81">
        <f t="shared" si="19"/>
        <v>0.79585660439651151</v>
      </c>
      <c r="BF27" s="81">
        <f t="shared" si="20"/>
        <v>0.65450610320888469</v>
      </c>
      <c r="BG27" s="81">
        <f t="shared" si="21"/>
        <v>2.978704576319537</v>
      </c>
    </row>
    <row r="28" spans="1:59" x14ac:dyDescent="0.2">
      <c r="A28" t="s">
        <v>47</v>
      </c>
      <c r="B28" s="44" t="s">
        <v>195</v>
      </c>
      <c r="C28" t="s">
        <v>82</v>
      </c>
      <c r="D28" s="44">
        <v>58.089778573653071</v>
      </c>
      <c r="E28" s="44">
        <v>77.38128143491123</v>
      </c>
      <c r="F28" s="44">
        <v>96.672784296169425</v>
      </c>
      <c r="I28" t="str">
        <f t="shared" si="1"/>
        <v>Admin staff</v>
      </c>
      <c r="J28" t="str">
        <f t="shared" si="2"/>
        <v xml:space="preserve">Leave Loading (%)		</v>
      </c>
      <c r="K28" t="str">
        <f t="shared" si="3"/>
        <v>QLD</v>
      </c>
      <c r="L28" t="str">
        <f t="shared" si="4"/>
        <v>77 (58 - 97)</v>
      </c>
      <c r="O28" t="s">
        <v>47</v>
      </c>
      <c r="P28" t="s">
        <v>195</v>
      </c>
      <c r="Q28" t="s">
        <v>82</v>
      </c>
      <c r="R28" t="s">
        <v>205</v>
      </c>
      <c r="T28" s="80"/>
      <c r="U28" t="s">
        <v>188</v>
      </c>
      <c r="V28" t="s">
        <v>258</v>
      </c>
      <c r="W28" t="s">
        <v>259</v>
      </c>
      <c r="X28" t="s">
        <v>260</v>
      </c>
      <c r="Y28" t="s">
        <v>261</v>
      </c>
      <c r="Z28" t="s">
        <v>262</v>
      </c>
      <c r="AA28" t="s">
        <v>263</v>
      </c>
      <c r="AH28" t="s">
        <v>55</v>
      </c>
      <c r="AI28" t="s">
        <v>74</v>
      </c>
      <c r="AJ28" s="44" t="s">
        <v>10</v>
      </c>
      <c r="AK28" s="44">
        <v>268.72383106898161</v>
      </c>
      <c r="AL28" s="44">
        <v>312.51377973178137</v>
      </c>
      <c r="AM28" s="44">
        <v>356.30372839458113</v>
      </c>
      <c r="AP28" s="44" t="str">
        <f t="shared" si="6"/>
        <v>Pathologists</v>
      </c>
      <c r="AQ28" s="44" t="str">
        <f t="shared" si="7"/>
        <v>NSW</v>
      </c>
      <c r="AR28" s="44" t="str">
        <f t="shared" si="8"/>
        <v>Base Salary</v>
      </c>
      <c r="AS28" t="str">
        <f t="shared" si="9"/>
        <v>313 (269 - 356)</v>
      </c>
      <c r="BB28" t="s">
        <v>96</v>
      </c>
      <c r="BC28" s="44">
        <v>132.09725249252568</v>
      </c>
      <c r="BD28" s="81">
        <f t="shared" si="18"/>
        <v>0.61454850140040851</v>
      </c>
      <c r="BE28" s="81">
        <f t="shared" si="19"/>
        <v>0.90523731800592833</v>
      </c>
      <c r="BF28" s="81">
        <f t="shared" si="20"/>
        <v>0.73782514311323955</v>
      </c>
      <c r="BG28" s="81">
        <f t="shared" si="21"/>
        <v>2.876566571288917</v>
      </c>
    </row>
    <row r="29" spans="1:59" x14ac:dyDescent="0.2">
      <c r="A29" t="s">
        <v>47</v>
      </c>
      <c r="B29" s="44" t="s">
        <v>195</v>
      </c>
      <c r="C29" t="s">
        <v>62</v>
      </c>
      <c r="D29" s="44">
        <v>68.20481267517907</v>
      </c>
      <c r="E29" s="44">
        <v>75.94370297415135</v>
      </c>
      <c r="F29" s="44">
        <v>83.682593273123629</v>
      </c>
      <c r="I29" t="str">
        <f t="shared" si="1"/>
        <v>Admin staff</v>
      </c>
      <c r="J29" t="str">
        <f t="shared" si="2"/>
        <v xml:space="preserve">Leave Loading (%)		</v>
      </c>
      <c r="K29" t="str">
        <f t="shared" si="3"/>
        <v>SA</v>
      </c>
      <c r="L29" t="str">
        <f t="shared" si="4"/>
        <v>76 (68 - 84)</v>
      </c>
      <c r="O29" t="s">
        <v>47</v>
      </c>
      <c r="P29" t="s">
        <v>195</v>
      </c>
      <c r="Q29" t="s">
        <v>62</v>
      </c>
      <c r="R29" t="s">
        <v>206</v>
      </c>
      <c r="U29" s="44" t="s">
        <v>10</v>
      </c>
      <c r="V29" t="s">
        <v>252</v>
      </c>
      <c r="W29" t="s">
        <v>253</v>
      </c>
      <c r="X29" t="s">
        <v>254</v>
      </c>
      <c r="Y29" t="s">
        <v>255</v>
      </c>
      <c r="Z29" t="s">
        <v>256</v>
      </c>
      <c r="AA29" t="s">
        <v>264</v>
      </c>
      <c r="AH29" t="s">
        <v>55</v>
      </c>
      <c r="AI29" t="s">
        <v>82</v>
      </c>
      <c r="AJ29" s="44" t="s">
        <v>10</v>
      </c>
      <c r="AK29" s="44">
        <v>285.78028254437862</v>
      </c>
      <c r="AL29" s="44">
        <v>338.52626455932733</v>
      </c>
      <c r="AM29" s="44">
        <v>391.27224657427587</v>
      </c>
      <c r="AP29" s="44" t="str">
        <f t="shared" si="6"/>
        <v>Pathologists</v>
      </c>
      <c r="AQ29" s="44" t="str">
        <f t="shared" si="7"/>
        <v>QLD</v>
      </c>
      <c r="AR29" s="44" t="str">
        <f t="shared" si="8"/>
        <v>Base Salary</v>
      </c>
      <c r="AS29" t="str">
        <f t="shared" si="9"/>
        <v>339 (286 - 391)</v>
      </c>
      <c r="BD29" t="s">
        <v>48</v>
      </c>
      <c r="BE29" t="s">
        <v>231</v>
      </c>
      <c r="BF29" t="s">
        <v>34</v>
      </c>
      <c r="BG29" t="s">
        <v>41</v>
      </c>
    </row>
    <row r="30" spans="1:59" x14ac:dyDescent="0.2">
      <c r="A30" t="s">
        <v>47</v>
      </c>
      <c r="B30" s="44" t="s">
        <v>195</v>
      </c>
      <c r="C30" t="s">
        <v>32</v>
      </c>
      <c r="D30" s="44">
        <v>82.411060923388348</v>
      </c>
      <c r="E30" s="44">
        <v>100.3672047843351</v>
      </c>
      <c r="F30" s="44">
        <v>118.32334864528184</v>
      </c>
      <c r="I30" t="str">
        <f t="shared" si="1"/>
        <v>Admin staff</v>
      </c>
      <c r="J30" t="str">
        <f t="shared" si="2"/>
        <v xml:space="preserve">Leave Loading (%)		</v>
      </c>
      <c r="K30" t="str">
        <f t="shared" si="3"/>
        <v>VIC</v>
      </c>
      <c r="L30" t="str">
        <f t="shared" si="4"/>
        <v>100 (82 - 118)</v>
      </c>
      <c r="O30" t="s">
        <v>47</v>
      </c>
      <c r="P30" t="s">
        <v>195</v>
      </c>
      <c r="Q30" t="s">
        <v>32</v>
      </c>
      <c r="R30" t="s">
        <v>207</v>
      </c>
      <c r="T30" s="80"/>
      <c r="U30" t="s">
        <v>198</v>
      </c>
      <c r="V30" t="s">
        <v>265</v>
      </c>
      <c r="W30" t="s">
        <v>266</v>
      </c>
      <c r="X30" t="s">
        <v>267</v>
      </c>
      <c r="Y30" t="s">
        <v>268</v>
      </c>
      <c r="Z30" t="s">
        <v>269</v>
      </c>
      <c r="AA30" t="s">
        <v>270</v>
      </c>
      <c r="AH30" t="s">
        <v>55</v>
      </c>
      <c r="AI30" t="s">
        <v>62</v>
      </c>
      <c r="AJ30" s="44" t="s">
        <v>10</v>
      </c>
      <c r="AK30" s="44">
        <v>369.70246763080041</v>
      </c>
      <c r="AL30" s="44">
        <v>426.32967137865938</v>
      </c>
      <c r="AM30" s="44">
        <v>482.95687512651824</v>
      </c>
      <c r="AP30" s="44" t="str">
        <f t="shared" si="6"/>
        <v>Pathologists</v>
      </c>
      <c r="AQ30" s="44" t="str">
        <f t="shared" si="7"/>
        <v>SA</v>
      </c>
      <c r="AR30" s="44" t="str">
        <f t="shared" si="8"/>
        <v>Base Salary</v>
      </c>
      <c r="AS30" t="str">
        <f t="shared" si="9"/>
        <v>426 (370 - 483)</v>
      </c>
      <c r="BA30" t="s">
        <v>55</v>
      </c>
      <c r="BB30" t="s">
        <v>74</v>
      </c>
      <c r="BC30" s="44">
        <v>312.51377973178137</v>
      </c>
      <c r="BD30" s="81">
        <f t="shared" ref="BD30:BD35" si="22">$BC2/$BC30</f>
        <v>0.22218414005440731</v>
      </c>
      <c r="BE30" s="81">
        <f t="shared" ref="BE30:BE35" si="23">$BC9/$BC30</f>
        <v>0.37437274623171823</v>
      </c>
      <c r="BF30" s="81">
        <f t="shared" ref="BF30:BF35" si="24">$BC16/$BC30</f>
        <v>0.29770309939551792</v>
      </c>
      <c r="BG30" s="81">
        <f t="shared" ref="BG30:BG35" si="25">$BC23/$BC30</f>
        <v>0.42597499613493761</v>
      </c>
    </row>
    <row r="31" spans="1:59" x14ac:dyDescent="0.2">
      <c r="A31" t="s">
        <v>47</v>
      </c>
      <c r="B31" s="44" t="s">
        <v>195</v>
      </c>
      <c r="C31" t="s">
        <v>88</v>
      </c>
      <c r="D31" s="44">
        <v>75.275442113048882</v>
      </c>
      <c r="E31" s="44">
        <v>82.773048193709116</v>
      </c>
      <c r="F31" s="44">
        <v>90.270654274369349</v>
      </c>
      <c r="I31" t="str">
        <f t="shared" si="1"/>
        <v>Admin staff</v>
      </c>
      <c r="J31" t="str">
        <f t="shared" si="2"/>
        <v xml:space="preserve">Leave Loading (%)		</v>
      </c>
      <c r="K31" t="str">
        <f t="shared" si="3"/>
        <v>WA</v>
      </c>
      <c r="L31" t="str">
        <f t="shared" si="4"/>
        <v>83 (75 - 90)</v>
      </c>
      <c r="O31" t="s">
        <v>47</v>
      </c>
      <c r="P31" t="s">
        <v>195</v>
      </c>
      <c r="Q31" t="s">
        <v>88</v>
      </c>
      <c r="R31" t="s">
        <v>208</v>
      </c>
      <c r="T31" s="80"/>
      <c r="U31" t="s">
        <v>195</v>
      </c>
      <c r="V31" t="s">
        <v>252</v>
      </c>
      <c r="W31" t="s">
        <v>253</v>
      </c>
      <c r="X31" t="s">
        <v>254</v>
      </c>
      <c r="Y31" t="s">
        <v>255</v>
      </c>
      <c r="Z31" t="s">
        <v>256</v>
      </c>
      <c r="AA31" t="s">
        <v>257</v>
      </c>
      <c r="AH31" t="s">
        <v>55</v>
      </c>
      <c r="AI31" t="s">
        <v>32</v>
      </c>
      <c r="AJ31" s="44" t="s">
        <v>10</v>
      </c>
      <c r="AK31" s="44">
        <v>337.41975202429148</v>
      </c>
      <c r="AL31" s="44">
        <v>397.93711229757093</v>
      </c>
      <c r="AM31" s="44">
        <v>458.45447257085021</v>
      </c>
      <c r="AP31" s="44" t="str">
        <f t="shared" si="6"/>
        <v>Pathologists</v>
      </c>
      <c r="AQ31" s="44" t="str">
        <f t="shared" si="7"/>
        <v>VIC</v>
      </c>
      <c r="AR31" s="44" t="str">
        <f t="shared" si="8"/>
        <v>Base Salary</v>
      </c>
      <c r="AS31" t="str">
        <f t="shared" si="9"/>
        <v>398 (337 - 458)</v>
      </c>
      <c r="BB31" t="s">
        <v>82</v>
      </c>
      <c r="BC31" s="44">
        <v>338.52626455932733</v>
      </c>
      <c r="BD31" s="81">
        <f t="shared" si="22"/>
        <v>0.22858280002481174</v>
      </c>
      <c r="BE31" s="81">
        <f t="shared" si="23"/>
        <v>0.37195139433058844</v>
      </c>
      <c r="BF31" s="81">
        <f t="shared" si="24"/>
        <v>0.25121500929603924</v>
      </c>
      <c r="BG31" s="81">
        <f t="shared" si="25"/>
        <v>0.37195139433058844</v>
      </c>
    </row>
    <row r="32" spans="1:59" x14ac:dyDescent="0.2">
      <c r="A32" t="s">
        <v>47</v>
      </c>
      <c r="B32" s="44" t="s">
        <v>190</v>
      </c>
      <c r="C32" t="s">
        <v>96</v>
      </c>
      <c r="D32" s="44">
        <v>59.300413889753969</v>
      </c>
      <c r="E32" s="44">
        <v>80.985239867953894</v>
      </c>
      <c r="F32" s="44">
        <v>113.52358221737778</v>
      </c>
      <c r="I32" t="str">
        <f t="shared" si="1"/>
        <v>Admin staff</v>
      </c>
      <c r="J32" t="str">
        <f t="shared" si="2"/>
        <v>Private Practice Loading</v>
      </c>
      <c r="K32" t="str">
        <f t="shared" si="3"/>
        <v>ALL</v>
      </c>
      <c r="L32" t="str">
        <f t="shared" si="4"/>
        <v>81 (59 - 114)</v>
      </c>
      <c r="O32" t="s">
        <v>47</v>
      </c>
      <c r="P32" t="s">
        <v>190</v>
      </c>
      <c r="Q32" t="s">
        <v>96</v>
      </c>
      <c r="R32" t="s">
        <v>202</v>
      </c>
      <c r="T32" s="80"/>
      <c r="U32" t="s">
        <v>190</v>
      </c>
      <c r="V32" t="s">
        <v>252</v>
      </c>
      <c r="W32" t="s">
        <v>253</v>
      </c>
      <c r="X32" t="s">
        <v>254</v>
      </c>
      <c r="Y32" t="s">
        <v>255</v>
      </c>
      <c r="Z32" t="s">
        <v>256</v>
      </c>
      <c r="AA32" t="s">
        <v>257</v>
      </c>
      <c r="AH32" t="s">
        <v>55</v>
      </c>
      <c r="AI32" t="s">
        <v>88</v>
      </c>
      <c r="AJ32" s="44" t="s">
        <v>10</v>
      </c>
      <c r="AK32" s="44">
        <v>371.44467187013396</v>
      </c>
      <c r="AL32" s="44">
        <v>424.62587542821552</v>
      </c>
      <c r="AM32" s="44">
        <v>477.80707898629703</v>
      </c>
      <c r="AP32" s="44" t="str">
        <f t="shared" si="6"/>
        <v>Pathologists</v>
      </c>
      <c r="AQ32" s="44" t="str">
        <f t="shared" si="7"/>
        <v>WA</v>
      </c>
      <c r="AR32" s="44" t="str">
        <f t="shared" si="8"/>
        <v>Base Salary</v>
      </c>
      <c r="AS32" t="str">
        <f t="shared" si="9"/>
        <v>425 (371 - 478)</v>
      </c>
      <c r="BB32" t="s">
        <v>62</v>
      </c>
      <c r="BC32" s="44">
        <v>426.32967137865938</v>
      </c>
      <c r="BD32" s="81">
        <f t="shared" si="22"/>
        <v>0.17813374970727602</v>
      </c>
      <c r="BE32" s="81">
        <f t="shared" si="23"/>
        <v>0.25743719508497398</v>
      </c>
      <c r="BF32" s="81">
        <f t="shared" si="24"/>
        <v>0.2183258550985144</v>
      </c>
      <c r="BG32" s="81">
        <f t="shared" si="25"/>
        <v>0.29537516652929358</v>
      </c>
    </row>
    <row r="33" spans="1:59" x14ac:dyDescent="0.2">
      <c r="A33" t="s">
        <v>47</v>
      </c>
      <c r="B33" s="44" t="s">
        <v>190</v>
      </c>
      <c r="C33" t="s">
        <v>74</v>
      </c>
      <c r="D33" s="44">
        <v>57.737442267206475</v>
      </c>
      <c r="E33" s="44">
        <v>69.435605404858308</v>
      </c>
      <c r="F33" s="44">
        <v>81.133768542510111</v>
      </c>
      <c r="I33" t="str">
        <f t="shared" si="1"/>
        <v>Admin staff</v>
      </c>
      <c r="J33" t="str">
        <f t="shared" si="2"/>
        <v>Private Practice Loading</v>
      </c>
      <c r="K33" t="str">
        <f t="shared" si="3"/>
        <v>NSW</v>
      </c>
      <c r="L33" t="str">
        <f t="shared" si="4"/>
        <v>69 (58 - 81)</v>
      </c>
      <c r="O33" t="s">
        <v>47</v>
      </c>
      <c r="P33" t="s">
        <v>190</v>
      </c>
      <c r="Q33" t="s">
        <v>74</v>
      </c>
      <c r="R33" t="s">
        <v>204</v>
      </c>
      <c r="T33" s="80"/>
      <c r="U33" t="s">
        <v>193</v>
      </c>
      <c r="V33" t="s">
        <v>252</v>
      </c>
      <c r="W33" t="s">
        <v>253</v>
      </c>
      <c r="X33" t="s">
        <v>254</v>
      </c>
      <c r="Y33" t="s">
        <v>255</v>
      </c>
      <c r="Z33" t="s">
        <v>256</v>
      </c>
      <c r="AA33" t="s">
        <v>257</v>
      </c>
      <c r="BB33" t="s">
        <v>32</v>
      </c>
      <c r="BC33" s="44">
        <v>397.93711229757093</v>
      </c>
      <c r="BD33" s="81">
        <f t="shared" si="22"/>
        <v>0.25221875940357663</v>
      </c>
      <c r="BE33" s="81">
        <f t="shared" si="23"/>
        <v>0.33115609014646363</v>
      </c>
      <c r="BF33" s="81">
        <f t="shared" si="24"/>
        <v>0.3087497935924397</v>
      </c>
      <c r="BG33" s="81">
        <f t="shared" si="25"/>
        <v>0.33414028226879644</v>
      </c>
    </row>
    <row r="34" spans="1:59" x14ac:dyDescent="0.2">
      <c r="A34" t="s">
        <v>47</v>
      </c>
      <c r="B34" s="44" t="s">
        <v>190</v>
      </c>
      <c r="C34" t="s">
        <v>82</v>
      </c>
      <c r="D34" s="44">
        <v>58.089778573653071</v>
      </c>
      <c r="E34" s="44">
        <v>77.38128143491123</v>
      </c>
      <c r="F34" s="44">
        <v>96.672784296169425</v>
      </c>
      <c r="I34" t="str">
        <f t="shared" si="1"/>
        <v>Admin staff</v>
      </c>
      <c r="J34" t="str">
        <f t="shared" si="2"/>
        <v>Private Practice Loading</v>
      </c>
      <c r="K34" t="str">
        <f t="shared" si="3"/>
        <v>QLD</v>
      </c>
      <c r="L34" t="str">
        <f t="shared" si="4"/>
        <v>77 (58 - 97)</v>
      </c>
      <c r="O34" t="s">
        <v>47</v>
      </c>
      <c r="P34" t="s">
        <v>190</v>
      </c>
      <c r="Q34" t="s">
        <v>82</v>
      </c>
      <c r="R34" t="s">
        <v>205</v>
      </c>
      <c r="T34" s="80"/>
      <c r="U34" t="s">
        <v>189</v>
      </c>
      <c r="V34" t="s">
        <v>252</v>
      </c>
      <c r="W34" t="s">
        <v>253</v>
      </c>
      <c r="X34" t="s">
        <v>254</v>
      </c>
      <c r="Y34" t="s">
        <v>255</v>
      </c>
      <c r="Z34" t="s">
        <v>271</v>
      </c>
      <c r="AA34" t="s">
        <v>257</v>
      </c>
      <c r="BB34" t="s">
        <v>88</v>
      </c>
      <c r="BC34" s="44">
        <v>424.62587542821552</v>
      </c>
      <c r="BD34" s="81">
        <f t="shared" si="22"/>
        <v>0.19493171043859805</v>
      </c>
      <c r="BE34" s="81">
        <f t="shared" si="23"/>
        <v>0.26718212028259125</v>
      </c>
      <c r="BF34" s="81">
        <f t="shared" si="24"/>
        <v>0.21972843779546178</v>
      </c>
      <c r="BG34" s="81">
        <f t="shared" si="25"/>
        <v>0.33571640771290984</v>
      </c>
    </row>
    <row r="35" spans="1:59" x14ac:dyDescent="0.2">
      <c r="A35" t="s">
        <v>47</v>
      </c>
      <c r="B35" s="44" t="s">
        <v>190</v>
      </c>
      <c r="C35" t="s">
        <v>62</v>
      </c>
      <c r="D35" s="44">
        <v>68.20481267517907</v>
      </c>
      <c r="E35" s="44">
        <v>75.94370297415135</v>
      </c>
      <c r="F35" s="44">
        <v>83.682593273123629</v>
      </c>
      <c r="I35" t="str">
        <f t="shared" si="1"/>
        <v>Admin staff</v>
      </c>
      <c r="J35" t="str">
        <f t="shared" si="2"/>
        <v>Private Practice Loading</v>
      </c>
      <c r="K35" t="str">
        <f t="shared" si="3"/>
        <v>SA</v>
      </c>
      <c r="L35" t="str">
        <f t="shared" si="4"/>
        <v>76 (68 - 84)</v>
      </c>
      <c r="O35" t="s">
        <v>47</v>
      </c>
      <c r="P35" t="s">
        <v>190</v>
      </c>
      <c r="Q35" t="s">
        <v>62</v>
      </c>
      <c r="R35" t="s">
        <v>206</v>
      </c>
      <c r="T35" s="80"/>
      <c r="U35" t="s">
        <v>192</v>
      </c>
      <c r="V35" t="s">
        <v>252</v>
      </c>
      <c r="W35" t="s">
        <v>253</v>
      </c>
      <c r="X35" t="s">
        <v>254</v>
      </c>
      <c r="Y35" t="s">
        <v>255</v>
      </c>
      <c r="Z35" t="s">
        <v>256</v>
      </c>
      <c r="AA35" t="s">
        <v>257</v>
      </c>
      <c r="AH35" s="44" t="s">
        <v>47</v>
      </c>
      <c r="AI35" s="44" t="s">
        <v>96</v>
      </c>
      <c r="AJ35" s="44" t="s">
        <v>10</v>
      </c>
      <c r="AK35" t="s">
        <v>215</v>
      </c>
      <c r="AO35" s="44" t="s">
        <v>47</v>
      </c>
      <c r="AP35" s="44" t="s">
        <v>47</v>
      </c>
      <c r="AQ35" s="44" t="s">
        <v>47</v>
      </c>
      <c r="AR35" s="44" t="s">
        <v>47</v>
      </c>
      <c r="AS35" s="44" t="s">
        <v>47</v>
      </c>
      <c r="AT35" s="44" t="s">
        <v>47</v>
      </c>
      <c r="BB35" t="s">
        <v>96</v>
      </c>
      <c r="BC35" s="44">
        <v>379.98654067911093</v>
      </c>
      <c r="BD35" s="81">
        <f t="shared" si="22"/>
        <v>0.21363958947942749</v>
      </c>
      <c r="BE35" s="81">
        <f t="shared" si="23"/>
        <v>0.31469367927762376</v>
      </c>
      <c r="BF35" s="81">
        <f t="shared" si="24"/>
        <v>0.25649506967003333</v>
      </c>
      <c r="BG35" s="81">
        <f t="shared" si="25"/>
        <v>0.34763666169975871</v>
      </c>
    </row>
    <row r="36" spans="1:59" x14ac:dyDescent="0.2">
      <c r="A36" t="s">
        <v>47</v>
      </c>
      <c r="B36" s="44" t="s">
        <v>190</v>
      </c>
      <c r="C36" t="s">
        <v>32</v>
      </c>
      <c r="D36" s="44">
        <v>82.411060923388348</v>
      </c>
      <c r="E36" s="44">
        <v>100.3672047843351</v>
      </c>
      <c r="F36" s="44">
        <v>118.32334864528184</v>
      </c>
      <c r="I36" t="str">
        <f t="shared" si="1"/>
        <v>Admin staff</v>
      </c>
      <c r="J36" t="str">
        <f t="shared" si="2"/>
        <v>Private Practice Loading</v>
      </c>
      <c r="K36" t="str">
        <f t="shared" si="3"/>
        <v>VIC</v>
      </c>
      <c r="L36" t="str">
        <f t="shared" si="4"/>
        <v>100 (82 - 118)</v>
      </c>
      <c r="O36" t="s">
        <v>47</v>
      </c>
      <c r="P36" t="s">
        <v>190</v>
      </c>
      <c r="Q36" t="s">
        <v>32</v>
      </c>
      <c r="R36" t="s">
        <v>207</v>
      </c>
      <c r="T36" s="80"/>
      <c r="U36" t="s">
        <v>199</v>
      </c>
      <c r="V36" t="s">
        <v>272</v>
      </c>
      <c r="W36" t="s">
        <v>273</v>
      </c>
      <c r="X36" t="s">
        <v>274</v>
      </c>
      <c r="Y36" t="s">
        <v>275</v>
      </c>
      <c r="Z36" t="s">
        <v>271</v>
      </c>
      <c r="AA36" t="s">
        <v>276</v>
      </c>
      <c r="AH36" s="44" t="s">
        <v>47</v>
      </c>
      <c r="AI36" s="44" t="s">
        <v>74</v>
      </c>
      <c r="AJ36" s="44" t="s">
        <v>10</v>
      </c>
      <c r="AK36" t="s">
        <v>204</v>
      </c>
      <c r="AO36" s="44" t="s">
        <v>74</v>
      </c>
      <c r="AP36" s="44" t="s">
        <v>82</v>
      </c>
      <c r="AQ36" s="44" t="s">
        <v>62</v>
      </c>
      <c r="AR36" s="44" t="s">
        <v>32</v>
      </c>
      <c r="AS36" s="44" t="s">
        <v>88</v>
      </c>
      <c r="AT36" s="44" t="s">
        <v>96</v>
      </c>
    </row>
    <row r="37" spans="1:59" x14ac:dyDescent="0.2">
      <c r="A37" t="s">
        <v>47</v>
      </c>
      <c r="B37" s="44" t="s">
        <v>190</v>
      </c>
      <c r="C37" t="s">
        <v>88</v>
      </c>
      <c r="D37" s="44">
        <v>75.275442113048882</v>
      </c>
      <c r="E37" s="44">
        <v>82.773048193709116</v>
      </c>
      <c r="F37" s="44">
        <v>90.270654274369349</v>
      </c>
      <c r="I37" t="str">
        <f t="shared" si="1"/>
        <v>Admin staff</v>
      </c>
      <c r="J37" t="str">
        <f t="shared" si="2"/>
        <v>Private Practice Loading</v>
      </c>
      <c r="K37" t="str">
        <f t="shared" si="3"/>
        <v>WA</v>
      </c>
      <c r="L37" t="str">
        <f t="shared" si="4"/>
        <v>83 (75 - 90)</v>
      </c>
      <c r="O37" t="s">
        <v>47</v>
      </c>
      <c r="P37" t="s">
        <v>190</v>
      </c>
      <c r="Q37" t="s">
        <v>88</v>
      </c>
      <c r="R37" t="s">
        <v>208</v>
      </c>
      <c r="T37" s="80" t="s">
        <v>40</v>
      </c>
      <c r="U37" t="s">
        <v>194</v>
      </c>
      <c r="V37" t="s">
        <v>277</v>
      </c>
      <c r="W37" t="s">
        <v>226</v>
      </c>
      <c r="X37" t="s">
        <v>278</v>
      </c>
      <c r="Y37" t="s">
        <v>279</v>
      </c>
      <c r="Z37" t="s">
        <v>280</v>
      </c>
      <c r="AA37" t="s">
        <v>281</v>
      </c>
      <c r="AH37" s="44" t="s">
        <v>47</v>
      </c>
      <c r="AI37" s="44" t="s">
        <v>82</v>
      </c>
      <c r="AJ37" s="44" t="s">
        <v>10</v>
      </c>
      <c r="AK37" t="s">
        <v>205</v>
      </c>
      <c r="AM37" s="44" t="s">
        <v>47</v>
      </c>
      <c r="AN37" s="44" t="s">
        <v>10</v>
      </c>
      <c r="AO37" t="s">
        <v>204</v>
      </c>
      <c r="AP37" t="s">
        <v>205</v>
      </c>
      <c r="AQ37" t="s">
        <v>206</v>
      </c>
      <c r="AR37" t="s">
        <v>207</v>
      </c>
      <c r="AS37" t="s">
        <v>208</v>
      </c>
      <c r="AT37" t="s">
        <v>215</v>
      </c>
    </row>
    <row r="38" spans="1:59" x14ac:dyDescent="0.2">
      <c r="A38" t="s">
        <v>47</v>
      </c>
      <c r="B38" s="44" t="s">
        <v>193</v>
      </c>
      <c r="C38" t="s">
        <v>96</v>
      </c>
      <c r="D38" s="44">
        <v>59.300413889753969</v>
      </c>
      <c r="E38" s="44">
        <v>80.985239867953894</v>
      </c>
      <c r="F38" s="44">
        <v>113.52358221737778</v>
      </c>
      <c r="I38" t="str">
        <f t="shared" si="1"/>
        <v>Admin staff</v>
      </c>
      <c r="J38" t="str">
        <f t="shared" si="2"/>
        <v>Professional Development Allowance</v>
      </c>
      <c r="K38" t="str">
        <f t="shared" si="3"/>
        <v>ALL</v>
      </c>
      <c r="L38" t="str">
        <f t="shared" si="4"/>
        <v>81 (59 - 114)</v>
      </c>
      <c r="O38" t="s">
        <v>47</v>
      </c>
      <c r="P38" t="s">
        <v>193</v>
      </c>
      <c r="Q38" t="s">
        <v>96</v>
      </c>
      <c r="R38" t="s">
        <v>202</v>
      </c>
      <c r="T38" s="80"/>
      <c r="U38" t="s">
        <v>191</v>
      </c>
      <c r="V38" t="s">
        <v>277</v>
      </c>
      <c r="W38" t="s">
        <v>226</v>
      </c>
      <c r="X38" t="s">
        <v>278</v>
      </c>
      <c r="Y38" t="s">
        <v>279</v>
      </c>
      <c r="Z38" t="s">
        <v>280</v>
      </c>
      <c r="AA38" t="s">
        <v>281</v>
      </c>
      <c r="AH38" s="44" t="s">
        <v>47</v>
      </c>
      <c r="AI38" s="44" t="s">
        <v>62</v>
      </c>
      <c r="AJ38" s="44" t="s">
        <v>10</v>
      </c>
      <c r="AK38" t="s">
        <v>206</v>
      </c>
      <c r="AM38" s="44" t="s">
        <v>50</v>
      </c>
      <c r="AN38" s="44" t="s">
        <v>10</v>
      </c>
      <c r="AO38" t="s">
        <v>225</v>
      </c>
      <c r="AP38" t="s">
        <v>226</v>
      </c>
      <c r="AQ38" t="s">
        <v>227</v>
      </c>
      <c r="AR38" t="s">
        <v>228</v>
      </c>
      <c r="AS38" t="s">
        <v>229</v>
      </c>
      <c r="AT38" t="s">
        <v>238</v>
      </c>
    </row>
    <row r="39" spans="1:59" x14ac:dyDescent="0.2">
      <c r="A39" t="s">
        <v>47</v>
      </c>
      <c r="B39" s="44" t="s">
        <v>193</v>
      </c>
      <c r="C39" t="s">
        <v>74</v>
      </c>
      <c r="D39" s="44">
        <v>57.737442267206475</v>
      </c>
      <c r="E39" s="44">
        <v>69.435605404858308</v>
      </c>
      <c r="F39" s="44">
        <v>81.133768542510111</v>
      </c>
      <c r="I39" t="str">
        <f t="shared" si="1"/>
        <v>Admin staff</v>
      </c>
      <c r="J39" t="str">
        <f t="shared" si="2"/>
        <v>Professional Development Allowance</v>
      </c>
      <c r="K39" t="str">
        <f t="shared" si="3"/>
        <v>NSW</v>
      </c>
      <c r="L39" t="str">
        <f t="shared" si="4"/>
        <v>69 (58 - 81)</v>
      </c>
      <c r="O39" t="s">
        <v>47</v>
      </c>
      <c r="P39" t="s">
        <v>193</v>
      </c>
      <c r="Q39" t="s">
        <v>74</v>
      </c>
      <c r="R39" t="s">
        <v>204</v>
      </c>
      <c r="T39" s="80"/>
      <c r="U39" t="s">
        <v>188</v>
      </c>
      <c r="V39" t="s">
        <v>282</v>
      </c>
      <c r="W39" t="s">
        <v>233</v>
      </c>
      <c r="X39" t="s">
        <v>283</v>
      </c>
      <c r="Y39" t="s">
        <v>284</v>
      </c>
      <c r="Z39" t="s">
        <v>285</v>
      </c>
      <c r="AA39" t="s">
        <v>286</v>
      </c>
      <c r="AH39" s="44" t="s">
        <v>47</v>
      </c>
      <c r="AI39" s="44" t="s">
        <v>32</v>
      </c>
      <c r="AJ39" s="44" t="s">
        <v>10</v>
      </c>
      <c r="AK39" t="s">
        <v>207</v>
      </c>
      <c r="AM39" s="44" t="s">
        <v>33</v>
      </c>
      <c r="AN39" s="44" t="s">
        <v>10</v>
      </c>
      <c r="AO39" t="s">
        <v>252</v>
      </c>
      <c r="AP39" t="s">
        <v>253</v>
      </c>
      <c r="AQ39" t="s">
        <v>254</v>
      </c>
      <c r="AR39" t="s">
        <v>255</v>
      </c>
      <c r="AS39" t="s">
        <v>256</v>
      </c>
      <c r="AT39" t="s">
        <v>264</v>
      </c>
    </row>
    <row r="40" spans="1:59" x14ac:dyDescent="0.2">
      <c r="A40" t="s">
        <v>47</v>
      </c>
      <c r="B40" s="44" t="s">
        <v>193</v>
      </c>
      <c r="C40" t="s">
        <v>82</v>
      </c>
      <c r="D40" s="44">
        <v>58.089778573653071</v>
      </c>
      <c r="E40" s="44">
        <v>77.38128143491123</v>
      </c>
      <c r="F40" s="44">
        <v>96.672784296169425</v>
      </c>
      <c r="I40" t="str">
        <f t="shared" si="1"/>
        <v>Admin staff</v>
      </c>
      <c r="J40" t="str">
        <f t="shared" si="2"/>
        <v>Professional Development Allowance</v>
      </c>
      <c r="K40" t="str">
        <f t="shared" si="3"/>
        <v>QLD</v>
      </c>
      <c r="L40" t="str">
        <f t="shared" si="4"/>
        <v>77 (58 - 97)</v>
      </c>
      <c r="O40" t="s">
        <v>47</v>
      </c>
      <c r="P40" t="s">
        <v>193</v>
      </c>
      <c r="Q40" t="s">
        <v>82</v>
      </c>
      <c r="R40" t="s">
        <v>205</v>
      </c>
      <c r="U40" s="44" t="s">
        <v>10</v>
      </c>
      <c r="V40" t="s">
        <v>277</v>
      </c>
      <c r="W40" t="s">
        <v>226</v>
      </c>
      <c r="X40" t="s">
        <v>278</v>
      </c>
      <c r="Y40" t="s">
        <v>279</v>
      </c>
      <c r="Z40" t="s">
        <v>280</v>
      </c>
      <c r="AA40" t="s">
        <v>287</v>
      </c>
      <c r="AH40" s="44" t="s">
        <v>47</v>
      </c>
      <c r="AI40" s="44" t="s">
        <v>88</v>
      </c>
      <c r="AJ40" s="44" t="s">
        <v>10</v>
      </c>
      <c r="AK40" t="s">
        <v>208</v>
      </c>
      <c r="AM40" s="44" t="s">
        <v>40</v>
      </c>
      <c r="AN40" s="44" t="s">
        <v>10</v>
      </c>
      <c r="AO40" t="s">
        <v>277</v>
      </c>
      <c r="AP40" t="s">
        <v>226</v>
      </c>
      <c r="AQ40" t="s">
        <v>278</v>
      </c>
      <c r="AR40" t="s">
        <v>279</v>
      </c>
      <c r="AS40" t="s">
        <v>280</v>
      </c>
      <c r="AT40" t="s">
        <v>287</v>
      </c>
    </row>
    <row r="41" spans="1:59" x14ac:dyDescent="0.2">
      <c r="A41" t="s">
        <v>47</v>
      </c>
      <c r="B41" s="44" t="s">
        <v>193</v>
      </c>
      <c r="C41" t="s">
        <v>62</v>
      </c>
      <c r="D41" s="44">
        <v>68.20481267517907</v>
      </c>
      <c r="E41" s="44">
        <v>75.94370297415135</v>
      </c>
      <c r="F41" s="44">
        <v>83.682593273123629</v>
      </c>
      <c r="I41" t="str">
        <f t="shared" si="1"/>
        <v>Admin staff</v>
      </c>
      <c r="J41" t="str">
        <f t="shared" si="2"/>
        <v>Professional Development Allowance</v>
      </c>
      <c r="K41" t="str">
        <f t="shared" si="3"/>
        <v>SA</v>
      </c>
      <c r="L41" t="str">
        <f t="shared" si="4"/>
        <v>76 (68 - 84)</v>
      </c>
      <c r="O41" t="s">
        <v>47</v>
      </c>
      <c r="P41" t="s">
        <v>193</v>
      </c>
      <c r="Q41" t="s">
        <v>62</v>
      </c>
      <c r="R41" t="s">
        <v>206</v>
      </c>
      <c r="T41" s="80"/>
      <c r="U41" t="s">
        <v>198</v>
      </c>
      <c r="V41" t="s">
        <v>288</v>
      </c>
      <c r="W41" t="s">
        <v>240</v>
      </c>
      <c r="X41" t="s">
        <v>289</v>
      </c>
      <c r="Y41" t="s">
        <v>290</v>
      </c>
      <c r="Z41" t="s">
        <v>291</v>
      </c>
      <c r="AA41" t="s">
        <v>292</v>
      </c>
      <c r="AH41" s="44" t="s">
        <v>50</v>
      </c>
      <c r="AI41" s="44" t="s">
        <v>96</v>
      </c>
      <c r="AJ41" s="44" t="s">
        <v>10</v>
      </c>
      <c r="AK41" t="s">
        <v>238</v>
      </c>
      <c r="AM41" s="44" t="s">
        <v>55</v>
      </c>
      <c r="AN41" s="44" t="s">
        <v>10</v>
      </c>
      <c r="AO41" t="s">
        <v>293</v>
      </c>
      <c r="AP41" t="s">
        <v>294</v>
      </c>
      <c r="AQ41" t="s">
        <v>295</v>
      </c>
      <c r="AR41" t="s">
        <v>296</v>
      </c>
      <c r="AS41" t="s">
        <v>297</v>
      </c>
      <c r="AT41" t="s">
        <v>298</v>
      </c>
    </row>
    <row r="42" spans="1:59" x14ac:dyDescent="0.2">
      <c r="A42" t="s">
        <v>47</v>
      </c>
      <c r="B42" s="44" t="s">
        <v>193</v>
      </c>
      <c r="C42" t="s">
        <v>32</v>
      </c>
      <c r="D42" s="44">
        <v>82.411060923388348</v>
      </c>
      <c r="E42" s="44">
        <v>100.3672047843351</v>
      </c>
      <c r="F42" s="44">
        <v>118.32334864528184</v>
      </c>
      <c r="I42" t="str">
        <f t="shared" si="1"/>
        <v>Admin staff</v>
      </c>
      <c r="J42" t="str">
        <f t="shared" si="2"/>
        <v>Professional Development Allowance</v>
      </c>
      <c r="K42" t="str">
        <f t="shared" si="3"/>
        <v>VIC</v>
      </c>
      <c r="L42" t="str">
        <f t="shared" si="4"/>
        <v>100 (82 - 118)</v>
      </c>
      <c r="O42" t="s">
        <v>47</v>
      </c>
      <c r="P42" t="s">
        <v>193</v>
      </c>
      <c r="Q42" t="s">
        <v>32</v>
      </c>
      <c r="R42" t="s">
        <v>207</v>
      </c>
      <c r="T42" s="80"/>
      <c r="U42" t="s">
        <v>195</v>
      </c>
      <c r="V42" t="s">
        <v>277</v>
      </c>
      <c r="W42" t="s">
        <v>226</v>
      </c>
      <c r="X42" t="s">
        <v>278</v>
      </c>
      <c r="Y42" t="s">
        <v>279</v>
      </c>
      <c r="Z42" t="s">
        <v>280</v>
      </c>
      <c r="AA42" t="s">
        <v>281</v>
      </c>
      <c r="AH42" s="44" t="s">
        <v>50</v>
      </c>
      <c r="AI42" s="44" t="s">
        <v>74</v>
      </c>
      <c r="AJ42" s="44" t="s">
        <v>10</v>
      </c>
      <c r="AK42" t="s">
        <v>225</v>
      </c>
    </row>
    <row r="43" spans="1:59" x14ac:dyDescent="0.2">
      <c r="A43" t="s">
        <v>47</v>
      </c>
      <c r="B43" s="44" t="s">
        <v>193</v>
      </c>
      <c r="C43" t="s">
        <v>88</v>
      </c>
      <c r="D43" s="44">
        <v>75.275442113048882</v>
      </c>
      <c r="E43" s="44">
        <v>82.773048193709116</v>
      </c>
      <c r="F43" s="44">
        <v>90.270654274369349</v>
      </c>
      <c r="I43" t="str">
        <f t="shared" si="1"/>
        <v>Admin staff</v>
      </c>
      <c r="J43" t="str">
        <f t="shared" si="2"/>
        <v>Professional Development Allowance</v>
      </c>
      <c r="K43" t="str">
        <f t="shared" si="3"/>
        <v>WA</v>
      </c>
      <c r="L43" t="str">
        <f t="shared" si="4"/>
        <v>83 (75 - 90)</v>
      </c>
      <c r="O43" t="s">
        <v>47</v>
      </c>
      <c r="P43" t="s">
        <v>193</v>
      </c>
      <c r="Q43" t="s">
        <v>88</v>
      </c>
      <c r="R43" t="s">
        <v>208</v>
      </c>
      <c r="T43" s="80"/>
      <c r="U43" t="s">
        <v>190</v>
      </c>
      <c r="V43" t="s">
        <v>277</v>
      </c>
      <c r="W43" t="s">
        <v>226</v>
      </c>
      <c r="X43" t="s">
        <v>278</v>
      </c>
      <c r="Y43" t="s">
        <v>279</v>
      </c>
      <c r="Z43" t="s">
        <v>280</v>
      </c>
      <c r="AA43" t="s">
        <v>281</v>
      </c>
      <c r="AH43" s="44" t="s">
        <v>50</v>
      </c>
      <c r="AI43" s="44" t="s">
        <v>82</v>
      </c>
      <c r="AJ43" s="44" t="s">
        <v>10</v>
      </c>
      <c r="AK43" t="s">
        <v>226</v>
      </c>
    </row>
    <row r="44" spans="1:59" x14ac:dyDescent="0.2">
      <c r="A44" t="s">
        <v>47</v>
      </c>
      <c r="B44" s="44" t="s">
        <v>189</v>
      </c>
      <c r="C44" t="s">
        <v>96</v>
      </c>
      <c r="D44" s="44">
        <v>59.167634537527249</v>
      </c>
      <c r="E44" s="44">
        <v>80.985239867953894</v>
      </c>
      <c r="F44" s="44">
        <v>113.75500934288384</v>
      </c>
      <c r="I44" t="str">
        <f t="shared" si="1"/>
        <v>Admin staff</v>
      </c>
      <c r="J44" t="str">
        <f t="shared" si="2"/>
        <v>Public Holiday Penalty</v>
      </c>
      <c r="K44" t="str">
        <f t="shared" si="3"/>
        <v>ALL</v>
      </c>
      <c r="L44" t="str">
        <f t="shared" si="4"/>
        <v>81 (59 - 114)</v>
      </c>
      <c r="O44" t="s">
        <v>47</v>
      </c>
      <c r="P44" t="s">
        <v>189</v>
      </c>
      <c r="Q44" t="s">
        <v>96</v>
      </c>
      <c r="R44" t="s">
        <v>202</v>
      </c>
      <c r="T44" s="80"/>
      <c r="U44" t="s">
        <v>193</v>
      </c>
      <c r="V44" t="s">
        <v>277</v>
      </c>
      <c r="W44" t="s">
        <v>226</v>
      </c>
      <c r="X44" t="s">
        <v>278</v>
      </c>
      <c r="Y44" t="s">
        <v>279</v>
      </c>
      <c r="Z44" t="s">
        <v>280</v>
      </c>
      <c r="AA44" t="s">
        <v>281</v>
      </c>
      <c r="AH44" s="44" t="s">
        <v>50</v>
      </c>
      <c r="AI44" s="44" t="s">
        <v>62</v>
      </c>
      <c r="AJ44" s="44" t="s">
        <v>10</v>
      </c>
      <c r="AK44" t="s">
        <v>227</v>
      </c>
    </row>
    <row r="45" spans="1:59" x14ac:dyDescent="0.2">
      <c r="A45" t="s">
        <v>47</v>
      </c>
      <c r="B45" s="44" t="s">
        <v>189</v>
      </c>
      <c r="C45" t="s">
        <v>74</v>
      </c>
      <c r="D45" s="44">
        <v>57.603334898785413</v>
      </c>
      <c r="E45" s="44">
        <v>69.435605404858308</v>
      </c>
      <c r="F45" s="44">
        <v>81.305086963562758</v>
      </c>
      <c r="I45" t="str">
        <f t="shared" si="1"/>
        <v>Admin staff</v>
      </c>
      <c r="J45" t="str">
        <f t="shared" si="2"/>
        <v>Public Holiday Penalty</v>
      </c>
      <c r="K45" t="str">
        <f t="shared" si="3"/>
        <v>NSW</v>
      </c>
      <c r="L45" t="str">
        <f t="shared" si="4"/>
        <v>69 (58 - 81)</v>
      </c>
      <c r="O45" t="s">
        <v>47</v>
      </c>
      <c r="P45" t="s">
        <v>189</v>
      </c>
      <c r="Q45" t="s">
        <v>74</v>
      </c>
      <c r="R45" t="s">
        <v>204</v>
      </c>
      <c r="T45" s="80"/>
      <c r="U45" t="s">
        <v>189</v>
      </c>
      <c r="V45" t="s">
        <v>299</v>
      </c>
      <c r="W45" t="s">
        <v>246</v>
      </c>
      <c r="X45" t="s">
        <v>278</v>
      </c>
      <c r="Y45" t="s">
        <v>279</v>
      </c>
      <c r="Z45" t="s">
        <v>300</v>
      </c>
      <c r="AA45" t="s">
        <v>301</v>
      </c>
      <c r="AH45" s="44" t="s">
        <v>50</v>
      </c>
      <c r="AI45" s="44" t="s">
        <v>32</v>
      </c>
      <c r="AJ45" s="44" t="s">
        <v>10</v>
      </c>
      <c r="AK45" t="s">
        <v>228</v>
      </c>
    </row>
    <row r="46" spans="1:59" x14ac:dyDescent="0.2">
      <c r="A46" t="s">
        <v>47</v>
      </c>
      <c r="B46" s="44" t="s">
        <v>189</v>
      </c>
      <c r="C46" t="s">
        <v>82</v>
      </c>
      <c r="D46" s="44">
        <v>57.956999221426351</v>
      </c>
      <c r="E46" s="44">
        <v>77.38128143491123</v>
      </c>
      <c r="F46" s="44">
        <v>96.874962939894104</v>
      </c>
      <c r="I46" t="str">
        <f t="shared" si="1"/>
        <v>Admin staff</v>
      </c>
      <c r="J46" t="str">
        <f t="shared" si="2"/>
        <v>Public Holiday Penalty</v>
      </c>
      <c r="K46" t="str">
        <f t="shared" si="3"/>
        <v>QLD</v>
      </c>
      <c r="L46" t="str">
        <f t="shared" si="4"/>
        <v>77 (58 - 97)</v>
      </c>
      <c r="O46" t="s">
        <v>47</v>
      </c>
      <c r="P46" t="s">
        <v>189</v>
      </c>
      <c r="Q46" t="s">
        <v>82</v>
      </c>
      <c r="R46" t="s">
        <v>205</v>
      </c>
      <c r="T46" s="80"/>
      <c r="U46" t="s">
        <v>192</v>
      </c>
      <c r="V46" t="s">
        <v>277</v>
      </c>
      <c r="W46" t="s">
        <v>226</v>
      </c>
      <c r="X46" t="s">
        <v>278</v>
      </c>
      <c r="Y46" t="s">
        <v>279</v>
      </c>
      <c r="Z46" t="s">
        <v>280</v>
      </c>
      <c r="AA46" t="s">
        <v>281</v>
      </c>
      <c r="AH46" s="44" t="s">
        <v>50</v>
      </c>
      <c r="AI46" s="44" t="s">
        <v>88</v>
      </c>
      <c r="AJ46" s="44" t="s">
        <v>10</v>
      </c>
      <c r="AK46" t="s">
        <v>229</v>
      </c>
    </row>
    <row r="47" spans="1:59" x14ac:dyDescent="0.2">
      <c r="A47" t="s">
        <v>47</v>
      </c>
      <c r="B47" s="44" t="s">
        <v>189</v>
      </c>
      <c r="C47" t="s">
        <v>62</v>
      </c>
      <c r="D47" s="44">
        <v>68.046392634693248</v>
      </c>
      <c r="E47" s="44">
        <v>75.94370297415135</v>
      </c>
      <c r="F47" s="44">
        <v>83.859293677981938</v>
      </c>
      <c r="I47" t="str">
        <f t="shared" si="1"/>
        <v>Admin staff</v>
      </c>
      <c r="J47" t="str">
        <f t="shared" si="2"/>
        <v>Public Holiday Penalty</v>
      </c>
      <c r="K47" t="str">
        <f t="shared" si="3"/>
        <v>SA</v>
      </c>
      <c r="L47" t="str">
        <f t="shared" si="4"/>
        <v>76 (68 - 84)</v>
      </c>
      <c r="O47" t="s">
        <v>47</v>
      </c>
      <c r="P47" t="s">
        <v>189</v>
      </c>
      <c r="Q47" t="s">
        <v>62</v>
      </c>
      <c r="R47" t="s">
        <v>206</v>
      </c>
      <c r="T47" s="80"/>
      <c r="U47" t="s">
        <v>199</v>
      </c>
      <c r="V47" t="s">
        <v>302</v>
      </c>
      <c r="W47" t="s">
        <v>246</v>
      </c>
      <c r="X47" t="s">
        <v>303</v>
      </c>
      <c r="Y47" t="s">
        <v>304</v>
      </c>
      <c r="Z47" t="s">
        <v>305</v>
      </c>
      <c r="AA47" t="s">
        <v>301</v>
      </c>
      <c r="AH47" s="44" t="s">
        <v>33</v>
      </c>
      <c r="AI47" s="44" t="s">
        <v>96</v>
      </c>
      <c r="AJ47" s="44" t="s">
        <v>10</v>
      </c>
      <c r="AK47" t="s">
        <v>264</v>
      </c>
    </row>
    <row r="48" spans="1:59" x14ac:dyDescent="0.2">
      <c r="A48" t="s">
        <v>47</v>
      </c>
      <c r="B48" s="44" t="s">
        <v>189</v>
      </c>
      <c r="C48" t="s">
        <v>32</v>
      </c>
      <c r="D48" s="44">
        <v>82.233755508408592</v>
      </c>
      <c r="E48" s="44">
        <v>100.3672047843351</v>
      </c>
      <c r="F48" s="44">
        <v>118.55477577078791</v>
      </c>
      <c r="I48" t="str">
        <f t="shared" si="1"/>
        <v>Admin staff</v>
      </c>
      <c r="J48" t="str">
        <f t="shared" si="2"/>
        <v>Public Holiday Penalty</v>
      </c>
      <c r="K48" t="str">
        <f t="shared" si="3"/>
        <v>VIC</v>
      </c>
      <c r="L48" t="str">
        <f t="shared" si="4"/>
        <v>100 (82 - 119)</v>
      </c>
      <c r="O48" t="s">
        <v>47</v>
      </c>
      <c r="P48" t="s">
        <v>189</v>
      </c>
      <c r="Q48" t="s">
        <v>32</v>
      </c>
      <c r="R48" t="s">
        <v>222</v>
      </c>
      <c r="T48" s="80" t="s">
        <v>55</v>
      </c>
      <c r="U48" t="s">
        <v>194</v>
      </c>
      <c r="V48" t="s">
        <v>293</v>
      </c>
      <c r="W48" t="s">
        <v>294</v>
      </c>
      <c r="X48" t="s">
        <v>295</v>
      </c>
      <c r="Y48" t="s">
        <v>296</v>
      </c>
      <c r="Z48" t="s">
        <v>297</v>
      </c>
      <c r="AA48" t="s">
        <v>306</v>
      </c>
      <c r="AH48" s="44" t="s">
        <v>33</v>
      </c>
      <c r="AI48" s="44" t="s">
        <v>74</v>
      </c>
      <c r="AJ48" s="44" t="s">
        <v>10</v>
      </c>
      <c r="AK48" t="s">
        <v>252</v>
      </c>
    </row>
    <row r="49" spans="1:37" x14ac:dyDescent="0.2">
      <c r="A49" t="s">
        <v>47</v>
      </c>
      <c r="B49" s="44" t="s">
        <v>189</v>
      </c>
      <c r="C49" t="s">
        <v>88</v>
      </c>
      <c r="D49" s="44">
        <v>75.115176677826227</v>
      </c>
      <c r="E49" s="44">
        <v>82.773048193709116</v>
      </c>
      <c r="F49" s="44">
        <v>90.445373403924009</v>
      </c>
      <c r="I49" t="str">
        <f t="shared" si="1"/>
        <v>Admin staff</v>
      </c>
      <c r="J49" t="str">
        <f t="shared" si="2"/>
        <v>Public Holiday Penalty</v>
      </c>
      <c r="K49" t="str">
        <f t="shared" si="3"/>
        <v>WA</v>
      </c>
      <c r="L49" t="str">
        <f t="shared" si="4"/>
        <v>83 (75 - 90)</v>
      </c>
      <c r="O49" t="s">
        <v>47</v>
      </c>
      <c r="P49" t="s">
        <v>189</v>
      </c>
      <c r="Q49" t="s">
        <v>88</v>
      </c>
      <c r="R49" t="s">
        <v>208</v>
      </c>
      <c r="T49" s="80"/>
      <c r="U49" t="s">
        <v>191</v>
      </c>
      <c r="V49" t="s">
        <v>293</v>
      </c>
      <c r="W49" t="s">
        <v>294</v>
      </c>
      <c r="X49" t="s">
        <v>295</v>
      </c>
      <c r="Y49" t="s">
        <v>296</v>
      </c>
      <c r="Z49" t="s">
        <v>297</v>
      </c>
      <c r="AA49" t="s">
        <v>306</v>
      </c>
      <c r="AH49" s="44" t="s">
        <v>33</v>
      </c>
      <c r="AI49" s="44" t="s">
        <v>82</v>
      </c>
      <c r="AJ49" s="44" t="s">
        <v>10</v>
      </c>
      <c r="AK49" t="s">
        <v>253</v>
      </c>
    </row>
    <row r="50" spans="1:37" x14ac:dyDescent="0.2">
      <c r="A50" t="s">
        <v>47</v>
      </c>
      <c r="B50" s="44" t="s">
        <v>192</v>
      </c>
      <c r="C50" t="s">
        <v>96</v>
      </c>
      <c r="D50" s="44">
        <v>59.300413889753969</v>
      </c>
      <c r="E50" s="44">
        <v>80.985239867953894</v>
      </c>
      <c r="F50" s="44">
        <v>113.52358221737778</v>
      </c>
      <c r="I50" t="str">
        <f t="shared" si="1"/>
        <v>Admin staff</v>
      </c>
      <c r="J50" t="str">
        <f t="shared" si="2"/>
        <v>Sick Leave</v>
      </c>
      <c r="K50" t="str">
        <f t="shared" si="3"/>
        <v>ALL</v>
      </c>
      <c r="L50" t="str">
        <f t="shared" si="4"/>
        <v>81 (59 - 114)</v>
      </c>
      <c r="O50" t="s">
        <v>47</v>
      </c>
      <c r="P50" t="s">
        <v>192</v>
      </c>
      <c r="Q50" t="s">
        <v>96</v>
      </c>
      <c r="R50" t="s">
        <v>202</v>
      </c>
      <c r="T50" s="80"/>
      <c r="U50" t="s">
        <v>188</v>
      </c>
      <c r="V50" t="s">
        <v>307</v>
      </c>
      <c r="W50" t="s">
        <v>308</v>
      </c>
      <c r="X50" t="s">
        <v>309</v>
      </c>
      <c r="Y50" t="s">
        <v>310</v>
      </c>
      <c r="Z50" t="s">
        <v>311</v>
      </c>
      <c r="AA50" t="s">
        <v>312</v>
      </c>
      <c r="AH50" s="44" t="s">
        <v>33</v>
      </c>
      <c r="AI50" s="44" t="s">
        <v>62</v>
      </c>
      <c r="AJ50" s="44" t="s">
        <v>10</v>
      </c>
      <c r="AK50" t="s">
        <v>254</v>
      </c>
    </row>
    <row r="51" spans="1:37" x14ac:dyDescent="0.2">
      <c r="A51" t="s">
        <v>47</v>
      </c>
      <c r="B51" s="44" t="s">
        <v>192</v>
      </c>
      <c r="C51" t="s">
        <v>74</v>
      </c>
      <c r="D51" s="44">
        <v>57.737442267206475</v>
      </c>
      <c r="E51" s="44">
        <v>69.435605404858308</v>
      </c>
      <c r="F51" s="44">
        <v>81.133768542510111</v>
      </c>
      <c r="I51" t="str">
        <f t="shared" si="1"/>
        <v>Admin staff</v>
      </c>
      <c r="J51" t="str">
        <f t="shared" si="2"/>
        <v>Sick Leave</v>
      </c>
      <c r="K51" t="str">
        <f t="shared" si="3"/>
        <v>NSW</v>
      </c>
      <c r="L51" t="str">
        <f t="shared" si="4"/>
        <v>69 (58 - 81)</v>
      </c>
      <c r="O51" t="s">
        <v>47</v>
      </c>
      <c r="P51" t="s">
        <v>192</v>
      </c>
      <c r="Q51" t="s">
        <v>74</v>
      </c>
      <c r="R51" t="s">
        <v>204</v>
      </c>
      <c r="U51" s="44" t="s">
        <v>10</v>
      </c>
      <c r="V51" t="s">
        <v>293</v>
      </c>
      <c r="W51" t="s">
        <v>294</v>
      </c>
      <c r="X51" t="s">
        <v>295</v>
      </c>
      <c r="Y51" t="s">
        <v>296</v>
      </c>
      <c r="Z51" t="s">
        <v>297</v>
      </c>
      <c r="AA51" t="s">
        <v>298</v>
      </c>
      <c r="AH51" s="44" t="s">
        <v>33</v>
      </c>
      <c r="AI51" s="44" t="s">
        <v>32</v>
      </c>
      <c r="AJ51" s="44" t="s">
        <v>10</v>
      </c>
      <c r="AK51" t="s">
        <v>255</v>
      </c>
    </row>
    <row r="52" spans="1:37" x14ac:dyDescent="0.2">
      <c r="A52" t="s">
        <v>47</v>
      </c>
      <c r="B52" s="44" t="s">
        <v>192</v>
      </c>
      <c r="C52" t="s">
        <v>82</v>
      </c>
      <c r="D52" s="44">
        <v>58.089778573653071</v>
      </c>
      <c r="E52" s="44">
        <v>77.38128143491123</v>
      </c>
      <c r="F52" s="44">
        <v>96.672784296169425</v>
      </c>
      <c r="I52" t="str">
        <f t="shared" si="1"/>
        <v>Admin staff</v>
      </c>
      <c r="J52" t="str">
        <f t="shared" si="2"/>
        <v>Sick Leave</v>
      </c>
      <c r="K52" t="str">
        <f t="shared" si="3"/>
        <v>QLD</v>
      </c>
      <c r="L52" t="str">
        <f t="shared" si="4"/>
        <v>77 (58 - 97)</v>
      </c>
      <c r="O52" t="s">
        <v>47</v>
      </c>
      <c r="P52" t="s">
        <v>192</v>
      </c>
      <c r="Q52" t="s">
        <v>82</v>
      </c>
      <c r="R52" t="s">
        <v>205</v>
      </c>
      <c r="T52" s="80"/>
      <c r="U52" t="s">
        <v>198</v>
      </c>
      <c r="V52" t="s">
        <v>313</v>
      </c>
      <c r="W52" t="s">
        <v>314</v>
      </c>
      <c r="X52" t="s">
        <v>315</v>
      </c>
      <c r="Y52" t="s">
        <v>316</v>
      </c>
      <c r="Z52" t="s">
        <v>317</v>
      </c>
      <c r="AA52" t="s">
        <v>318</v>
      </c>
      <c r="AH52" s="44" t="s">
        <v>33</v>
      </c>
      <c r="AI52" s="44" t="s">
        <v>88</v>
      </c>
      <c r="AJ52" s="44" t="s">
        <v>10</v>
      </c>
      <c r="AK52" t="s">
        <v>256</v>
      </c>
    </row>
    <row r="53" spans="1:37" x14ac:dyDescent="0.2">
      <c r="A53" t="s">
        <v>47</v>
      </c>
      <c r="B53" s="44" t="s">
        <v>192</v>
      </c>
      <c r="C53" t="s">
        <v>62</v>
      </c>
      <c r="D53" s="44">
        <v>68.20481267517907</v>
      </c>
      <c r="E53" s="44">
        <v>75.94370297415135</v>
      </c>
      <c r="F53" s="44">
        <v>83.682593273123629</v>
      </c>
      <c r="I53" t="str">
        <f t="shared" si="1"/>
        <v>Admin staff</v>
      </c>
      <c r="J53" t="str">
        <f t="shared" si="2"/>
        <v>Sick Leave</v>
      </c>
      <c r="K53" t="str">
        <f t="shared" si="3"/>
        <v>SA</v>
      </c>
      <c r="L53" t="str">
        <f t="shared" si="4"/>
        <v>76 (68 - 84)</v>
      </c>
      <c r="O53" t="s">
        <v>47</v>
      </c>
      <c r="P53" t="s">
        <v>192</v>
      </c>
      <c r="Q53" t="s">
        <v>62</v>
      </c>
      <c r="R53" t="s">
        <v>206</v>
      </c>
      <c r="T53" s="80"/>
      <c r="U53" t="s">
        <v>195</v>
      </c>
      <c r="V53" t="s">
        <v>293</v>
      </c>
      <c r="W53" t="s">
        <v>294</v>
      </c>
      <c r="X53" t="s">
        <v>295</v>
      </c>
      <c r="Y53" t="s">
        <v>296</v>
      </c>
      <c r="Z53" t="s">
        <v>297</v>
      </c>
      <c r="AA53" t="s">
        <v>306</v>
      </c>
      <c r="AH53" s="44" t="s">
        <v>40</v>
      </c>
      <c r="AI53" s="44" t="s">
        <v>96</v>
      </c>
      <c r="AJ53" s="44" t="s">
        <v>10</v>
      </c>
      <c r="AK53" t="s">
        <v>287</v>
      </c>
    </row>
    <row r="54" spans="1:37" x14ac:dyDescent="0.2">
      <c r="A54" t="s">
        <v>47</v>
      </c>
      <c r="B54" s="44" t="s">
        <v>192</v>
      </c>
      <c r="C54" t="s">
        <v>32</v>
      </c>
      <c r="D54" s="44">
        <v>82.411060923388348</v>
      </c>
      <c r="E54" s="44">
        <v>100.3672047843351</v>
      </c>
      <c r="F54" s="44">
        <v>118.32334864528184</v>
      </c>
      <c r="I54" t="str">
        <f t="shared" si="1"/>
        <v>Admin staff</v>
      </c>
      <c r="J54" t="str">
        <f t="shared" si="2"/>
        <v>Sick Leave</v>
      </c>
      <c r="K54" t="str">
        <f t="shared" si="3"/>
        <v>VIC</v>
      </c>
      <c r="L54" t="str">
        <f t="shared" si="4"/>
        <v>100 (82 - 118)</v>
      </c>
      <c r="O54" t="s">
        <v>47</v>
      </c>
      <c r="P54" t="s">
        <v>192</v>
      </c>
      <c r="Q54" t="s">
        <v>32</v>
      </c>
      <c r="R54" t="s">
        <v>207</v>
      </c>
      <c r="T54" s="80"/>
      <c r="U54" t="s">
        <v>190</v>
      </c>
      <c r="V54" t="s">
        <v>293</v>
      </c>
      <c r="W54" t="s">
        <v>294</v>
      </c>
      <c r="X54" t="s">
        <v>295</v>
      </c>
      <c r="Y54" t="s">
        <v>296</v>
      </c>
      <c r="Z54" t="s">
        <v>297</v>
      </c>
      <c r="AA54" t="s">
        <v>306</v>
      </c>
      <c r="AH54" s="44" t="s">
        <v>40</v>
      </c>
      <c r="AI54" s="44" t="s">
        <v>74</v>
      </c>
      <c r="AJ54" s="44" t="s">
        <v>10</v>
      </c>
      <c r="AK54" t="s">
        <v>277</v>
      </c>
    </row>
    <row r="55" spans="1:37" x14ac:dyDescent="0.2">
      <c r="A55" t="s">
        <v>47</v>
      </c>
      <c r="B55" s="44" t="s">
        <v>192</v>
      </c>
      <c r="C55" t="s">
        <v>88</v>
      </c>
      <c r="D55" s="44">
        <v>75.275442113048882</v>
      </c>
      <c r="E55" s="44">
        <v>82.773048193709116</v>
      </c>
      <c r="F55" s="44">
        <v>90.270654274369349</v>
      </c>
      <c r="I55" t="str">
        <f t="shared" si="1"/>
        <v>Admin staff</v>
      </c>
      <c r="J55" t="str">
        <f t="shared" si="2"/>
        <v>Sick Leave</v>
      </c>
      <c r="K55" t="str">
        <f t="shared" si="3"/>
        <v>WA</v>
      </c>
      <c r="L55" t="str">
        <f t="shared" si="4"/>
        <v>83 (75 - 90)</v>
      </c>
      <c r="O55" t="s">
        <v>47</v>
      </c>
      <c r="P55" t="s">
        <v>192</v>
      </c>
      <c r="Q55" t="s">
        <v>88</v>
      </c>
      <c r="R55" t="s">
        <v>208</v>
      </c>
      <c r="T55" s="80"/>
      <c r="U55" t="s">
        <v>193</v>
      </c>
      <c r="V55" t="s">
        <v>293</v>
      </c>
      <c r="W55" t="s">
        <v>294</v>
      </c>
      <c r="X55" t="s">
        <v>295</v>
      </c>
      <c r="Y55" t="s">
        <v>296</v>
      </c>
      <c r="Z55" t="s">
        <v>297</v>
      </c>
      <c r="AA55" t="s">
        <v>306</v>
      </c>
      <c r="AH55" s="44" t="s">
        <v>40</v>
      </c>
      <c r="AI55" s="44" t="s">
        <v>82</v>
      </c>
      <c r="AJ55" s="44" t="s">
        <v>10</v>
      </c>
      <c r="AK55" t="s">
        <v>226</v>
      </c>
    </row>
    <row r="56" spans="1:37" x14ac:dyDescent="0.2">
      <c r="A56" t="s">
        <v>47</v>
      </c>
      <c r="B56" s="44" t="s">
        <v>199</v>
      </c>
      <c r="C56" t="s">
        <v>96</v>
      </c>
      <c r="D56" s="44">
        <v>59.179705387729669</v>
      </c>
      <c r="E56" s="44">
        <v>80.985239867953894</v>
      </c>
      <c r="F56" s="44">
        <v>114.33357715664901</v>
      </c>
      <c r="I56" t="str">
        <f t="shared" si="1"/>
        <v>Admin staff</v>
      </c>
      <c r="J56" t="str">
        <f t="shared" si="2"/>
        <v>Superannuation</v>
      </c>
      <c r="K56" t="str">
        <f t="shared" si="3"/>
        <v>ALL</v>
      </c>
      <c r="L56" t="str">
        <f t="shared" si="4"/>
        <v>81 (59 - 114)</v>
      </c>
      <c r="O56" t="s">
        <v>47</v>
      </c>
      <c r="P56" t="s">
        <v>199</v>
      </c>
      <c r="Q56" t="s">
        <v>96</v>
      </c>
      <c r="R56" t="s">
        <v>202</v>
      </c>
      <c r="T56" s="80"/>
      <c r="U56" t="s">
        <v>189</v>
      </c>
      <c r="V56" t="s">
        <v>319</v>
      </c>
      <c r="W56" t="s">
        <v>320</v>
      </c>
      <c r="X56" t="s">
        <v>321</v>
      </c>
      <c r="Y56" t="s">
        <v>322</v>
      </c>
      <c r="Z56" t="s">
        <v>323</v>
      </c>
      <c r="AA56" t="s">
        <v>324</v>
      </c>
      <c r="AH56" s="44" t="s">
        <v>40</v>
      </c>
      <c r="AI56" s="44" t="s">
        <v>62</v>
      </c>
      <c r="AJ56" s="44" t="s">
        <v>10</v>
      </c>
      <c r="AK56" t="s">
        <v>278</v>
      </c>
    </row>
    <row r="57" spans="1:37" x14ac:dyDescent="0.2">
      <c r="A57" t="s">
        <v>47</v>
      </c>
      <c r="B57" s="44" t="s">
        <v>199</v>
      </c>
      <c r="C57" t="s">
        <v>74</v>
      </c>
      <c r="D57" s="44">
        <v>57.615526477732793</v>
      </c>
      <c r="E57" s="44">
        <v>69.435605404858308</v>
      </c>
      <c r="F57" s="44">
        <v>81.733383016194324</v>
      </c>
      <c r="I57" t="str">
        <f t="shared" si="1"/>
        <v>Admin staff</v>
      </c>
      <c r="J57" t="str">
        <f t="shared" si="2"/>
        <v>Superannuation</v>
      </c>
      <c r="K57" t="str">
        <f t="shared" si="3"/>
        <v>NSW</v>
      </c>
      <c r="L57" t="str">
        <f t="shared" si="4"/>
        <v>69 (58 - 82)</v>
      </c>
      <c r="O57" t="s">
        <v>47</v>
      </c>
      <c r="P57" t="s">
        <v>199</v>
      </c>
      <c r="Q57" t="s">
        <v>74</v>
      </c>
      <c r="R57" t="s">
        <v>223</v>
      </c>
      <c r="T57" s="80"/>
      <c r="U57" t="s">
        <v>192</v>
      </c>
      <c r="V57" t="s">
        <v>293</v>
      </c>
      <c r="W57" t="s">
        <v>294</v>
      </c>
      <c r="X57" t="s">
        <v>295</v>
      </c>
      <c r="Y57" t="s">
        <v>296</v>
      </c>
      <c r="Z57" t="s">
        <v>297</v>
      </c>
      <c r="AA57" t="s">
        <v>306</v>
      </c>
      <c r="AH57" s="44" t="s">
        <v>40</v>
      </c>
      <c r="AI57" s="44" t="s">
        <v>32</v>
      </c>
      <c r="AJ57" s="44" t="s">
        <v>10</v>
      </c>
      <c r="AK57" t="s">
        <v>279</v>
      </c>
    </row>
    <row r="58" spans="1:37" x14ac:dyDescent="0.2">
      <c r="A58" t="s">
        <v>47</v>
      </c>
      <c r="B58" s="44" t="s">
        <v>199</v>
      </c>
      <c r="C58" t="s">
        <v>82</v>
      </c>
      <c r="D58" s="44">
        <v>57.969070071628771</v>
      </c>
      <c r="E58" s="44">
        <v>77.38128143491123</v>
      </c>
      <c r="F58" s="44">
        <v>97.380409549205851</v>
      </c>
      <c r="I58" t="str">
        <f t="shared" si="1"/>
        <v>Admin staff</v>
      </c>
      <c r="J58" t="str">
        <f t="shared" si="2"/>
        <v>Superannuation</v>
      </c>
      <c r="K58" t="str">
        <f t="shared" si="3"/>
        <v>QLD</v>
      </c>
      <c r="L58" t="str">
        <f t="shared" si="4"/>
        <v>77 (58 - 97)</v>
      </c>
      <c r="O58" t="s">
        <v>47</v>
      </c>
      <c r="P58" t="s">
        <v>199</v>
      </c>
      <c r="Q58" t="s">
        <v>82</v>
      </c>
      <c r="R58" t="s">
        <v>205</v>
      </c>
      <c r="T58" s="80"/>
      <c r="U58" t="s">
        <v>199</v>
      </c>
      <c r="V58" t="s">
        <v>325</v>
      </c>
      <c r="W58" t="s">
        <v>326</v>
      </c>
      <c r="X58" t="s">
        <v>327</v>
      </c>
      <c r="Y58" t="s">
        <v>328</v>
      </c>
      <c r="Z58" t="s">
        <v>329</v>
      </c>
      <c r="AA58" t="s">
        <v>330</v>
      </c>
      <c r="AH58" s="44" t="s">
        <v>40</v>
      </c>
      <c r="AI58" s="44" t="s">
        <v>88</v>
      </c>
      <c r="AJ58" s="44" t="s">
        <v>10</v>
      </c>
      <c r="AK58" t="s">
        <v>280</v>
      </c>
    </row>
    <row r="59" spans="1:37" x14ac:dyDescent="0.2">
      <c r="A59" t="s">
        <v>47</v>
      </c>
      <c r="B59" s="44" t="s">
        <v>199</v>
      </c>
      <c r="C59" t="s">
        <v>62</v>
      </c>
      <c r="D59" s="44">
        <v>68.060794456555584</v>
      </c>
      <c r="E59" s="44">
        <v>75.94370297415135</v>
      </c>
      <c r="F59" s="44">
        <v>84.301044690127668</v>
      </c>
      <c r="I59" t="str">
        <f t="shared" si="1"/>
        <v>Admin staff</v>
      </c>
      <c r="J59" t="str">
        <f t="shared" si="2"/>
        <v>Superannuation</v>
      </c>
      <c r="K59" t="str">
        <f t="shared" si="3"/>
        <v>SA</v>
      </c>
      <c r="L59" t="str">
        <f t="shared" si="4"/>
        <v>76 (68 - 84)</v>
      </c>
      <c r="O59" t="s">
        <v>47</v>
      </c>
      <c r="P59" t="s">
        <v>199</v>
      </c>
      <c r="Q59" t="s">
        <v>62</v>
      </c>
      <c r="R59" t="s">
        <v>206</v>
      </c>
      <c r="AH59" s="44" t="s">
        <v>55</v>
      </c>
      <c r="AI59" s="44" t="s">
        <v>96</v>
      </c>
      <c r="AJ59" s="44" t="s">
        <v>10</v>
      </c>
      <c r="AK59" t="s">
        <v>298</v>
      </c>
    </row>
    <row r="60" spans="1:37" x14ac:dyDescent="0.2">
      <c r="A60" t="s">
        <v>47</v>
      </c>
      <c r="B60" s="44" t="s">
        <v>199</v>
      </c>
      <c r="C60" t="s">
        <v>32</v>
      </c>
      <c r="D60" s="44">
        <v>82.249874182497663</v>
      </c>
      <c r="E60" s="44">
        <v>100.3672047843351</v>
      </c>
      <c r="F60" s="44">
        <v>119.13334358455309</v>
      </c>
      <c r="I60" t="str">
        <f t="shared" si="1"/>
        <v>Admin staff</v>
      </c>
      <c r="J60" t="str">
        <f t="shared" si="2"/>
        <v>Superannuation</v>
      </c>
      <c r="K60" t="str">
        <f t="shared" si="3"/>
        <v>VIC</v>
      </c>
      <c r="L60" t="str">
        <f t="shared" si="4"/>
        <v>100 (82 - 119)</v>
      </c>
      <c r="O60" t="s">
        <v>47</v>
      </c>
      <c r="P60" t="s">
        <v>199</v>
      </c>
      <c r="Q60" t="s">
        <v>32</v>
      </c>
      <c r="R60" t="s">
        <v>222</v>
      </c>
      <c r="AH60" s="44" t="s">
        <v>55</v>
      </c>
      <c r="AI60" s="44" t="s">
        <v>74</v>
      </c>
      <c r="AJ60" s="44" t="s">
        <v>10</v>
      </c>
      <c r="AK60" t="s">
        <v>293</v>
      </c>
    </row>
    <row r="61" spans="1:37" x14ac:dyDescent="0.2">
      <c r="A61" t="s">
        <v>47</v>
      </c>
      <c r="B61" s="44" t="s">
        <v>199</v>
      </c>
      <c r="C61" t="s">
        <v>88</v>
      </c>
      <c r="D61" s="44">
        <v>75.129746262846453</v>
      </c>
      <c r="E61" s="44">
        <v>82.773048193709116</v>
      </c>
      <c r="F61" s="44">
        <v>90.882171227810645</v>
      </c>
      <c r="I61" t="str">
        <f t="shared" si="1"/>
        <v>Admin staff</v>
      </c>
      <c r="J61" t="str">
        <f t="shared" si="2"/>
        <v>Superannuation</v>
      </c>
      <c r="K61" t="str">
        <f t="shared" si="3"/>
        <v>WA</v>
      </c>
      <c r="L61" t="str">
        <f t="shared" si="4"/>
        <v>83 (75 - 91)</v>
      </c>
      <c r="O61" t="s">
        <v>47</v>
      </c>
      <c r="P61" t="s">
        <v>199</v>
      </c>
      <c r="Q61" t="s">
        <v>88</v>
      </c>
      <c r="R61" t="s">
        <v>224</v>
      </c>
      <c r="AH61" s="44" t="s">
        <v>55</v>
      </c>
      <c r="AI61" s="44" t="s">
        <v>82</v>
      </c>
      <c r="AJ61" s="44" t="s">
        <v>10</v>
      </c>
      <c r="AK61" t="s">
        <v>294</v>
      </c>
    </row>
    <row r="62" spans="1:37" x14ac:dyDescent="0.2">
      <c r="A62" t="s">
        <v>50</v>
      </c>
      <c r="B62" s="44" t="s">
        <v>194</v>
      </c>
      <c r="C62" t="s">
        <v>96</v>
      </c>
      <c r="D62" s="44">
        <v>83.365456166303332</v>
      </c>
      <c r="E62" s="44">
        <v>119.71436081049517</v>
      </c>
      <c r="F62" s="44">
        <v>175.81215540330115</v>
      </c>
      <c r="I62" t="str">
        <f t="shared" si="1"/>
        <v>Bioinformatics staff</v>
      </c>
      <c r="J62" t="str">
        <f t="shared" si="2"/>
        <v>Annual Leave</v>
      </c>
      <c r="K62" t="str">
        <f t="shared" si="3"/>
        <v>ALL</v>
      </c>
      <c r="L62" t="str">
        <f t="shared" si="4"/>
        <v>120 (83 - 176)</v>
      </c>
      <c r="O62" t="s">
        <v>50</v>
      </c>
      <c r="P62" t="s">
        <v>194</v>
      </c>
      <c r="Q62" t="s">
        <v>96</v>
      </c>
      <c r="R62" t="s">
        <v>230</v>
      </c>
      <c r="AH62" s="44" t="s">
        <v>55</v>
      </c>
      <c r="AI62" s="44" t="s">
        <v>62</v>
      </c>
      <c r="AJ62" s="44" t="s">
        <v>10</v>
      </c>
      <c r="AK62" t="s">
        <v>295</v>
      </c>
    </row>
    <row r="63" spans="1:37" x14ac:dyDescent="0.2">
      <c r="A63" t="s">
        <v>50</v>
      </c>
      <c r="B63" s="44" t="s">
        <v>194</v>
      </c>
      <c r="C63" t="s">
        <v>74</v>
      </c>
      <c r="D63" s="44">
        <v>85.522450093428859</v>
      </c>
      <c r="E63" s="44">
        <v>116.99664195344128</v>
      </c>
      <c r="F63" s="44">
        <v>148.47083381345377</v>
      </c>
      <c r="I63" t="str">
        <f t="shared" si="1"/>
        <v>Bioinformatics staff</v>
      </c>
      <c r="J63" t="str">
        <f t="shared" si="2"/>
        <v>Annual Leave</v>
      </c>
      <c r="K63" t="str">
        <f t="shared" si="3"/>
        <v>NSW</v>
      </c>
      <c r="L63" t="str">
        <f t="shared" si="4"/>
        <v>117 (86 - 148)</v>
      </c>
      <c r="O63" t="s">
        <v>50</v>
      </c>
      <c r="P63" t="s">
        <v>194</v>
      </c>
      <c r="Q63" t="s">
        <v>74</v>
      </c>
      <c r="R63" t="s">
        <v>225</v>
      </c>
      <c r="AH63" s="44" t="s">
        <v>55</v>
      </c>
      <c r="AI63" s="44" t="s">
        <v>32</v>
      </c>
      <c r="AJ63" s="44" t="s">
        <v>10</v>
      </c>
      <c r="AK63" t="s">
        <v>296</v>
      </c>
    </row>
    <row r="64" spans="1:37" x14ac:dyDescent="0.2">
      <c r="A64" t="s">
        <v>50</v>
      </c>
      <c r="B64" s="44" t="s">
        <v>194</v>
      </c>
      <c r="C64" t="s">
        <v>82</v>
      </c>
      <c r="D64" s="44">
        <v>83.646810689816263</v>
      </c>
      <c r="E64" s="44">
        <v>125.91531612036746</v>
      </c>
      <c r="F64" s="44">
        <v>168.18382155091874</v>
      </c>
      <c r="I64" t="str">
        <f t="shared" si="1"/>
        <v>Bioinformatics staff</v>
      </c>
      <c r="J64" t="str">
        <f t="shared" si="2"/>
        <v>Annual Leave</v>
      </c>
      <c r="K64" t="str">
        <f t="shared" si="3"/>
        <v>QLD</v>
      </c>
      <c r="L64" t="str">
        <f t="shared" si="4"/>
        <v>126 (84 - 168)</v>
      </c>
      <c r="O64" t="s">
        <v>50</v>
      </c>
      <c r="P64" t="s">
        <v>194</v>
      </c>
      <c r="Q64" t="s">
        <v>82</v>
      </c>
      <c r="R64" t="s">
        <v>226</v>
      </c>
      <c r="AH64" s="44" t="s">
        <v>55</v>
      </c>
      <c r="AI64" s="44" t="s">
        <v>88</v>
      </c>
      <c r="AJ64" s="44" t="s">
        <v>10</v>
      </c>
      <c r="AK64" t="s">
        <v>297</v>
      </c>
    </row>
    <row r="65" spans="1:18" x14ac:dyDescent="0.2">
      <c r="A65" t="s">
        <v>50</v>
      </c>
      <c r="B65" s="44" t="s">
        <v>194</v>
      </c>
      <c r="C65" t="s">
        <v>62</v>
      </c>
      <c r="D65" s="44">
        <v>79.553107988165678</v>
      </c>
      <c r="E65" s="44">
        <v>109.75311478122079</v>
      </c>
      <c r="F65" s="44">
        <v>139.95312157427591</v>
      </c>
      <c r="I65" t="str">
        <f t="shared" si="1"/>
        <v>Bioinformatics staff</v>
      </c>
      <c r="J65" t="str">
        <f t="shared" si="2"/>
        <v>Annual Leave</v>
      </c>
      <c r="K65" t="str">
        <f t="shared" si="3"/>
        <v>SA</v>
      </c>
      <c r="L65" t="str">
        <f t="shared" si="4"/>
        <v>110 (80 - 140)</v>
      </c>
      <c r="O65" t="s">
        <v>50</v>
      </c>
      <c r="P65" t="s">
        <v>194</v>
      </c>
      <c r="Q65" t="s">
        <v>62</v>
      </c>
      <c r="R65" t="s">
        <v>227</v>
      </c>
    </row>
    <row r="66" spans="1:18" x14ac:dyDescent="0.2">
      <c r="A66" t="s">
        <v>50</v>
      </c>
      <c r="B66" s="44" t="s">
        <v>194</v>
      </c>
      <c r="C66" t="s">
        <v>32</v>
      </c>
      <c r="D66" s="44">
        <v>103.01091529118654</v>
      </c>
      <c r="E66" s="44">
        <v>131.77929823263781</v>
      </c>
      <c r="F66" s="44">
        <v>160.54768117408906</v>
      </c>
      <c r="I66" t="str">
        <f t="shared" si="1"/>
        <v>Bioinformatics staff</v>
      </c>
      <c r="J66" t="str">
        <f t="shared" si="2"/>
        <v>Annual Leave</v>
      </c>
      <c r="K66" t="str">
        <f t="shared" si="3"/>
        <v>VIC</v>
      </c>
      <c r="L66" t="str">
        <f t="shared" si="4"/>
        <v>132 (103 - 161)</v>
      </c>
      <c r="O66" t="s">
        <v>50</v>
      </c>
      <c r="P66" t="s">
        <v>194</v>
      </c>
      <c r="Q66" t="s">
        <v>32</v>
      </c>
      <c r="R66" t="s">
        <v>228</v>
      </c>
    </row>
    <row r="67" spans="1:18" x14ac:dyDescent="0.2">
      <c r="A67" t="s">
        <v>50</v>
      </c>
      <c r="B67" s="44" t="s">
        <v>194</v>
      </c>
      <c r="C67" t="s">
        <v>88</v>
      </c>
      <c r="D67" s="44">
        <v>104.45400708502025</v>
      </c>
      <c r="E67" s="44">
        <v>113.45244172376208</v>
      </c>
      <c r="F67" s="44">
        <v>122.45087636250389</v>
      </c>
      <c r="I67" t="str">
        <f t="shared" ref="I67:I130" si="26">A67</f>
        <v>Bioinformatics staff</v>
      </c>
      <c r="J67" t="str">
        <f t="shared" ref="J67:J130" si="27">B67</f>
        <v>Annual Leave</v>
      </c>
      <c r="K67" t="str">
        <f t="shared" ref="K67:K130" si="28">C67</f>
        <v>WA</v>
      </c>
      <c r="L67" t="str">
        <f t="shared" ref="L67:L130" si="29">TEXT(E67, "0,0") &amp; " (" &amp; TEXT(D67, "0,0") &amp; " - " &amp; TEXT(F67, "0,0") &amp; ")"</f>
        <v>113 (104 - 122)</v>
      </c>
      <c r="O67" t="s">
        <v>50</v>
      </c>
      <c r="P67" t="s">
        <v>194</v>
      </c>
      <c r="Q67" t="s">
        <v>88</v>
      </c>
      <c r="R67" t="s">
        <v>229</v>
      </c>
    </row>
    <row r="68" spans="1:18" x14ac:dyDescent="0.2">
      <c r="A68" t="s">
        <v>50</v>
      </c>
      <c r="B68" s="44" t="s">
        <v>191</v>
      </c>
      <c r="C68" t="s">
        <v>96</v>
      </c>
      <c r="D68" s="44">
        <v>83.365456166303332</v>
      </c>
      <c r="E68" s="44">
        <v>119.71436081049517</v>
      </c>
      <c r="F68" s="44">
        <v>175.81215540330115</v>
      </c>
      <c r="I68" t="str">
        <f t="shared" si="26"/>
        <v>Bioinformatics staff</v>
      </c>
      <c r="J68" t="str">
        <f t="shared" si="27"/>
        <v>Attraction and Retention Allowance</v>
      </c>
      <c r="K68" t="str">
        <f t="shared" si="28"/>
        <v>ALL</v>
      </c>
      <c r="L68" t="str">
        <f t="shared" si="29"/>
        <v>120 (83 - 176)</v>
      </c>
      <c r="O68" t="s">
        <v>50</v>
      </c>
      <c r="P68" t="s">
        <v>191</v>
      </c>
      <c r="Q68" t="s">
        <v>96</v>
      </c>
      <c r="R68" t="s">
        <v>230</v>
      </c>
    </row>
    <row r="69" spans="1:18" x14ac:dyDescent="0.2">
      <c r="A69" t="s">
        <v>50</v>
      </c>
      <c r="B69" s="44" t="s">
        <v>191</v>
      </c>
      <c r="C69" t="s">
        <v>74</v>
      </c>
      <c r="D69" s="44">
        <v>85.522450093428859</v>
      </c>
      <c r="E69" s="44">
        <v>116.99664195344128</v>
      </c>
      <c r="F69" s="44">
        <v>148.47083381345377</v>
      </c>
      <c r="I69" t="str">
        <f t="shared" si="26"/>
        <v>Bioinformatics staff</v>
      </c>
      <c r="J69" t="str">
        <f t="shared" si="27"/>
        <v>Attraction and Retention Allowance</v>
      </c>
      <c r="K69" t="str">
        <f t="shared" si="28"/>
        <v>NSW</v>
      </c>
      <c r="L69" t="str">
        <f t="shared" si="29"/>
        <v>117 (86 - 148)</v>
      </c>
      <c r="O69" t="s">
        <v>50</v>
      </c>
      <c r="P69" t="s">
        <v>191</v>
      </c>
      <c r="Q69" t="s">
        <v>74</v>
      </c>
      <c r="R69" t="s">
        <v>225</v>
      </c>
    </row>
    <row r="70" spans="1:18" x14ac:dyDescent="0.2">
      <c r="A70" t="s">
        <v>50</v>
      </c>
      <c r="B70" s="44" t="s">
        <v>191</v>
      </c>
      <c r="C70" t="s">
        <v>82</v>
      </c>
      <c r="D70" s="44">
        <v>83.646810689816263</v>
      </c>
      <c r="E70" s="44">
        <v>125.91531612036746</v>
      </c>
      <c r="F70" s="44">
        <v>168.18382155091874</v>
      </c>
      <c r="I70" t="str">
        <f t="shared" si="26"/>
        <v>Bioinformatics staff</v>
      </c>
      <c r="J70" t="str">
        <f t="shared" si="27"/>
        <v>Attraction and Retention Allowance</v>
      </c>
      <c r="K70" t="str">
        <f t="shared" si="28"/>
        <v>QLD</v>
      </c>
      <c r="L70" t="str">
        <f t="shared" si="29"/>
        <v>126 (84 - 168)</v>
      </c>
      <c r="O70" t="s">
        <v>50</v>
      </c>
      <c r="P70" t="s">
        <v>191</v>
      </c>
      <c r="Q70" t="s">
        <v>82</v>
      </c>
      <c r="R70" t="s">
        <v>226</v>
      </c>
    </row>
    <row r="71" spans="1:18" x14ac:dyDescent="0.2">
      <c r="A71" t="s">
        <v>50</v>
      </c>
      <c r="B71" s="44" t="s">
        <v>191</v>
      </c>
      <c r="C71" t="s">
        <v>62</v>
      </c>
      <c r="D71" s="44">
        <v>79.553107988165678</v>
      </c>
      <c r="E71" s="44">
        <v>109.75311478122079</v>
      </c>
      <c r="F71" s="44">
        <v>139.95312157427591</v>
      </c>
      <c r="I71" t="str">
        <f t="shared" si="26"/>
        <v>Bioinformatics staff</v>
      </c>
      <c r="J71" t="str">
        <f t="shared" si="27"/>
        <v>Attraction and Retention Allowance</v>
      </c>
      <c r="K71" t="str">
        <f t="shared" si="28"/>
        <v>SA</v>
      </c>
      <c r="L71" t="str">
        <f t="shared" si="29"/>
        <v>110 (80 - 140)</v>
      </c>
      <c r="O71" t="s">
        <v>50</v>
      </c>
      <c r="P71" t="s">
        <v>191</v>
      </c>
      <c r="Q71" t="s">
        <v>62</v>
      </c>
      <c r="R71" t="s">
        <v>227</v>
      </c>
    </row>
    <row r="72" spans="1:18" x14ac:dyDescent="0.2">
      <c r="A72" t="s">
        <v>50</v>
      </c>
      <c r="B72" s="44" t="s">
        <v>191</v>
      </c>
      <c r="C72" t="s">
        <v>32</v>
      </c>
      <c r="D72" s="44">
        <v>103.01091529118654</v>
      </c>
      <c r="E72" s="44">
        <v>131.77929823263781</v>
      </c>
      <c r="F72" s="44">
        <v>160.54768117408906</v>
      </c>
      <c r="I72" t="str">
        <f t="shared" si="26"/>
        <v>Bioinformatics staff</v>
      </c>
      <c r="J72" t="str">
        <f t="shared" si="27"/>
        <v>Attraction and Retention Allowance</v>
      </c>
      <c r="K72" t="str">
        <f t="shared" si="28"/>
        <v>VIC</v>
      </c>
      <c r="L72" t="str">
        <f t="shared" si="29"/>
        <v>132 (103 - 161)</v>
      </c>
      <c r="O72" t="s">
        <v>50</v>
      </c>
      <c r="P72" t="s">
        <v>191</v>
      </c>
      <c r="Q72" t="s">
        <v>32</v>
      </c>
      <c r="R72" t="s">
        <v>228</v>
      </c>
    </row>
    <row r="73" spans="1:18" x14ac:dyDescent="0.2">
      <c r="A73" t="s">
        <v>50</v>
      </c>
      <c r="B73" s="44" t="s">
        <v>191</v>
      </c>
      <c r="C73" t="s">
        <v>88</v>
      </c>
      <c r="D73" s="44">
        <v>104.45400708502025</v>
      </c>
      <c r="E73" s="44">
        <v>113.45244172376208</v>
      </c>
      <c r="F73" s="44">
        <v>122.45087636250389</v>
      </c>
      <c r="I73" t="str">
        <f t="shared" si="26"/>
        <v>Bioinformatics staff</v>
      </c>
      <c r="J73" t="str">
        <f t="shared" si="27"/>
        <v>Attraction and Retention Allowance</v>
      </c>
      <c r="K73" t="str">
        <f t="shared" si="28"/>
        <v>WA</v>
      </c>
      <c r="L73" t="str">
        <f t="shared" si="29"/>
        <v>113 (104 - 122)</v>
      </c>
      <c r="O73" t="s">
        <v>50</v>
      </c>
      <c r="P73" t="s">
        <v>191</v>
      </c>
      <c r="Q73" t="s">
        <v>88</v>
      </c>
      <c r="R73" t="s">
        <v>229</v>
      </c>
    </row>
    <row r="74" spans="1:18" x14ac:dyDescent="0.2">
      <c r="A74" t="s">
        <v>50</v>
      </c>
      <c r="B74" s="44" t="s">
        <v>188</v>
      </c>
      <c r="C74" t="s">
        <v>96</v>
      </c>
      <c r="D74" s="44">
        <v>80.020010822173802</v>
      </c>
      <c r="E74" s="44">
        <v>119.71436081049517</v>
      </c>
      <c r="F74" s="44">
        <v>189.93928090937402</v>
      </c>
      <c r="I74" t="str">
        <f t="shared" si="26"/>
        <v>Bioinformatics staff</v>
      </c>
      <c r="J74" t="str">
        <f t="shared" si="27"/>
        <v>Average Penalties</v>
      </c>
      <c r="K74" t="str">
        <f t="shared" si="28"/>
        <v>ALL</v>
      </c>
      <c r="L74" t="str">
        <f t="shared" si="29"/>
        <v>120 (80 - 190)</v>
      </c>
      <c r="O74" t="s">
        <v>50</v>
      </c>
      <c r="P74" t="s">
        <v>188</v>
      </c>
      <c r="Q74" t="s">
        <v>96</v>
      </c>
      <c r="R74" t="s">
        <v>237</v>
      </c>
    </row>
    <row r="75" spans="1:18" x14ac:dyDescent="0.2">
      <c r="A75" t="s">
        <v>50</v>
      </c>
      <c r="B75" s="44" t="s">
        <v>188</v>
      </c>
      <c r="C75" t="s">
        <v>74</v>
      </c>
      <c r="D75" s="44">
        <v>82.177004749299272</v>
      </c>
      <c r="E75" s="44">
        <v>116.99664195344128</v>
      </c>
      <c r="F75" s="44">
        <v>160.08652207256307</v>
      </c>
      <c r="I75" t="str">
        <f t="shared" si="26"/>
        <v>Bioinformatics staff</v>
      </c>
      <c r="J75" t="str">
        <f t="shared" si="27"/>
        <v>Average Penalties</v>
      </c>
      <c r="K75" t="str">
        <f t="shared" si="28"/>
        <v>NSW</v>
      </c>
      <c r="L75" t="str">
        <f t="shared" si="29"/>
        <v>117 (82 - 160)</v>
      </c>
      <c r="O75" t="s">
        <v>50</v>
      </c>
      <c r="P75" t="s">
        <v>188</v>
      </c>
      <c r="Q75" t="s">
        <v>74</v>
      </c>
      <c r="R75" t="s">
        <v>232</v>
      </c>
    </row>
    <row r="76" spans="1:18" x14ac:dyDescent="0.2">
      <c r="A76" t="s">
        <v>50</v>
      </c>
      <c r="B76" s="44" t="s">
        <v>188</v>
      </c>
      <c r="C76" t="s">
        <v>82</v>
      </c>
      <c r="D76" s="44">
        <v>80.153339029897239</v>
      </c>
      <c r="E76" s="44">
        <v>125.91531612036746</v>
      </c>
      <c r="F76" s="44">
        <v>182.31094705699158</v>
      </c>
      <c r="I76" t="str">
        <f t="shared" si="26"/>
        <v>Bioinformatics staff</v>
      </c>
      <c r="J76" t="str">
        <f t="shared" si="27"/>
        <v>Average Penalties</v>
      </c>
      <c r="K76" t="str">
        <f t="shared" si="28"/>
        <v>QLD</v>
      </c>
      <c r="L76" t="str">
        <f t="shared" si="29"/>
        <v>126 (80 - 182)</v>
      </c>
      <c r="O76" t="s">
        <v>50</v>
      </c>
      <c r="P76" t="s">
        <v>188</v>
      </c>
      <c r="Q76" t="s">
        <v>82</v>
      </c>
      <c r="R76" t="s">
        <v>233</v>
      </c>
    </row>
    <row r="77" spans="1:18" x14ac:dyDescent="0.2">
      <c r="A77" t="s">
        <v>50</v>
      </c>
      <c r="B77" s="44" t="s">
        <v>188</v>
      </c>
      <c r="C77" t="s">
        <v>62</v>
      </c>
      <c r="D77" s="44">
        <v>76.193492603550297</v>
      </c>
      <c r="E77" s="44">
        <v>109.75311478122079</v>
      </c>
      <c r="F77" s="44">
        <v>151.77387056213018</v>
      </c>
      <c r="I77" t="str">
        <f t="shared" si="26"/>
        <v>Bioinformatics staff</v>
      </c>
      <c r="J77" t="str">
        <f t="shared" si="27"/>
        <v>Average Penalties</v>
      </c>
      <c r="K77" t="str">
        <f t="shared" si="28"/>
        <v>SA</v>
      </c>
      <c r="L77" t="str">
        <f t="shared" si="29"/>
        <v>110 (76 - 152)</v>
      </c>
      <c r="O77" t="s">
        <v>50</v>
      </c>
      <c r="P77" t="s">
        <v>188</v>
      </c>
      <c r="Q77" t="s">
        <v>62</v>
      </c>
      <c r="R77" t="s">
        <v>234</v>
      </c>
    </row>
    <row r="78" spans="1:18" x14ac:dyDescent="0.2">
      <c r="A78" t="s">
        <v>50</v>
      </c>
      <c r="B78" s="44" t="s">
        <v>188</v>
      </c>
      <c r="C78" t="s">
        <v>32</v>
      </c>
      <c r="D78" s="44">
        <v>98.981360635316108</v>
      </c>
      <c r="E78" s="44">
        <v>131.77929823263781</v>
      </c>
      <c r="F78" s="44">
        <v>173.10820748987854</v>
      </c>
      <c r="I78" t="str">
        <f t="shared" si="26"/>
        <v>Bioinformatics staff</v>
      </c>
      <c r="J78" t="str">
        <f t="shared" si="27"/>
        <v>Average Penalties</v>
      </c>
      <c r="K78" t="str">
        <f t="shared" si="28"/>
        <v>VIC</v>
      </c>
      <c r="L78" t="str">
        <f t="shared" si="29"/>
        <v>132 (99 - 173)</v>
      </c>
      <c r="O78" t="s">
        <v>50</v>
      </c>
      <c r="P78" t="s">
        <v>188</v>
      </c>
      <c r="Q78" t="s">
        <v>32</v>
      </c>
      <c r="R78" t="s">
        <v>235</v>
      </c>
    </row>
    <row r="79" spans="1:18" x14ac:dyDescent="0.2">
      <c r="A79" t="s">
        <v>50</v>
      </c>
      <c r="B79" s="44" t="s">
        <v>188</v>
      </c>
      <c r="C79" t="s">
        <v>88</v>
      </c>
      <c r="D79" s="44">
        <v>100.41058603238866</v>
      </c>
      <c r="E79" s="44">
        <v>113.45244172376208</v>
      </c>
      <c r="F79" s="44">
        <v>131.93103830582373</v>
      </c>
      <c r="I79" t="str">
        <f t="shared" si="26"/>
        <v>Bioinformatics staff</v>
      </c>
      <c r="J79" t="str">
        <f t="shared" si="27"/>
        <v>Average Penalties</v>
      </c>
      <c r="K79" t="str">
        <f t="shared" si="28"/>
        <v>WA</v>
      </c>
      <c r="L79" t="str">
        <f t="shared" si="29"/>
        <v>113 (100 - 132)</v>
      </c>
      <c r="O79" t="s">
        <v>50</v>
      </c>
      <c r="P79" t="s">
        <v>188</v>
      </c>
      <c r="Q79" t="s">
        <v>88</v>
      </c>
      <c r="R79" t="s">
        <v>236</v>
      </c>
    </row>
    <row r="80" spans="1:18" x14ac:dyDescent="0.2">
      <c r="A80" t="s">
        <v>50</v>
      </c>
      <c r="B80" s="44" t="s">
        <v>198</v>
      </c>
      <c r="C80" t="s">
        <v>96</v>
      </c>
      <c r="D80" s="44">
        <v>79.197183357988166</v>
      </c>
      <c r="E80" s="44">
        <v>119.71436081049517</v>
      </c>
      <c r="F80" s="44">
        <v>184.04578251585244</v>
      </c>
      <c r="I80" t="str">
        <f t="shared" si="26"/>
        <v>Bioinformatics staff</v>
      </c>
      <c r="J80" t="str">
        <f t="shared" si="27"/>
        <v>Hours worked</v>
      </c>
      <c r="K80" t="str">
        <f t="shared" si="28"/>
        <v>ALL</v>
      </c>
      <c r="L80" t="str">
        <f t="shared" si="29"/>
        <v>120 (79 - 184)</v>
      </c>
      <c r="O80" t="s">
        <v>50</v>
      </c>
      <c r="P80" t="s">
        <v>198</v>
      </c>
      <c r="Q80" t="s">
        <v>96</v>
      </c>
      <c r="R80" t="s">
        <v>244</v>
      </c>
    </row>
    <row r="81" spans="1:18" x14ac:dyDescent="0.2">
      <c r="A81" t="s">
        <v>50</v>
      </c>
      <c r="B81" s="44" t="s">
        <v>198</v>
      </c>
      <c r="C81" t="s">
        <v>74</v>
      </c>
      <c r="D81" s="44">
        <v>81.24632758875741</v>
      </c>
      <c r="E81" s="44">
        <v>116.99664195344128</v>
      </c>
      <c r="F81" s="44">
        <v>155.42401335843647</v>
      </c>
      <c r="I81" t="str">
        <f t="shared" si="26"/>
        <v>Bioinformatics staff</v>
      </c>
      <c r="J81" t="str">
        <f t="shared" si="27"/>
        <v>Hours worked</v>
      </c>
      <c r="K81" t="str">
        <f t="shared" si="28"/>
        <v>NSW</v>
      </c>
      <c r="L81" t="str">
        <f t="shared" si="29"/>
        <v>117 (81 - 155)</v>
      </c>
      <c r="O81" t="s">
        <v>50</v>
      </c>
      <c r="P81" t="s">
        <v>198</v>
      </c>
      <c r="Q81" t="s">
        <v>74</v>
      </c>
      <c r="R81" t="s">
        <v>239</v>
      </c>
    </row>
    <row r="82" spans="1:18" x14ac:dyDescent="0.2">
      <c r="A82" t="s">
        <v>50</v>
      </c>
      <c r="B82" s="44" t="s">
        <v>198</v>
      </c>
      <c r="C82" t="s">
        <v>82</v>
      </c>
      <c r="D82" s="44">
        <v>79.464470155325458</v>
      </c>
      <c r="E82" s="44">
        <v>125.91531612036746</v>
      </c>
      <c r="F82" s="44">
        <v>176.06019886873037</v>
      </c>
      <c r="I82" t="str">
        <f t="shared" si="26"/>
        <v>Bioinformatics staff</v>
      </c>
      <c r="J82" t="str">
        <f t="shared" si="27"/>
        <v>Hours worked</v>
      </c>
      <c r="K82" t="str">
        <f t="shared" si="28"/>
        <v>QLD</v>
      </c>
      <c r="L82" t="str">
        <f t="shared" si="29"/>
        <v>126 (79 - 176)</v>
      </c>
      <c r="O82" t="s">
        <v>50</v>
      </c>
      <c r="P82" t="s">
        <v>198</v>
      </c>
      <c r="Q82" t="s">
        <v>82</v>
      </c>
      <c r="R82" t="s">
        <v>240</v>
      </c>
    </row>
    <row r="83" spans="1:18" x14ac:dyDescent="0.2">
      <c r="A83" t="s">
        <v>50</v>
      </c>
      <c r="B83" s="44" t="s">
        <v>198</v>
      </c>
      <c r="C83" t="s">
        <v>62</v>
      </c>
      <c r="D83" s="44">
        <v>75.575452588757386</v>
      </c>
      <c r="E83" s="44">
        <v>109.75311478122079</v>
      </c>
      <c r="F83" s="44">
        <v>146.50739999510978</v>
      </c>
      <c r="I83" t="str">
        <f t="shared" si="26"/>
        <v>Bioinformatics staff</v>
      </c>
      <c r="J83" t="str">
        <f t="shared" si="27"/>
        <v>Hours worked</v>
      </c>
      <c r="K83" t="str">
        <f t="shared" si="28"/>
        <v>SA</v>
      </c>
      <c r="L83" t="str">
        <f t="shared" si="29"/>
        <v>110 (76 - 147)</v>
      </c>
      <c r="O83" t="s">
        <v>50</v>
      </c>
      <c r="P83" t="s">
        <v>198</v>
      </c>
      <c r="Q83" t="s">
        <v>62</v>
      </c>
      <c r="R83" t="s">
        <v>241</v>
      </c>
    </row>
    <row r="84" spans="1:18" x14ac:dyDescent="0.2">
      <c r="A84" t="s">
        <v>50</v>
      </c>
      <c r="B84" s="44" t="s">
        <v>198</v>
      </c>
      <c r="C84" t="s">
        <v>32</v>
      </c>
      <c r="D84" s="44">
        <v>97.86036952662721</v>
      </c>
      <c r="E84" s="44">
        <v>131.77929823263781</v>
      </c>
      <c r="F84" s="44">
        <v>168.06644310235222</v>
      </c>
      <c r="I84" t="str">
        <f t="shared" si="26"/>
        <v>Bioinformatics staff</v>
      </c>
      <c r="J84" t="str">
        <f t="shared" si="27"/>
        <v>Hours worked</v>
      </c>
      <c r="K84" t="str">
        <f t="shared" si="28"/>
        <v>VIC</v>
      </c>
      <c r="L84" t="str">
        <f t="shared" si="29"/>
        <v>132 (98 - 168)</v>
      </c>
      <c r="O84" t="s">
        <v>50</v>
      </c>
      <c r="P84" t="s">
        <v>198</v>
      </c>
      <c r="Q84" t="s">
        <v>32</v>
      </c>
      <c r="R84" t="s">
        <v>242</v>
      </c>
    </row>
    <row r="85" spans="1:18" x14ac:dyDescent="0.2">
      <c r="A85" t="s">
        <v>50</v>
      </c>
      <c r="B85" s="44" t="s">
        <v>198</v>
      </c>
      <c r="C85" t="s">
        <v>88</v>
      </c>
      <c r="D85" s="44">
        <v>99.231306730769234</v>
      </c>
      <c r="E85" s="44">
        <v>113.45244172376208</v>
      </c>
      <c r="F85" s="44">
        <v>128.18549040702888</v>
      </c>
      <c r="I85" t="str">
        <f t="shared" si="26"/>
        <v>Bioinformatics staff</v>
      </c>
      <c r="J85" t="str">
        <f t="shared" si="27"/>
        <v>Hours worked</v>
      </c>
      <c r="K85" t="str">
        <f t="shared" si="28"/>
        <v>WA</v>
      </c>
      <c r="L85" t="str">
        <f t="shared" si="29"/>
        <v>113 (99 - 128)</v>
      </c>
      <c r="O85" t="s">
        <v>50</v>
      </c>
      <c r="P85" t="s">
        <v>198</v>
      </c>
      <c r="Q85" t="s">
        <v>88</v>
      </c>
      <c r="R85" t="s">
        <v>243</v>
      </c>
    </row>
    <row r="86" spans="1:18" x14ac:dyDescent="0.2">
      <c r="A86" t="s">
        <v>50</v>
      </c>
      <c r="B86" s="44" t="s">
        <v>195</v>
      </c>
      <c r="C86" t="s">
        <v>96</v>
      </c>
      <c r="D86" s="44">
        <v>83.365456166303332</v>
      </c>
      <c r="E86" s="44">
        <v>119.71436081049517</v>
      </c>
      <c r="F86" s="44">
        <v>175.81215540330115</v>
      </c>
      <c r="I86" t="str">
        <f t="shared" si="26"/>
        <v>Bioinformatics staff</v>
      </c>
      <c r="J86" t="str">
        <f t="shared" si="27"/>
        <v xml:space="preserve">Leave Loading (%)		</v>
      </c>
      <c r="K86" t="str">
        <f t="shared" si="28"/>
        <v>ALL</v>
      </c>
      <c r="L86" t="str">
        <f t="shared" si="29"/>
        <v>120 (83 - 176)</v>
      </c>
      <c r="O86" t="s">
        <v>50</v>
      </c>
      <c r="P86" t="s">
        <v>195</v>
      </c>
      <c r="Q86" t="s">
        <v>96</v>
      </c>
      <c r="R86" t="s">
        <v>230</v>
      </c>
    </row>
    <row r="87" spans="1:18" x14ac:dyDescent="0.2">
      <c r="A87" t="s">
        <v>50</v>
      </c>
      <c r="B87" s="44" t="s">
        <v>195</v>
      </c>
      <c r="C87" t="s">
        <v>74</v>
      </c>
      <c r="D87" s="44">
        <v>85.522450093428859</v>
      </c>
      <c r="E87" s="44">
        <v>116.99664195344128</v>
      </c>
      <c r="F87" s="44">
        <v>148.47083381345377</v>
      </c>
      <c r="I87" t="str">
        <f t="shared" si="26"/>
        <v>Bioinformatics staff</v>
      </c>
      <c r="J87" t="str">
        <f t="shared" si="27"/>
        <v xml:space="preserve">Leave Loading (%)		</v>
      </c>
      <c r="K87" t="str">
        <f t="shared" si="28"/>
        <v>NSW</v>
      </c>
      <c r="L87" t="str">
        <f t="shared" si="29"/>
        <v>117 (86 - 148)</v>
      </c>
      <c r="O87" t="s">
        <v>50</v>
      </c>
      <c r="P87" t="s">
        <v>195</v>
      </c>
      <c r="Q87" t="s">
        <v>74</v>
      </c>
      <c r="R87" t="s">
        <v>225</v>
      </c>
    </row>
    <row r="88" spans="1:18" x14ac:dyDescent="0.2">
      <c r="A88" t="s">
        <v>50</v>
      </c>
      <c r="B88" s="44" t="s">
        <v>195</v>
      </c>
      <c r="C88" t="s">
        <v>82</v>
      </c>
      <c r="D88" s="44">
        <v>83.646810689816263</v>
      </c>
      <c r="E88" s="44">
        <v>125.91531612036746</v>
      </c>
      <c r="F88" s="44">
        <v>168.18382155091874</v>
      </c>
      <c r="I88" t="str">
        <f t="shared" si="26"/>
        <v>Bioinformatics staff</v>
      </c>
      <c r="J88" t="str">
        <f t="shared" si="27"/>
        <v xml:space="preserve">Leave Loading (%)		</v>
      </c>
      <c r="K88" t="str">
        <f t="shared" si="28"/>
        <v>QLD</v>
      </c>
      <c r="L88" t="str">
        <f t="shared" si="29"/>
        <v>126 (84 - 168)</v>
      </c>
      <c r="O88" t="s">
        <v>50</v>
      </c>
      <c r="P88" t="s">
        <v>195</v>
      </c>
      <c r="Q88" t="s">
        <v>82</v>
      </c>
      <c r="R88" t="s">
        <v>226</v>
      </c>
    </row>
    <row r="89" spans="1:18" x14ac:dyDescent="0.2">
      <c r="A89" t="s">
        <v>50</v>
      </c>
      <c r="B89" s="44" t="s">
        <v>195</v>
      </c>
      <c r="C89" t="s">
        <v>62</v>
      </c>
      <c r="D89" s="44">
        <v>79.553107988165678</v>
      </c>
      <c r="E89" s="44">
        <v>109.75311478122079</v>
      </c>
      <c r="F89" s="44">
        <v>139.95312157427591</v>
      </c>
      <c r="I89" t="str">
        <f t="shared" si="26"/>
        <v>Bioinformatics staff</v>
      </c>
      <c r="J89" t="str">
        <f t="shared" si="27"/>
        <v xml:space="preserve">Leave Loading (%)		</v>
      </c>
      <c r="K89" t="str">
        <f t="shared" si="28"/>
        <v>SA</v>
      </c>
      <c r="L89" t="str">
        <f t="shared" si="29"/>
        <v>110 (80 - 140)</v>
      </c>
      <c r="O89" t="s">
        <v>50</v>
      </c>
      <c r="P89" t="s">
        <v>195</v>
      </c>
      <c r="Q89" t="s">
        <v>62</v>
      </c>
      <c r="R89" t="s">
        <v>227</v>
      </c>
    </row>
    <row r="90" spans="1:18" x14ac:dyDescent="0.2">
      <c r="A90" t="s">
        <v>50</v>
      </c>
      <c r="B90" s="44" t="s">
        <v>195</v>
      </c>
      <c r="C90" t="s">
        <v>32</v>
      </c>
      <c r="D90" s="44">
        <v>103.01091529118654</v>
      </c>
      <c r="E90" s="44">
        <v>131.77929823263781</v>
      </c>
      <c r="F90" s="44">
        <v>160.54768117408906</v>
      </c>
      <c r="I90" t="str">
        <f t="shared" si="26"/>
        <v>Bioinformatics staff</v>
      </c>
      <c r="J90" t="str">
        <f t="shared" si="27"/>
        <v xml:space="preserve">Leave Loading (%)		</v>
      </c>
      <c r="K90" t="str">
        <f t="shared" si="28"/>
        <v>VIC</v>
      </c>
      <c r="L90" t="str">
        <f t="shared" si="29"/>
        <v>132 (103 - 161)</v>
      </c>
      <c r="O90" t="s">
        <v>50</v>
      </c>
      <c r="P90" t="s">
        <v>195</v>
      </c>
      <c r="Q90" t="s">
        <v>32</v>
      </c>
      <c r="R90" t="s">
        <v>228</v>
      </c>
    </row>
    <row r="91" spans="1:18" x14ac:dyDescent="0.2">
      <c r="A91" t="s">
        <v>50</v>
      </c>
      <c r="B91" s="44" t="s">
        <v>195</v>
      </c>
      <c r="C91" t="s">
        <v>88</v>
      </c>
      <c r="D91" s="44">
        <v>104.45400708502025</v>
      </c>
      <c r="E91" s="44">
        <v>113.45244172376208</v>
      </c>
      <c r="F91" s="44">
        <v>122.45087636250389</v>
      </c>
      <c r="I91" t="str">
        <f t="shared" si="26"/>
        <v>Bioinformatics staff</v>
      </c>
      <c r="J91" t="str">
        <f t="shared" si="27"/>
        <v xml:space="preserve">Leave Loading (%)		</v>
      </c>
      <c r="K91" t="str">
        <f t="shared" si="28"/>
        <v>WA</v>
      </c>
      <c r="L91" t="str">
        <f t="shared" si="29"/>
        <v>113 (104 - 122)</v>
      </c>
      <c r="O91" t="s">
        <v>50</v>
      </c>
      <c r="P91" t="s">
        <v>195</v>
      </c>
      <c r="Q91" t="s">
        <v>88</v>
      </c>
      <c r="R91" t="s">
        <v>229</v>
      </c>
    </row>
    <row r="92" spans="1:18" x14ac:dyDescent="0.2">
      <c r="A92" t="s">
        <v>50</v>
      </c>
      <c r="B92" s="44" t="s">
        <v>190</v>
      </c>
      <c r="C92" t="s">
        <v>96</v>
      </c>
      <c r="D92" s="44">
        <v>83.365456166303332</v>
      </c>
      <c r="E92" s="44">
        <v>119.71436081049517</v>
      </c>
      <c r="F92" s="44">
        <v>175.81215540330115</v>
      </c>
      <c r="I92" t="str">
        <f t="shared" si="26"/>
        <v>Bioinformatics staff</v>
      </c>
      <c r="J92" t="str">
        <f t="shared" si="27"/>
        <v>Private Practice Loading</v>
      </c>
      <c r="K92" t="str">
        <f t="shared" si="28"/>
        <v>ALL</v>
      </c>
      <c r="L92" t="str">
        <f t="shared" si="29"/>
        <v>120 (83 - 176)</v>
      </c>
      <c r="O92" t="s">
        <v>50</v>
      </c>
      <c r="P92" t="s">
        <v>190</v>
      </c>
      <c r="Q92" t="s">
        <v>96</v>
      </c>
      <c r="R92" t="s">
        <v>230</v>
      </c>
    </row>
    <row r="93" spans="1:18" x14ac:dyDescent="0.2">
      <c r="A93" t="s">
        <v>50</v>
      </c>
      <c r="B93" s="44" t="s">
        <v>190</v>
      </c>
      <c r="C93" t="s">
        <v>74</v>
      </c>
      <c r="D93" s="44">
        <v>85.522450093428859</v>
      </c>
      <c r="E93" s="44">
        <v>116.99664195344128</v>
      </c>
      <c r="F93" s="44">
        <v>148.47083381345377</v>
      </c>
      <c r="I93" t="str">
        <f t="shared" si="26"/>
        <v>Bioinformatics staff</v>
      </c>
      <c r="J93" t="str">
        <f t="shared" si="27"/>
        <v>Private Practice Loading</v>
      </c>
      <c r="K93" t="str">
        <f t="shared" si="28"/>
        <v>NSW</v>
      </c>
      <c r="L93" t="str">
        <f t="shared" si="29"/>
        <v>117 (86 - 148)</v>
      </c>
      <c r="O93" t="s">
        <v>50</v>
      </c>
      <c r="P93" t="s">
        <v>190</v>
      </c>
      <c r="Q93" t="s">
        <v>74</v>
      </c>
      <c r="R93" t="s">
        <v>225</v>
      </c>
    </row>
    <row r="94" spans="1:18" x14ac:dyDescent="0.2">
      <c r="A94" t="s">
        <v>50</v>
      </c>
      <c r="B94" s="44" t="s">
        <v>190</v>
      </c>
      <c r="C94" t="s">
        <v>82</v>
      </c>
      <c r="D94" s="44">
        <v>83.646810689816263</v>
      </c>
      <c r="E94" s="44">
        <v>125.91531612036746</v>
      </c>
      <c r="F94" s="44">
        <v>168.18382155091874</v>
      </c>
      <c r="I94" t="str">
        <f t="shared" si="26"/>
        <v>Bioinformatics staff</v>
      </c>
      <c r="J94" t="str">
        <f t="shared" si="27"/>
        <v>Private Practice Loading</v>
      </c>
      <c r="K94" t="str">
        <f t="shared" si="28"/>
        <v>QLD</v>
      </c>
      <c r="L94" t="str">
        <f t="shared" si="29"/>
        <v>126 (84 - 168)</v>
      </c>
      <c r="O94" t="s">
        <v>50</v>
      </c>
      <c r="P94" t="s">
        <v>190</v>
      </c>
      <c r="Q94" t="s">
        <v>82</v>
      </c>
      <c r="R94" t="s">
        <v>226</v>
      </c>
    </row>
    <row r="95" spans="1:18" x14ac:dyDescent="0.2">
      <c r="A95" t="s">
        <v>50</v>
      </c>
      <c r="B95" s="44" t="s">
        <v>190</v>
      </c>
      <c r="C95" t="s">
        <v>62</v>
      </c>
      <c r="D95" s="44">
        <v>79.553107988165678</v>
      </c>
      <c r="E95" s="44">
        <v>109.75311478122079</v>
      </c>
      <c r="F95" s="44">
        <v>139.95312157427591</v>
      </c>
      <c r="I95" t="str">
        <f t="shared" si="26"/>
        <v>Bioinformatics staff</v>
      </c>
      <c r="J95" t="str">
        <f t="shared" si="27"/>
        <v>Private Practice Loading</v>
      </c>
      <c r="K95" t="str">
        <f t="shared" si="28"/>
        <v>SA</v>
      </c>
      <c r="L95" t="str">
        <f t="shared" si="29"/>
        <v>110 (80 - 140)</v>
      </c>
      <c r="O95" t="s">
        <v>50</v>
      </c>
      <c r="P95" t="s">
        <v>190</v>
      </c>
      <c r="Q95" t="s">
        <v>62</v>
      </c>
      <c r="R95" t="s">
        <v>227</v>
      </c>
    </row>
    <row r="96" spans="1:18" x14ac:dyDescent="0.2">
      <c r="A96" t="s">
        <v>50</v>
      </c>
      <c r="B96" s="44" t="s">
        <v>190</v>
      </c>
      <c r="C96" t="s">
        <v>32</v>
      </c>
      <c r="D96" s="44">
        <v>103.01091529118654</v>
      </c>
      <c r="E96" s="44">
        <v>131.77929823263781</v>
      </c>
      <c r="F96" s="44">
        <v>160.54768117408906</v>
      </c>
      <c r="I96" t="str">
        <f t="shared" si="26"/>
        <v>Bioinformatics staff</v>
      </c>
      <c r="J96" t="str">
        <f t="shared" si="27"/>
        <v>Private Practice Loading</v>
      </c>
      <c r="K96" t="str">
        <f t="shared" si="28"/>
        <v>VIC</v>
      </c>
      <c r="L96" t="str">
        <f t="shared" si="29"/>
        <v>132 (103 - 161)</v>
      </c>
      <c r="O96" t="s">
        <v>50</v>
      </c>
      <c r="P96" t="s">
        <v>190</v>
      </c>
      <c r="Q96" t="s">
        <v>32</v>
      </c>
      <c r="R96" t="s">
        <v>228</v>
      </c>
    </row>
    <row r="97" spans="1:18" x14ac:dyDescent="0.2">
      <c r="A97" t="s">
        <v>50</v>
      </c>
      <c r="B97" s="44" t="s">
        <v>190</v>
      </c>
      <c r="C97" t="s">
        <v>88</v>
      </c>
      <c r="D97" s="44">
        <v>104.45400708502025</v>
      </c>
      <c r="E97" s="44">
        <v>113.45244172376208</v>
      </c>
      <c r="F97" s="44">
        <v>122.45087636250389</v>
      </c>
      <c r="I97" t="str">
        <f t="shared" si="26"/>
        <v>Bioinformatics staff</v>
      </c>
      <c r="J97" t="str">
        <f t="shared" si="27"/>
        <v>Private Practice Loading</v>
      </c>
      <c r="K97" t="str">
        <f t="shared" si="28"/>
        <v>WA</v>
      </c>
      <c r="L97" t="str">
        <f t="shared" si="29"/>
        <v>113 (104 - 122)</v>
      </c>
      <c r="O97" t="s">
        <v>50</v>
      </c>
      <c r="P97" t="s">
        <v>190</v>
      </c>
      <c r="Q97" t="s">
        <v>88</v>
      </c>
      <c r="R97" t="s">
        <v>229</v>
      </c>
    </row>
    <row r="98" spans="1:18" x14ac:dyDescent="0.2">
      <c r="A98" t="s">
        <v>50</v>
      </c>
      <c r="B98" s="44" t="s">
        <v>193</v>
      </c>
      <c r="C98" t="s">
        <v>96</v>
      </c>
      <c r="D98" s="44">
        <v>83.365456166303332</v>
      </c>
      <c r="E98" s="44">
        <v>119.71436081049517</v>
      </c>
      <c r="F98" s="44">
        <v>175.81215540330115</v>
      </c>
      <c r="I98" t="str">
        <f t="shared" si="26"/>
        <v>Bioinformatics staff</v>
      </c>
      <c r="J98" t="str">
        <f t="shared" si="27"/>
        <v>Professional Development Allowance</v>
      </c>
      <c r="K98" t="str">
        <f t="shared" si="28"/>
        <v>ALL</v>
      </c>
      <c r="L98" t="str">
        <f t="shared" si="29"/>
        <v>120 (83 - 176)</v>
      </c>
      <c r="O98" t="s">
        <v>50</v>
      </c>
      <c r="P98" t="s">
        <v>193</v>
      </c>
      <c r="Q98" t="s">
        <v>96</v>
      </c>
      <c r="R98" t="s">
        <v>230</v>
      </c>
    </row>
    <row r="99" spans="1:18" x14ac:dyDescent="0.2">
      <c r="A99" t="s">
        <v>50</v>
      </c>
      <c r="B99" s="44" t="s">
        <v>193</v>
      </c>
      <c r="C99" t="s">
        <v>74</v>
      </c>
      <c r="D99" s="44">
        <v>85.522450093428859</v>
      </c>
      <c r="E99" s="44">
        <v>116.99664195344128</v>
      </c>
      <c r="F99" s="44">
        <v>148.47083381345377</v>
      </c>
      <c r="I99" t="str">
        <f t="shared" si="26"/>
        <v>Bioinformatics staff</v>
      </c>
      <c r="J99" t="str">
        <f t="shared" si="27"/>
        <v>Professional Development Allowance</v>
      </c>
      <c r="K99" t="str">
        <f t="shared" si="28"/>
        <v>NSW</v>
      </c>
      <c r="L99" t="str">
        <f t="shared" si="29"/>
        <v>117 (86 - 148)</v>
      </c>
      <c r="O99" t="s">
        <v>50</v>
      </c>
      <c r="P99" t="s">
        <v>193</v>
      </c>
      <c r="Q99" t="s">
        <v>74</v>
      </c>
      <c r="R99" t="s">
        <v>225</v>
      </c>
    </row>
    <row r="100" spans="1:18" x14ac:dyDescent="0.2">
      <c r="A100" t="s">
        <v>50</v>
      </c>
      <c r="B100" s="44" t="s">
        <v>193</v>
      </c>
      <c r="C100" t="s">
        <v>82</v>
      </c>
      <c r="D100" s="44">
        <v>83.646810689816263</v>
      </c>
      <c r="E100" s="44">
        <v>125.91531612036746</v>
      </c>
      <c r="F100" s="44">
        <v>168.18382155091874</v>
      </c>
      <c r="I100" t="str">
        <f t="shared" si="26"/>
        <v>Bioinformatics staff</v>
      </c>
      <c r="J100" t="str">
        <f t="shared" si="27"/>
        <v>Professional Development Allowance</v>
      </c>
      <c r="K100" t="str">
        <f t="shared" si="28"/>
        <v>QLD</v>
      </c>
      <c r="L100" t="str">
        <f t="shared" si="29"/>
        <v>126 (84 - 168)</v>
      </c>
      <c r="O100" t="s">
        <v>50</v>
      </c>
      <c r="P100" t="s">
        <v>193</v>
      </c>
      <c r="Q100" t="s">
        <v>82</v>
      </c>
      <c r="R100" t="s">
        <v>226</v>
      </c>
    </row>
    <row r="101" spans="1:18" x14ac:dyDescent="0.2">
      <c r="A101" t="s">
        <v>50</v>
      </c>
      <c r="B101" s="44" t="s">
        <v>193</v>
      </c>
      <c r="C101" t="s">
        <v>62</v>
      </c>
      <c r="D101" s="44">
        <v>79.553107988165678</v>
      </c>
      <c r="E101" s="44">
        <v>109.75311478122079</v>
      </c>
      <c r="F101" s="44">
        <v>139.95312157427591</v>
      </c>
      <c r="I101" t="str">
        <f t="shared" si="26"/>
        <v>Bioinformatics staff</v>
      </c>
      <c r="J101" t="str">
        <f t="shared" si="27"/>
        <v>Professional Development Allowance</v>
      </c>
      <c r="K101" t="str">
        <f t="shared" si="28"/>
        <v>SA</v>
      </c>
      <c r="L101" t="str">
        <f t="shared" si="29"/>
        <v>110 (80 - 140)</v>
      </c>
      <c r="O101" t="s">
        <v>50</v>
      </c>
      <c r="P101" t="s">
        <v>193</v>
      </c>
      <c r="Q101" t="s">
        <v>62</v>
      </c>
      <c r="R101" t="s">
        <v>227</v>
      </c>
    </row>
    <row r="102" spans="1:18" x14ac:dyDescent="0.2">
      <c r="A102" t="s">
        <v>50</v>
      </c>
      <c r="B102" s="44" t="s">
        <v>193</v>
      </c>
      <c r="C102" t="s">
        <v>32</v>
      </c>
      <c r="D102" s="44">
        <v>103.01091529118654</v>
      </c>
      <c r="E102" s="44">
        <v>131.77929823263781</v>
      </c>
      <c r="F102" s="44">
        <v>160.54768117408906</v>
      </c>
      <c r="I102" t="str">
        <f t="shared" si="26"/>
        <v>Bioinformatics staff</v>
      </c>
      <c r="J102" t="str">
        <f t="shared" si="27"/>
        <v>Professional Development Allowance</v>
      </c>
      <c r="K102" t="str">
        <f t="shared" si="28"/>
        <v>VIC</v>
      </c>
      <c r="L102" t="str">
        <f t="shared" si="29"/>
        <v>132 (103 - 161)</v>
      </c>
      <c r="O102" t="s">
        <v>50</v>
      </c>
      <c r="P102" t="s">
        <v>193</v>
      </c>
      <c r="Q102" t="s">
        <v>32</v>
      </c>
      <c r="R102" t="s">
        <v>228</v>
      </c>
    </row>
    <row r="103" spans="1:18" x14ac:dyDescent="0.2">
      <c r="A103" t="s">
        <v>50</v>
      </c>
      <c r="B103" s="44" t="s">
        <v>193</v>
      </c>
      <c r="C103" t="s">
        <v>88</v>
      </c>
      <c r="D103" s="44">
        <v>104.45400708502025</v>
      </c>
      <c r="E103" s="44">
        <v>113.45244172376208</v>
      </c>
      <c r="F103" s="44">
        <v>122.45087636250389</v>
      </c>
      <c r="I103" t="str">
        <f t="shared" si="26"/>
        <v>Bioinformatics staff</v>
      </c>
      <c r="J103" t="str">
        <f t="shared" si="27"/>
        <v>Professional Development Allowance</v>
      </c>
      <c r="K103" t="str">
        <f t="shared" si="28"/>
        <v>WA</v>
      </c>
      <c r="L103" t="str">
        <f t="shared" si="29"/>
        <v>113 (104 - 122)</v>
      </c>
      <c r="O103" t="s">
        <v>50</v>
      </c>
      <c r="P103" t="s">
        <v>193</v>
      </c>
      <c r="Q103" t="s">
        <v>88</v>
      </c>
      <c r="R103" t="s">
        <v>229</v>
      </c>
    </row>
    <row r="104" spans="1:18" x14ac:dyDescent="0.2">
      <c r="A104" t="s">
        <v>50</v>
      </c>
      <c r="B104" s="44" t="s">
        <v>189</v>
      </c>
      <c r="C104" t="s">
        <v>96</v>
      </c>
      <c r="D104" s="44">
        <v>83.181456672376214</v>
      </c>
      <c r="E104" s="44">
        <v>119.71436081049517</v>
      </c>
      <c r="F104" s="44">
        <v>176.16533354095299</v>
      </c>
      <c r="I104" t="str">
        <f t="shared" si="26"/>
        <v>Bioinformatics staff</v>
      </c>
      <c r="J104" t="str">
        <f t="shared" si="27"/>
        <v>Public Holiday Penalty</v>
      </c>
      <c r="K104" t="str">
        <f t="shared" si="28"/>
        <v>ALL</v>
      </c>
      <c r="L104" t="str">
        <f t="shared" si="29"/>
        <v>120 (83 - 176)</v>
      </c>
      <c r="O104" t="s">
        <v>50</v>
      </c>
      <c r="P104" t="s">
        <v>189</v>
      </c>
      <c r="Q104" t="s">
        <v>96</v>
      </c>
      <c r="R104" t="s">
        <v>230</v>
      </c>
    </row>
    <row r="105" spans="1:18" x14ac:dyDescent="0.2">
      <c r="A105" t="s">
        <v>50</v>
      </c>
      <c r="B105" s="44" t="s">
        <v>189</v>
      </c>
      <c r="C105" t="s">
        <v>74</v>
      </c>
      <c r="D105" s="44">
        <v>85.338450599501698</v>
      </c>
      <c r="E105" s="44">
        <v>116.99664195344128</v>
      </c>
      <c r="F105" s="44">
        <v>148.76122601993146</v>
      </c>
      <c r="I105" t="str">
        <f t="shared" si="26"/>
        <v>Bioinformatics staff</v>
      </c>
      <c r="J105" t="str">
        <f t="shared" si="27"/>
        <v>Public Holiday Penalty</v>
      </c>
      <c r="K105" t="str">
        <f t="shared" si="28"/>
        <v>NSW</v>
      </c>
      <c r="L105" t="str">
        <f t="shared" si="29"/>
        <v>117 (85 - 149)</v>
      </c>
      <c r="O105" t="s">
        <v>50</v>
      </c>
      <c r="P105" t="s">
        <v>189</v>
      </c>
      <c r="Q105" t="s">
        <v>74</v>
      </c>
      <c r="R105" t="s">
        <v>245</v>
      </c>
    </row>
    <row r="106" spans="1:18" x14ac:dyDescent="0.2">
      <c r="A106" t="s">
        <v>50</v>
      </c>
      <c r="B106" s="44" t="s">
        <v>189</v>
      </c>
      <c r="C106" t="s">
        <v>82</v>
      </c>
      <c r="D106" s="44">
        <v>83.454669748520715</v>
      </c>
      <c r="E106" s="44">
        <v>125.91531612036746</v>
      </c>
      <c r="F106" s="44">
        <v>168.53699968857055</v>
      </c>
      <c r="I106" t="str">
        <f t="shared" si="26"/>
        <v>Bioinformatics staff</v>
      </c>
      <c r="J106" t="str">
        <f t="shared" si="27"/>
        <v>Public Holiday Penalty</v>
      </c>
      <c r="K106" t="str">
        <f t="shared" si="28"/>
        <v>QLD</v>
      </c>
      <c r="L106" t="str">
        <f t="shared" si="29"/>
        <v>126 (83 - 169)</v>
      </c>
      <c r="O106" t="s">
        <v>50</v>
      </c>
      <c r="P106" t="s">
        <v>189</v>
      </c>
      <c r="Q106" t="s">
        <v>82</v>
      </c>
      <c r="R106" t="s">
        <v>246</v>
      </c>
    </row>
    <row r="107" spans="1:18" x14ac:dyDescent="0.2">
      <c r="A107" t="s">
        <v>50</v>
      </c>
      <c r="B107" s="44" t="s">
        <v>189</v>
      </c>
      <c r="C107" t="s">
        <v>62</v>
      </c>
      <c r="D107" s="44">
        <v>79.368329142011831</v>
      </c>
      <c r="E107" s="44">
        <v>109.75311478122079</v>
      </c>
      <c r="F107" s="44">
        <v>140.2486402989723</v>
      </c>
      <c r="I107" t="str">
        <f t="shared" si="26"/>
        <v>Bioinformatics staff</v>
      </c>
      <c r="J107" t="str">
        <f t="shared" si="27"/>
        <v>Public Holiday Penalty</v>
      </c>
      <c r="K107" t="str">
        <f t="shared" si="28"/>
        <v>SA</v>
      </c>
      <c r="L107" t="str">
        <f t="shared" si="29"/>
        <v>110 (79 - 140)</v>
      </c>
      <c r="O107" t="s">
        <v>50</v>
      </c>
      <c r="P107" t="s">
        <v>189</v>
      </c>
      <c r="Q107" t="s">
        <v>62</v>
      </c>
      <c r="R107" t="s">
        <v>247</v>
      </c>
    </row>
    <row r="108" spans="1:18" x14ac:dyDescent="0.2">
      <c r="A108" t="s">
        <v>50</v>
      </c>
      <c r="B108" s="44" t="s">
        <v>189</v>
      </c>
      <c r="C108" t="s">
        <v>32</v>
      </c>
      <c r="D108" s="44">
        <v>102.78928978511367</v>
      </c>
      <c r="E108" s="44">
        <v>131.77929823263781</v>
      </c>
      <c r="F108" s="44">
        <v>160.86169433198381</v>
      </c>
      <c r="I108" t="str">
        <f t="shared" si="26"/>
        <v>Bioinformatics staff</v>
      </c>
      <c r="J108" t="str">
        <f t="shared" si="27"/>
        <v>Public Holiday Penalty</v>
      </c>
      <c r="K108" t="str">
        <f t="shared" si="28"/>
        <v>VIC</v>
      </c>
      <c r="L108" t="str">
        <f t="shared" si="29"/>
        <v>132 (103 - 161)</v>
      </c>
      <c r="O108" t="s">
        <v>50</v>
      </c>
      <c r="P108" t="s">
        <v>189</v>
      </c>
      <c r="Q108" t="s">
        <v>32</v>
      </c>
      <c r="R108" t="s">
        <v>228</v>
      </c>
    </row>
    <row r="109" spans="1:18" x14ac:dyDescent="0.2">
      <c r="A109" t="s">
        <v>50</v>
      </c>
      <c r="B109" s="44" t="s">
        <v>189</v>
      </c>
      <c r="C109" t="s">
        <v>88</v>
      </c>
      <c r="D109" s="44">
        <v>104.23161892712551</v>
      </c>
      <c r="E109" s="44">
        <v>113.45244172376208</v>
      </c>
      <c r="F109" s="44">
        <v>122.68788041108689</v>
      </c>
      <c r="I109" t="str">
        <f t="shared" si="26"/>
        <v>Bioinformatics staff</v>
      </c>
      <c r="J109" t="str">
        <f t="shared" si="27"/>
        <v>Public Holiday Penalty</v>
      </c>
      <c r="K109" t="str">
        <f t="shared" si="28"/>
        <v>WA</v>
      </c>
      <c r="L109" t="str">
        <f t="shared" si="29"/>
        <v>113 (104 - 123)</v>
      </c>
      <c r="O109" t="s">
        <v>50</v>
      </c>
      <c r="P109" t="s">
        <v>189</v>
      </c>
      <c r="Q109" t="s">
        <v>88</v>
      </c>
      <c r="R109" t="s">
        <v>248</v>
      </c>
    </row>
    <row r="110" spans="1:18" x14ac:dyDescent="0.2">
      <c r="A110" t="s">
        <v>50</v>
      </c>
      <c r="B110" s="44" t="s">
        <v>192</v>
      </c>
      <c r="C110" t="s">
        <v>96</v>
      </c>
      <c r="D110" s="44">
        <v>83.365456166303332</v>
      </c>
      <c r="E110" s="44">
        <v>119.71436081049517</v>
      </c>
      <c r="F110" s="44">
        <v>175.81215540330115</v>
      </c>
      <c r="I110" t="str">
        <f t="shared" si="26"/>
        <v>Bioinformatics staff</v>
      </c>
      <c r="J110" t="str">
        <f t="shared" si="27"/>
        <v>Sick Leave</v>
      </c>
      <c r="K110" t="str">
        <f t="shared" si="28"/>
        <v>ALL</v>
      </c>
      <c r="L110" t="str">
        <f t="shared" si="29"/>
        <v>120 (83 - 176)</v>
      </c>
      <c r="O110" t="s">
        <v>50</v>
      </c>
      <c r="P110" t="s">
        <v>192</v>
      </c>
      <c r="Q110" t="s">
        <v>96</v>
      </c>
      <c r="R110" t="s">
        <v>230</v>
      </c>
    </row>
    <row r="111" spans="1:18" x14ac:dyDescent="0.2">
      <c r="A111" t="s">
        <v>50</v>
      </c>
      <c r="B111" s="44" t="s">
        <v>192</v>
      </c>
      <c r="C111" t="s">
        <v>74</v>
      </c>
      <c r="D111" s="44">
        <v>85.522450093428859</v>
      </c>
      <c r="E111" s="44">
        <v>116.99664195344128</v>
      </c>
      <c r="F111" s="44">
        <v>148.47083381345377</v>
      </c>
      <c r="I111" t="str">
        <f t="shared" si="26"/>
        <v>Bioinformatics staff</v>
      </c>
      <c r="J111" t="str">
        <f t="shared" si="27"/>
        <v>Sick Leave</v>
      </c>
      <c r="K111" t="str">
        <f t="shared" si="28"/>
        <v>NSW</v>
      </c>
      <c r="L111" t="str">
        <f t="shared" si="29"/>
        <v>117 (86 - 148)</v>
      </c>
      <c r="O111" t="s">
        <v>50</v>
      </c>
      <c r="P111" t="s">
        <v>192</v>
      </c>
      <c r="Q111" t="s">
        <v>74</v>
      </c>
      <c r="R111" t="s">
        <v>225</v>
      </c>
    </row>
    <row r="112" spans="1:18" x14ac:dyDescent="0.2">
      <c r="A112" t="s">
        <v>50</v>
      </c>
      <c r="B112" s="44" t="s">
        <v>192</v>
      </c>
      <c r="C112" t="s">
        <v>82</v>
      </c>
      <c r="D112" s="44">
        <v>83.646810689816263</v>
      </c>
      <c r="E112" s="44">
        <v>125.91531612036746</v>
      </c>
      <c r="F112" s="44">
        <v>168.18382155091874</v>
      </c>
      <c r="I112" t="str">
        <f t="shared" si="26"/>
        <v>Bioinformatics staff</v>
      </c>
      <c r="J112" t="str">
        <f t="shared" si="27"/>
        <v>Sick Leave</v>
      </c>
      <c r="K112" t="str">
        <f t="shared" si="28"/>
        <v>QLD</v>
      </c>
      <c r="L112" t="str">
        <f t="shared" si="29"/>
        <v>126 (84 - 168)</v>
      </c>
      <c r="O112" t="s">
        <v>50</v>
      </c>
      <c r="P112" t="s">
        <v>192</v>
      </c>
      <c r="Q112" t="s">
        <v>82</v>
      </c>
      <c r="R112" t="s">
        <v>226</v>
      </c>
    </row>
    <row r="113" spans="1:18" x14ac:dyDescent="0.2">
      <c r="A113" t="s">
        <v>50</v>
      </c>
      <c r="B113" s="44" t="s">
        <v>192</v>
      </c>
      <c r="C113" t="s">
        <v>62</v>
      </c>
      <c r="D113" s="44">
        <v>79.553107988165678</v>
      </c>
      <c r="E113" s="44">
        <v>109.75311478122079</v>
      </c>
      <c r="F113" s="44">
        <v>139.95312157427591</v>
      </c>
      <c r="I113" t="str">
        <f t="shared" si="26"/>
        <v>Bioinformatics staff</v>
      </c>
      <c r="J113" t="str">
        <f t="shared" si="27"/>
        <v>Sick Leave</v>
      </c>
      <c r="K113" t="str">
        <f t="shared" si="28"/>
        <v>SA</v>
      </c>
      <c r="L113" t="str">
        <f t="shared" si="29"/>
        <v>110 (80 - 140)</v>
      </c>
      <c r="O113" t="s">
        <v>50</v>
      </c>
      <c r="P113" t="s">
        <v>192</v>
      </c>
      <c r="Q113" t="s">
        <v>62</v>
      </c>
      <c r="R113" t="s">
        <v>227</v>
      </c>
    </row>
    <row r="114" spans="1:18" x14ac:dyDescent="0.2">
      <c r="A114" t="s">
        <v>50</v>
      </c>
      <c r="B114" s="44" t="s">
        <v>192</v>
      </c>
      <c r="C114" t="s">
        <v>32</v>
      </c>
      <c r="D114" s="44">
        <v>103.01091529118654</v>
      </c>
      <c r="E114" s="44">
        <v>131.77929823263781</v>
      </c>
      <c r="F114" s="44">
        <v>160.54768117408906</v>
      </c>
      <c r="I114" t="str">
        <f t="shared" si="26"/>
        <v>Bioinformatics staff</v>
      </c>
      <c r="J114" t="str">
        <f t="shared" si="27"/>
        <v>Sick Leave</v>
      </c>
      <c r="K114" t="str">
        <f t="shared" si="28"/>
        <v>VIC</v>
      </c>
      <c r="L114" t="str">
        <f t="shared" si="29"/>
        <v>132 (103 - 161)</v>
      </c>
      <c r="O114" t="s">
        <v>50</v>
      </c>
      <c r="P114" t="s">
        <v>192</v>
      </c>
      <c r="Q114" t="s">
        <v>32</v>
      </c>
      <c r="R114" t="s">
        <v>228</v>
      </c>
    </row>
    <row r="115" spans="1:18" x14ac:dyDescent="0.2">
      <c r="A115" t="s">
        <v>50</v>
      </c>
      <c r="B115" s="44" t="s">
        <v>192</v>
      </c>
      <c r="C115" t="s">
        <v>88</v>
      </c>
      <c r="D115" s="44">
        <v>104.45400708502025</v>
      </c>
      <c r="E115" s="44">
        <v>113.45244172376208</v>
      </c>
      <c r="F115" s="44">
        <v>122.45087636250389</v>
      </c>
      <c r="I115" t="str">
        <f t="shared" si="26"/>
        <v>Bioinformatics staff</v>
      </c>
      <c r="J115" t="str">
        <f t="shared" si="27"/>
        <v>Sick Leave</v>
      </c>
      <c r="K115" t="str">
        <f t="shared" si="28"/>
        <v>WA</v>
      </c>
      <c r="L115" t="str">
        <f t="shared" si="29"/>
        <v>113 (104 - 122)</v>
      </c>
      <c r="O115" t="s">
        <v>50</v>
      </c>
      <c r="P115" t="s">
        <v>192</v>
      </c>
      <c r="Q115" t="s">
        <v>88</v>
      </c>
      <c r="R115" t="s">
        <v>229</v>
      </c>
    </row>
    <row r="116" spans="1:18" x14ac:dyDescent="0.2">
      <c r="A116" t="s">
        <v>50</v>
      </c>
      <c r="B116" s="44" t="s">
        <v>199</v>
      </c>
      <c r="C116" t="s">
        <v>96</v>
      </c>
      <c r="D116" s="44">
        <v>83.198183899096875</v>
      </c>
      <c r="E116" s="44">
        <v>119.71436081049517</v>
      </c>
      <c r="F116" s="44">
        <v>177.04827888508257</v>
      </c>
      <c r="I116" t="str">
        <f t="shared" si="26"/>
        <v>Bioinformatics staff</v>
      </c>
      <c r="J116" t="str">
        <f t="shared" si="27"/>
        <v>Superannuation</v>
      </c>
      <c r="K116" t="str">
        <f t="shared" si="28"/>
        <v>ALL</v>
      </c>
      <c r="L116" t="str">
        <f t="shared" si="29"/>
        <v>120 (83 - 177)</v>
      </c>
      <c r="O116" t="s">
        <v>50</v>
      </c>
      <c r="P116" t="s">
        <v>199</v>
      </c>
      <c r="Q116" t="s">
        <v>96</v>
      </c>
      <c r="R116" t="s">
        <v>251</v>
      </c>
    </row>
    <row r="117" spans="1:18" x14ac:dyDescent="0.2">
      <c r="A117" t="s">
        <v>50</v>
      </c>
      <c r="B117" s="44" t="s">
        <v>199</v>
      </c>
      <c r="C117" t="s">
        <v>74</v>
      </c>
      <c r="D117" s="44">
        <v>85.355177826222373</v>
      </c>
      <c r="E117" s="44">
        <v>116.99664195344128</v>
      </c>
      <c r="F117" s="44">
        <v>149.4872065361258</v>
      </c>
      <c r="I117" t="str">
        <f t="shared" si="26"/>
        <v>Bioinformatics staff</v>
      </c>
      <c r="J117" t="str">
        <f t="shared" si="27"/>
        <v>Superannuation</v>
      </c>
      <c r="K117" t="str">
        <f t="shared" si="28"/>
        <v>NSW</v>
      </c>
      <c r="L117" t="str">
        <f t="shared" si="29"/>
        <v>117 (85 - 149)</v>
      </c>
      <c r="O117" t="s">
        <v>50</v>
      </c>
      <c r="P117" t="s">
        <v>199</v>
      </c>
      <c r="Q117" t="s">
        <v>74</v>
      </c>
      <c r="R117" t="s">
        <v>245</v>
      </c>
    </row>
    <row r="118" spans="1:18" x14ac:dyDescent="0.2">
      <c r="A118" t="s">
        <v>50</v>
      </c>
      <c r="B118" s="44" t="s">
        <v>199</v>
      </c>
      <c r="C118" t="s">
        <v>82</v>
      </c>
      <c r="D118" s="44">
        <v>83.472137106820313</v>
      </c>
      <c r="E118" s="44">
        <v>125.91531612036746</v>
      </c>
      <c r="F118" s="44">
        <v>169.4199450327001</v>
      </c>
      <c r="I118" t="str">
        <f t="shared" si="26"/>
        <v>Bioinformatics staff</v>
      </c>
      <c r="J118" t="str">
        <f t="shared" si="27"/>
        <v>Superannuation</v>
      </c>
      <c r="K118" t="str">
        <f t="shared" si="28"/>
        <v>QLD</v>
      </c>
      <c r="L118" t="str">
        <f t="shared" si="29"/>
        <v>126 (83 - 169)</v>
      </c>
      <c r="O118" t="s">
        <v>50</v>
      </c>
      <c r="P118" t="s">
        <v>199</v>
      </c>
      <c r="Q118" t="s">
        <v>82</v>
      </c>
      <c r="R118" t="s">
        <v>246</v>
      </c>
    </row>
    <row r="119" spans="1:18" x14ac:dyDescent="0.2">
      <c r="A119" t="s">
        <v>50</v>
      </c>
      <c r="B119" s="44" t="s">
        <v>199</v>
      </c>
      <c r="C119" t="s">
        <v>62</v>
      </c>
      <c r="D119" s="44">
        <v>79.385127218934912</v>
      </c>
      <c r="E119" s="44">
        <v>109.75311478122079</v>
      </c>
      <c r="F119" s="44">
        <v>140.98743711071313</v>
      </c>
      <c r="I119" t="str">
        <f t="shared" si="26"/>
        <v>Bioinformatics staff</v>
      </c>
      <c r="J119" t="str">
        <f t="shared" si="27"/>
        <v>Superannuation</v>
      </c>
      <c r="K119" t="str">
        <f t="shared" si="28"/>
        <v>SA</v>
      </c>
      <c r="L119" t="str">
        <f t="shared" si="29"/>
        <v>110 (79 - 141)</v>
      </c>
      <c r="O119" t="s">
        <v>50</v>
      </c>
      <c r="P119" t="s">
        <v>199</v>
      </c>
      <c r="Q119" t="s">
        <v>62</v>
      </c>
      <c r="R119" t="s">
        <v>249</v>
      </c>
    </row>
    <row r="120" spans="1:18" x14ac:dyDescent="0.2">
      <c r="A120" t="s">
        <v>50</v>
      </c>
      <c r="B120" s="44" t="s">
        <v>199</v>
      </c>
      <c r="C120" t="s">
        <v>32</v>
      </c>
      <c r="D120" s="44">
        <v>102.80943755839301</v>
      </c>
      <c r="E120" s="44">
        <v>131.77929823263781</v>
      </c>
      <c r="F120" s="44">
        <v>161.64672722672063</v>
      </c>
      <c r="I120" t="str">
        <f t="shared" si="26"/>
        <v>Bioinformatics staff</v>
      </c>
      <c r="J120" t="str">
        <f t="shared" si="27"/>
        <v>Superannuation</v>
      </c>
      <c r="K120" t="str">
        <f t="shared" si="28"/>
        <v>VIC</v>
      </c>
      <c r="L120" t="str">
        <f t="shared" si="29"/>
        <v>132 (103 - 162)</v>
      </c>
      <c r="O120" t="s">
        <v>50</v>
      </c>
      <c r="P120" t="s">
        <v>199</v>
      </c>
      <c r="Q120" t="s">
        <v>32</v>
      </c>
      <c r="R120" t="s">
        <v>250</v>
      </c>
    </row>
    <row r="121" spans="1:18" x14ac:dyDescent="0.2">
      <c r="A121" t="s">
        <v>50</v>
      </c>
      <c r="B121" s="44" t="s">
        <v>199</v>
      </c>
      <c r="C121" t="s">
        <v>88</v>
      </c>
      <c r="D121" s="44">
        <v>104.25183603238865</v>
      </c>
      <c r="E121" s="44">
        <v>113.45244172376208</v>
      </c>
      <c r="F121" s="44">
        <v>123.28039053254437</v>
      </c>
      <c r="I121" t="str">
        <f t="shared" si="26"/>
        <v>Bioinformatics staff</v>
      </c>
      <c r="J121" t="str">
        <f t="shared" si="27"/>
        <v>Superannuation</v>
      </c>
      <c r="K121" t="str">
        <f t="shared" si="28"/>
        <v>WA</v>
      </c>
      <c r="L121" t="str">
        <f t="shared" si="29"/>
        <v>113 (104 - 123)</v>
      </c>
      <c r="O121" t="s">
        <v>50</v>
      </c>
      <c r="P121" t="s">
        <v>199</v>
      </c>
      <c r="Q121" t="s">
        <v>88</v>
      </c>
      <c r="R121" t="s">
        <v>248</v>
      </c>
    </row>
    <row r="122" spans="1:18" x14ac:dyDescent="0.2">
      <c r="A122" t="s">
        <v>33</v>
      </c>
      <c r="B122" s="44" t="s">
        <v>194</v>
      </c>
      <c r="C122" t="s">
        <v>96</v>
      </c>
      <c r="D122" s="44">
        <v>60.351269697913423</v>
      </c>
      <c r="E122" s="44">
        <v>97.300638784490801</v>
      </c>
      <c r="F122" s="44">
        <v>136.88777491435687</v>
      </c>
      <c r="I122" t="str">
        <f t="shared" si="26"/>
        <v>Lab technician</v>
      </c>
      <c r="J122" t="str">
        <f t="shared" si="27"/>
        <v>Annual Leave</v>
      </c>
      <c r="K122" t="str">
        <f t="shared" si="28"/>
        <v>ALL</v>
      </c>
      <c r="L122" t="str">
        <f t="shared" si="29"/>
        <v>97 (60 - 137)</v>
      </c>
      <c r="O122" t="s">
        <v>33</v>
      </c>
      <c r="P122" t="s">
        <v>194</v>
      </c>
      <c r="Q122" t="s">
        <v>96</v>
      </c>
      <c r="R122" t="s">
        <v>257</v>
      </c>
    </row>
    <row r="123" spans="1:18" x14ac:dyDescent="0.2">
      <c r="A123" t="s">
        <v>33</v>
      </c>
      <c r="B123" s="44" t="s">
        <v>194</v>
      </c>
      <c r="C123" t="s">
        <v>74</v>
      </c>
      <c r="D123" s="44">
        <v>71.921924635627533</v>
      </c>
      <c r="E123" s="44">
        <v>93.036320829959507</v>
      </c>
      <c r="F123" s="44">
        <v>114.1507170242915</v>
      </c>
      <c r="I123" t="str">
        <f t="shared" si="26"/>
        <v>Lab technician</v>
      </c>
      <c r="J123" t="str">
        <f t="shared" si="27"/>
        <v>Annual Leave</v>
      </c>
      <c r="K123" t="str">
        <f t="shared" si="28"/>
        <v>NSW</v>
      </c>
      <c r="L123" t="str">
        <f t="shared" si="29"/>
        <v>93 (72 - 114)</v>
      </c>
      <c r="O123" t="s">
        <v>33</v>
      </c>
      <c r="P123" t="s">
        <v>194</v>
      </c>
      <c r="Q123" t="s">
        <v>74</v>
      </c>
      <c r="R123" t="s">
        <v>252</v>
      </c>
    </row>
    <row r="124" spans="1:18" x14ac:dyDescent="0.2">
      <c r="A124" t="s">
        <v>33</v>
      </c>
      <c r="B124" s="44" t="s">
        <v>194</v>
      </c>
      <c r="C124" t="s">
        <v>82</v>
      </c>
      <c r="D124" s="44">
        <v>59.105972282777955</v>
      </c>
      <c r="E124" s="44">
        <v>85.042878698224854</v>
      </c>
      <c r="F124" s="44">
        <v>110.97978511367175</v>
      </c>
      <c r="I124" t="str">
        <f t="shared" si="26"/>
        <v>Lab technician</v>
      </c>
      <c r="J124" t="str">
        <f t="shared" si="27"/>
        <v>Annual Leave</v>
      </c>
      <c r="K124" t="str">
        <f t="shared" si="28"/>
        <v>QLD</v>
      </c>
      <c r="L124" t="str">
        <f t="shared" si="29"/>
        <v>85 (59 - 111)</v>
      </c>
      <c r="O124" t="s">
        <v>33</v>
      </c>
      <c r="P124" t="s">
        <v>194</v>
      </c>
      <c r="Q124" t="s">
        <v>82</v>
      </c>
      <c r="R124" t="s">
        <v>253</v>
      </c>
    </row>
    <row r="125" spans="1:18" x14ac:dyDescent="0.2">
      <c r="A125" t="s">
        <v>33</v>
      </c>
      <c r="B125" s="44" t="s">
        <v>194</v>
      </c>
      <c r="C125" t="s">
        <v>62</v>
      </c>
      <c r="D125" s="44">
        <v>65.146644814699471</v>
      </c>
      <c r="E125" s="44">
        <v>93.078790057614455</v>
      </c>
      <c r="F125" s="44">
        <v>121.01093530052941</v>
      </c>
      <c r="I125" t="str">
        <f t="shared" si="26"/>
        <v>Lab technician</v>
      </c>
      <c r="J125" t="str">
        <f t="shared" si="27"/>
        <v>Annual Leave</v>
      </c>
      <c r="K125" t="str">
        <f t="shared" si="28"/>
        <v>SA</v>
      </c>
      <c r="L125" t="str">
        <f t="shared" si="29"/>
        <v>93 (65 - 121)</v>
      </c>
      <c r="O125" t="s">
        <v>33</v>
      </c>
      <c r="P125" t="s">
        <v>194</v>
      </c>
      <c r="Q125" t="s">
        <v>62</v>
      </c>
      <c r="R125" t="s">
        <v>254</v>
      </c>
    </row>
    <row r="126" spans="1:18" x14ac:dyDescent="0.2">
      <c r="A126" t="s">
        <v>33</v>
      </c>
      <c r="B126" s="44" t="s">
        <v>194</v>
      </c>
      <c r="C126" t="s">
        <v>32</v>
      </c>
      <c r="D126" s="44">
        <v>103.01091529118654</v>
      </c>
      <c r="E126" s="44">
        <v>122.86300128464651</v>
      </c>
      <c r="F126" s="44">
        <v>142.71508727810649</v>
      </c>
      <c r="I126" t="str">
        <f t="shared" si="26"/>
        <v>Lab technician</v>
      </c>
      <c r="J126" t="str">
        <f t="shared" si="27"/>
        <v>Annual Leave</v>
      </c>
      <c r="K126" t="str">
        <f t="shared" si="28"/>
        <v>VIC</v>
      </c>
      <c r="L126" t="str">
        <f t="shared" si="29"/>
        <v>123 (103 - 143)</v>
      </c>
      <c r="O126" t="s">
        <v>33</v>
      </c>
      <c r="P126" t="s">
        <v>194</v>
      </c>
      <c r="Q126" t="s">
        <v>32</v>
      </c>
      <c r="R126" t="s">
        <v>255</v>
      </c>
    </row>
    <row r="127" spans="1:18" x14ac:dyDescent="0.2">
      <c r="A127" t="s">
        <v>33</v>
      </c>
      <c r="B127" s="44" t="s">
        <v>194</v>
      </c>
      <c r="C127" t="s">
        <v>88</v>
      </c>
      <c r="D127" s="44">
        <v>75.275442113048882</v>
      </c>
      <c r="E127" s="44">
        <v>93.302380255372157</v>
      </c>
      <c r="F127" s="44">
        <v>111.3293183976954</v>
      </c>
      <c r="I127" t="str">
        <f t="shared" si="26"/>
        <v>Lab technician</v>
      </c>
      <c r="J127" t="str">
        <f t="shared" si="27"/>
        <v>Annual Leave</v>
      </c>
      <c r="K127" t="str">
        <f t="shared" si="28"/>
        <v>WA</v>
      </c>
      <c r="L127" t="str">
        <f t="shared" si="29"/>
        <v>93 (75 - 111)</v>
      </c>
      <c r="O127" t="s">
        <v>33</v>
      </c>
      <c r="P127" t="s">
        <v>194</v>
      </c>
      <c r="Q127" t="s">
        <v>88</v>
      </c>
      <c r="R127" t="s">
        <v>256</v>
      </c>
    </row>
    <row r="128" spans="1:18" x14ac:dyDescent="0.2">
      <c r="A128" t="s">
        <v>33</v>
      </c>
      <c r="B128" s="44" t="s">
        <v>191</v>
      </c>
      <c r="C128" t="s">
        <v>96</v>
      </c>
      <c r="D128" s="44">
        <v>60.351269697913423</v>
      </c>
      <c r="E128" s="44">
        <v>97.300638784490801</v>
      </c>
      <c r="F128" s="44">
        <v>136.88777491435687</v>
      </c>
      <c r="I128" t="str">
        <f t="shared" si="26"/>
        <v>Lab technician</v>
      </c>
      <c r="J128" t="str">
        <f t="shared" si="27"/>
        <v>Attraction and Retention Allowance</v>
      </c>
      <c r="K128" t="str">
        <f t="shared" si="28"/>
        <v>ALL</v>
      </c>
      <c r="L128" t="str">
        <f t="shared" si="29"/>
        <v>97 (60 - 137)</v>
      </c>
      <c r="O128" t="s">
        <v>33</v>
      </c>
      <c r="P128" t="s">
        <v>191</v>
      </c>
      <c r="Q128" t="s">
        <v>96</v>
      </c>
      <c r="R128" t="s">
        <v>257</v>
      </c>
    </row>
    <row r="129" spans="1:18" x14ac:dyDescent="0.2">
      <c r="A129" t="s">
        <v>33</v>
      </c>
      <c r="B129" s="44" t="s">
        <v>191</v>
      </c>
      <c r="C129" t="s">
        <v>74</v>
      </c>
      <c r="D129" s="44">
        <v>71.921924635627533</v>
      </c>
      <c r="E129" s="44">
        <v>93.036320829959507</v>
      </c>
      <c r="F129" s="44">
        <v>114.1507170242915</v>
      </c>
      <c r="I129" t="str">
        <f t="shared" si="26"/>
        <v>Lab technician</v>
      </c>
      <c r="J129" t="str">
        <f t="shared" si="27"/>
        <v>Attraction and Retention Allowance</v>
      </c>
      <c r="K129" t="str">
        <f t="shared" si="28"/>
        <v>NSW</v>
      </c>
      <c r="L129" t="str">
        <f t="shared" si="29"/>
        <v>93 (72 - 114)</v>
      </c>
      <c r="O129" t="s">
        <v>33</v>
      </c>
      <c r="P129" t="s">
        <v>191</v>
      </c>
      <c r="Q129" t="s">
        <v>74</v>
      </c>
      <c r="R129" t="s">
        <v>252</v>
      </c>
    </row>
    <row r="130" spans="1:18" x14ac:dyDescent="0.2">
      <c r="A130" t="s">
        <v>33</v>
      </c>
      <c r="B130" s="44" t="s">
        <v>191</v>
      </c>
      <c r="C130" t="s">
        <v>82</v>
      </c>
      <c r="D130" s="44">
        <v>59.105972282777955</v>
      </c>
      <c r="E130" s="44">
        <v>85.042878698224854</v>
      </c>
      <c r="F130" s="44">
        <v>110.97978511367175</v>
      </c>
      <c r="I130" t="str">
        <f t="shared" si="26"/>
        <v>Lab technician</v>
      </c>
      <c r="J130" t="str">
        <f t="shared" si="27"/>
        <v>Attraction and Retention Allowance</v>
      </c>
      <c r="K130" t="str">
        <f t="shared" si="28"/>
        <v>QLD</v>
      </c>
      <c r="L130" t="str">
        <f t="shared" si="29"/>
        <v>85 (59 - 111)</v>
      </c>
      <c r="O130" t="s">
        <v>33</v>
      </c>
      <c r="P130" t="s">
        <v>191</v>
      </c>
      <c r="Q130" t="s">
        <v>82</v>
      </c>
      <c r="R130" t="s">
        <v>253</v>
      </c>
    </row>
    <row r="131" spans="1:18" x14ac:dyDescent="0.2">
      <c r="A131" t="s">
        <v>33</v>
      </c>
      <c r="B131" s="44" t="s">
        <v>191</v>
      </c>
      <c r="C131" t="s">
        <v>62</v>
      </c>
      <c r="D131" s="44">
        <v>65.146644814699471</v>
      </c>
      <c r="E131" s="44">
        <v>93.078790057614455</v>
      </c>
      <c r="F131" s="44">
        <v>121.01093530052941</v>
      </c>
      <c r="I131" t="str">
        <f t="shared" ref="I131:I194" si="30">A131</f>
        <v>Lab technician</v>
      </c>
      <c r="J131" t="str">
        <f t="shared" ref="J131:J194" si="31">B131</f>
        <v>Attraction and Retention Allowance</v>
      </c>
      <c r="K131" t="str">
        <f t="shared" ref="K131:K194" si="32">C131</f>
        <v>SA</v>
      </c>
      <c r="L131" t="str">
        <f t="shared" ref="L131:L194" si="33">TEXT(E131, "0,0") &amp; " (" &amp; TEXT(D131, "0,0") &amp; " - " &amp; TEXT(F131, "0,0") &amp; ")"</f>
        <v>93 (65 - 121)</v>
      </c>
      <c r="O131" t="s">
        <v>33</v>
      </c>
      <c r="P131" t="s">
        <v>191</v>
      </c>
      <c r="Q131" t="s">
        <v>62</v>
      </c>
      <c r="R131" t="s">
        <v>254</v>
      </c>
    </row>
    <row r="132" spans="1:18" x14ac:dyDescent="0.2">
      <c r="A132" t="s">
        <v>33</v>
      </c>
      <c r="B132" s="44" t="s">
        <v>191</v>
      </c>
      <c r="C132" t="s">
        <v>32</v>
      </c>
      <c r="D132" s="44">
        <v>103.01091529118654</v>
      </c>
      <c r="E132" s="44">
        <v>122.86300128464651</v>
      </c>
      <c r="F132" s="44">
        <v>142.71508727810649</v>
      </c>
      <c r="I132" t="str">
        <f t="shared" si="30"/>
        <v>Lab technician</v>
      </c>
      <c r="J132" t="str">
        <f t="shared" si="31"/>
        <v>Attraction and Retention Allowance</v>
      </c>
      <c r="K132" t="str">
        <f t="shared" si="32"/>
        <v>VIC</v>
      </c>
      <c r="L132" t="str">
        <f t="shared" si="33"/>
        <v>123 (103 - 143)</v>
      </c>
      <c r="O132" t="s">
        <v>33</v>
      </c>
      <c r="P132" t="s">
        <v>191</v>
      </c>
      <c r="Q132" t="s">
        <v>32</v>
      </c>
      <c r="R132" t="s">
        <v>255</v>
      </c>
    </row>
    <row r="133" spans="1:18" x14ac:dyDescent="0.2">
      <c r="A133" t="s">
        <v>33</v>
      </c>
      <c r="B133" s="44" t="s">
        <v>191</v>
      </c>
      <c r="C133" t="s">
        <v>88</v>
      </c>
      <c r="D133" s="44">
        <v>75.275442113048882</v>
      </c>
      <c r="E133" s="44">
        <v>93.302380255372157</v>
      </c>
      <c r="F133" s="44">
        <v>111.3293183976954</v>
      </c>
      <c r="I133" t="str">
        <f t="shared" si="30"/>
        <v>Lab technician</v>
      </c>
      <c r="J133" t="str">
        <f t="shared" si="31"/>
        <v>Attraction and Retention Allowance</v>
      </c>
      <c r="K133" t="str">
        <f t="shared" si="32"/>
        <v>WA</v>
      </c>
      <c r="L133" t="str">
        <f t="shared" si="33"/>
        <v>93 (75 - 111)</v>
      </c>
      <c r="O133" t="s">
        <v>33</v>
      </c>
      <c r="P133" t="s">
        <v>191</v>
      </c>
      <c r="Q133" t="s">
        <v>88</v>
      </c>
      <c r="R133" t="s">
        <v>256</v>
      </c>
    </row>
    <row r="134" spans="1:18" x14ac:dyDescent="0.2">
      <c r="A134" t="s">
        <v>33</v>
      </c>
      <c r="B134" s="44" t="s">
        <v>188</v>
      </c>
      <c r="C134" t="s">
        <v>96</v>
      </c>
      <c r="D134" s="44">
        <v>57.894184677670502</v>
      </c>
      <c r="E134" s="44">
        <v>97.300638784490801</v>
      </c>
      <c r="F134" s="44">
        <v>148.05315952974152</v>
      </c>
      <c r="I134" t="str">
        <f t="shared" si="30"/>
        <v>Lab technician</v>
      </c>
      <c r="J134" t="str">
        <f t="shared" si="31"/>
        <v>Average Penalties</v>
      </c>
      <c r="K134" t="str">
        <f t="shared" si="32"/>
        <v>ALL</v>
      </c>
      <c r="L134" t="str">
        <f t="shared" si="33"/>
        <v>97 (58 - 148)</v>
      </c>
      <c r="O134" t="s">
        <v>33</v>
      </c>
      <c r="P134" t="s">
        <v>188</v>
      </c>
      <c r="Q134" t="s">
        <v>96</v>
      </c>
      <c r="R134" t="s">
        <v>263</v>
      </c>
    </row>
    <row r="135" spans="1:18" x14ac:dyDescent="0.2">
      <c r="A135" t="s">
        <v>33</v>
      </c>
      <c r="B135" s="44" t="s">
        <v>188</v>
      </c>
      <c r="C135" t="s">
        <v>74</v>
      </c>
      <c r="D135" s="44">
        <v>68.884582530364369</v>
      </c>
      <c r="E135" s="44">
        <v>93.036320829959507</v>
      </c>
      <c r="F135" s="44">
        <v>123.79213807692307</v>
      </c>
      <c r="I135" t="str">
        <f t="shared" si="30"/>
        <v>Lab technician</v>
      </c>
      <c r="J135" t="str">
        <f t="shared" si="31"/>
        <v>Average Penalties</v>
      </c>
      <c r="K135" t="str">
        <f t="shared" si="32"/>
        <v>NSW</v>
      </c>
      <c r="L135" t="str">
        <f t="shared" si="33"/>
        <v>93 (69 - 124)</v>
      </c>
      <c r="O135" t="s">
        <v>33</v>
      </c>
      <c r="P135" t="s">
        <v>188</v>
      </c>
      <c r="Q135" t="s">
        <v>74</v>
      </c>
      <c r="R135" t="s">
        <v>258</v>
      </c>
    </row>
    <row r="136" spans="1:18" x14ac:dyDescent="0.2">
      <c r="A136" t="s">
        <v>33</v>
      </c>
      <c r="B136" s="44" t="s">
        <v>188</v>
      </c>
      <c r="C136" t="s">
        <v>82</v>
      </c>
      <c r="D136" s="44">
        <v>56.648887262535027</v>
      </c>
      <c r="E136" s="44">
        <v>85.042878698224854</v>
      </c>
      <c r="F136" s="44">
        <v>120.27533167237621</v>
      </c>
      <c r="I136" t="str">
        <f t="shared" si="30"/>
        <v>Lab technician</v>
      </c>
      <c r="J136" t="str">
        <f t="shared" si="31"/>
        <v>Average Penalties</v>
      </c>
      <c r="K136" t="str">
        <f t="shared" si="32"/>
        <v>QLD</v>
      </c>
      <c r="L136" t="str">
        <f t="shared" si="33"/>
        <v>85 (57 - 120)</v>
      </c>
      <c r="O136" t="s">
        <v>33</v>
      </c>
      <c r="P136" t="s">
        <v>188</v>
      </c>
      <c r="Q136" t="s">
        <v>82</v>
      </c>
      <c r="R136" t="s">
        <v>259</v>
      </c>
    </row>
    <row r="137" spans="1:18" x14ac:dyDescent="0.2">
      <c r="A137" t="s">
        <v>33</v>
      </c>
      <c r="B137" s="44" t="s">
        <v>188</v>
      </c>
      <c r="C137" t="s">
        <v>62</v>
      </c>
      <c r="D137" s="44">
        <v>62.395430239800682</v>
      </c>
      <c r="E137" s="44">
        <v>93.078790057614455</v>
      </c>
      <c r="F137" s="44">
        <v>131.23178550295859</v>
      </c>
      <c r="I137" t="str">
        <f t="shared" si="30"/>
        <v>Lab technician</v>
      </c>
      <c r="J137" t="str">
        <f t="shared" si="31"/>
        <v>Average Penalties</v>
      </c>
      <c r="K137" t="str">
        <f t="shared" si="32"/>
        <v>SA</v>
      </c>
      <c r="L137" t="str">
        <f t="shared" si="33"/>
        <v>93 (62 - 131)</v>
      </c>
      <c r="O137" t="s">
        <v>33</v>
      </c>
      <c r="P137" t="s">
        <v>188</v>
      </c>
      <c r="Q137" t="s">
        <v>62</v>
      </c>
      <c r="R137" t="s">
        <v>260</v>
      </c>
    </row>
    <row r="138" spans="1:18" x14ac:dyDescent="0.2">
      <c r="A138" t="s">
        <v>33</v>
      </c>
      <c r="B138" s="44" t="s">
        <v>188</v>
      </c>
      <c r="C138" t="s">
        <v>32</v>
      </c>
      <c r="D138" s="44">
        <v>98.981360635316108</v>
      </c>
      <c r="E138" s="44">
        <v>122.86300128464651</v>
      </c>
      <c r="F138" s="44">
        <v>153.88047189349109</v>
      </c>
      <c r="I138" t="str">
        <f t="shared" si="30"/>
        <v>Lab technician</v>
      </c>
      <c r="J138" t="str">
        <f t="shared" si="31"/>
        <v>Average Penalties</v>
      </c>
      <c r="K138" t="str">
        <f t="shared" si="32"/>
        <v>VIC</v>
      </c>
      <c r="L138" t="str">
        <f t="shared" si="33"/>
        <v>123 (99 - 154)</v>
      </c>
      <c r="O138" t="s">
        <v>33</v>
      </c>
      <c r="P138" t="s">
        <v>188</v>
      </c>
      <c r="Q138" t="s">
        <v>32</v>
      </c>
      <c r="R138" t="s">
        <v>261</v>
      </c>
    </row>
    <row r="139" spans="1:18" x14ac:dyDescent="0.2">
      <c r="A139" t="s">
        <v>33</v>
      </c>
      <c r="B139" s="44" t="s">
        <v>188</v>
      </c>
      <c r="C139" t="s">
        <v>88</v>
      </c>
      <c r="D139" s="44">
        <v>72.361525109000311</v>
      </c>
      <c r="E139" s="44">
        <v>93.302380255372157</v>
      </c>
      <c r="F139" s="44">
        <v>119.94844795235129</v>
      </c>
      <c r="I139" t="str">
        <f t="shared" si="30"/>
        <v>Lab technician</v>
      </c>
      <c r="J139" t="str">
        <f t="shared" si="31"/>
        <v>Average Penalties</v>
      </c>
      <c r="K139" t="str">
        <f t="shared" si="32"/>
        <v>WA</v>
      </c>
      <c r="L139" t="str">
        <f t="shared" si="33"/>
        <v>93 (72 - 120)</v>
      </c>
      <c r="O139" t="s">
        <v>33</v>
      </c>
      <c r="P139" t="s">
        <v>188</v>
      </c>
      <c r="Q139" t="s">
        <v>88</v>
      </c>
      <c r="R139" t="s">
        <v>262</v>
      </c>
    </row>
    <row r="140" spans="1:18" x14ac:dyDescent="0.2">
      <c r="A140" t="s">
        <v>33</v>
      </c>
      <c r="B140" s="44" t="s">
        <v>198</v>
      </c>
      <c r="C140" t="s">
        <v>96</v>
      </c>
      <c r="D140" s="44">
        <v>57.333706213017749</v>
      </c>
      <c r="E140" s="44">
        <v>97.300638784490801</v>
      </c>
      <c r="F140" s="44">
        <v>143.2984971555251</v>
      </c>
      <c r="I140" t="str">
        <f t="shared" si="30"/>
        <v>Lab technician</v>
      </c>
      <c r="J140" t="str">
        <f t="shared" si="31"/>
        <v>Hours worked</v>
      </c>
      <c r="K140" t="str">
        <f t="shared" si="32"/>
        <v>ALL</v>
      </c>
      <c r="L140" t="str">
        <f t="shared" si="33"/>
        <v>97 (57 - 143)</v>
      </c>
      <c r="O140" t="s">
        <v>33</v>
      </c>
      <c r="P140" t="s">
        <v>198</v>
      </c>
      <c r="Q140" t="s">
        <v>96</v>
      </c>
      <c r="R140" t="s">
        <v>270</v>
      </c>
    </row>
    <row r="141" spans="1:18" x14ac:dyDescent="0.2">
      <c r="A141" t="s">
        <v>33</v>
      </c>
      <c r="B141" s="44" t="s">
        <v>198</v>
      </c>
      <c r="C141" t="s">
        <v>74</v>
      </c>
      <c r="D141" s="44">
        <v>68.325828403846145</v>
      </c>
      <c r="E141" s="44">
        <v>93.036320829959507</v>
      </c>
      <c r="F141" s="44">
        <v>119.49661837253656</v>
      </c>
      <c r="I141" t="str">
        <f t="shared" si="30"/>
        <v>Lab technician</v>
      </c>
      <c r="J141" t="str">
        <f t="shared" si="31"/>
        <v>Hours worked</v>
      </c>
      <c r="K141" t="str">
        <f t="shared" si="32"/>
        <v>NSW</v>
      </c>
      <c r="L141" t="str">
        <f t="shared" si="33"/>
        <v>93 (68 - 119)</v>
      </c>
      <c r="O141" t="s">
        <v>33</v>
      </c>
      <c r="P141" t="s">
        <v>198</v>
      </c>
      <c r="Q141" t="s">
        <v>74</v>
      </c>
      <c r="R141" t="s">
        <v>265</v>
      </c>
    </row>
    <row r="142" spans="1:18" x14ac:dyDescent="0.2">
      <c r="A142" t="s">
        <v>33</v>
      </c>
      <c r="B142" s="44" t="s">
        <v>198</v>
      </c>
      <c r="C142" t="s">
        <v>82</v>
      </c>
      <c r="D142" s="44">
        <v>56.150673668639058</v>
      </c>
      <c r="E142" s="44">
        <v>85.042878698224854</v>
      </c>
      <c r="F142" s="44">
        <v>116.17718551844426</v>
      </c>
      <c r="I142" t="str">
        <f t="shared" si="30"/>
        <v>Lab technician</v>
      </c>
      <c r="J142" t="str">
        <f t="shared" si="31"/>
        <v>Hours worked</v>
      </c>
      <c r="K142" t="str">
        <f t="shared" si="32"/>
        <v>QLD</v>
      </c>
      <c r="L142" t="str">
        <f t="shared" si="33"/>
        <v>85 (56 - 116)</v>
      </c>
      <c r="O142" t="s">
        <v>33</v>
      </c>
      <c r="P142" t="s">
        <v>198</v>
      </c>
      <c r="Q142" t="s">
        <v>82</v>
      </c>
      <c r="R142" t="s">
        <v>266</v>
      </c>
    </row>
    <row r="143" spans="1:18" x14ac:dyDescent="0.2">
      <c r="A143" t="s">
        <v>33</v>
      </c>
      <c r="B143" s="44" t="s">
        <v>198</v>
      </c>
      <c r="C143" t="s">
        <v>62</v>
      </c>
      <c r="D143" s="44">
        <v>61.889312573964503</v>
      </c>
      <c r="E143" s="44">
        <v>93.078790057614455</v>
      </c>
      <c r="F143" s="44">
        <v>126.67811408870848</v>
      </c>
      <c r="I143" t="str">
        <f t="shared" si="30"/>
        <v>Lab technician</v>
      </c>
      <c r="J143" t="str">
        <f t="shared" si="31"/>
        <v>Hours worked</v>
      </c>
      <c r="K143" t="str">
        <f t="shared" si="32"/>
        <v>SA</v>
      </c>
      <c r="L143" t="str">
        <f t="shared" si="33"/>
        <v>93 (62 - 127)</v>
      </c>
      <c r="O143" t="s">
        <v>33</v>
      </c>
      <c r="P143" t="s">
        <v>198</v>
      </c>
      <c r="Q143" t="s">
        <v>62</v>
      </c>
      <c r="R143" t="s">
        <v>267</v>
      </c>
    </row>
    <row r="144" spans="1:18" x14ac:dyDescent="0.2">
      <c r="A144" t="s">
        <v>33</v>
      </c>
      <c r="B144" s="44" t="s">
        <v>198</v>
      </c>
      <c r="C144" t="s">
        <v>32</v>
      </c>
      <c r="D144" s="44">
        <v>97.86036952662721</v>
      </c>
      <c r="E144" s="44">
        <v>122.86300128464651</v>
      </c>
      <c r="F144" s="44">
        <v>149.39871395504264</v>
      </c>
      <c r="I144" t="str">
        <f t="shared" si="30"/>
        <v>Lab technician</v>
      </c>
      <c r="J144" t="str">
        <f t="shared" si="31"/>
        <v>Hours worked</v>
      </c>
      <c r="K144" t="str">
        <f t="shared" si="32"/>
        <v>VIC</v>
      </c>
      <c r="L144" t="str">
        <f t="shared" si="33"/>
        <v>123 (98 - 149)</v>
      </c>
      <c r="O144" t="s">
        <v>33</v>
      </c>
      <c r="P144" t="s">
        <v>198</v>
      </c>
      <c r="Q144" t="s">
        <v>32</v>
      </c>
      <c r="R144" t="s">
        <v>268</v>
      </c>
    </row>
    <row r="145" spans="1:18" x14ac:dyDescent="0.2">
      <c r="A145" t="s">
        <v>33</v>
      </c>
      <c r="B145" s="44" t="s">
        <v>198</v>
      </c>
      <c r="C145" t="s">
        <v>88</v>
      </c>
      <c r="D145" s="44">
        <v>71.511670007396432</v>
      </c>
      <c r="E145" s="44">
        <v>93.302380255372157</v>
      </c>
      <c r="F145" s="44">
        <v>116.54308812981888</v>
      </c>
      <c r="I145" t="str">
        <f t="shared" si="30"/>
        <v>Lab technician</v>
      </c>
      <c r="J145" t="str">
        <f t="shared" si="31"/>
        <v>Hours worked</v>
      </c>
      <c r="K145" t="str">
        <f t="shared" si="32"/>
        <v>WA</v>
      </c>
      <c r="L145" t="str">
        <f t="shared" si="33"/>
        <v>93 (72 - 117)</v>
      </c>
      <c r="O145" t="s">
        <v>33</v>
      </c>
      <c r="P145" t="s">
        <v>198</v>
      </c>
      <c r="Q145" t="s">
        <v>88</v>
      </c>
      <c r="R145" t="s">
        <v>269</v>
      </c>
    </row>
    <row r="146" spans="1:18" x14ac:dyDescent="0.2">
      <c r="A146" t="s">
        <v>33</v>
      </c>
      <c r="B146" s="44" t="s">
        <v>195</v>
      </c>
      <c r="C146" t="s">
        <v>96</v>
      </c>
      <c r="D146" s="44">
        <v>60.351269697913423</v>
      </c>
      <c r="E146" s="44">
        <v>97.300638784490801</v>
      </c>
      <c r="F146" s="44">
        <v>136.88777491435687</v>
      </c>
      <c r="I146" t="str">
        <f t="shared" si="30"/>
        <v>Lab technician</v>
      </c>
      <c r="J146" t="str">
        <f t="shared" si="31"/>
        <v xml:space="preserve">Leave Loading (%)		</v>
      </c>
      <c r="K146" t="str">
        <f t="shared" si="32"/>
        <v>ALL</v>
      </c>
      <c r="L146" t="str">
        <f t="shared" si="33"/>
        <v>97 (60 - 137)</v>
      </c>
      <c r="O146" t="s">
        <v>33</v>
      </c>
      <c r="P146" t="s">
        <v>195</v>
      </c>
      <c r="Q146" t="s">
        <v>96</v>
      </c>
      <c r="R146" t="s">
        <v>257</v>
      </c>
    </row>
    <row r="147" spans="1:18" x14ac:dyDescent="0.2">
      <c r="A147" t="s">
        <v>33</v>
      </c>
      <c r="B147" s="44" t="s">
        <v>195</v>
      </c>
      <c r="C147" t="s">
        <v>74</v>
      </c>
      <c r="D147" s="44">
        <v>71.921924635627533</v>
      </c>
      <c r="E147" s="44">
        <v>93.036320829959507</v>
      </c>
      <c r="F147" s="44">
        <v>114.1507170242915</v>
      </c>
      <c r="I147" t="str">
        <f t="shared" si="30"/>
        <v>Lab technician</v>
      </c>
      <c r="J147" t="str">
        <f t="shared" si="31"/>
        <v xml:space="preserve">Leave Loading (%)		</v>
      </c>
      <c r="K147" t="str">
        <f t="shared" si="32"/>
        <v>NSW</v>
      </c>
      <c r="L147" t="str">
        <f t="shared" si="33"/>
        <v>93 (72 - 114)</v>
      </c>
      <c r="O147" t="s">
        <v>33</v>
      </c>
      <c r="P147" t="s">
        <v>195</v>
      </c>
      <c r="Q147" t="s">
        <v>74</v>
      </c>
      <c r="R147" t="s">
        <v>252</v>
      </c>
    </row>
    <row r="148" spans="1:18" x14ac:dyDescent="0.2">
      <c r="A148" t="s">
        <v>33</v>
      </c>
      <c r="B148" s="44" t="s">
        <v>195</v>
      </c>
      <c r="C148" t="s">
        <v>82</v>
      </c>
      <c r="D148" s="44">
        <v>59.105972282777955</v>
      </c>
      <c r="E148" s="44">
        <v>85.042878698224854</v>
      </c>
      <c r="F148" s="44">
        <v>110.97978511367175</v>
      </c>
      <c r="I148" t="str">
        <f t="shared" si="30"/>
        <v>Lab technician</v>
      </c>
      <c r="J148" t="str">
        <f t="shared" si="31"/>
        <v xml:space="preserve">Leave Loading (%)		</v>
      </c>
      <c r="K148" t="str">
        <f t="shared" si="32"/>
        <v>QLD</v>
      </c>
      <c r="L148" t="str">
        <f t="shared" si="33"/>
        <v>85 (59 - 111)</v>
      </c>
      <c r="O148" t="s">
        <v>33</v>
      </c>
      <c r="P148" t="s">
        <v>195</v>
      </c>
      <c r="Q148" t="s">
        <v>82</v>
      </c>
      <c r="R148" t="s">
        <v>253</v>
      </c>
    </row>
    <row r="149" spans="1:18" x14ac:dyDescent="0.2">
      <c r="A149" t="s">
        <v>33</v>
      </c>
      <c r="B149" s="44" t="s">
        <v>195</v>
      </c>
      <c r="C149" t="s">
        <v>62</v>
      </c>
      <c r="D149" s="44">
        <v>65.146644814699471</v>
      </c>
      <c r="E149" s="44">
        <v>93.078790057614455</v>
      </c>
      <c r="F149" s="44">
        <v>121.01093530052941</v>
      </c>
      <c r="I149" t="str">
        <f t="shared" si="30"/>
        <v>Lab technician</v>
      </c>
      <c r="J149" t="str">
        <f t="shared" si="31"/>
        <v xml:space="preserve">Leave Loading (%)		</v>
      </c>
      <c r="K149" t="str">
        <f t="shared" si="32"/>
        <v>SA</v>
      </c>
      <c r="L149" t="str">
        <f t="shared" si="33"/>
        <v>93 (65 - 121)</v>
      </c>
      <c r="O149" t="s">
        <v>33</v>
      </c>
      <c r="P149" t="s">
        <v>195</v>
      </c>
      <c r="Q149" t="s">
        <v>62</v>
      </c>
      <c r="R149" t="s">
        <v>254</v>
      </c>
    </row>
    <row r="150" spans="1:18" x14ac:dyDescent="0.2">
      <c r="A150" t="s">
        <v>33</v>
      </c>
      <c r="B150" s="44" t="s">
        <v>195</v>
      </c>
      <c r="C150" t="s">
        <v>32</v>
      </c>
      <c r="D150" s="44">
        <v>103.01091529118654</v>
      </c>
      <c r="E150" s="44">
        <v>122.86300128464651</v>
      </c>
      <c r="F150" s="44">
        <v>142.71508727810649</v>
      </c>
      <c r="I150" t="str">
        <f t="shared" si="30"/>
        <v>Lab technician</v>
      </c>
      <c r="J150" t="str">
        <f t="shared" si="31"/>
        <v xml:space="preserve">Leave Loading (%)		</v>
      </c>
      <c r="K150" t="str">
        <f t="shared" si="32"/>
        <v>VIC</v>
      </c>
      <c r="L150" t="str">
        <f t="shared" si="33"/>
        <v>123 (103 - 143)</v>
      </c>
      <c r="O150" t="s">
        <v>33</v>
      </c>
      <c r="P150" t="s">
        <v>195</v>
      </c>
      <c r="Q150" t="s">
        <v>32</v>
      </c>
      <c r="R150" t="s">
        <v>255</v>
      </c>
    </row>
    <row r="151" spans="1:18" x14ac:dyDescent="0.2">
      <c r="A151" t="s">
        <v>33</v>
      </c>
      <c r="B151" s="44" t="s">
        <v>195</v>
      </c>
      <c r="C151" t="s">
        <v>88</v>
      </c>
      <c r="D151" s="44">
        <v>75.275442113048882</v>
      </c>
      <c r="E151" s="44">
        <v>93.302380255372157</v>
      </c>
      <c r="F151" s="44">
        <v>111.3293183976954</v>
      </c>
      <c r="I151" t="str">
        <f t="shared" si="30"/>
        <v>Lab technician</v>
      </c>
      <c r="J151" t="str">
        <f t="shared" si="31"/>
        <v xml:space="preserve">Leave Loading (%)		</v>
      </c>
      <c r="K151" t="str">
        <f t="shared" si="32"/>
        <v>WA</v>
      </c>
      <c r="L151" t="str">
        <f t="shared" si="33"/>
        <v>93 (75 - 111)</v>
      </c>
      <c r="O151" t="s">
        <v>33</v>
      </c>
      <c r="P151" t="s">
        <v>195</v>
      </c>
      <c r="Q151" t="s">
        <v>88</v>
      </c>
      <c r="R151" t="s">
        <v>256</v>
      </c>
    </row>
    <row r="152" spans="1:18" x14ac:dyDescent="0.2">
      <c r="A152" t="s">
        <v>33</v>
      </c>
      <c r="B152" s="44" t="s">
        <v>190</v>
      </c>
      <c r="C152" t="s">
        <v>96</v>
      </c>
      <c r="D152" s="44">
        <v>60.351269697913423</v>
      </c>
      <c r="E152" s="44">
        <v>97.300638784490801</v>
      </c>
      <c r="F152" s="44">
        <v>136.88777491435687</v>
      </c>
      <c r="I152" t="str">
        <f t="shared" si="30"/>
        <v>Lab technician</v>
      </c>
      <c r="J152" t="str">
        <f t="shared" si="31"/>
        <v>Private Practice Loading</v>
      </c>
      <c r="K152" t="str">
        <f t="shared" si="32"/>
        <v>ALL</v>
      </c>
      <c r="L152" t="str">
        <f t="shared" si="33"/>
        <v>97 (60 - 137)</v>
      </c>
      <c r="O152" t="s">
        <v>33</v>
      </c>
      <c r="P152" t="s">
        <v>190</v>
      </c>
      <c r="Q152" t="s">
        <v>96</v>
      </c>
      <c r="R152" t="s">
        <v>257</v>
      </c>
    </row>
    <row r="153" spans="1:18" x14ac:dyDescent="0.2">
      <c r="A153" t="s">
        <v>33</v>
      </c>
      <c r="B153" s="44" t="s">
        <v>190</v>
      </c>
      <c r="C153" t="s">
        <v>74</v>
      </c>
      <c r="D153" s="44">
        <v>71.921924635627533</v>
      </c>
      <c r="E153" s="44">
        <v>93.036320829959507</v>
      </c>
      <c r="F153" s="44">
        <v>114.1507170242915</v>
      </c>
      <c r="I153" t="str">
        <f t="shared" si="30"/>
        <v>Lab technician</v>
      </c>
      <c r="J153" t="str">
        <f t="shared" si="31"/>
        <v>Private Practice Loading</v>
      </c>
      <c r="K153" t="str">
        <f t="shared" si="32"/>
        <v>NSW</v>
      </c>
      <c r="L153" t="str">
        <f t="shared" si="33"/>
        <v>93 (72 - 114)</v>
      </c>
      <c r="O153" t="s">
        <v>33</v>
      </c>
      <c r="P153" t="s">
        <v>190</v>
      </c>
      <c r="Q153" t="s">
        <v>74</v>
      </c>
      <c r="R153" t="s">
        <v>252</v>
      </c>
    </row>
    <row r="154" spans="1:18" x14ac:dyDescent="0.2">
      <c r="A154" t="s">
        <v>33</v>
      </c>
      <c r="B154" s="44" t="s">
        <v>190</v>
      </c>
      <c r="C154" t="s">
        <v>82</v>
      </c>
      <c r="D154" s="44">
        <v>59.105972282777955</v>
      </c>
      <c r="E154" s="44">
        <v>85.042878698224854</v>
      </c>
      <c r="F154" s="44">
        <v>110.97978511367175</v>
      </c>
      <c r="I154" t="str">
        <f t="shared" si="30"/>
        <v>Lab technician</v>
      </c>
      <c r="J154" t="str">
        <f t="shared" si="31"/>
        <v>Private Practice Loading</v>
      </c>
      <c r="K154" t="str">
        <f t="shared" si="32"/>
        <v>QLD</v>
      </c>
      <c r="L154" t="str">
        <f t="shared" si="33"/>
        <v>85 (59 - 111)</v>
      </c>
      <c r="O154" t="s">
        <v>33</v>
      </c>
      <c r="P154" t="s">
        <v>190</v>
      </c>
      <c r="Q154" t="s">
        <v>82</v>
      </c>
      <c r="R154" t="s">
        <v>253</v>
      </c>
    </row>
    <row r="155" spans="1:18" x14ac:dyDescent="0.2">
      <c r="A155" t="s">
        <v>33</v>
      </c>
      <c r="B155" s="44" t="s">
        <v>190</v>
      </c>
      <c r="C155" t="s">
        <v>62</v>
      </c>
      <c r="D155" s="44">
        <v>65.146644814699471</v>
      </c>
      <c r="E155" s="44">
        <v>93.078790057614455</v>
      </c>
      <c r="F155" s="44">
        <v>121.01093530052941</v>
      </c>
      <c r="I155" t="str">
        <f t="shared" si="30"/>
        <v>Lab technician</v>
      </c>
      <c r="J155" t="str">
        <f t="shared" si="31"/>
        <v>Private Practice Loading</v>
      </c>
      <c r="K155" t="str">
        <f t="shared" si="32"/>
        <v>SA</v>
      </c>
      <c r="L155" t="str">
        <f t="shared" si="33"/>
        <v>93 (65 - 121)</v>
      </c>
      <c r="O155" t="s">
        <v>33</v>
      </c>
      <c r="P155" t="s">
        <v>190</v>
      </c>
      <c r="Q155" t="s">
        <v>62</v>
      </c>
      <c r="R155" t="s">
        <v>254</v>
      </c>
    </row>
    <row r="156" spans="1:18" x14ac:dyDescent="0.2">
      <c r="A156" t="s">
        <v>33</v>
      </c>
      <c r="B156" s="44" t="s">
        <v>190</v>
      </c>
      <c r="C156" t="s">
        <v>32</v>
      </c>
      <c r="D156" s="44">
        <v>103.01091529118654</v>
      </c>
      <c r="E156" s="44">
        <v>122.86300128464651</v>
      </c>
      <c r="F156" s="44">
        <v>142.71508727810649</v>
      </c>
      <c r="I156" t="str">
        <f t="shared" si="30"/>
        <v>Lab technician</v>
      </c>
      <c r="J156" t="str">
        <f t="shared" si="31"/>
        <v>Private Practice Loading</v>
      </c>
      <c r="K156" t="str">
        <f t="shared" si="32"/>
        <v>VIC</v>
      </c>
      <c r="L156" t="str">
        <f t="shared" si="33"/>
        <v>123 (103 - 143)</v>
      </c>
      <c r="O156" t="s">
        <v>33</v>
      </c>
      <c r="P156" t="s">
        <v>190</v>
      </c>
      <c r="Q156" t="s">
        <v>32</v>
      </c>
      <c r="R156" t="s">
        <v>255</v>
      </c>
    </row>
    <row r="157" spans="1:18" x14ac:dyDescent="0.2">
      <c r="A157" t="s">
        <v>33</v>
      </c>
      <c r="B157" s="44" t="s">
        <v>190</v>
      </c>
      <c r="C157" t="s">
        <v>88</v>
      </c>
      <c r="D157" s="44">
        <v>75.275442113048882</v>
      </c>
      <c r="E157" s="44">
        <v>93.302380255372157</v>
      </c>
      <c r="F157" s="44">
        <v>111.3293183976954</v>
      </c>
      <c r="I157" t="str">
        <f t="shared" si="30"/>
        <v>Lab technician</v>
      </c>
      <c r="J157" t="str">
        <f t="shared" si="31"/>
        <v>Private Practice Loading</v>
      </c>
      <c r="K157" t="str">
        <f t="shared" si="32"/>
        <v>WA</v>
      </c>
      <c r="L157" t="str">
        <f t="shared" si="33"/>
        <v>93 (75 - 111)</v>
      </c>
      <c r="O157" t="s">
        <v>33</v>
      </c>
      <c r="P157" t="s">
        <v>190</v>
      </c>
      <c r="Q157" t="s">
        <v>88</v>
      </c>
      <c r="R157" t="s">
        <v>256</v>
      </c>
    </row>
    <row r="158" spans="1:18" x14ac:dyDescent="0.2">
      <c r="A158" t="s">
        <v>33</v>
      </c>
      <c r="B158" s="44" t="s">
        <v>193</v>
      </c>
      <c r="C158" t="s">
        <v>96</v>
      </c>
      <c r="D158" s="44">
        <v>60.351269697913423</v>
      </c>
      <c r="E158" s="44">
        <v>97.300638784490801</v>
      </c>
      <c r="F158" s="44">
        <v>136.88777491435687</v>
      </c>
      <c r="I158" t="str">
        <f t="shared" si="30"/>
        <v>Lab technician</v>
      </c>
      <c r="J158" t="str">
        <f t="shared" si="31"/>
        <v>Professional Development Allowance</v>
      </c>
      <c r="K158" t="str">
        <f t="shared" si="32"/>
        <v>ALL</v>
      </c>
      <c r="L158" t="str">
        <f t="shared" si="33"/>
        <v>97 (60 - 137)</v>
      </c>
      <c r="O158" t="s">
        <v>33</v>
      </c>
      <c r="P158" t="s">
        <v>193</v>
      </c>
      <c r="Q158" t="s">
        <v>96</v>
      </c>
      <c r="R158" t="s">
        <v>257</v>
      </c>
    </row>
    <row r="159" spans="1:18" x14ac:dyDescent="0.2">
      <c r="A159" t="s">
        <v>33</v>
      </c>
      <c r="B159" s="44" t="s">
        <v>193</v>
      </c>
      <c r="C159" t="s">
        <v>74</v>
      </c>
      <c r="D159" s="44">
        <v>71.921924635627533</v>
      </c>
      <c r="E159" s="44">
        <v>93.036320829959507</v>
      </c>
      <c r="F159" s="44">
        <v>114.1507170242915</v>
      </c>
      <c r="I159" t="str">
        <f t="shared" si="30"/>
        <v>Lab technician</v>
      </c>
      <c r="J159" t="str">
        <f t="shared" si="31"/>
        <v>Professional Development Allowance</v>
      </c>
      <c r="K159" t="str">
        <f t="shared" si="32"/>
        <v>NSW</v>
      </c>
      <c r="L159" t="str">
        <f t="shared" si="33"/>
        <v>93 (72 - 114)</v>
      </c>
      <c r="O159" t="s">
        <v>33</v>
      </c>
      <c r="P159" t="s">
        <v>193</v>
      </c>
      <c r="Q159" t="s">
        <v>74</v>
      </c>
      <c r="R159" t="s">
        <v>252</v>
      </c>
    </row>
    <row r="160" spans="1:18" x14ac:dyDescent="0.2">
      <c r="A160" t="s">
        <v>33</v>
      </c>
      <c r="B160" s="44" t="s">
        <v>193</v>
      </c>
      <c r="C160" t="s">
        <v>82</v>
      </c>
      <c r="D160" s="44">
        <v>59.105972282777955</v>
      </c>
      <c r="E160" s="44">
        <v>85.042878698224854</v>
      </c>
      <c r="F160" s="44">
        <v>110.97978511367175</v>
      </c>
      <c r="I160" t="str">
        <f t="shared" si="30"/>
        <v>Lab technician</v>
      </c>
      <c r="J160" t="str">
        <f t="shared" si="31"/>
        <v>Professional Development Allowance</v>
      </c>
      <c r="K160" t="str">
        <f t="shared" si="32"/>
        <v>QLD</v>
      </c>
      <c r="L160" t="str">
        <f t="shared" si="33"/>
        <v>85 (59 - 111)</v>
      </c>
      <c r="O160" t="s">
        <v>33</v>
      </c>
      <c r="P160" t="s">
        <v>193</v>
      </c>
      <c r="Q160" t="s">
        <v>82</v>
      </c>
      <c r="R160" t="s">
        <v>253</v>
      </c>
    </row>
    <row r="161" spans="1:18" x14ac:dyDescent="0.2">
      <c r="A161" t="s">
        <v>33</v>
      </c>
      <c r="B161" s="44" t="s">
        <v>193</v>
      </c>
      <c r="C161" t="s">
        <v>62</v>
      </c>
      <c r="D161" s="44">
        <v>65.146644814699471</v>
      </c>
      <c r="E161" s="44">
        <v>93.078790057614455</v>
      </c>
      <c r="F161" s="44">
        <v>121.01093530052941</v>
      </c>
      <c r="I161" t="str">
        <f t="shared" si="30"/>
        <v>Lab technician</v>
      </c>
      <c r="J161" t="str">
        <f t="shared" si="31"/>
        <v>Professional Development Allowance</v>
      </c>
      <c r="K161" t="str">
        <f t="shared" si="32"/>
        <v>SA</v>
      </c>
      <c r="L161" t="str">
        <f t="shared" si="33"/>
        <v>93 (65 - 121)</v>
      </c>
      <c r="O161" t="s">
        <v>33</v>
      </c>
      <c r="P161" t="s">
        <v>193</v>
      </c>
      <c r="Q161" t="s">
        <v>62</v>
      </c>
      <c r="R161" t="s">
        <v>254</v>
      </c>
    </row>
    <row r="162" spans="1:18" x14ac:dyDescent="0.2">
      <c r="A162" t="s">
        <v>33</v>
      </c>
      <c r="B162" s="44" t="s">
        <v>193</v>
      </c>
      <c r="C162" t="s">
        <v>32</v>
      </c>
      <c r="D162" s="44">
        <v>103.01091529118654</v>
      </c>
      <c r="E162" s="44">
        <v>122.86300128464651</v>
      </c>
      <c r="F162" s="44">
        <v>142.71508727810649</v>
      </c>
      <c r="I162" t="str">
        <f t="shared" si="30"/>
        <v>Lab technician</v>
      </c>
      <c r="J162" t="str">
        <f t="shared" si="31"/>
        <v>Professional Development Allowance</v>
      </c>
      <c r="K162" t="str">
        <f t="shared" si="32"/>
        <v>VIC</v>
      </c>
      <c r="L162" t="str">
        <f t="shared" si="33"/>
        <v>123 (103 - 143)</v>
      </c>
      <c r="O162" t="s">
        <v>33</v>
      </c>
      <c r="P162" t="s">
        <v>193</v>
      </c>
      <c r="Q162" t="s">
        <v>32</v>
      </c>
      <c r="R162" t="s">
        <v>255</v>
      </c>
    </row>
    <row r="163" spans="1:18" x14ac:dyDescent="0.2">
      <c r="A163" t="s">
        <v>33</v>
      </c>
      <c r="B163" s="44" t="s">
        <v>193</v>
      </c>
      <c r="C163" t="s">
        <v>88</v>
      </c>
      <c r="D163" s="44">
        <v>75.275442113048882</v>
      </c>
      <c r="E163" s="44">
        <v>93.302380255372157</v>
      </c>
      <c r="F163" s="44">
        <v>111.3293183976954</v>
      </c>
      <c r="I163" t="str">
        <f t="shared" si="30"/>
        <v>Lab technician</v>
      </c>
      <c r="J163" t="str">
        <f t="shared" si="31"/>
        <v>Professional Development Allowance</v>
      </c>
      <c r="K163" t="str">
        <f t="shared" si="32"/>
        <v>WA</v>
      </c>
      <c r="L163" t="str">
        <f t="shared" si="33"/>
        <v>93 (75 - 111)</v>
      </c>
      <c r="O163" t="s">
        <v>33</v>
      </c>
      <c r="P163" t="s">
        <v>193</v>
      </c>
      <c r="Q163" t="s">
        <v>88</v>
      </c>
      <c r="R163" t="s">
        <v>256</v>
      </c>
    </row>
    <row r="164" spans="1:18" x14ac:dyDescent="0.2">
      <c r="A164" t="s">
        <v>33</v>
      </c>
      <c r="B164" s="44" t="s">
        <v>189</v>
      </c>
      <c r="C164" t="s">
        <v>96</v>
      </c>
      <c r="D164" s="44">
        <v>60.216130021800062</v>
      </c>
      <c r="E164" s="44">
        <v>97.300638784490801</v>
      </c>
      <c r="F164" s="44">
        <v>137.1669095297415</v>
      </c>
      <c r="I164" t="str">
        <f t="shared" si="30"/>
        <v>Lab technician</v>
      </c>
      <c r="J164" t="str">
        <f t="shared" si="31"/>
        <v>Public Holiday Penalty</v>
      </c>
      <c r="K164" t="str">
        <f t="shared" si="32"/>
        <v>ALL</v>
      </c>
      <c r="L164" t="str">
        <f t="shared" si="33"/>
        <v>97 (60 - 137)</v>
      </c>
      <c r="O164" t="s">
        <v>33</v>
      </c>
      <c r="P164" t="s">
        <v>189</v>
      </c>
      <c r="Q164" t="s">
        <v>96</v>
      </c>
      <c r="R164" t="s">
        <v>257</v>
      </c>
    </row>
    <row r="165" spans="1:18" x14ac:dyDescent="0.2">
      <c r="A165" t="s">
        <v>33</v>
      </c>
      <c r="B165" s="44" t="s">
        <v>189</v>
      </c>
      <c r="C165" t="s">
        <v>74</v>
      </c>
      <c r="D165" s="44">
        <v>71.754870819838061</v>
      </c>
      <c r="E165" s="44">
        <v>93.036320829959507</v>
      </c>
      <c r="F165" s="44">
        <v>114.39175255060728</v>
      </c>
      <c r="I165" t="str">
        <f t="shared" si="30"/>
        <v>Lab technician</v>
      </c>
      <c r="J165" t="str">
        <f t="shared" si="31"/>
        <v>Public Holiday Penalty</v>
      </c>
      <c r="K165" t="str">
        <f t="shared" si="32"/>
        <v>NSW</v>
      </c>
      <c r="L165" t="str">
        <f t="shared" si="33"/>
        <v>93 (72 - 114)</v>
      </c>
      <c r="O165" t="s">
        <v>33</v>
      </c>
      <c r="P165" t="s">
        <v>189</v>
      </c>
      <c r="Q165" t="s">
        <v>74</v>
      </c>
      <c r="R165" t="s">
        <v>252</v>
      </c>
    </row>
    <row r="166" spans="1:18" x14ac:dyDescent="0.2">
      <c r="A166" t="s">
        <v>33</v>
      </c>
      <c r="B166" s="44" t="s">
        <v>189</v>
      </c>
      <c r="C166" t="s">
        <v>82</v>
      </c>
      <c r="D166" s="44">
        <v>58.970832606664594</v>
      </c>
      <c r="E166" s="44">
        <v>85.042878698224854</v>
      </c>
      <c r="F166" s="44">
        <v>111.21217377763935</v>
      </c>
      <c r="I166" t="str">
        <f t="shared" si="30"/>
        <v>Lab technician</v>
      </c>
      <c r="J166" t="str">
        <f t="shared" si="31"/>
        <v>Public Holiday Penalty</v>
      </c>
      <c r="K166" t="str">
        <f t="shared" si="32"/>
        <v>QLD</v>
      </c>
      <c r="L166" t="str">
        <f t="shared" si="33"/>
        <v>85 (59 - 111)</v>
      </c>
      <c r="O166" t="s">
        <v>33</v>
      </c>
      <c r="P166" t="s">
        <v>189</v>
      </c>
      <c r="Q166" t="s">
        <v>82</v>
      </c>
      <c r="R166" t="s">
        <v>253</v>
      </c>
    </row>
    <row r="167" spans="1:18" x14ac:dyDescent="0.2">
      <c r="A167" t="s">
        <v>33</v>
      </c>
      <c r="B167" s="44" t="s">
        <v>189</v>
      </c>
      <c r="C167" t="s">
        <v>62</v>
      </c>
      <c r="D167" s="44">
        <v>64.995328013080041</v>
      </c>
      <c r="E167" s="44">
        <v>93.078790057614455</v>
      </c>
      <c r="F167" s="44">
        <v>121.26645655559017</v>
      </c>
      <c r="I167" t="str">
        <f t="shared" si="30"/>
        <v>Lab technician</v>
      </c>
      <c r="J167" t="str">
        <f t="shared" si="31"/>
        <v>Public Holiday Penalty</v>
      </c>
      <c r="K167" t="str">
        <f t="shared" si="32"/>
        <v>SA</v>
      </c>
      <c r="L167" t="str">
        <f t="shared" si="33"/>
        <v>93 (65 - 121)</v>
      </c>
      <c r="O167" t="s">
        <v>33</v>
      </c>
      <c r="P167" t="s">
        <v>189</v>
      </c>
      <c r="Q167" t="s">
        <v>62</v>
      </c>
      <c r="R167" t="s">
        <v>254</v>
      </c>
    </row>
    <row r="168" spans="1:18" x14ac:dyDescent="0.2">
      <c r="A168" t="s">
        <v>33</v>
      </c>
      <c r="B168" s="44" t="s">
        <v>189</v>
      </c>
      <c r="C168" t="s">
        <v>32</v>
      </c>
      <c r="D168" s="44">
        <v>102.78928978511367</v>
      </c>
      <c r="E168" s="44">
        <v>122.86300128464651</v>
      </c>
      <c r="F168" s="44">
        <v>142.9942218934911</v>
      </c>
      <c r="I168" t="str">
        <f t="shared" si="30"/>
        <v>Lab technician</v>
      </c>
      <c r="J168" t="str">
        <f t="shared" si="31"/>
        <v>Public Holiday Penalty</v>
      </c>
      <c r="K168" t="str">
        <f t="shared" si="32"/>
        <v>VIC</v>
      </c>
      <c r="L168" t="str">
        <f t="shared" si="33"/>
        <v>123 (103 - 143)</v>
      </c>
      <c r="O168" t="s">
        <v>33</v>
      </c>
      <c r="P168" t="s">
        <v>189</v>
      </c>
      <c r="Q168" t="s">
        <v>32</v>
      </c>
      <c r="R168" t="s">
        <v>255</v>
      </c>
    </row>
    <row r="169" spans="1:18" x14ac:dyDescent="0.2">
      <c r="A169" t="s">
        <v>33</v>
      </c>
      <c r="B169" s="44" t="s">
        <v>189</v>
      </c>
      <c r="C169" t="s">
        <v>88</v>
      </c>
      <c r="D169" s="44">
        <v>75.115176677826227</v>
      </c>
      <c r="E169" s="44">
        <v>93.302380255372157</v>
      </c>
      <c r="F169" s="44">
        <v>111.54479663656181</v>
      </c>
      <c r="I169" t="str">
        <f t="shared" si="30"/>
        <v>Lab technician</v>
      </c>
      <c r="J169" t="str">
        <f t="shared" si="31"/>
        <v>Public Holiday Penalty</v>
      </c>
      <c r="K169" t="str">
        <f t="shared" si="32"/>
        <v>WA</v>
      </c>
      <c r="L169" t="str">
        <f t="shared" si="33"/>
        <v>93 (75 - 112)</v>
      </c>
      <c r="O169" t="s">
        <v>33</v>
      </c>
      <c r="P169" t="s">
        <v>189</v>
      </c>
      <c r="Q169" t="s">
        <v>88</v>
      </c>
      <c r="R169" t="s">
        <v>271</v>
      </c>
    </row>
    <row r="170" spans="1:18" x14ac:dyDescent="0.2">
      <c r="A170" t="s">
        <v>33</v>
      </c>
      <c r="B170" s="44" t="s">
        <v>192</v>
      </c>
      <c r="C170" t="s">
        <v>96</v>
      </c>
      <c r="D170" s="44">
        <v>60.351269697913423</v>
      </c>
      <c r="E170" s="44">
        <v>97.300638784490801</v>
      </c>
      <c r="F170" s="44">
        <v>136.88777491435687</v>
      </c>
      <c r="I170" t="str">
        <f t="shared" si="30"/>
        <v>Lab technician</v>
      </c>
      <c r="J170" t="str">
        <f t="shared" si="31"/>
        <v>Sick Leave</v>
      </c>
      <c r="K170" t="str">
        <f t="shared" si="32"/>
        <v>ALL</v>
      </c>
      <c r="L170" t="str">
        <f t="shared" si="33"/>
        <v>97 (60 - 137)</v>
      </c>
      <c r="O170" t="s">
        <v>33</v>
      </c>
      <c r="P170" t="s">
        <v>192</v>
      </c>
      <c r="Q170" t="s">
        <v>96</v>
      </c>
      <c r="R170" t="s">
        <v>257</v>
      </c>
    </row>
    <row r="171" spans="1:18" x14ac:dyDescent="0.2">
      <c r="A171" t="s">
        <v>33</v>
      </c>
      <c r="B171" s="44" t="s">
        <v>192</v>
      </c>
      <c r="C171" t="s">
        <v>74</v>
      </c>
      <c r="D171" s="44">
        <v>71.921924635627533</v>
      </c>
      <c r="E171" s="44">
        <v>93.036320829959507</v>
      </c>
      <c r="F171" s="44">
        <v>114.1507170242915</v>
      </c>
      <c r="I171" t="str">
        <f t="shared" si="30"/>
        <v>Lab technician</v>
      </c>
      <c r="J171" t="str">
        <f t="shared" si="31"/>
        <v>Sick Leave</v>
      </c>
      <c r="K171" t="str">
        <f t="shared" si="32"/>
        <v>NSW</v>
      </c>
      <c r="L171" t="str">
        <f t="shared" si="33"/>
        <v>93 (72 - 114)</v>
      </c>
      <c r="O171" t="s">
        <v>33</v>
      </c>
      <c r="P171" t="s">
        <v>192</v>
      </c>
      <c r="Q171" t="s">
        <v>74</v>
      </c>
      <c r="R171" t="s">
        <v>252</v>
      </c>
    </row>
    <row r="172" spans="1:18" x14ac:dyDescent="0.2">
      <c r="A172" t="s">
        <v>33</v>
      </c>
      <c r="B172" s="44" t="s">
        <v>192</v>
      </c>
      <c r="C172" t="s">
        <v>82</v>
      </c>
      <c r="D172" s="44">
        <v>59.105972282777955</v>
      </c>
      <c r="E172" s="44">
        <v>85.042878698224854</v>
      </c>
      <c r="F172" s="44">
        <v>110.97978511367175</v>
      </c>
      <c r="I172" t="str">
        <f t="shared" si="30"/>
        <v>Lab technician</v>
      </c>
      <c r="J172" t="str">
        <f t="shared" si="31"/>
        <v>Sick Leave</v>
      </c>
      <c r="K172" t="str">
        <f t="shared" si="32"/>
        <v>QLD</v>
      </c>
      <c r="L172" t="str">
        <f t="shared" si="33"/>
        <v>85 (59 - 111)</v>
      </c>
      <c r="O172" t="s">
        <v>33</v>
      </c>
      <c r="P172" t="s">
        <v>192</v>
      </c>
      <c r="Q172" t="s">
        <v>82</v>
      </c>
      <c r="R172" t="s">
        <v>253</v>
      </c>
    </row>
    <row r="173" spans="1:18" x14ac:dyDescent="0.2">
      <c r="A173" t="s">
        <v>33</v>
      </c>
      <c r="B173" s="44" t="s">
        <v>192</v>
      </c>
      <c r="C173" t="s">
        <v>62</v>
      </c>
      <c r="D173" s="44">
        <v>65.146644814699471</v>
      </c>
      <c r="E173" s="44">
        <v>93.078790057614455</v>
      </c>
      <c r="F173" s="44">
        <v>121.01093530052941</v>
      </c>
      <c r="I173" t="str">
        <f t="shared" si="30"/>
        <v>Lab technician</v>
      </c>
      <c r="J173" t="str">
        <f t="shared" si="31"/>
        <v>Sick Leave</v>
      </c>
      <c r="K173" t="str">
        <f t="shared" si="32"/>
        <v>SA</v>
      </c>
      <c r="L173" t="str">
        <f t="shared" si="33"/>
        <v>93 (65 - 121)</v>
      </c>
      <c r="O173" t="s">
        <v>33</v>
      </c>
      <c r="P173" t="s">
        <v>192</v>
      </c>
      <c r="Q173" t="s">
        <v>62</v>
      </c>
      <c r="R173" t="s">
        <v>254</v>
      </c>
    </row>
    <row r="174" spans="1:18" x14ac:dyDescent="0.2">
      <c r="A174" t="s">
        <v>33</v>
      </c>
      <c r="B174" s="44" t="s">
        <v>192</v>
      </c>
      <c r="C174" t="s">
        <v>32</v>
      </c>
      <c r="D174" s="44">
        <v>103.01091529118654</v>
      </c>
      <c r="E174" s="44">
        <v>122.86300128464651</v>
      </c>
      <c r="F174" s="44">
        <v>142.71508727810649</v>
      </c>
      <c r="I174" t="str">
        <f t="shared" si="30"/>
        <v>Lab technician</v>
      </c>
      <c r="J174" t="str">
        <f t="shared" si="31"/>
        <v>Sick Leave</v>
      </c>
      <c r="K174" t="str">
        <f t="shared" si="32"/>
        <v>VIC</v>
      </c>
      <c r="L174" t="str">
        <f t="shared" si="33"/>
        <v>123 (103 - 143)</v>
      </c>
      <c r="O174" t="s">
        <v>33</v>
      </c>
      <c r="P174" t="s">
        <v>192</v>
      </c>
      <c r="Q174" t="s">
        <v>32</v>
      </c>
      <c r="R174" t="s">
        <v>255</v>
      </c>
    </row>
    <row r="175" spans="1:18" x14ac:dyDescent="0.2">
      <c r="A175" t="s">
        <v>33</v>
      </c>
      <c r="B175" s="44" t="s">
        <v>192</v>
      </c>
      <c r="C175" t="s">
        <v>88</v>
      </c>
      <c r="D175" s="44">
        <v>75.275442113048882</v>
      </c>
      <c r="E175" s="44">
        <v>93.302380255372157</v>
      </c>
      <c r="F175" s="44">
        <v>111.3293183976954</v>
      </c>
      <c r="I175" t="str">
        <f t="shared" si="30"/>
        <v>Lab technician</v>
      </c>
      <c r="J175" t="str">
        <f t="shared" si="31"/>
        <v>Sick Leave</v>
      </c>
      <c r="K175" t="str">
        <f t="shared" si="32"/>
        <v>WA</v>
      </c>
      <c r="L175" t="str">
        <f t="shared" si="33"/>
        <v>93 (75 - 111)</v>
      </c>
      <c r="O175" t="s">
        <v>33</v>
      </c>
      <c r="P175" t="s">
        <v>192</v>
      </c>
      <c r="Q175" t="s">
        <v>88</v>
      </c>
      <c r="R175" t="s">
        <v>256</v>
      </c>
    </row>
    <row r="176" spans="1:18" x14ac:dyDescent="0.2">
      <c r="A176" t="s">
        <v>33</v>
      </c>
      <c r="B176" s="44" t="s">
        <v>199</v>
      </c>
      <c r="C176" t="s">
        <v>96</v>
      </c>
      <c r="D176" s="44">
        <v>60.228415446901266</v>
      </c>
      <c r="E176" s="44">
        <v>97.300638784490801</v>
      </c>
      <c r="F176" s="44">
        <v>137.864746068203</v>
      </c>
      <c r="I176" t="str">
        <f t="shared" si="30"/>
        <v>Lab technician</v>
      </c>
      <c r="J176" t="str">
        <f t="shared" si="31"/>
        <v>Superannuation</v>
      </c>
      <c r="K176" t="str">
        <f t="shared" si="32"/>
        <v>ALL</v>
      </c>
      <c r="L176" t="str">
        <f t="shared" si="33"/>
        <v>97 (60 - 138)</v>
      </c>
      <c r="O176" t="s">
        <v>33</v>
      </c>
      <c r="P176" t="s">
        <v>199</v>
      </c>
      <c r="Q176" t="s">
        <v>96</v>
      </c>
      <c r="R176" t="s">
        <v>276</v>
      </c>
    </row>
    <row r="177" spans="1:18" x14ac:dyDescent="0.2">
      <c r="A177" t="s">
        <v>33</v>
      </c>
      <c r="B177" s="44" t="s">
        <v>199</v>
      </c>
      <c r="C177" t="s">
        <v>74</v>
      </c>
      <c r="D177" s="44">
        <v>71.770057530364369</v>
      </c>
      <c r="E177" s="44">
        <v>93.036320829959507</v>
      </c>
      <c r="F177" s="44">
        <v>114.99434136639674</v>
      </c>
      <c r="I177" t="str">
        <f t="shared" si="30"/>
        <v>Lab technician</v>
      </c>
      <c r="J177" t="str">
        <f t="shared" si="31"/>
        <v>Superannuation</v>
      </c>
      <c r="K177" t="str">
        <f t="shared" si="32"/>
        <v>NSW</v>
      </c>
      <c r="L177" t="str">
        <f t="shared" si="33"/>
        <v>93 (72 - 115)</v>
      </c>
      <c r="O177" t="s">
        <v>33</v>
      </c>
      <c r="P177" t="s">
        <v>199</v>
      </c>
      <c r="Q177" t="s">
        <v>74</v>
      </c>
      <c r="R177" t="s">
        <v>272</v>
      </c>
    </row>
    <row r="178" spans="1:18" x14ac:dyDescent="0.2">
      <c r="A178" t="s">
        <v>33</v>
      </c>
      <c r="B178" s="44" t="s">
        <v>199</v>
      </c>
      <c r="C178" t="s">
        <v>82</v>
      </c>
      <c r="D178" s="44">
        <v>58.983118031765798</v>
      </c>
      <c r="E178" s="44">
        <v>85.042878698224854</v>
      </c>
      <c r="F178" s="44">
        <v>111.79314543755841</v>
      </c>
      <c r="I178" t="str">
        <f t="shared" si="30"/>
        <v>Lab technician</v>
      </c>
      <c r="J178" t="str">
        <f t="shared" si="31"/>
        <v>Superannuation</v>
      </c>
      <c r="K178" t="str">
        <f t="shared" si="32"/>
        <v>QLD</v>
      </c>
      <c r="L178" t="str">
        <f t="shared" si="33"/>
        <v>85 (59 - 112)</v>
      </c>
      <c r="O178" t="s">
        <v>33</v>
      </c>
      <c r="P178" t="s">
        <v>199</v>
      </c>
      <c r="Q178" t="s">
        <v>82</v>
      </c>
      <c r="R178" t="s">
        <v>273</v>
      </c>
    </row>
    <row r="179" spans="1:18" x14ac:dyDescent="0.2">
      <c r="A179" t="s">
        <v>33</v>
      </c>
      <c r="B179" s="44" t="s">
        <v>199</v>
      </c>
      <c r="C179" t="s">
        <v>62</v>
      </c>
      <c r="D179" s="44">
        <v>65.009084085954527</v>
      </c>
      <c r="E179" s="44">
        <v>93.078790057614455</v>
      </c>
      <c r="F179" s="44">
        <v>121.90525969324196</v>
      </c>
      <c r="I179" t="str">
        <f t="shared" si="30"/>
        <v>Lab technician</v>
      </c>
      <c r="J179" t="str">
        <f t="shared" si="31"/>
        <v>Superannuation</v>
      </c>
      <c r="K179" t="str">
        <f t="shared" si="32"/>
        <v>SA</v>
      </c>
      <c r="L179" t="str">
        <f t="shared" si="33"/>
        <v>93 (65 - 122)</v>
      </c>
      <c r="O179" t="s">
        <v>33</v>
      </c>
      <c r="P179" t="s">
        <v>199</v>
      </c>
      <c r="Q179" t="s">
        <v>62</v>
      </c>
      <c r="R179" t="s">
        <v>274</v>
      </c>
    </row>
    <row r="180" spans="1:18" x14ac:dyDescent="0.2">
      <c r="A180" t="s">
        <v>33</v>
      </c>
      <c r="B180" s="44" t="s">
        <v>199</v>
      </c>
      <c r="C180" t="s">
        <v>32</v>
      </c>
      <c r="D180" s="44">
        <v>102.80943755839301</v>
      </c>
      <c r="E180" s="44">
        <v>122.86300128464651</v>
      </c>
      <c r="F180" s="44">
        <v>143.69205843195266</v>
      </c>
      <c r="I180" t="str">
        <f t="shared" si="30"/>
        <v>Lab technician</v>
      </c>
      <c r="J180" t="str">
        <f t="shared" si="31"/>
        <v>Superannuation</v>
      </c>
      <c r="K180" t="str">
        <f t="shared" si="32"/>
        <v>VIC</v>
      </c>
      <c r="L180" t="str">
        <f t="shared" si="33"/>
        <v>123 (103 - 144)</v>
      </c>
      <c r="O180" t="s">
        <v>33</v>
      </c>
      <c r="P180" t="s">
        <v>199</v>
      </c>
      <c r="Q180" t="s">
        <v>32</v>
      </c>
      <c r="R180" t="s">
        <v>275</v>
      </c>
    </row>
    <row r="181" spans="1:18" x14ac:dyDescent="0.2">
      <c r="A181" t="s">
        <v>33</v>
      </c>
      <c r="B181" s="44" t="s">
        <v>199</v>
      </c>
      <c r="C181" t="s">
        <v>88</v>
      </c>
      <c r="D181" s="44">
        <v>75.129746262846453</v>
      </c>
      <c r="E181" s="44">
        <v>93.302380255372157</v>
      </c>
      <c r="F181" s="44">
        <v>112.08349223372778</v>
      </c>
      <c r="I181" t="str">
        <f t="shared" si="30"/>
        <v>Lab technician</v>
      </c>
      <c r="J181" t="str">
        <f t="shared" si="31"/>
        <v>Superannuation</v>
      </c>
      <c r="K181" t="str">
        <f t="shared" si="32"/>
        <v>WA</v>
      </c>
      <c r="L181" t="str">
        <f t="shared" si="33"/>
        <v>93 (75 - 112)</v>
      </c>
      <c r="O181" t="s">
        <v>33</v>
      </c>
      <c r="P181" t="s">
        <v>199</v>
      </c>
      <c r="Q181" t="s">
        <v>88</v>
      </c>
      <c r="R181" t="s">
        <v>271</v>
      </c>
    </row>
    <row r="182" spans="1:18" x14ac:dyDescent="0.2">
      <c r="A182" t="s">
        <v>40</v>
      </c>
      <c r="B182" s="44" t="s">
        <v>194</v>
      </c>
      <c r="C182" t="s">
        <v>96</v>
      </c>
      <c r="D182" s="44">
        <v>77.461777327935238</v>
      </c>
      <c r="E182" s="44">
        <v>132.0926584531299</v>
      </c>
      <c r="F182" s="44">
        <v>180.17382105263161</v>
      </c>
      <c r="I182" t="str">
        <f t="shared" si="30"/>
        <v>Medical scientist</v>
      </c>
      <c r="J182" t="str">
        <f t="shared" si="31"/>
        <v>Annual Leave</v>
      </c>
      <c r="K182" t="str">
        <f t="shared" si="32"/>
        <v>ALL</v>
      </c>
      <c r="L182" t="str">
        <f t="shared" si="33"/>
        <v>132 (77 - 180)</v>
      </c>
      <c r="O182" t="s">
        <v>40</v>
      </c>
      <c r="P182" t="s">
        <v>194</v>
      </c>
      <c r="Q182" t="s">
        <v>96</v>
      </c>
      <c r="R182" t="s">
        <v>281</v>
      </c>
    </row>
    <row r="183" spans="1:18" x14ac:dyDescent="0.2">
      <c r="A183" t="s">
        <v>40</v>
      </c>
      <c r="B183" s="44" t="s">
        <v>194</v>
      </c>
      <c r="C183" t="s">
        <v>74</v>
      </c>
      <c r="D183" s="44">
        <v>86.96887734817814</v>
      </c>
      <c r="E183" s="44">
        <v>133.12305611336032</v>
      </c>
      <c r="F183" s="44">
        <v>179.27723487854254</v>
      </c>
      <c r="I183" t="str">
        <f t="shared" si="30"/>
        <v>Medical scientist</v>
      </c>
      <c r="J183" t="str">
        <f t="shared" si="31"/>
        <v>Annual Leave</v>
      </c>
      <c r="K183" t="str">
        <f t="shared" si="32"/>
        <v>NSW</v>
      </c>
      <c r="L183" t="str">
        <f t="shared" si="33"/>
        <v>133 (87 - 179)</v>
      </c>
      <c r="O183" t="s">
        <v>40</v>
      </c>
      <c r="P183" t="s">
        <v>194</v>
      </c>
      <c r="Q183" t="s">
        <v>74</v>
      </c>
      <c r="R183" t="s">
        <v>277</v>
      </c>
    </row>
    <row r="184" spans="1:18" x14ac:dyDescent="0.2">
      <c r="A184" t="s">
        <v>40</v>
      </c>
      <c r="B184" s="44" t="s">
        <v>194</v>
      </c>
      <c r="C184" t="s">
        <v>82</v>
      </c>
      <c r="D184" s="44">
        <v>83.646810689816263</v>
      </c>
      <c r="E184" s="44">
        <v>125.91531612036746</v>
      </c>
      <c r="F184" s="44">
        <v>168.18382155091874</v>
      </c>
      <c r="I184" t="str">
        <f t="shared" si="30"/>
        <v>Medical scientist</v>
      </c>
      <c r="J184" t="str">
        <f t="shared" si="31"/>
        <v>Annual Leave</v>
      </c>
      <c r="K184" t="str">
        <f t="shared" si="32"/>
        <v>QLD</v>
      </c>
      <c r="L184" t="str">
        <f t="shared" si="33"/>
        <v>126 (84 - 168)</v>
      </c>
      <c r="O184" t="s">
        <v>40</v>
      </c>
      <c r="P184" t="s">
        <v>194</v>
      </c>
      <c r="Q184" t="s">
        <v>82</v>
      </c>
      <c r="R184" t="s">
        <v>226</v>
      </c>
    </row>
    <row r="185" spans="1:18" x14ac:dyDescent="0.2">
      <c r="A185" t="s">
        <v>40</v>
      </c>
      <c r="B185" s="44" t="s">
        <v>194</v>
      </c>
      <c r="C185" t="s">
        <v>62</v>
      </c>
      <c r="D185" s="44">
        <v>80.199187869822495</v>
      </c>
      <c r="E185" s="44">
        <v>125.92719767985052</v>
      </c>
      <c r="F185" s="44">
        <v>171.65520748987856</v>
      </c>
      <c r="I185" t="str">
        <f t="shared" si="30"/>
        <v>Medical scientist</v>
      </c>
      <c r="J185" t="str">
        <f t="shared" si="31"/>
        <v>Annual Leave</v>
      </c>
      <c r="K185" t="str">
        <f t="shared" si="32"/>
        <v>SA</v>
      </c>
      <c r="L185" t="str">
        <f t="shared" si="33"/>
        <v>126 (80 - 172)</v>
      </c>
      <c r="O185" t="s">
        <v>40</v>
      </c>
      <c r="P185" t="s">
        <v>194</v>
      </c>
      <c r="Q185" t="s">
        <v>62</v>
      </c>
      <c r="R185" t="s">
        <v>278</v>
      </c>
    </row>
    <row r="186" spans="1:18" x14ac:dyDescent="0.2">
      <c r="A186" t="s">
        <v>40</v>
      </c>
      <c r="B186" s="44" t="s">
        <v>194</v>
      </c>
      <c r="C186" t="s">
        <v>32</v>
      </c>
      <c r="D186" s="44">
        <v>79.880535931174094</v>
      </c>
      <c r="E186" s="44">
        <v>132.9668190283401</v>
      </c>
      <c r="F186" s="44">
        <v>186.05310212550611</v>
      </c>
      <c r="I186" t="str">
        <f t="shared" si="30"/>
        <v>Medical scientist</v>
      </c>
      <c r="J186" t="str">
        <f t="shared" si="31"/>
        <v>Annual Leave</v>
      </c>
      <c r="K186" t="str">
        <f t="shared" si="32"/>
        <v>VIC</v>
      </c>
      <c r="L186" t="str">
        <f t="shared" si="33"/>
        <v>133 (80 - 186)</v>
      </c>
      <c r="O186" t="s">
        <v>40</v>
      </c>
      <c r="P186" t="s">
        <v>194</v>
      </c>
      <c r="Q186" t="s">
        <v>32</v>
      </c>
      <c r="R186" t="s">
        <v>279</v>
      </c>
    </row>
    <row r="187" spans="1:18" x14ac:dyDescent="0.2">
      <c r="A187" t="s">
        <v>40</v>
      </c>
      <c r="B187" s="44" t="s">
        <v>194</v>
      </c>
      <c r="C187" t="s">
        <v>88</v>
      </c>
      <c r="D187" s="44">
        <v>101.75434595920274</v>
      </c>
      <c r="E187" s="44">
        <v>142.55387352071006</v>
      </c>
      <c r="F187" s="44">
        <v>183.35340108221735</v>
      </c>
      <c r="I187" t="str">
        <f t="shared" si="30"/>
        <v>Medical scientist</v>
      </c>
      <c r="J187" t="str">
        <f t="shared" si="31"/>
        <v>Annual Leave</v>
      </c>
      <c r="K187" t="str">
        <f t="shared" si="32"/>
        <v>WA</v>
      </c>
      <c r="L187" t="str">
        <f t="shared" si="33"/>
        <v>143 (102 - 183)</v>
      </c>
      <c r="O187" t="s">
        <v>40</v>
      </c>
      <c r="P187" t="s">
        <v>194</v>
      </c>
      <c r="Q187" t="s">
        <v>88</v>
      </c>
      <c r="R187" t="s">
        <v>280</v>
      </c>
    </row>
    <row r="188" spans="1:18" x14ac:dyDescent="0.2">
      <c r="A188" t="s">
        <v>40</v>
      </c>
      <c r="B188" s="44" t="s">
        <v>191</v>
      </c>
      <c r="C188" t="s">
        <v>96</v>
      </c>
      <c r="D188" s="44">
        <v>77.461777327935238</v>
      </c>
      <c r="E188" s="44">
        <v>132.0926584531299</v>
      </c>
      <c r="F188" s="44">
        <v>180.17382105263161</v>
      </c>
      <c r="I188" t="str">
        <f t="shared" si="30"/>
        <v>Medical scientist</v>
      </c>
      <c r="J188" t="str">
        <f t="shared" si="31"/>
        <v>Attraction and Retention Allowance</v>
      </c>
      <c r="K188" t="str">
        <f t="shared" si="32"/>
        <v>ALL</v>
      </c>
      <c r="L188" t="str">
        <f t="shared" si="33"/>
        <v>132 (77 - 180)</v>
      </c>
      <c r="O188" t="s">
        <v>40</v>
      </c>
      <c r="P188" t="s">
        <v>191</v>
      </c>
      <c r="Q188" t="s">
        <v>96</v>
      </c>
      <c r="R188" t="s">
        <v>281</v>
      </c>
    </row>
    <row r="189" spans="1:18" x14ac:dyDescent="0.2">
      <c r="A189" t="s">
        <v>40</v>
      </c>
      <c r="B189" s="44" t="s">
        <v>191</v>
      </c>
      <c r="C189" t="s">
        <v>74</v>
      </c>
      <c r="D189" s="44">
        <v>86.96887734817814</v>
      </c>
      <c r="E189" s="44">
        <v>133.12305611336032</v>
      </c>
      <c r="F189" s="44">
        <v>179.27723487854254</v>
      </c>
      <c r="I189" t="str">
        <f t="shared" si="30"/>
        <v>Medical scientist</v>
      </c>
      <c r="J189" t="str">
        <f t="shared" si="31"/>
        <v>Attraction and Retention Allowance</v>
      </c>
      <c r="K189" t="str">
        <f t="shared" si="32"/>
        <v>NSW</v>
      </c>
      <c r="L189" t="str">
        <f t="shared" si="33"/>
        <v>133 (87 - 179)</v>
      </c>
      <c r="O189" t="s">
        <v>40</v>
      </c>
      <c r="P189" t="s">
        <v>191</v>
      </c>
      <c r="Q189" t="s">
        <v>74</v>
      </c>
      <c r="R189" t="s">
        <v>277</v>
      </c>
    </row>
    <row r="190" spans="1:18" x14ac:dyDescent="0.2">
      <c r="A190" t="s">
        <v>40</v>
      </c>
      <c r="B190" s="44" t="s">
        <v>191</v>
      </c>
      <c r="C190" t="s">
        <v>82</v>
      </c>
      <c r="D190" s="44">
        <v>83.646810689816263</v>
      </c>
      <c r="E190" s="44">
        <v>125.91531612036746</v>
      </c>
      <c r="F190" s="44">
        <v>168.18382155091874</v>
      </c>
      <c r="I190" t="str">
        <f t="shared" si="30"/>
        <v>Medical scientist</v>
      </c>
      <c r="J190" t="str">
        <f t="shared" si="31"/>
        <v>Attraction and Retention Allowance</v>
      </c>
      <c r="K190" t="str">
        <f t="shared" si="32"/>
        <v>QLD</v>
      </c>
      <c r="L190" t="str">
        <f t="shared" si="33"/>
        <v>126 (84 - 168)</v>
      </c>
      <c r="O190" t="s">
        <v>40</v>
      </c>
      <c r="P190" t="s">
        <v>191</v>
      </c>
      <c r="Q190" t="s">
        <v>82</v>
      </c>
      <c r="R190" t="s">
        <v>226</v>
      </c>
    </row>
    <row r="191" spans="1:18" x14ac:dyDescent="0.2">
      <c r="A191" t="s">
        <v>40</v>
      </c>
      <c r="B191" s="44" t="s">
        <v>191</v>
      </c>
      <c r="C191" t="s">
        <v>62</v>
      </c>
      <c r="D191" s="44">
        <v>80.199187869822495</v>
      </c>
      <c r="E191" s="44">
        <v>125.92719767985052</v>
      </c>
      <c r="F191" s="44">
        <v>171.65520748987856</v>
      </c>
      <c r="I191" t="str">
        <f t="shared" si="30"/>
        <v>Medical scientist</v>
      </c>
      <c r="J191" t="str">
        <f t="shared" si="31"/>
        <v>Attraction and Retention Allowance</v>
      </c>
      <c r="K191" t="str">
        <f t="shared" si="32"/>
        <v>SA</v>
      </c>
      <c r="L191" t="str">
        <f t="shared" si="33"/>
        <v>126 (80 - 172)</v>
      </c>
      <c r="O191" t="s">
        <v>40</v>
      </c>
      <c r="P191" t="s">
        <v>191</v>
      </c>
      <c r="Q191" t="s">
        <v>62</v>
      </c>
      <c r="R191" t="s">
        <v>278</v>
      </c>
    </row>
    <row r="192" spans="1:18" x14ac:dyDescent="0.2">
      <c r="A192" t="s">
        <v>40</v>
      </c>
      <c r="B192" s="44" t="s">
        <v>191</v>
      </c>
      <c r="C192" t="s">
        <v>32</v>
      </c>
      <c r="D192" s="44">
        <v>79.880535931174094</v>
      </c>
      <c r="E192" s="44">
        <v>132.9668190283401</v>
      </c>
      <c r="F192" s="44">
        <v>186.05310212550611</v>
      </c>
      <c r="I192" t="str">
        <f t="shared" si="30"/>
        <v>Medical scientist</v>
      </c>
      <c r="J192" t="str">
        <f t="shared" si="31"/>
        <v>Attraction and Retention Allowance</v>
      </c>
      <c r="K192" t="str">
        <f t="shared" si="32"/>
        <v>VIC</v>
      </c>
      <c r="L192" t="str">
        <f t="shared" si="33"/>
        <v>133 (80 - 186)</v>
      </c>
      <c r="O192" t="s">
        <v>40</v>
      </c>
      <c r="P192" t="s">
        <v>191</v>
      </c>
      <c r="Q192" t="s">
        <v>32</v>
      </c>
      <c r="R192" t="s">
        <v>279</v>
      </c>
    </row>
    <row r="193" spans="1:18" x14ac:dyDescent="0.2">
      <c r="A193" t="s">
        <v>40</v>
      </c>
      <c r="B193" s="44" t="s">
        <v>191</v>
      </c>
      <c r="C193" t="s">
        <v>88</v>
      </c>
      <c r="D193" s="44">
        <v>101.75434595920274</v>
      </c>
      <c r="E193" s="44">
        <v>142.55387352071006</v>
      </c>
      <c r="F193" s="44">
        <v>183.35340108221735</v>
      </c>
      <c r="I193" t="str">
        <f t="shared" si="30"/>
        <v>Medical scientist</v>
      </c>
      <c r="J193" t="str">
        <f t="shared" si="31"/>
        <v>Attraction and Retention Allowance</v>
      </c>
      <c r="K193" t="str">
        <f t="shared" si="32"/>
        <v>WA</v>
      </c>
      <c r="L193" t="str">
        <f t="shared" si="33"/>
        <v>143 (102 - 183)</v>
      </c>
      <c r="O193" t="s">
        <v>40</v>
      </c>
      <c r="P193" t="s">
        <v>191</v>
      </c>
      <c r="Q193" t="s">
        <v>88</v>
      </c>
      <c r="R193" t="s">
        <v>280</v>
      </c>
    </row>
    <row r="194" spans="1:18" x14ac:dyDescent="0.2">
      <c r="A194" t="s">
        <v>40</v>
      </c>
      <c r="B194" s="44" t="s">
        <v>188</v>
      </c>
      <c r="C194" t="s">
        <v>96</v>
      </c>
      <c r="D194" s="44">
        <v>74.364408906882588</v>
      </c>
      <c r="E194" s="44">
        <v>132.0926584531299</v>
      </c>
      <c r="F194" s="44">
        <v>194.60224210526317</v>
      </c>
      <c r="I194" t="str">
        <f t="shared" si="30"/>
        <v>Medical scientist</v>
      </c>
      <c r="J194" t="str">
        <f t="shared" si="31"/>
        <v>Average Penalties</v>
      </c>
      <c r="K194" t="str">
        <f t="shared" si="32"/>
        <v>ALL</v>
      </c>
      <c r="L194" t="str">
        <f t="shared" si="33"/>
        <v>132 (74 - 195)</v>
      </c>
      <c r="O194" t="s">
        <v>40</v>
      </c>
      <c r="P194" t="s">
        <v>188</v>
      </c>
      <c r="Q194" t="s">
        <v>96</v>
      </c>
      <c r="R194" t="s">
        <v>286</v>
      </c>
    </row>
    <row r="195" spans="1:18" x14ac:dyDescent="0.2">
      <c r="A195" t="s">
        <v>40</v>
      </c>
      <c r="B195" s="44" t="s">
        <v>188</v>
      </c>
      <c r="C195" t="s">
        <v>74</v>
      </c>
      <c r="D195" s="44">
        <v>83.566851032388655</v>
      </c>
      <c r="E195" s="44">
        <v>133.12305611336032</v>
      </c>
      <c r="F195" s="44">
        <v>193.30307698380565</v>
      </c>
      <c r="I195" t="str">
        <f t="shared" ref="I195:I258" si="34">A195</f>
        <v>Medical scientist</v>
      </c>
      <c r="J195" t="str">
        <f t="shared" ref="J195:J258" si="35">B195</f>
        <v>Average Penalties</v>
      </c>
      <c r="K195" t="str">
        <f t="shared" ref="K195:K258" si="36">C195</f>
        <v>NSW</v>
      </c>
      <c r="L195" t="str">
        <f t="shared" ref="L195:L258" si="37">TEXT(E195, "0,0") &amp; " (" &amp; TEXT(D195, "0,0") &amp; " - " &amp; TEXT(F195, "0,0") &amp; ")"</f>
        <v>133 (84 - 193)</v>
      </c>
      <c r="O195" t="s">
        <v>40</v>
      </c>
      <c r="P195" t="s">
        <v>188</v>
      </c>
      <c r="Q195" t="s">
        <v>74</v>
      </c>
      <c r="R195" t="s">
        <v>282</v>
      </c>
    </row>
    <row r="196" spans="1:18" x14ac:dyDescent="0.2">
      <c r="A196" t="s">
        <v>40</v>
      </c>
      <c r="B196" s="44" t="s">
        <v>188</v>
      </c>
      <c r="C196" t="s">
        <v>82</v>
      </c>
      <c r="D196" s="44">
        <v>80.153339029897239</v>
      </c>
      <c r="E196" s="44">
        <v>125.91531612036746</v>
      </c>
      <c r="F196" s="44">
        <v>182.31094705699158</v>
      </c>
      <c r="I196" t="str">
        <f t="shared" si="34"/>
        <v>Medical scientist</v>
      </c>
      <c r="J196" t="str">
        <f t="shared" si="35"/>
        <v>Average Penalties</v>
      </c>
      <c r="K196" t="str">
        <f t="shared" si="36"/>
        <v>QLD</v>
      </c>
      <c r="L196" t="str">
        <f t="shared" si="37"/>
        <v>126 (80 - 182)</v>
      </c>
      <c r="O196" t="s">
        <v>40</v>
      </c>
      <c r="P196" t="s">
        <v>188</v>
      </c>
      <c r="Q196" t="s">
        <v>82</v>
      </c>
      <c r="R196" t="s">
        <v>233</v>
      </c>
    </row>
    <row r="197" spans="1:18" x14ac:dyDescent="0.2">
      <c r="A197" t="s">
        <v>40</v>
      </c>
      <c r="B197" s="44" t="s">
        <v>188</v>
      </c>
      <c r="C197" t="s">
        <v>62</v>
      </c>
      <c r="D197" s="44">
        <v>76.839572485207086</v>
      </c>
      <c r="E197" s="44">
        <v>125.92719767985052</v>
      </c>
      <c r="F197" s="44">
        <v>186.036786437247</v>
      </c>
      <c r="I197" t="str">
        <f t="shared" si="34"/>
        <v>Medical scientist</v>
      </c>
      <c r="J197" t="str">
        <f t="shared" si="35"/>
        <v>Average Penalties</v>
      </c>
      <c r="K197" t="str">
        <f t="shared" si="36"/>
        <v>SA</v>
      </c>
      <c r="L197" t="str">
        <f t="shared" si="37"/>
        <v>126 (77 - 186)</v>
      </c>
      <c r="O197" t="s">
        <v>40</v>
      </c>
      <c r="P197" t="s">
        <v>188</v>
      </c>
      <c r="Q197" t="s">
        <v>62</v>
      </c>
      <c r="R197" t="s">
        <v>283</v>
      </c>
    </row>
    <row r="198" spans="1:18" x14ac:dyDescent="0.2">
      <c r="A198" t="s">
        <v>40</v>
      </c>
      <c r="B198" s="44" t="s">
        <v>188</v>
      </c>
      <c r="C198" t="s">
        <v>32</v>
      </c>
      <c r="D198" s="44">
        <v>76.783167510121459</v>
      </c>
      <c r="E198" s="44">
        <v>132.9668190283401</v>
      </c>
      <c r="F198" s="44">
        <v>200.48152317813771</v>
      </c>
      <c r="I198" t="str">
        <f t="shared" si="34"/>
        <v>Medical scientist</v>
      </c>
      <c r="J198" t="str">
        <f t="shared" si="35"/>
        <v>Average Penalties</v>
      </c>
      <c r="K198" t="str">
        <f t="shared" si="36"/>
        <v>VIC</v>
      </c>
      <c r="L198" t="str">
        <f t="shared" si="37"/>
        <v>133 (77 - 200)</v>
      </c>
      <c r="O198" t="s">
        <v>40</v>
      </c>
      <c r="P198" t="s">
        <v>188</v>
      </c>
      <c r="Q198" t="s">
        <v>32</v>
      </c>
      <c r="R198" t="s">
        <v>284</v>
      </c>
    </row>
    <row r="199" spans="1:18" x14ac:dyDescent="0.2">
      <c r="A199" t="s">
        <v>40</v>
      </c>
      <c r="B199" s="44" t="s">
        <v>188</v>
      </c>
      <c r="C199" t="s">
        <v>88</v>
      </c>
      <c r="D199" s="44">
        <v>97.815428955154161</v>
      </c>
      <c r="E199" s="44">
        <v>142.55387352071006</v>
      </c>
      <c r="F199" s="44">
        <v>197.54864399719713</v>
      </c>
      <c r="I199" t="str">
        <f t="shared" si="34"/>
        <v>Medical scientist</v>
      </c>
      <c r="J199" t="str">
        <f t="shared" si="35"/>
        <v>Average Penalties</v>
      </c>
      <c r="K199" t="str">
        <f t="shared" si="36"/>
        <v>WA</v>
      </c>
      <c r="L199" t="str">
        <f t="shared" si="37"/>
        <v>143 (98 - 198)</v>
      </c>
      <c r="O199" t="s">
        <v>40</v>
      </c>
      <c r="P199" t="s">
        <v>188</v>
      </c>
      <c r="Q199" t="s">
        <v>88</v>
      </c>
      <c r="R199" t="s">
        <v>285</v>
      </c>
    </row>
    <row r="200" spans="1:18" x14ac:dyDescent="0.2">
      <c r="A200" t="s">
        <v>40</v>
      </c>
      <c r="B200" s="44" t="s">
        <v>198</v>
      </c>
      <c r="C200" t="s">
        <v>96</v>
      </c>
      <c r="D200" s="44">
        <v>73.588688461538467</v>
      </c>
      <c r="E200" s="44">
        <v>132.0926584531299</v>
      </c>
      <c r="F200" s="44">
        <v>188.61171349862263</v>
      </c>
      <c r="I200" t="str">
        <f t="shared" si="34"/>
        <v>Medical scientist</v>
      </c>
      <c r="J200" t="str">
        <f t="shared" si="35"/>
        <v>Hours worked</v>
      </c>
      <c r="K200" t="str">
        <f t="shared" si="36"/>
        <v>ALL</v>
      </c>
      <c r="L200" t="str">
        <f t="shared" si="37"/>
        <v>132 (74 - 189)</v>
      </c>
      <c r="O200" t="s">
        <v>40</v>
      </c>
      <c r="P200" t="s">
        <v>198</v>
      </c>
      <c r="Q200" t="s">
        <v>96</v>
      </c>
      <c r="R200" t="s">
        <v>292</v>
      </c>
    </row>
    <row r="201" spans="1:18" x14ac:dyDescent="0.2">
      <c r="A201" t="s">
        <v>40</v>
      </c>
      <c r="B201" s="44" t="s">
        <v>198</v>
      </c>
      <c r="C201" t="s">
        <v>74</v>
      </c>
      <c r="D201" s="44">
        <v>82.620433480769236</v>
      </c>
      <c r="E201" s="44">
        <v>133.12305611336032</v>
      </c>
      <c r="F201" s="44">
        <v>187.67313844034757</v>
      </c>
      <c r="I201" t="str">
        <f t="shared" si="34"/>
        <v>Medical scientist</v>
      </c>
      <c r="J201" t="str">
        <f t="shared" si="35"/>
        <v>Hours worked</v>
      </c>
      <c r="K201" t="str">
        <f t="shared" si="36"/>
        <v>NSW</v>
      </c>
      <c r="L201" t="str">
        <f t="shared" si="37"/>
        <v>133 (83 - 188)</v>
      </c>
      <c r="O201" t="s">
        <v>40</v>
      </c>
      <c r="P201" t="s">
        <v>198</v>
      </c>
      <c r="Q201" t="s">
        <v>74</v>
      </c>
      <c r="R201" t="s">
        <v>288</v>
      </c>
    </row>
    <row r="202" spans="1:18" x14ac:dyDescent="0.2">
      <c r="A202" t="s">
        <v>40</v>
      </c>
      <c r="B202" s="44" t="s">
        <v>198</v>
      </c>
      <c r="C202" t="s">
        <v>82</v>
      </c>
      <c r="D202" s="44">
        <v>79.464470155325458</v>
      </c>
      <c r="E202" s="44">
        <v>125.91531612036746</v>
      </c>
      <c r="F202" s="44">
        <v>176.06019886873037</v>
      </c>
      <c r="I202" t="str">
        <f t="shared" si="34"/>
        <v>Medical scientist</v>
      </c>
      <c r="J202" t="str">
        <f t="shared" si="35"/>
        <v>Hours worked</v>
      </c>
      <c r="K202" t="str">
        <f t="shared" si="36"/>
        <v>QLD</v>
      </c>
      <c r="L202" t="str">
        <f t="shared" si="37"/>
        <v>126 (79 - 176)</v>
      </c>
      <c r="O202" t="s">
        <v>40</v>
      </c>
      <c r="P202" t="s">
        <v>198</v>
      </c>
      <c r="Q202" t="s">
        <v>82</v>
      </c>
      <c r="R202" t="s">
        <v>240</v>
      </c>
    </row>
    <row r="203" spans="1:18" x14ac:dyDescent="0.2">
      <c r="A203" t="s">
        <v>40</v>
      </c>
      <c r="B203" s="44" t="s">
        <v>198</v>
      </c>
      <c r="C203" t="s">
        <v>62</v>
      </c>
      <c r="D203" s="44">
        <v>76.189228476331365</v>
      </c>
      <c r="E203" s="44">
        <v>125.92719767985052</v>
      </c>
      <c r="F203" s="44">
        <v>179.69415660097482</v>
      </c>
      <c r="I203" t="str">
        <f t="shared" si="34"/>
        <v>Medical scientist</v>
      </c>
      <c r="J203" t="str">
        <f t="shared" si="35"/>
        <v>Hours worked</v>
      </c>
      <c r="K203" t="str">
        <f t="shared" si="36"/>
        <v>SA</v>
      </c>
      <c r="L203" t="str">
        <f t="shared" si="37"/>
        <v>126 (76 - 180)</v>
      </c>
      <c r="O203" t="s">
        <v>40</v>
      </c>
      <c r="P203" t="s">
        <v>198</v>
      </c>
      <c r="Q203" t="s">
        <v>62</v>
      </c>
      <c r="R203" t="s">
        <v>289</v>
      </c>
    </row>
    <row r="204" spans="1:18" x14ac:dyDescent="0.2">
      <c r="A204" t="s">
        <v>40</v>
      </c>
      <c r="B204" s="44" t="s">
        <v>198</v>
      </c>
      <c r="C204" t="s">
        <v>32</v>
      </c>
      <c r="D204" s="44">
        <v>75.886509134615395</v>
      </c>
      <c r="E204" s="44">
        <v>132.9668190283401</v>
      </c>
      <c r="F204" s="44">
        <v>194.76633280356012</v>
      </c>
      <c r="I204" t="str">
        <f t="shared" si="34"/>
        <v>Medical scientist</v>
      </c>
      <c r="J204" t="str">
        <f t="shared" si="35"/>
        <v>Hours worked</v>
      </c>
      <c r="K204" t="str">
        <f t="shared" si="36"/>
        <v>VIC</v>
      </c>
      <c r="L204" t="str">
        <f t="shared" si="37"/>
        <v>133 (76 - 195)</v>
      </c>
      <c r="O204" t="s">
        <v>40</v>
      </c>
      <c r="P204" t="s">
        <v>198</v>
      </c>
      <c r="Q204" t="s">
        <v>32</v>
      </c>
      <c r="R204" t="s">
        <v>290</v>
      </c>
    </row>
    <row r="205" spans="1:18" x14ac:dyDescent="0.2">
      <c r="A205" t="s">
        <v>40</v>
      </c>
      <c r="B205" s="44" t="s">
        <v>198</v>
      </c>
      <c r="C205" t="s">
        <v>88</v>
      </c>
      <c r="D205" s="44">
        <v>96.666628661242598</v>
      </c>
      <c r="E205" s="44">
        <v>142.55387352071006</v>
      </c>
      <c r="F205" s="44">
        <v>191.94019948000715</v>
      </c>
      <c r="I205" t="str">
        <f t="shared" si="34"/>
        <v>Medical scientist</v>
      </c>
      <c r="J205" t="str">
        <f t="shared" si="35"/>
        <v>Hours worked</v>
      </c>
      <c r="K205" t="str">
        <f t="shared" si="36"/>
        <v>WA</v>
      </c>
      <c r="L205" t="str">
        <f t="shared" si="37"/>
        <v>143 (97 - 192)</v>
      </c>
      <c r="O205" t="s">
        <v>40</v>
      </c>
      <c r="P205" t="s">
        <v>198</v>
      </c>
      <c r="Q205" t="s">
        <v>88</v>
      </c>
      <c r="R205" t="s">
        <v>291</v>
      </c>
    </row>
    <row r="206" spans="1:18" x14ac:dyDescent="0.2">
      <c r="A206" t="s">
        <v>40</v>
      </c>
      <c r="B206" s="44" t="s">
        <v>195</v>
      </c>
      <c r="C206" t="s">
        <v>96</v>
      </c>
      <c r="D206" s="44">
        <v>77.461777327935238</v>
      </c>
      <c r="E206" s="44">
        <v>132.0926584531299</v>
      </c>
      <c r="F206" s="44">
        <v>180.17382105263161</v>
      </c>
      <c r="I206" t="str">
        <f t="shared" si="34"/>
        <v>Medical scientist</v>
      </c>
      <c r="J206" t="str">
        <f t="shared" si="35"/>
        <v xml:space="preserve">Leave Loading (%)		</v>
      </c>
      <c r="K206" t="str">
        <f t="shared" si="36"/>
        <v>ALL</v>
      </c>
      <c r="L206" t="str">
        <f t="shared" si="37"/>
        <v>132 (77 - 180)</v>
      </c>
      <c r="O206" t="s">
        <v>40</v>
      </c>
      <c r="P206" t="s">
        <v>195</v>
      </c>
      <c r="Q206" t="s">
        <v>96</v>
      </c>
      <c r="R206" t="s">
        <v>281</v>
      </c>
    </row>
    <row r="207" spans="1:18" x14ac:dyDescent="0.2">
      <c r="A207" t="s">
        <v>40</v>
      </c>
      <c r="B207" s="44" t="s">
        <v>195</v>
      </c>
      <c r="C207" t="s">
        <v>74</v>
      </c>
      <c r="D207" s="44">
        <v>86.96887734817814</v>
      </c>
      <c r="E207" s="44">
        <v>133.12305611336032</v>
      </c>
      <c r="F207" s="44">
        <v>179.27723487854254</v>
      </c>
      <c r="I207" t="str">
        <f t="shared" si="34"/>
        <v>Medical scientist</v>
      </c>
      <c r="J207" t="str">
        <f t="shared" si="35"/>
        <v xml:space="preserve">Leave Loading (%)		</v>
      </c>
      <c r="K207" t="str">
        <f t="shared" si="36"/>
        <v>NSW</v>
      </c>
      <c r="L207" t="str">
        <f t="shared" si="37"/>
        <v>133 (87 - 179)</v>
      </c>
      <c r="O207" t="s">
        <v>40</v>
      </c>
      <c r="P207" t="s">
        <v>195</v>
      </c>
      <c r="Q207" t="s">
        <v>74</v>
      </c>
      <c r="R207" t="s">
        <v>277</v>
      </c>
    </row>
    <row r="208" spans="1:18" x14ac:dyDescent="0.2">
      <c r="A208" t="s">
        <v>40</v>
      </c>
      <c r="B208" s="44" t="s">
        <v>195</v>
      </c>
      <c r="C208" t="s">
        <v>82</v>
      </c>
      <c r="D208" s="44">
        <v>83.646810689816263</v>
      </c>
      <c r="E208" s="44">
        <v>125.91531612036746</v>
      </c>
      <c r="F208" s="44">
        <v>168.18382155091874</v>
      </c>
      <c r="I208" t="str">
        <f t="shared" si="34"/>
        <v>Medical scientist</v>
      </c>
      <c r="J208" t="str">
        <f t="shared" si="35"/>
        <v xml:space="preserve">Leave Loading (%)		</v>
      </c>
      <c r="K208" t="str">
        <f t="shared" si="36"/>
        <v>QLD</v>
      </c>
      <c r="L208" t="str">
        <f t="shared" si="37"/>
        <v>126 (84 - 168)</v>
      </c>
      <c r="O208" t="s">
        <v>40</v>
      </c>
      <c r="P208" t="s">
        <v>195</v>
      </c>
      <c r="Q208" t="s">
        <v>82</v>
      </c>
      <c r="R208" t="s">
        <v>226</v>
      </c>
    </row>
    <row r="209" spans="1:18" x14ac:dyDescent="0.2">
      <c r="A209" t="s">
        <v>40</v>
      </c>
      <c r="B209" s="44" t="s">
        <v>195</v>
      </c>
      <c r="C209" t="s">
        <v>62</v>
      </c>
      <c r="D209" s="44">
        <v>80.199187869822495</v>
      </c>
      <c r="E209" s="44">
        <v>125.92719767985052</v>
      </c>
      <c r="F209" s="44">
        <v>171.65520748987856</v>
      </c>
      <c r="I209" t="str">
        <f t="shared" si="34"/>
        <v>Medical scientist</v>
      </c>
      <c r="J209" t="str">
        <f t="shared" si="35"/>
        <v xml:space="preserve">Leave Loading (%)		</v>
      </c>
      <c r="K209" t="str">
        <f t="shared" si="36"/>
        <v>SA</v>
      </c>
      <c r="L209" t="str">
        <f t="shared" si="37"/>
        <v>126 (80 - 172)</v>
      </c>
      <c r="O209" t="s">
        <v>40</v>
      </c>
      <c r="P209" t="s">
        <v>195</v>
      </c>
      <c r="Q209" t="s">
        <v>62</v>
      </c>
      <c r="R209" t="s">
        <v>278</v>
      </c>
    </row>
    <row r="210" spans="1:18" x14ac:dyDescent="0.2">
      <c r="A210" t="s">
        <v>40</v>
      </c>
      <c r="B210" s="44" t="s">
        <v>195</v>
      </c>
      <c r="C210" t="s">
        <v>32</v>
      </c>
      <c r="D210" s="44">
        <v>79.880535931174094</v>
      </c>
      <c r="E210" s="44">
        <v>132.9668190283401</v>
      </c>
      <c r="F210" s="44">
        <v>186.05310212550611</v>
      </c>
      <c r="I210" t="str">
        <f t="shared" si="34"/>
        <v>Medical scientist</v>
      </c>
      <c r="J210" t="str">
        <f t="shared" si="35"/>
        <v xml:space="preserve">Leave Loading (%)		</v>
      </c>
      <c r="K210" t="str">
        <f t="shared" si="36"/>
        <v>VIC</v>
      </c>
      <c r="L210" t="str">
        <f t="shared" si="37"/>
        <v>133 (80 - 186)</v>
      </c>
      <c r="O210" t="s">
        <v>40</v>
      </c>
      <c r="P210" t="s">
        <v>195</v>
      </c>
      <c r="Q210" t="s">
        <v>32</v>
      </c>
      <c r="R210" t="s">
        <v>279</v>
      </c>
    </row>
    <row r="211" spans="1:18" x14ac:dyDescent="0.2">
      <c r="A211" t="s">
        <v>40</v>
      </c>
      <c r="B211" s="44" t="s">
        <v>195</v>
      </c>
      <c r="C211" t="s">
        <v>88</v>
      </c>
      <c r="D211" s="44">
        <v>101.75434595920274</v>
      </c>
      <c r="E211" s="44">
        <v>142.55387352071006</v>
      </c>
      <c r="F211" s="44">
        <v>183.35340108221735</v>
      </c>
      <c r="I211" t="str">
        <f t="shared" si="34"/>
        <v>Medical scientist</v>
      </c>
      <c r="J211" t="str">
        <f t="shared" si="35"/>
        <v xml:space="preserve">Leave Loading (%)		</v>
      </c>
      <c r="K211" t="str">
        <f t="shared" si="36"/>
        <v>WA</v>
      </c>
      <c r="L211" t="str">
        <f t="shared" si="37"/>
        <v>143 (102 - 183)</v>
      </c>
      <c r="O211" t="s">
        <v>40</v>
      </c>
      <c r="P211" t="s">
        <v>195</v>
      </c>
      <c r="Q211" t="s">
        <v>88</v>
      </c>
      <c r="R211" t="s">
        <v>280</v>
      </c>
    </row>
    <row r="212" spans="1:18" x14ac:dyDescent="0.2">
      <c r="A212" t="s">
        <v>40</v>
      </c>
      <c r="B212" s="44" t="s">
        <v>190</v>
      </c>
      <c r="C212" t="s">
        <v>96</v>
      </c>
      <c r="D212" s="44">
        <v>77.461777327935238</v>
      </c>
      <c r="E212" s="44">
        <v>132.0926584531299</v>
      </c>
      <c r="F212" s="44">
        <v>180.17382105263161</v>
      </c>
      <c r="I212" t="str">
        <f t="shared" si="34"/>
        <v>Medical scientist</v>
      </c>
      <c r="J212" t="str">
        <f t="shared" si="35"/>
        <v>Private Practice Loading</v>
      </c>
      <c r="K212" t="str">
        <f t="shared" si="36"/>
        <v>ALL</v>
      </c>
      <c r="L212" t="str">
        <f t="shared" si="37"/>
        <v>132 (77 - 180)</v>
      </c>
      <c r="O212" t="s">
        <v>40</v>
      </c>
      <c r="P212" t="s">
        <v>190</v>
      </c>
      <c r="Q212" t="s">
        <v>96</v>
      </c>
      <c r="R212" t="s">
        <v>281</v>
      </c>
    </row>
    <row r="213" spans="1:18" x14ac:dyDescent="0.2">
      <c r="A213" t="s">
        <v>40</v>
      </c>
      <c r="B213" s="44" t="s">
        <v>190</v>
      </c>
      <c r="C213" t="s">
        <v>74</v>
      </c>
      <c r="D213" s="44">
        <v>86.96887734817814</v>
      </c>
      <c r="E213" s="44">
        <v>133.12305611336032</v>
      </c>
      <c r="F213" s="44">
        <v>179.27723487854254</v>
      </c>
      <c r="I213" t="str">
        <f t="shared" si="34"/>
        <v>Medical scientist</v>
      </c>
      <c r="J213" t="str">
        <f t="shared" si="35"/>
        <v>Private Practice Loading</v>
      </c>
      <c r="K213" t="str">
        <f t="shared" si="36"/>
        <v>NSW</v>
      </c>
      <c r="L213" t="str">
        <f t="shared" si="37"/>
        <v>133 (87 - 179)</v>
      </c>
      <c r="O213" t="s">
        <v>40</v>
      </c>
      <c r="P213" t="s">
        <v>190</v>
      </c>
      <c r="Q213" t="s">
        <v>74</v>
      </c>
      <c r="R213" t="s">
        <v>277</v>
      </c>
    </row>
    <row r="214" spans="1:18" x14ac:dyDescent="0.2">
      <c r="A214" t="s">
        <v>40</v>
      </c>
      <c r="B214" s="44" t="s">
        <v>190</v>
      </c>
      <c r="C214" t="s">
        <v>82</v>
      </c>
      <c r="D214" s="44">
        <v>83.646810689816263</v>
      </c>
      <c r="E214" s="44">
        <v>125.91531612036746</v>
      </c>
      <c r="F214" s="44">
        <v>168.18382155091874</v>
      </c>
      <c r="I214" t="str">
        <f t="shared" si="34"/>
        <v>Medical scientist</v>
      </c>
      <c r="J214" t="str">
        <f t="shared" si="35"/>
        <v>Private Practice Loading</v>
      </c>
      <c r="K214" t="str">
        <f t="shared" si="36"/>
        <v>QLD</v>
      </c>
      <c r="L214" t="str">
        <f t="shared" si="37"/>
        <v>126 (84 - 168)</v>
      </c>
      <c r="O214" t="s">
        <v>40</v>
      </c>
      <c r="P214" t="s">
        <v>190</v>
      </c>
      <c r="Q214" t="s">
        <v>82</v>
      </c>
      <c r="R214" t="s">
        <v>226</v>
      </c>
    </row>
    <row r="215" spans="1:18" x14ac:dyDescent="0.2">
      <c r="A215" t="s">
        <v>40</v>
      </c>
      <c r="B215" s="44" t="s">
        <v>190</v>
      </c>
      <c r="C215" t="s">
        <v>62</v>
      </c>
      <c r="D215" s="44">
        <v>80.199187869822495</v>
      </c>
      <c r="E215" s="44">
        <v>125.92719767985052</v>
      </c>
      <c r="F215" s="44">
        <v>171.65520748987856</v>
      </c>
      <c r="I215" t="str">
        <f t="shared" si="34"/>
        <v>Medical scientist</v>
      </c>
      <c r="J215" t="str">
        <f t="shared" si="35"/>
        <v>Private Practice Loading</v>
      </c>
      <c r="K215" t="str">
        <f t="shared" si="36"/>
        <v>SA</v>
      </c>
      <c r="L215" t="str">
        <f t="shared" si="37"/>
        <v>126 (80 - 172)</v>
      </c>
      <c r="O215" t="s">
        <v>40</v>
      </c>
      <c r="P215" t="s">
        <v>190</v>
      </c>
      <c r="Q215" t="s">
        <v>62</v>
      </c>
      <c r="R215" t="s">
        <v>278</v>
      </c>
    </row>
    <row r="216" spans="1:18" x14ac:dyDescent="0.2">
      <c r="A216" t="s">
        <v>40</v>
      </c>
      <c r="B216" s="44" t="s">
        <v>190</v>
      </c>
      <c r="C216" t="s">
        <v>32</v>
      </c>
      <c r="D216" s="44">
        <v>79.880535931174094</v>
      </c>
      <c r="E216" s="44">
        <v>132.9668190283401</v>
      </c>
      <c r="F216" s="44">
        <v>186.05310212550611</v>
      </c>
      <c r="I216" t="str">
        <f t="shared" si="34"/>
        <v>Medical scientist</v>
      </c>
      <c r="J216" t="str">
        <f t="shared" si="35"/>
        <v>Private Practice Loading</v>
      </c>
      <c r="K216" t="str">
        <f t="shared" si="36"/>
        <v>VIC</v>
      </c>
      <c r="L216" t="str">
        <f t="shared" si="37"/>
        <v>133 (80 - 186)</v>
      </c>
      <c r="O216" t="s">
        <v>40</v>
      </c>
      <c r="P216" t="s">
        <v>190</v>
      </c>
      <c r="Q216" t="s">
        <v>32</v>
      </c>
      <c r="R216" t="s">
        <v>279</v>
      </c>
    </row>
    <row r="217" spans="1:18" x14ac:dyDescent="0.2">
      <c r="A217" t="s">
        <v>40</v>
      </c>
      <c r="B217" s="44" t="s">
        <v>190</v>
      </c>
      <c r="C217" t="s">
        <v>88</v>
      </c>
      <c r="D217" s="44">
        <v>101.75434595920274</v>
      </c>
      <c r="E217" s="44">
        <v>142.55387352071006</v>
      </c>
      <c r="F217" s="44">
        <v>183.35340108221735</v>
      </c>
      <c r="I217" t="str">
        <f t="shared" si="34"/>
        <v>Medical scientist</v>
      </c>
      <c r="J217" t="str">
        <f t="shared" si="35"/>
        <v>Private Practice Loading</v>
      </c>
      <c r="K217" t="str">
        <f t="shared" si="36"/>
        <v>WA</v>
      </c>
      <c r="L217" t="str">
        <f t="shared" si="37"/>
        <v>143 (102 - 183)</v>
      </c>
      <c r="O217" t="s">
        <v>40</v>
      </c>
      <c r="P217" t="s">
        <v>190</v>
      </c>
      <c r="Q217" t="s">
        <v>88</v>
      </c>
      <c r="R217" t="s">
        <v>280</v>
      </c>
    </row>
    <row r="218" spans="1:18" x14ac:dyDescent="0.2">
      <c r="A218" t="s">
        <v>40</v>
      </c>
      <c r="B218" s="44" t="s">
        <v>193</v>
      </c>
      <c r="C218" t="s">
        <v>96</v>
      </c>
      <c r="D218" s="44">
        <v>77.461777327935238</v>
      </c>
      <c r="E218" s="44">
        <v>132.0926584531299</v>
      </c>
      <c r="F218" s="44">
        <v>180.17382105263161</v>
      </c>
      <c r="I218" t="str">
        <f t="shared" si="34"/>
        <v>Medical scientist</v>
      </c>
      <c r="J218" t="str">
        <f t="shared" si="35"/>
        <v>Professional Development Allowance</v>
      </c>
      <c r="K218" t="str">
        <f t="shared" si="36"/>
        <v>ALL</v>
      </c>
      <c r="L218" t="str">
        <f t="shared" si="37"/>
        <v>132 (77 - 180)</v>
      </c>
      <c r="O218" t="s">
        <v>40</v>
      </c>
      <c r="P218" t="s">
        <v>193</v>
      </c>
      <c r="Q218" t="s">
        <v>96</v>
      </c>
      <c r="R218" t="s">
        <v>281</v>
      </c>
    </row>
    <row r="219" spans="1:18" x14ac:dyDescent="0.2">
      <c r="A219" t="s">
        <v>40</v>
      </c>
      <c r="B219" s="44" t="s">
        <v>193</v>
      </c>
      <c r="C219" t="s">
        <v>74</v>
      </c>
      <c r="D219" s="44">
        <v>86.96887734817814</v>
      </c>
      <c r="E219" s="44">
        <v>133.12305611336032</v>
      </c>
      <c r="F219" s="44">
        <v>179.27723487854254</v>
      </c>
      <c r="I219" t="str">
        <f t="shared" si="34"/>
        <v>Medical scientist</v>
      </c>
      <c r="J219" t="str">
        <f t="shared" si="35"/>
        <v>Professional Development Allowance</v>
      </c>
      <c r="K219" t="str">
        <f t="shared" si="36"/>
        <v>NSW</v>
      </c>
      <c r="L219" t="str">
        <f t="shared" si="37"/>
        <v>133 (87 - 179)</v>
      </c>
      <c r="O219" t="s">
        <v>40</v>
      </c>
      <c r="P219" t="s">
        <v>193</v>
      </c>
      <c r="Q219" t="s">
        <v>74</v>
      </c>
      <c r="R219" t="s">
        <v>277</v>
      </c>
    </row>
    <row r="220" spans="1:18" x14ac:dyDescent="0.2">
      <c r="A220" t="s">
        <v>40</v>
      </c>
      <c r="B220" s="44" t="s">
        <v>193</v>
      </c>
      <c r="C220" t="s">
        <v>82</v>
      </c>
      <c r="D220" s="44">
        <v>83.646810689816263</v>
      </c>
      <c r="E220" s="44">
        <v>125.91531612036746</v>
      </c>
      <c r="F220" s="44">
        <v>168.18382155091874</v>
      </c>
      <c r="I220" t="str">
        <f t="shared" si="34"/>
        <v>Medical scientist</v>
      </c>
      <c r="J220" t="str">
        <f t="shared" si="35"/>
        <v>Professional Development Allowance</v>
      </c>
      <c r="K220" t="str">
        <f t="shared" si="36"/>
        <v>QLD</v>
      </c>
      <c r="L220" t="str">
        <f t="shared" si="37"/>
        <v>126 (84 - 168)</v>
      </c>
      <c r="O220" t="s">
        <v>40</v>
      </c>
      <c r="P220" t="s">
        <v>193</v>
      </c>
      <c r="Q220" t="s">
        <v>82</v>
      </c>
      <c r="R220" t="s">
        <v>226</v>
      </c>
    </row>
    <row r="221" spans="1:18" x14ac:dyDescent="0.2">
      <c r="A221" t="s">
        <v>40</v>
      </c>
      <c r="B221" s="44" t="s">
        <v>193</v>
      </c>
      <c r="C221" t="s">
        <v>62</v>
      </c>
      <c r="D221" s="44">
        <v>80.199187869822495</v>
      </c>
      <c r="E221" s="44">
        <v>125.92719767985052</v>
      </c>
      <c r="F221" s="44">
        <v>171.65520748987856</v>
      </c>
      <c r="I221" t="str">
        <f t="shared" si="34"/>
        <v>Medical scientist</v>
      </c>
      <c r="J221" t="str">
        <f t="shared" si="35"/>
        <v>Professional Development Allowance</v>
      </c>
      <c r="K221" t="str">
        <f t="shared" si="36"/>
        <v>SA</v>
      </c>
      <c r="L221" t="str">
        <f t="shared" si="37"/>
        <v>126 (80 - 172)</v>
      </c>
      <c r="O221" t="s">
        <v>40</v>
      </c>
      <c r="P221" t="s">
        <v>193</v>
      </c>
      <c r="Q221" t="s">
        <v>62</v>
      </c>
      <c r="R221" t="s">
        <v>278</v>
      </c>
    </row>
    <row r="222" spans="1:18" x14ac:dyDescent="0.2">
      <c r="A222" t="s">
        <v>40</v>
      </c>
      <c r="B222" s="44" t="s">
        <v>193</v>
      </c>
      <c r="C222" t="s">
        <v>32</v>
      </c>
      <c r="D222" s="44">
        <v>79.880535931174094</v>
      </c>
      <c r="E222" s="44">
        <v>132.9668190283401</v>
      </c>
      <c r="F222" s="44">
        <v>186.05310212550611</v>
      </c>
      <c r="I222" t="str">
        <f t="shared" si="34"/>
        <v>Medical scientist</v>
      </c>
      <c r="J222" t="str">
        <f t="shared" si="35"/>
        <v>Professional Development Allowance</v>
      </c>
      <c r="K222" t="str">
        <f t="shared" si="36"/>
        <v>VIC</v>
      </c>
      <c r="L222" t="str">
        <f t="shared" si="37"/>
        <v>133 (80 - 186)</v>
      </c>
      <c r="O222" t="s">
        <v>40</v>
      </c>
      <c r="P222" t="s">
        <v>193</v>
      </c>
      <c r="Q222" t="s">
        <v>32</v>
      </c>
      <c r="R222" t="s">
        <v>279</v>
      </c>
    </row>
    <row r="223" spans="1:18" x14ac:dyDescent="0.2">
      <c r="A223" t="s">
        <v>40</v>
      </c>
      <c r="B223" s="44" t="s">
        <v>193</v>
      </c>
      <c r="C223" t="s">
        <v>88</v>
      </c>
      <c r="D223" s="44">
        <v>101.75434595920274</v>
      </c>
      <c r="E223" s="44">
        <v>142.55387352071006</v>
      </c>
      <c r="F223" s="44">
        <v>183.35340108221735</v>
      </c>
      <c r="I223" t="str">
        <f t="shared" si="34"/>
        <v>Medical scientist</v>
      </c>
      <c r="J223" t="str">
        <f t="shared" si="35"/>
        <v>Professional Development Allowance</v>
      </c>
      <c r="K223" t="str">
        <f t="shared" si="36"/>
        <v>WA</v>
      </c>
      <c r="L223" t="str">
        <f t="shared" si="37"/>
        <v>143 (102 - 183)</v>
      </c>
      <c r="O223" t="s">
        <v>40</v>
      </c>
      <c r="P223" t="s">
        <v>193</v>
      </c>
      <c r="Q223" t="s">
        <v>88</v>
      </c>
      <c r="R223" t="s">
        <v>280</v>
      </c>
    </row>
    <row r="224" spans="1:18" x14ac:dyDescent="0.2">
      <c r="A224" t="s">
        <v>40</v>
      </c>
      <c r="B224" s="44" t="s">
        <v>189</v>
      </c>
      <c r="C224" t="s">
        <v>96</v>
      </c>
      <c r="D224" s="44">
        <v>77.291422064777308</v>
      </c>
      <c r="E224" s="44">
        <v>132.0926584531299</v>
      </c>
      <c r="F224" s="44">
        <v>180.53453157894739</v>
      </c>
      <c r="I224" t="str">
        <f t="shared" si="34"/>
        <v>Medical scientist</v>
      </c>
      <c r="J224" t="str">
        <f t="shared" si="35"/>
        <v>Public Holiday Penalty</v>
      </c>
      <c r="K224" t="str">
        <f t="shared" si="36"/>
        <v>ALL</v>
      </c>
      <c r="L224" t="str">
        <f t="shared" si="37"/>
        <v>132 (77 - 181)</v>
      </c>
      <c r="O224" t="s">
        <v>40</v>
      </c>
      <c r="P224" t="s">
        <v>189</v>
      </c>
      <c r="Q224" t="s">
        <v>96</v>
      </c>
      <c r="R224" t="s">
        <v>301</v>
      </c>
    </row>
    <row r="225" spans="1:18" x14ac:dyDescent="0.2">
      <c r="A225" t="s">
        <v>40</v>
      </c>
      <c r="B225" s="44" t="s">
        <v>189</v>
      </c>
      <c r="C225" t="s">
        <v>74</v>
      </c>
      <c r="D225" s="44">
        <v>86.781765900809717</v>
      </c>
      <c r="E225" s="44">
        <v>133.12305611336032</v>
      </c>
      <c r="F225" s="44">
        <v>179.6278809311741</v>
      </c>
      <c r="I225" t="str">
        <f t="shared" si="34"/>
        <v>Medical scientist</v>
      </c>
      <c r="J225" t="str">
        <f t="shared" si="35"/>
        <v>Public Holiday Penalty</v>
      </c>
      <c r="K225" t="str">
        <f t="shared" si="36"/>
        <v>NSW</v>
      </c>
      <c r="L225" t="str">
        <f t="shared" si="37"/>
        <v>133 (87 - 180)</v>
      </c>
      <c r="O225" t="s">
        <v>40</v>
      </c>
      <c r="P225" t="s">
        <v>189</v>
      </c>
      <c r="Q225" t="s">
        <v>74</v>
      </c>
      <c r="R225" t="s">
        <v>299</v>
      </c>
    </row>
    <row r="226" spans="1:18" x14ac:dyDescent="0.2">
      <c r="A226" t="s">
        <v>40</v>
      </c>
      <c r="B226" s="44" t="s">
        <v>189</v>
      </c>
      <c r="C226" t="s">
        <v>82</v>
      </c>
      <c r="D226" s="44">
        <v>83.454669748520715</v>
      </c>
      <c r="E226" s="44">
        <v>125.91531612036746</v>
      </c>
      <c r="F226" s="44">
        <v>168.53699968857055</v>
      </c>
      <c r="I226" t="str">
        <f t="shared" si="34"/>
        <v>Medical scientist</v>
      </c>
      <c r="J226" t="str">
        <f t="shared" si="35"/>
        <v>Public Holiday Penalty</v>
      </c>
      <c r="K226" t="str">
        <f t="shared" si="36"/>
        <v>QLD</v>
      </c>
      <c r="L226" t="str">
        <f t="shared" si="37"/>
        <v>126 (83 - 169)</v>
      </c>
      <c r="O226" t="s">
        <v>40</v>
      </c>
      <c r="P226" t="s">
        <v>189</v>
      </c>
      <c r="Q226" t="s">
        <v>82</v>
      </c>
      <c r="R226" t="s">
        <v>246</v>
      </c>
    </row>
    <row r="227" spans="1:18" x14ac:dyDescent="0.2">
      <c r="A227" t="s">
        <v>40</v>
      </c>
      <c r="B227" s="44" t="s">
        <v>189</v>
      </c>
      <c r="C227" t="s">
        <v>62</v>
      </c>
      <c r="D227" s="44">
        <v>80.014409023668634</v>
      </c>
      <c r="E227" s="44">
        <v>125.92719767985052</v>
      </c>
      <c r="F227" s="44">
        <v>172.01474696356274</v>
      </c>
      <c r="I227" t="str">
        <f t="shared" si="34"/>
        <v>Medical scientist</v>
      </c>
      <c r="J227" t="str">
        <f t="shared" si="35"/>
        <v>Public Holiday Penalty</v>
      </c>
      <c r="K227" t="str">
        <f t="shared" si="36"/>
        <v>SA</v>
      </c>
      <c r="L227" t="str">
        <f t="shared" si="37"/>
        <v>126 (80 - 172)</v>
      </c>
      <c r="O227" t="s">
        <v>40</v>
      </c>
      <c r="P227" t="s">
        <v>189</v>
      </c>
      <c r="Q227" t="s">
        <v>62</v>
      </c>
      <c r="R227" t="s">
        <v>278</v>
      </c>
    </row>
    <row r="228" spans="1:18" x14ac:dyDescent="0.2">
      <c r="A228" t="s">
        <v>40</v>
      </c>
      <c r="B228" s="44" t="s">
        <v>189</v>
      </c>
      <c r="C228" t="s">
        <v>32</v>
      </c>
      <c r="D228" s="44">
        <v>79.710180668016193</v>
      </c>
      <c r="E228" s="44">
        <v>132.9668190283401</v>
      </c>
      <c r="F228" s="44">
        <v>186.4138126518219</v>
      </c>
      <c r="I228" t="str">
        <f t="shared" si="34"/>
        <v>Medical scientist</v>
      </c>
      <c r="J228" t="str">
        <f t="shared" si="35"/>
        <v>Public Holiday Penalty</v>
      </c>
      <c r="K228" t="str">
        <f t="shared" si="36"/>
        <v>VIC</v>
      </c>
      <c r="L228" t="str">
        <f t="shared" si="37"/>
        <v>133 (80 - 186)</v>
      </c>
      <c r="O228" t="s">
        <v>40</v>
      </c>
      <c r="P228" t="s">
        <v>189</v>
      </c>
      <c r="Q228" t="s">
        <v>32</v>
      </c>
      <c r="R228" t="s">
        <v>279</v>
      </c>
    </row>
    <row r="229" spans="1:18" x14ac:dyDescent="0.2">
      <c r="A229" t="s">
        <v>40</v>
      </c>
      <c r="B229" s="44" t="s">
        <v>189</v>
      </c>
      <c r="C229" t="s">
        <v>88</v>
      </c>
      <c r="D229" s="44">
        <v>101.53770552398008</v>
      </c>
      <c r="E229" s="44">
        <v>142.55387352071006</v>
      </c>
      <c r="F229" s="44">
        <v>183.70828215509187</v>
      </c>
      <c r="I229" t="str">
        <f t="shared" si="34"/>
        <v>Medical scientist</v>
      </c>
      <c r="J229" t="str">
        <f t="shared" si="35"/>
        <v>Public Holiday Penalty</v>
      </c>
      <c r="K229" t="str">
        <f t="shared" si="36"/>
        <v>WA</v>
      </c>
      <c r="L229" t="str">
        <f t="shared" si="37"/>
        <v>143 (102 - 184)</v>
      </c>
      <c r="O229" t="s">
        <v>40</v>
      </c>
      <c r="P229" t="s">
        <v>189</v>
      </c>
      <c r="Q229" t="s">
        <v>88</v>
      </c>
      <c r="R229" t="s">
        <v>300</v>
      </c>
    </row>
    <row r="230" spans="1:18" x14ac:dyDescent="0.2">
      <c r="A230" t="s">
        <v>40</v>
      </c>
      <c r="B230" s="44" t="s">
        <v>192</v>
      </c>
      <c r="C230" t="s">
        <v>96</v>
      </c>
      <c r="D230" s="44">
        <v>77.461777327935238</v>
      </c>
      <c r="E230" s="44">
        <v>132.0926584531299</v>
      </c>
      <c r="F230" s="44">
        <v>180.17382105263161</v>
      </c>
      <c r="I230" t="str">
        <f t="shared" si="34"/>
        <v>Medical scientist</v>
      </c>
      <c r="J230" t="str">
        <f t="shared" si="35"/>
        <v>Sick Leave</v>
      </c>
      <c r="K230" t="str">
        <f t="shared" si="36"/>
        <v>ALL</v>
      </c>
      <c r="L230" t="str">
        <f t="shared" si="37"/>
        <v>132 (77 - 180)</v>
      </c>
      <c r="O230" t="s">
        <v>40</v>
      </c>
      <c r="P230" t="s">
        <v>192</v>
      </c>
      <c r="Q230" t="s">
        <v>96</v>
      </c>
      <c r="R230" t="s">
        <v>281</v>
      </c>
    </row>
    <row r="231" spans="1:18" x14ac:dyDescent="0.2">
      <c r="A231" t="s">
        <v>40</v>
      </c>
      <c r="B231" s="44" t="s">
        <v>192</v>
      </c>
      <c r="C231" t="s">
        <v>74</v>
      </c>
      <c r="D231" s="44">
        <v>86.96887734817814</v>
      </c>
      <c r="E231" s="44">
        <v>133.12305611336032</v>
      </c>
      <c r="F231" s="44">
        <v>179.27723487854254</v>
      </c>
      <c r="I231" t="str">
        <f t="shared" si="34"/>
        <v>Medical scientist</v>
      </c>
      <c r="J231" t="str">
        <f t="shared" si="35"/>
        <v>Sick Leave</v>
      </c>
      <c r="K231" t="str">
        <f t="shared" si="36"/>
        <v>NSW</v>
      </c>
      <c r="L231" t="str">
        <f t="shared" si="37"/>
        <v>133 (87 - 179)</v>
      </c>
      <c r="O231" t="s">
        <v>40</v>
      </c>
      <c r="P231" t="s">
        <v>192</v>
      </c>
      <c r="Q231" t="s">
        <v>74</v>
      </c>
      <c r="R231" t="s">
        <v>277</v>
      </c>
    </row>
    <row r="232" spans="1:18" x14ac:dyDescent="0.2">
      <c r="A232" t="s">
        <v>40</v>
      </c>
      <c r="B232" s="44" t="s">
        <v>192</v>
      </c>
      <c r="C232" t="s">
        <v>82</v>
      </c>
      <c r="D232" s="44">
        <v>83.646810689816263</v>
      </c>
      <c r="E232" s="44">
        <v>125.91531612036746</v>
      </c>
      <c r="F232" s="44">
        <v>168.18382155091874</v>
      </c>
      <c r="I232" t="str">
        <f t="shared" si="34"/>
        <v>Medical scientist</v>
      </c>
      <c r="J232" t="str">
        <f t="shared" si="35"/>
        <v>Sick Leave</v>
      </c>
      <c r="K232" t="str">
        <f t="shared" si="36"/>
        <v>QLD</v>
      </c>
      <c r="L232" t="str">
        <f t="shared" si="37"/>
        <v>126 (84 - 168)</v>
      </c>
      <c r="O232" t="s">
        <v>40</v>
      </c>
      <c r="P232" t="s">
        <v>192</v>
      </c>
      <c r="Q232" t="s">
        <v>82</v>
      </c>
      <c r="R232" t="s">
        <v>226</v>
      </c>
    </row>
    <row r="233" spans="1:18" x14ac:dyDescent="0.2">
      <c r="A233" t="s">
        <v>40</v>
      </c>
      <c r="B233" s="44" t="s">
        <v>192</v>
      </c>
      <c r="C233" t="s">
        <v>62</v>
      </c>
      <c r="D233" s="44">
        <v>80.199187869822495</v>
      </c>
      <c r="E233" s="44">
        <v>125.92719767985052</v>
      </c>
      <c r="F233" s="44">
        <v>171.65520748987856</v>
      </c>
      <c r="I233" t="str">
        <f t="shared" si="34"/>
        <v>Medical scientist</v>
      </c>
      <c r="J233" t="str">
        <f t="shared" si="35"/>
        <v>Sick Leave</v>
      </c>
      <c r="K233" t="str">
        <f t="shared" si="36"/>
        <v>SA</v>
      </c>
      <c r="L233" t="str">
        <f t="shared" si="37"/>
        <v>126 (80 - 172)</v>
      </c>
      <c r="O233" t="s">
        <v>40</v>
      </c>
      <c r="P233" t="s">
        <v>192</v>
      </c>
      <c r="Q233" t="s">
        <v>62</v>
      </c>
      <c r="R233" t="s">
        <v>278</v>
      </c>
    </row>
    <row r="234" spans="1:18" x14ac:dyDescent="0.2">
      <c r="A234" t="s">
        <v>40</v>
      </c>
      <c r="B234" s="44" t="s">
        <v>192</v>
      </c>
      <c r="C234" t="s">
        <v>32</v>
      </c>
      <c r="D234" s="44">
        <v>79.880535931174094</v>
      </c>
      <c r="E234" s="44">
        <v>132.9668190283401</v>
      </c>
      <c r="F234" s="44">
        <v>186.05310212550611</v>
      </c>
      <c r="I234" t="str">
        <f t="shared" si="34"/>
        <v>Medical scientist</v>
      </c>
      <c r="J234" t="str">
        <f t="shared" si="35"/>
        <v>Sick Leave</v>
      </c>
      <c r="K234" t="str">
        <f t="shared" si="36"/>
        <v>VIC</v>
      </c>
      <c r="L234" t="str">
        <f t="shared" si="37"/>
        <v>133 (80 - 186)</v>
      </c>
      <c r="O234" t="s">
        <v>40</v>
      </c>
      <c r="P234" t="s">
        <v>192</v>
      </c>
      <c r="Q234" t="s">
        <v>32</v>
      </c>
      <c r="R234" t="s">
        <v>279</v>
      </c>
    </row>
    <row r="235" spans="1:18" x14ac:dyDescent="0.2">
      <c r="A235" t="s">
        <v>40</v>
      </c>
      <c r="B235" s="44" t="s">
        <v>192</v>
      </c>
      <c r="C235" t="s">
        <v>88</v>
      </c>
      <c r="D235" s="44">
        <v>101.75434595920274</v>
      </c>
      <c r="E235" s="44">
        <v>142.55387352071006</v>
      </c>
      <c r="F235" s="44">
        <v>183.35340108221735</v>
      </c>
      <c r="I235" t="str">
        <f t="shared" si="34"/>
        <v>Medical scientist</v>
      </c>
      <c r="J235" t="str">
        <f t="shared" si="35"/>
        <v>Sick Leave</v>
      </c>
      <c r="K235" t="str">
        <f t="shared" si="36"/>
        <v>WA</v>
      </c>
      <c r="L235" t="str">
        <f t="shared" si="37"/>
        <v>143 (102 - 183)</v>
      </c>
      <c r="O235" t="s">
        <v>40</v>
      </c>
      <c r="P235" t="s">
        <v>192</v>
      </c>
      <c r="Q235" t="s">
        <v>88</v>
      </c>
      <c r="R235" t="s">
        <v>280</v>
      </c>
    </row>
    <row r="236" spans="1:18" x14ac:dyDescent="0.2">
      <c r="A236" t="s">
        <v>40</v>
      </c>
      <c r="B236" s="44" t="s">
        <v>199</v>
      </c>
      <c r="C236" t="s">
        <v>96</v>
      </c>
      <c r="D236" s="44">
        <v>77.306908906882583</v>
      </c>
      <c r="E236" s="44">
        <v>132.0926584531299</v>
      </c>
      <c r="F236" s="44">
        <v>181.43630789473687</v>
      </c>
      <c r="I236" t="str">
        <f t="shared" si="34"/>
        <v>Medical scientist</v>
      </c>
      <c r="J236" t="str">
        <f t="shared" si="35"/>
        <v>Superannuation</v>
      </c>
      <c r="K236" t="str">
        <f t="shared" si="36"/>
        <v>ALL</v>
      </c>
      <c r="L236" t="str">
        <f t="shared" si="37"/>
        <v>132 (77 - 181)</v>
      </c>
      <c r="O236" t="s">
        <v>40</v>
      </c>
      <c r="P236" t="s">
        <v>199</v>
      </c>
      <c r="Q236" t="s">
        <v>96</v>
      </c>
      <c r="R236" t="s">
        <v>301</v>
      </c>
    </row>
    <row r="237" spans="1:18" x14ac:dyDescent="0.2">
      <c r="A237" t="s">
        <v>40</v>
      </c>
      <c r="B237" s="44" t="s">
        <v>199</v>
      </c>
      <c r="C237" t="s">
        <v>74</v>
      </c>
      <c r="D237" s="44">
        <v>86.798776032388673</v>
      </c>
      <c r="E237" s="44">
        <v>133.12305611336032</v>
      </c>
      <c r="F237" s="44">
        <v>180.50449606275305</v>
      </c>
      <c r="I237" t="str">
        <f t="shared" si="34"/>
        <v>Medical scientist</v>
      </c>
      <c r="J237" t="str">
        <f t="shared" si="35"/>
        <v>Superannuation</v>
      </c>
      <c r="K237" t="str">
        <f t="shared" si="36"/>
        <v>NSW</v>
      </c>
      <c r="L237" t="str">
        <f t="shared" si="37"/>
        <v>133 (87 - 181)</v>
      </c>
      <c r="O237" t="s">
        <v>40</v>
      </c>
      <c r="P237" t="s">
        <v>199</v>
      </c>
      <c r="Q237" t="s">
        <v>74</v>
      </c>
      <c r="R237" t="s">
        <v>302</v>
      </c>
    </row>
    <row r="238" spans="1:18" x14ac:dyDescent="0.2">
      <c r="A238" t="s">
        <v>40</v>
      </c>
      <c r="B238" s="44" t="s">
        <v>199</v>
      </c>
      <c r="C238" t="s">
        <v>82</v>
      </c>
      <c r="D238" s="44">
        <v>83.472137106820313</v>
      </c>
      <c r="E238" s="44">
        <v>125.91531612036746</v>
      </c>
      <c r="F238" s="44">
        <v>169.4199450327001</v>
      </c>
      <c r="I238" t="str">
        <f t="shared" si="34"/>
        <v>Medical scientist</v>
      </c>
      <c r="J238" t="str">
        <f t="shared" si="35"/>
        <v>Superannuation</v>
      </c>
      <c r="K238" t="str">
        <f t="shared" si="36"/>
        <v>QLD</v>
      </c>
      <c r="L238" t="str">
        <f t="shared" si="37"/>
        <v>126 (83 - 169)</v>
      </c>
      <c r="O238" t="s">
        <v>40</v>
      </c>
      <c r="P238" t="s">
        <v>199</v>
      </c>
      <c r="Q238" t="s">
        <v>82</v>
      </c>
      <c r="R238" t="s">
        <v>246</v>
      </c>
    </row>
    <row r="239" spans="1:18" x14ac:dyDescent="0.2">
      <c r="A239" t="s">
        <v>40</v>
      </c>
      <c r="B239" s="44" t="s">
        <v>199</v>
      </c>
      <c r="C239" t="s">
        <v>62</v>
      </c>
      <c r="D239" s="44">
        <v>80.031207100591715</v>
      </c>
      <c r="E239" s="44">
        <v>125.92719767985052</v>
      </c>
      <c r="F239" s="44">
        <v>172.91359564777326</v>
      </c>
      <c r="I239" t="str">
        <f t="shared" si="34"/>
        <v>Medical scientist</v>
      </c>
      <c r="J239" t="str">
        <f t="shared" si="35"/>
        <v>Superannuation</v>
      </c>
      <c r="K239" t="str">
        <f t="shared" si="36"/>
        <v>SA</v>
      </c>
      <c r="L239" t="str">
        <f t="shared" si="37"/>
        <v>126 (80 - 173)</v>
      </c>
      <c r="O239" t="s">
        <v>40</v>
      </c>
      <c r="P239" t="s">
        <v>199</v>
      </c>
      <c r="Q239" t="s">
        <v>62</v>
      </c>
      <c r="R239" t="s">
        <v>303</v>
      </c>
    </row>
    <row r="240" spans="1:18" x14ac:dyDescent="0.2">
      <c r="A240" t="s">
        <v>40</v>
      </c>
      <c r="B240" s="44" t="s">
        <v>199</v>
      </c>
      <c r="C240" t="s">
        <v>32</v>
      </c>
      <c r="D240" s="44">
        <v>79.725667510121454</v>
      </c>
      <c r="E240" s="44">
        <v>132.9668190283401</v>
      </c>
      <c r="F240" s="44">
        <v>187.31558896761135</v>
      </c>
      <c r="I240" t="str">
        <f t="shared" si="34"/>
        <v>Medical scientist</v>
      </c>
      <c r="J240" t="str">
        <f t="shared" si="35"/>
        <v>Superannuation</v>
      </c>
      <c r="K240" t="str">
        <f t="shared" si="36"/>
        <v>VIC</v>
      </c>
      <c r="L240" t="str">
        <f t="shared" si="37"/>
        <v>133 (80 - 187)</v>
      </c>
      <c r="O240" t="s">
        <v>40</v>
      </c>
      <c r="P240" t="s">
        <v>199</v>
      </c>
      <c r="Q240" t="s">
        <v>32</v>
      </c>
      <c r="R240" t="s">
        <v>304</v>
      </c>
    </row>
    <row r="241" spans="1:18" x14ac:dyDescent="0.2">
      <c r="A241" t="s">
        <v>40</v>
      </c>
      <c r="B241" s="44" t="s">
        <v>199</v>
      </c>
      <c r="C241" t="s">
        <v>88</v>
      </c>
      <c r="D241" s="44">
        <v>101.55740010900031</v>
      </c>
      <c r="E241" s="44">
        <v>142.55387352071006</v>
      </c>
      <c r="F241" s="44">
        <v>184.59548483727809</v>
      </c>
      <c r="I241" t="str">
        <f t="shared" si="34"/>
        <v>Medical scientist</v>
      </c>
      <c r="J241" t="str">
        <f t="shared" si="35"/>
        <v>Superannuation</v>
      </c>
      <c r="K241" t="str">
        <f t="shared" si="36"/>
        <v>WA</v>
      </c>
      <c r="L241" t="str">
        <f t="shared" si="37"/>
        <v>143 (102 - 185)</v>
      </c>
      <c r="O241" t="s">
        <v>40</v>
      </c>
      <c r="P241" t="s">
        <v>199</v>
      </c>
      <c r="Q241" t="s">
        <v>88</v>
      </c>
      <c r="R241" t="s">
        <v>305</v>
      </c>
    </row>
    <row r="242" spans="1:18" x14ac:dyDescent="0.2">
      <c r="A242" t="s">
        <v>55</v>
      </c>
      <c r="B242" s="44" t="s">
        <v>194</v>
      </c>
      <c r="C242" t="s">
        <v>96</v>
      </c>
      <c r="D242" s="44">
        <v>263.33641467611341</v>
      </c>
      <c r="E242" s="44">
        <v>384.46098380769229</v>
      </c>
      <c r="F242" s="44">
        <v>551.42819559716588</v>
      </c>
      <c r="I242" t="str">
        <f t="shared" si="34"/>
        <v>Pathologists</v>
      </c>
      <c r="J242" t="str">
        <f t="shared" si="35"/>
        <v>Annual Leave</v>
      </c>
      <c r="K242" t="str">
        <f t="shared" si="36"/>
        <v>ALL</v>
      </c>
      <c r="L242" t="str">
        <f t="shared" si="37"/>
        <v>384 (263 - 551)</v>
      </c>
      <c r="O242" t="s">
        <v>55</v>
      </c>
      <c r="P242" t="s">
        <v>194</v>
      </c>
      <c r="Q242" t="s">
        <v>96</v>
      </c>
      <c r="R242" t="s">
        <v>306</v>
      </c>
    </row>
    <row r="243" spans="1:18" x14ac:dyDescent="0.2">
      <c r="A243" t="s">
        <v>55</v>
      </c>
      <c r="B243" s="44" t="s">
        <v>194</v>
      </c>
      <c r="C243" t="s">
        <v>74</v>
      </c>
      <c r="D243" s="44">
        <v>268.72383106898161</v>
      </c>
      <c r="E243" s="44">
        <v>312.51377973178137</v>
      </c>
      <c r="F243" s="44">
        <v>356.30372839458113</v>
      </c>
      <c r="I243" t="str">
        <f t="shared" si="34"/>
        <v>Pathologists</v>
      </c>
      <c r="J243" t="str">
        <f t="shared" si="35"/>
        <v>Annual Leave</v>
      </c>
      <c r="K243" t="str">
        <f t="shared" si="36"/>
        <v>NSW</v>
      </c>
      <c r="L243" t="str">
        <f t="shared" si="37"/>
        <v>313 (269 - 356)</v>
      </c>
      <c r="O243" t="s">
        <v>55</v>
      </c>
      <c r="P243" t="s">
        <v>194</v>
      </c>
      <c r="Q243" t="s">
        <v>74</v>
      </c>
      <c r="R243" t="s">
        <v>293</v>
      </c>
    </row>
    <row r="244" spans="1:18" x14ac:dyDescent="0.2">
      <c r="A244" t="s">
        <v>55</v>
      </c>
      <c r="B244" s="44" t="s">
        <v>194</v>
      </c>
      <c r="C244" t="s">
        <v>82</v>
      </c>
      <c r="D244" s="44">
        <v>285.78028254437862</v>
      </c>
      <c r="E244" s="44">
        <v>338.52626455932733</v>
      </c>
      <c r="F244" s="44">
        <v>391.27224657427587</v>
      </c>
      <c r="I244" t="str">
        <f t="shared" si="34"/>
        <v>Pathologists</v>
      </c>
      <c r="J244" t="str">
        <f t="shared" si="35"/>
        <v>Annual Leave</v>
      </c>
      <c r="K244" t="str">
        <f t="shared" si="36"/>
        <v>QLD</v>
      </c>
      <c r="L244" t="str">
        <f t="shared" si="37"/>
        <v>339 (286 - 391)</v>
      </c>
      <c r="O244" t="s">
        <v>55</v>
      </c>
      <c r="P244" t="s">
        <v>194</v>
      </c>
      <c r="Q244" t="s">
        <v>82</v>
      </c>
      <c r="R244" t="s">
        <v>294</v>
      </c>
    </row>
    <row r="245" spans="1:18" x14ac:dyDescent="0.2">
      <c r="A245" t="s">
        <v>55</v>
      </c>
      <c r="B245" s="44" t="s">
        <v>194</v>
      </c>
      <c r="C245" t="s">
        <v>62</v>
      </c>
      <c r="D245" s="44">
        <v>369.70246763080041</v>
      </c>
      <c r="E245" s="44">
        <v>426.32967137865938</v>
      </c>
      <c r="F245" s="44">
        <v>482.95687512651824</v>
      </c>
      <c r="I245" t="str">
        <f t="shared" si="34"/>
        <v>Pathologists</v>
      </c>
      <c r="J245" t="str">
        <f t="shared" si="35"/>
        <v>Annual Leave</v>
      </c>
      <c r="K245" t="str">
        <f t="shared" si="36"/>
        <v>SA</v>
      </c>
      <c r="L245" t="str">
        <f t="shared" si="37"/>
        <v>426 (370 - 483)</v>
      </c>
      <c r="O245" t="s">
        <v>55</v>
      </c>
      <c r="P245" t="s">
        <v>194</v>
      </c>
      <c r="Q245" t="s">
        <v>62</v>
      </c>
      <c r="R245" t="s">
        <v>295</v>
      </c>
    </row>
    <row r="246" spans="1:18" x14ac:dyDescent="0.2">
      <c r="A246" t="s">
        <v>55</v>
      </c>
      <c r="B246" s="44" t="s">
        <v>194</v>
      </c>
      <c r="C246" t="s">
        <v>32</v>
      </c>
      <c r="D246" s="44">
        <v>337.41975202429148</v>
      </c>
      <c r="E246" s="44">
        <v>397.93711229757093</v>
      </c>
      <c r="F246" s="44">
        <v>458.45447257085021</v>
      </c>
      <c r="I246" t="str">
        <f t="shared" si="34"/>
        <v>Pathologists</v>
      </c>
      <c r="J246" t="str">
        <f t="shared" si="35"/>
        <v>Annual Leave</v>
      </c>
      <c r="K246" t="str">
        <f t="shared" si="36"/>
        <v>VIC</v>
      </c>
      <c r="L246" t="str">
        <f t="shared" si="37"/>
        <v>398 (337 - 458)</v>
      </c>
      <c r="O246" t="s">
        <v>55</v>
      </c>
      <c r="P246" t="s">
        <v>194</v>
      </c>
      <c r="Q246" t="s">
        <v>32</v>
      </c>
      <c r="R246" t="s">
        <v>296</v>
      </c>
    </row>
    <row r="247" spans="1:18" x14ac:dyDescent="0.2">
      <c r="A247" t="s">
        <v>55</v>
      </c>
      <c r="B247" s="44" t="s">
        <v>194</v>
      </c>
      <c r="C247" t="s">
        <v>88</v>
      </c>
      <c r="D247" s="44">
        <v>371.44467187013396</v>
      </c>
      <c r="E247" s="44">
        <v>424.62587542821552</v>
      </c>
      <c r="F247" s="44">
        <v>477.80707898629703</v>
      </c>
      <c r="I247" t="str">
        <f t="shared" si="34"/>
        <v>Pathologists</v>
      </c>
      <c r="J247" t="str">
        <f t="shared" si="35"/>
        <v>Annual Leave</v>
      </c>
      <c r="K247" t="str">
        <f t="shared" si="36"/>
        <v>WA</v>
      </c>
      <c r="L247" t="str">
        <f t="shared" si="37"/>
        <v>425 (371 - 478)</v>
      </c>
      <c r="O247" t="s">
        <v>55</v>
      </c>
      <c r="P247" t="s">
        <v>194</v>
      </c>
      <c r="Q247" t="s">
        <v>88</v>
      </c>
      <c r="R247" t="s">
        <v>297</v>
      </c>
    </row>
    <row r="248" spans="1:18" x14ac:dyDescent="0.2">
      <c r="A248" t="s">
        <v>55</v>
      </c>
      <c r="B248" s="44" t="s">
        <v>191</v>
      </c>
      <c r="C248" t="s">
        <v>96</v>
      </c>
      <c r="D248" s="44">
        <v>263.33641467611341</v>
      </c>
      <c r="E248" s="44">
        <v>384.46098380769229</v>
      </c>
      <c r="F248" s="44">
        <v>551.42819559716588</v>
      </c>
      <c r="I248" t="str">
        <f t="shared" si="34"/>
        <v>Pathologists</v>
      </c>
      <c r="J248" t="str">
        <f t="shared" si="35"/>
        <v>Attraction and Retention Allowance</v>
      </c>
      <c r="K248" t="str">
        <f t="shared" si="36"/>
        <v>ALL</v>
      </c>
      <c r="L248" t="str">
        <f t="shared" si="37"/>
        <v>384 (263 - 551)</v>
      </c>
      <c r="O248" t="s">
        <v>55</v>
      </c>
      <c r="P248" t="s">
        <v>191</v>
      </c>
      <c r="Q248" t="s">
        <v>96</v>
      </c>
      <c r="R248" t="s">
        <v>306</v>
      </c>
    </row>
    <row r="249" spans="1:18" x14ac:dyDescent="0.2">
      <c r="A249" t="s">
        <v>55</v>
      </c>
      <c r="B249" s="44" t="s">
        <v>191</v>
      </c>
      <c r="C249" t="s">
        <v>74</v>
      </c>
      <c r="D249" s="44">
        <v>268.72383106898161</v>
      </c>
      <c r="E249" s="44">
        <v>312.51377973178137</v>
      </c>
      <c r="F249" s="44">
        <v>356.30372839458113</v>
      </c>
      <c r="I249" t="str">
        <f t="shared" si="34"/>
        <v>Pathologists</v>
      </c>
      <c r="J249" t="str">
        <f t="shared" si="35"/>
        <v>Attraction and Retention Allowance</v>
      </c>
      <c r="K249" t="str">
        <f t="shared" si="36"/>
        <v>NSW</v>
      </c>
      <c r="L249" t="str">
        <f t="shared" si="37"/>
        <v>313 (269 - 356)</v>
      </c>
      <c r="O249" t="s">
        <v>55</v>
      </c>
      <c r="P249" t="s">
        <v>191</v>
      </c>
      <c r="Q249" t="s">
        <v>74</v>
      </c>
      <c r="R249" t="s">
        <v>293</v>
      </c>
    </row>
    <row r="250" spans="1:18" x14ac:dyDescent="0.2">
      <c r="A250" t="s">
        <v>55</v>
      </c>
      <c r="B250" s="44" t="s">
        <v>191</v>
      </c>
      <c r="C250" t="s">
        <v>82</v>
      </c>
      <c r="D250" s="44">
        <v>285.78028254437862</v>
      </c>
      <c r="E250" s="44">
        <v>338.52626455932733</v>
      </c>
      <c r="F250" s="44">
        <v>391.27224657427587</v>
      </c>
      <c r="I250" t="str">
        <f t="shared" si="34"/>
        <v>Pathologists</v>
      </c>
      <c r="J250" t="str">
        <f t="shared" si="35"/>
        <v>Attraction and Retention Allowance</v>
      </c>
      <c r="K250" t="str">
        <f t="shared" si="36"/>
        <v>QLD</v>
      </c>
      <c r="L250" t="str">
        <f t="shared" si="37"/>
        <v>339 (286 - 391)</v>
      </c>
      <c r="O250" t="s">
        <v>55</v>
      </c>
      <c r="P250" t="s">
        <v>191</v>
      </c>
      <c r="Q250" t="s">
        <v>82</v>
      </c>
      <c r="R250" t="s">
        <v>294</v>
      </c>
    </row>
    <row r="251" spans="1:18" x14ac:dyDescent="0.2">
      <c r="A251" t="s">
        <v>55</v>
      </c>
      <c r="B251" s="44" t="s">
        <v>191</v>
      </c>
      <c r="C251" t="s">
        <v>62</v>
      </c>
      <c r="D251" s="44">
        <v>369.70246763080041</v>
      </c>
      <c r="E251" s="44">
        <v>426.32967137865938</v>
      </c>
      <c r="F251" s="44">
        <v>482.95687512651824</v>
      </c>
      <c r="I251" t="str">
        <f t="shared" si="34"/>
        <v>Pathologists</v>
      </c>
      <c r="J251" t="str">
        <f t="shared" si="35"/>
        <v>Attraction and Retention Allowance</v>
      </c>
      <c r="K251" t="str">
        <f t="shared" si="36"/>
        <v>SA</v>
      </c>
      <c r="L251" t="str">
        <f t="shared" si="37"/>
        <v>426 (370 - 483)</v>
      </c>
      <c r="O251" t="s">
        <v>55</v>
      </c>
      <c r="P251" t="s">
        <v>191</v>
      </c>
      <c r="Q251" t="s">
        <v>62</v>
      </c>
      <c r="R251" t="s">
        <v>295</v>
      </c>
    </row>
    <row r="252" spans="1:18" x14ac:dyDescent="0.2">
      <c r="A252" t="s">
        <v>55</v>
      </c>
      <c r="B252" s="44" t="s">
        <v>191</v>
      </c>
      <c r="C252" t="s">
        <v>32</v>
      </c>
      <c r="D252" s="44">
        <v>337.41975202429148</v>
      </c>
      <c r="E252" s="44">
        <v>397.93711229757093</v>
      </c>
      <c r="F252" s="44">
        <v>458.45447257085021</v>
      </c>
      <c r="I252" t="str">
        <f t="shared" si="34"/>
        <v>Pathologists</v>
      </c>
      <c r="J252" t="str">
        <f t="shared" si="35"/>
        <v>Attraction and Retention Allowance</v>
      </c>
      <c r="K252" t="str">
        <f t="shared" si="36"/>
        <v>VIC</v>
      </c>
      <c r="L252" t="str">
        <f t="shared" si="37"/>
        <v>398 (337 - 458)</v>
      </c>
      <c r="O252" t="s">
        <v>55</v>
      </c>
      <c r="P252" t="s">
        <v>191</v>
      </c>
      <c r="Q252" t="s">
        <v>32</v>
      </c>
      <c r="R252" t="s">
        <v>296</v>
      </c>
    </row>
    <row r="253" spans="1:18" x14ac:dyDescent="0.2">
      <c r="A253" t="s">
        <v>55</v>
      </c>
      <c r="B253" s="44" t="s">
        <v>191</v>
      </c>
      <c r="C253" t="s">
        <v>88</v>
      </c>
      <c r="D253" s="44">
        <v>371.44467187013396</v>
      </c>
      <c r="E253" s="44">
        <v>424.62587542821552</v>
      </c>
      <c r="F253" s="44">
        <v>477.80707898629703</v>
      </c>
      <c r="I253" t="str">
        <f t="shared" si="34"/>
        <v>Pathologists</v>
      </c>
      <c r="J253" t="str">
        <f t="shared" si="35"/>
        <v>Attraction and Retention Allowance</v>
      </c>
      <c r="K253" t="str">
        <f t="shared" si="36"/>
        <v>WA</v>
      </c>
      <c r="L253" t="str">
        <f t="shared" si="37"/>
        <v>425 (371 - 478)</v>
      </c>
      <c r="O253" t="s">
        <v>55</v>
      </c>
      <c r="P253" t="s">
        <v>191</v>
      </c>
      <c r="Q253" t="s">
        <v>88</v>
      </c>
      <c r="R253" t="s">
        <v>297</v>
      </c>
    </row>
    <row r="254" spans="1:18" x14ac:dyDescent="0.2">
      <c r="A254" t="s">
        <v>55</v>
      </c>
      <c r="B254" s="44" t="s">
        <v>188</v>
      </c>
      <c r="C254" t="s">
        <v>96</v>
      </c>
      <c r="D254" s="44">
        <v>263.33641467611341</v>
      </c>
      <c r="E254" s="44">
        <v>384.46098380769229</v>
      </c>
      <c r="F254" s="44">
        <v>610.10962272267204</v>
      </c>
      <c r="I254" t="str">
        <f t="shared" si="34"/>
        <v>Pathologists</v>
      </c>
      <c r="J254" t="str">
        <f t="shared" si="35"/>
        <v>Average Penalties</v>
      </c>
      <c r="K254" t="str">
        <f t="shared" si="36"/>
        <v>ALL</v>
      </c>
      <c r="L254" t="str">
        <f t="shared" si="37"/>
        <v>384 (263 - 610)</v>
      </c>
      <c r="O254" t="s">
        <v>55</v>
      </c>
      <c r="P254" t="s">
        <v>188</v>
      </c>
      <c r="Q254" t="s">
        <v>96</v>
      </c>
      <c r="R254" t="s">
        <v>312</v>
      </c>
    </row>
    <row r="255" spans="1:18" x14ac:dyDescent="0.2">
      <c r="A255" t="s">
        <v>55</v>
      </c>
      <c r="B255" s="44" t="s">
        <v>188</v>
      </c>
      <c r="C255" t="s">
        <v>74</v>
      </c>
      <c r="D255" s="44">
        <v>268.72383106898161</v>
      </c>
      <c r="E255" s="44">
        <v>312.51377973178137</v>
      </c>
      <c r="F255" s="44">
        <v>393.03550977109938</v>
      </c>
      <c r="I255" t="str">
        <f t="shared" si="34"/>
        <v>Pathologists</v>
      </c>
      <c r="J255" t="str">
        <f t="shared" si="35"/>
        <v>Average Penalties</v>
      </c>
      <c r="K255" t="str">
        <f t="shared" si="36"/>
        <v>NSW</v>
      </c>
      <c r="L255" t="str">
        <f t="shared" si="37"/>
        <v>313 (269 - 393)</v>
      </c>
      <c r="O255" t="s">
        <v>55</v>
      </c>
      <c r="P255" t="s">
        <v>188</v>
      </c>
      <c r="Q255" t="s">
        <v>74</v>
      </c>
      <c r="R255" t="s">
        <v>307</v>
      </c>
    </row>
    <row r="256" spans="1:18" x14ac:dyDescent="0.2">
      <c r="A256" t="s">
        <v>55</v>
      </c>
      <c r="B256" s="44" t="s">
        <v>188</v>
      </c>
      <c r="C256" t="s">
        <v>82</v>
      </c>
      <c r="D256" s="44">
        <v>285.78028254437862</v>
      </c>
      <c r="E256" s="44">
        <v>338.52626455932733</v>
      </c>
      <c r="F256" s="44">
        <v>431.06323847710991</v>
      </c>
      <c r="I256" t="str">
        <f t="shared" si="34"/>
        <v>Pathologists</v>
      </c>
      <c r="J256" t="str">
        <f t="shared" si="35"/>
        <v>Average Penalties</v>
      </c>
      <c r="K256" t="str">
        <f t="shared" si="36"/>
        <v>QLD</v>
      </c>
      <c r="L256" t="str">
        <f t="shared" si="37"/>
        <v>339 (286 - 431)</v>
      </c>
      <c r="O256" t="s">
        <v>55</v>
      </c>
      <c r="P256" t="s">
        <v>188</v>
      </c>
      <c r="Q256" t="s">
        <v>82</v>
      </c>
      <c r="R256" t="s">
        <v>308</v>
      </c>
    </row>
    <row r="257" spans="1:18" x14ac:dyDescent="0.2">
      <c r="A257" t="s">
        <v>55</v>
      </c>
      <c r="B257" s="44" t="s">
        <v>188</v>
      </c>
      <c r="C257" t="s">
        <v>62</v>
      </c>
      <c r="D257" s="44">
        <v>369.70246763080041</v>
      </c>
      <c r="E257" s="44">
        <v>426.32967137865938</v>
      </c>
      <c r="F257" s="44">
        <v>527.29174354757083</v>
      </c>
      <c r="I257" t="str">
        <f t="shared" si="34"/>
        <v>Pathologists</v>
      </c>
      <c r="J257" t="str">
        <f t="shared" si="35"/>
        <v>Average Penalties</v>
      </c>
      <c r="K257" t="str">
        <f t="shared" si="36"/>
        <v>SA</v>
      </c>
      <c r="L257" t="str">
        <f t="shared" si="37"/>
        <v>426 (370 - 527)</v>
      </c>
      <c r="O257" t="s">
        <v>55</v>
      </c>
      <c r="P257" t="s">
        <v>188</v>
      </c>
      <c r="Q257" t="s">
        <v>62</v>
      </c>
      <c r="R257" t="s">
        <v>309</v>
      </c>
    </row>
    <row r="258" spans="1:18" x14ac:dyDescent="0.2">
      <c r="A258" t="s">
        <v>55</v>
      </c>
      <c r="B258" s="44" t="s">
        <v>188</v>
      </c>
      <c r="C258" t="s">
        <v>32</v>
      </c>
      <c r="D258" s="44">
        <v>337.41975202429148</v>
      </c>
      <c r="E258" s="44">
        <v>397.93711229757093</v>
      </c>
      <c r="F258" s="44">
        <v>510.53328836032387</v>
      </c>
      <c r="I258" t="str">
        <f t="shared" si="34"/>
        <v>Pathologists</v>
      </c>
      <c r="J258" t="str">
        <f t="shared" si="35"/>
        <v>Average Penalties</v>
      </c>
      <c r="K258" t="str">
        <f t="shared" si="36"/>
        <v>VIC</v>
      </c>
      <c r="L258" t="str">
        <f t="shared" si="37"/>
        <v>398 (337 - 511)</v>
      </c>
      <c r="O258" t="s">
        <v>55</v>
      </c>
      <c r="P258" t="s">
        <v>188</v>
      </c>
      <c r="Q258" t="s">
        <v>32</v>
      </c>
      <c r="R258" t="s">
        <v>310</v>
      </c>
    </row>
    <row r="259" spans="1:18" x14ac:dyDescent="0.2">
      <c r="A259" t="s">
        <v>55</v>
      </c>
      <c r="B259" s="44" t="s">
        <v>188</v>
      </c>
      <c r="C259" t="s">
        <v>88</v>
      </c>
      <c r="D259" s="44">
        <v>371.44467187013396</v>
      </c>
      <c r="E259" s="44">
        <v>424.62587542821552</v>
      </c>
      <c r="F259" s="44">
        <v>536.48850611180308</v>
      </c>
      <c r="I259" t="str">
        <f t="shared" ref="I259:I301" si="38">A259</f>
        <v>Pathologists</v>
      </c>
      <c r="J259" t="str">
        <f t="shared" ref="J259:J301" si="39">B259</f>
        <v>Average Penalties</v>
      </c>
      <c r="K259" t="str">
        <f t="shared" ref="K259:K301" si="40">C259</f>
        <v>WA</v>
      </c>
      <c r="L259" t="str">
        <f t="shared" ref="L259:L301" si="41">TEXT(E259, "0,0") &amp; " (" &amp; TEXT(D259, "0,0") &amp; " - " &amp; TEXT(F259, "0,0") &amp; ")"</f>
        <v>425 (371 - 536)</v>
      </c>
      <c r="O259" t="s">
        <v>55</v>
      </c>
      <c r="P259" t="s">
        <v>188</v>
      </c>
      <c r="Q259" t="s">
        <v>88</v>
      </c>
      <c r="R259" t="s">
        <v>311</v>
      </c>
    </row>
    <row r="260" spans="1:18" x14ac:dyDescent="0.2">
      <c r="A260" t="s">
        <v>55</v>
      </c>
      <c r="B260" s="44" t="s">
        <v>198</v>
      </c>
      <c r="C260" t="s">
        <v>96</v>
      </c>
      <c r="D260" s="44">
        <v>250.1695939423077</v>
      </c>
      <c r="E260" s="44">
        <v>384.46098380769229</v>
      </c>
      <c r="F260" s="44">
        <v>577.25265654799739</v>
      </c>
      <c r="I260" t="str">
        <f t="shared" si="38"/>
        <v>Pathologists</v>
      </c>
      <c r="J260" t="str">
        <f t="shared" si="39"/>
        <v>Hours worked</v>
      </c>
      <c r="K260" t="str">
        <f t="shared" si="40"/>
        <v>ALL</v>
      </c>
      <c r="L260" t="str">
        <f t="shared" si="41"/>
        <v>384 (250 - 577)</v>
      </c>
      <c r="O260" t="s">
        <v>55</v>
      </c>
      <c r="P260" t="s">
        <v>198</v>
      </c>
      <c r="Q260" t="s">
        <v>96</v>
      </c>
      <c r="R260" t="s">
        <v>318</v>
      </c>
    </row>
    <row r="261" spans="1:18" x14ac:dyDescent="0.2">
      <c r="A261" t="s">
        <v>55</v>
      </c>
      <c r="B261" s="44" t="s">
        <v>198</v>
      </c>
      <c r="C261" t="s">
        <v>74</v>
      </c>
      <c r="D261" s="44">
        <v>255.28763951553256</v>
      </c>
      <c r="E261" s="44">
        <v>312.51377973178137</v>
      </c>
      <c r="F261" s="44">
        <v>372.99012889790862</v>
      </c>
      <c r="I261" t="str">
        <f t="shared" si="38"/>
        <v>Pathologists</v>
      </c>
      <c r="J261" t="str">
        <f t="shared" si="39"/>
        <v>Hours worked</v>
      </c>
      <c r="K261" t="str">
        <f t="shared" si="40"/>
        <v>NSW</v>
      </c>
      <c r="L261" t="str">
        <f t="shared" si="41"/>
        <v>313 (255 - 373)</v>
      </c>
      <c r="O261" t="s">
        <v>55</v>
      </c>
      <c r="P261" t="s">
        <v>198</v>
      </c>
      <c r="Q261" t="s">
        <v>74</v>
      </c>
      <c r="R261" t="s">
        <v>313</v>
      </c>
    </row>
    <row r="262" spans="1:18" x14ac:dyDescent="0.2">
      <c r="A262" t="s">
        <v>55</v>
      </c>
      <c r="B262" s="44" t="s">
        <v>198</v>
      </c>
      <c r="C262" t="s">
        <v>82</v>
      </c>
      <c r="D262" s="44">
        <v>271.49126841715969</v>
      </c>
      <c r="E262" s="44">
        <v>338.52626455932733</v>
      </c>
      <c r="F262" s="44">
        <v>409.59629117968279</v>
      </c>
      <c r="I262" t="str">
        <f t="shared" si="38"/>
        <v>Pathologists</v>
      </c>
      <c r="J262" t="str">
        <f t="shared" si="39"/>
        <v>Hours worked</v>
      </c>
      <c r="K262" t="str">
        <f t="shared" si="40"/>
        <v>QLD</v>
      </c>
      <c r="L262" t="str">
        <f t="shared" si="41"/>
        <v>339 (271 - 410)</v>
      </c>
      <c r="O262" t="s">
        <v>55</v>
      </c>
      <c r="P262" t="s">
        <v>198</v>
      </c>
      <c r="Q262" t="s">
        <v>82</v>
      </c>
      <c r="R262" t="s">
        <v>314</v>
      </c>
    </row>
    <row r="263" spans="1:18" x14ac:dyDescent="0.2">
      <c r="A263" t="s">
        <v>55</v>
      </c>
      <c r="B263" s="44" t="s">
        <v>198</v>
      </c>
      <c r="C263" t="s">
        <v>62</v>
      </c>
      <c r="D263" s="44">
        <v>351.21734424926041</v>
      </c>
      <c r="E263" s="44">
        <v>426.32967137865938</v>
      </c>
      <c r="F263" s="44">
        <v>505.57469021508797</v>
      </c>
      <c r="I263" t="str">
        <f t="shared" si="38"/>
        <v>Pathologists</v>
      </c>
      <c r="J263" t="str">
        <f t="shared" si="39"/>
        <v>Hours worked</v>
      </c>
      <c r="K263" t="str">
        <f t="shared" si="40"/>
        <v>SA</v>
      </c>
      <c r="L263" t="str">
        <f t="shared" si="41"/>
        <v>426 (351 - 506)</v>
      </c>
      <c r="O263" t="s">
        <v>55</v>
      </c>
      <c r="P263" t="s">
        <v>198</v>
      </c>
      <c r="Q263" t="s">
        <v>62</v>
      </c>
      <c r="R263" t="s">
        <v>315</v>
      </c>
    </row>
    <row r="264" spans="1:18" x14ac:dyDescent="0.2">
      <c r="A264" t="s">
        <v>55</v>
      </c>
      <c r="B264" s="44" t="s">
        <v>198</v>
      </c>
      <c r="C264" t="s">
        <v>32</v>
      </c>
      <c r="D264" s="44">
        <v>320.54876442307693</v>
      </c>
      <c r="E264" s="44">
        <v>397.93711229757093</v>
      </c>
      <c r="F264" s="44">
        <v>479.9247922229286</v>
      </c>
      <c r="I264" t="str">
        <f t="shared" si="38"/>
        <v>Pathologists</v>
      </c>
      <c r="J264" t="str">
        <f t="shared" si="39"/>
        <v>Hours worked</v>
      </c>
      <c r="K264" t="str">
        <f t="shared" si="40"/>
        <v>VIC</v>
      </c>
      <c r="L264" t="str">
        <f t="shared" si="41"/>
        <v>398 (321 - 480)</v>
      </c>
      <c r="O264" t="s">
        <v>55</v>
      </c>
      <c r="P264" t="s">
        <v>198</v>
      </c>
      <c r="Q264" t="s">
        <v>32</v>
      </c>
      <c r="R264" t="s">
        <v>316</v>
      </c>
    </row>
    <row r="265" spans="1:18" x14ac:dyDescent="0.2">
      <c r="A265" t="s">
        <v>55</v>
      </c>
      <c r="B265" s="44" t="s">
        <v>198</v>
      </c>
      <c r="C265" t="s">
        <v>88</v>
      </c>
      <c r="D265" s="44">
        <v>352.87243827662724</v>
      </c>
      <c r="E265" s="44">
        <v>424.62587542821552</v>
      </c>
      <c r="F265" s="44">
        <v>500.18371904901625</v>
      </c>
      <c r="I265" t="str">
        <f t="shared" si="38"/>
        <v>Pathologists</v>
      </c>
      <c r="J265" t="str">
        <f t="shared" si="39"/>
        <v>Hours worked</v>
      </c>
      <c r="K265" t="str">
        <f t="shared" si="40"/>
        <v>WA</v>
      </c>
      <c r="L265" t="str">
        <f t="shared" si="41"/>
        <v>425 (353 - 500)</v>
      </c>
      <c r="O265" t="s">
        <v>55</v>
      </c>
      <c r="P265" t="s">
        <v>198</v>
      </c>
      <c r="Q265" t="s">
        <v>88</v>
      </c>
      <c r="R265" t="s">
        <v>317</v>
      </c>
    </row>
    <row r="266" spans="1:18" x14ac:dyDescent="0.2">
      <c r="A266" t="s">
        <v>55</v>
      </c>
      <c r="B266" s="44" t="s">
        <v>195</v>
      </c>
      <c r="C266" t="s">
        <v>96</v>
      </c>
      <c r="D266" s="44">
        <v>263.33641467611341</v>
      </c>
      <c r="E266" s="44">
        <v>384.46098380769229</v>
      </c>
      <c r="F266" s="44">
        <v>551.42819559716588</v>
      </c>
      <c r="I266" t="str">
        <f t="shared" si="38"/>
        <v>Pathologists</v>
      </c>
      <c r="J266" t="str">
        <f t="shared" si="39"/>
        <v xml:space="preserve">Leave Loading (%)		</v>
      </c>
      <c r="K266" t="str">
        <f t="shared" si="40"/>
        <v>ALL</v>
      </c>
      <c r="L266" t="str">
        <f t="shared" si="41"/>
        <v>384 (263 - 551)</v>
      </c>
      <c r="O266" t="s">
        <v>55</v>
      </c>
      <c r="P266" t="s">
        <v>195</v>
      </c>
      <c r="Q266" t="s">
        <v>96</v>
      </c>
      <c r="R266" t="s">
        <v>306</v>
      </c>
    </row>
    <row r="267" spans="1:18" x14ac:dyDescent="0.2">
      <c r="A267" t="s">
        <v>55</v>
      </c>
      <c r="B267" s="44" t="s">
        <v>195</v>
      </c>
      <c r="C267" t="s">
        <v>74</v>
      </c>
      <c r="D267" s="44">
        <v>268.72383106898161</v>
      </c>
      <c r="E267" s="44">
        <v>312.51377973178137</v>
      </c>
      <c r="F267" s="44">
        <v>356.30372839458113</v>
      </c>
      <c r="I267" t="str">
        <f t="shared" si="38"/>
        <v>Pathologists</v>
      </c>
      <c r="J267" t="str">
        <f t="shared" si="39"/>
        <v xml:space="preserve">Leave Loading (%)		</v>
      </c>
      <c r="K267" t="str">
        <f t="shared" si="40"/>
        <v>NSW</v>
      </c>
      <c r="L267" t="str">
        <f t="shared" si="41"/>
        <v>313 (269 - 356)</v>
      </c>
      <c r="O267" t="s">
        <v>55</v>
      </c>
      <c r="P267" t="s">
        <v>195</v>
      </c>
      <c r="Q267" t="s">
        <v>74</v>
      </c>
      <c r="R267" t="s">
        <v>293</v>
      </c>
    </row>
    <row r="268" spans="1:18" x14ac:dyDescent="0.2">
      <c r="A268" t="s">
        <v>55</v>
      </c>
      <c r="B268" s="44" t="s">
        <v>195</v>
      </c>
      <c r="C268" t="s">
        <v>82</v>
      </c>
      <c r="D268" s="44">
        <v>285.78028254437862</v>
      </c>
      <c r="E268" s="44">
        <v>338.52626455932733</v>
      </c>
      <c r="F268" s="44">
        <v>391.27224657427587</v>
      </c>
      <c r="I268" t="str">
        <f t="shared" si="38"/>
        <v>Pathologists</v>
      </c>
      <c r="J268" t="str">
        <f t="shared" si="39"/>
        <v xml:space="preserve">Leave Loading (%)		</v>
      </c>
      <c r="K268" t="str">
        <f t="shared" si="40"/>
        <v>QLD</v>
      </c>
      <c r="L268" t="str">
        <f t="shared" si="41"/>
        <v>339 (286 - 391)</v>
      </c>
      <c r="O268" t="s">
        <v>55</v>
      </c>
      <c r="P268" t="s">
        <v>195</v>
      </c>
      <c r="Q268" t="s">
        <v>82</v>
      </c>
      <c r="R268" t="s">
        <v>294</v>
      </c>
    </row>
    <row r="269" spans="1:18" x14ac:dyDescent="0.2">
      <c r="A269" t="s">
        <v>55</v>
      </c>
      <c r="B269" s="44" t="s">
        <v>195</v>
      </c>
      <c r="C269" t="s">
        <v>62</v>
      </c>
      <c r="D269" s="44">
        <v>369.70246763080041</v>
      </c>
      <c r="E269" s="44">
        <v>426.32967137865938</v>
      </c>
      <c r="F269" s="44">
        <v>482.95687512651824</v>
      </c>
      <c r="I269" t="str">
        <f t="shared" si="38"/>
        <v>Pathologists</v>
      </c>
      <c r="J269" t="str">
        <f t="shared" si="39"/>
        <v xml:space="preserve">Leave Loading (%)		</v>
      </c>
      <c r="K269" t="str">
        <f t="shared" si="40"/>
        <v>SA</v>
      </c>
      <c r="L269" t="str">
        <f t="shared" si="41"/>
        <v>426 (370 - 483)</v>
      </c>
      <c r="O269" t="s">
        <v>55</v>
      </c>
      <c r="P269" t="s">
        <v>195</v>
      </c>
      <c r="Q269" t="s">
        <v>62</v>
      </c>
      <c r="R269" t="s">
        <v>295</v>
      </c>
    </row>
    <row r="270" spans="1:18" x14ac:dyDescent="0.2">
      <c r="A270" t="s">
        <v>55</v>
      </c>
      <c r="B270" s="44" t="s">
        <v>195</v>
      </c>
      <c r="C270" t="s">
        <v>32</v>
      </c>
      <c r="D270" s="44">
        <v>337.41975202429148</v>
      </c>
      <c r="E270" s="44">
        <v>397.93711229757093</v>
      </c>
      <c r="F270" s="44">
        <v>458.45447257085021</v>
      </c>
      <c r="I270" t="str">
        <f t="shared" si="38"/>
        <v>Pathologists</v>
      </c>
      <c r="J270" t="str">
        <f t="shared" si="39"/>
        <v xml:space="preserve">Leave Loading (%)		</v>
      </c>
      <c r="K270" t="str">
        <f t="shared" si="40"/>
        <v>VIC</v>
      </c>
      <c r="L270" t="str">
        <f t="shared" si="41"/>
        <v>398 (337 - 458)</v>
      </c>
      <c r="O270" t="s">
        <v>55</v>
      </c>
      <c r="P270" t="s">
        <v>195</v>
      </c>
      <c r="Q270" t="s">
        <v>32</v>
      </c>
      <c r="R270" t="s">
        <v>296</v>
      </c>
    </row>
    <row r="271" spans="1:18" x14ac:dyDescent="0.2">
      <c r="A271" t="s">
        <v>55</v>
      </c>
      <c r="B271" s="44" t="s">
        <v>195</v>
      </c>
      <c r="C271" t="s">
        <v>88</v>
      </c>
      <c r="D271" s="44">
        <v>371.44467187013396</v>
      </c>
      <c r="E271" s="44">
        <v>424.62587542821552</v>
      </c>
      <c r="F271" s="44">
        <v>477.80707898629703</v>
      </c>
      <c r="I271" t="str">
        <f t="shared" si="38"/>
        <v>Pathologists</v>
      </c>
      <c r="J271" t="str">
        <f t="shared" si="39"/>
        <v xml:space="preserve">Leave Loading (%)		</v>
      </c>
      <c r="K271" t="str">
        <f t="shared" si="40"/>
        <v>WA</v>
      </c>
      <c r="L271" t="str">
        <f t="shared" si="41"/>
        <v>425 (371 - 478)</v>
      </c>
      <c r="O271" t="s">
        <v>55</v>
      </c>
      <c r="P271" t="s">
        <v>195</v>
      </c>
      <c r="Q271" t="s">
        <v>88</v>
      </c>
      <c r="R271" t="s">
        <v>297</v>
      </c>
    </row>
    <row r="272" spans="1:18" x14ac:dyDescent="0.2">
      <c r="A272" t="s">
        <v>55</v>
      </c>
      <c r="B272" s="44" t="s">
        <v>190</v>
      </c>
      <c r="C272" t="s">
        <v>96</v>
      </c>
      <c r="D272" s="44">
        <v>263.33641467611341</v>
      </c>
      <c r="E272" s="44">
        <v>384.46098380769229</v>
      </c>
      <c r="F272" s="44">
        <v>551.42819559716588</v>
      </c>
      <c r="I272" t="str">
        <f t="shared" si="38"/>
        <v>Pathologists</v>
      </c>
      <c r="J272" t="str">
        <f t="shared" si="39"/>
        <v>Private Practice Loading</v>
      </c>
      <c r="K272" t="str">
        <f t="shared" si="40"/>
        <v>ALL</v>
      </c>
      <c r="L272" t="str">
        <f t="shared" si="41"/>
        <v>384 (263 - 551)</v>
      </c>
      <c r="O272" t="s">
        <v>55</v>
      </c>
      <c r="P272" t="s">
        <v>190</v>
      </c>
      <c r="Q272" t="s">
        <v>96</v>
      </c>
      <c r="R272" t="s">
        <v>306</v>
      </c>
    </row>
    <row r="273" spans="1:18" x14ac:dyDescent="0.2">
      <c r="A273" t="s">
        <v>55</v>
      </c>
      <c r="B273" s="44" t="s">
        <v>190</v>
      </c>
      <c r="C273" t="s">
        <v>74</v>
      </c>
      <c r="D273" s="44">
        <v>268.72383106898161</v>
      </c>
      <c r="E273" s="44">
        <v>312.51377973178137</v>
      </c>
      <c r="F273" s="44">
        <v>356.30372839458113</v>
      </c>
      <c r="I273" t="str">
        <f t="shared" si="38"/>
        <v>Pathologists</v>
      </c>
      <c r="J273" t="str">
        <f t="shared" si="39"/>
        <v>Private Practice Loading</v>
      </c>
      <c r="K273" t="str">
        <f t="shared" si="40"/>
        <v>NSW</v>
      </c>
      <c r="L273" t="str">
        <f t="shared" si="41"/>
        <v>313 (269 - 356)</v>
      </c>
      <c r="O273" t="s">
        <v>55</v>
      </c>
      <c r="P273" t="s">
        <v>190</v>
      </c>
      <c r="Q273" t="s">
        <v>74</v>
      </c>
      <c r="R273" t="s">
        <v>293</v>
      </c>
    </row>
    <row r="274" spans="1:18" x14ac:dyDescent="0.2">
      <c r="A274" t="s">
        <v>55</v>
      </c>
      <c r="B274" s="44" t="s">
        <v>190</v>
      </c>
      <c r="C274" t="s">
        <v>82</v>
      </c>
      <c r="D274" s="44">
        <v>285.78028254437862</v>
      </c>
      <c r="E274" s="44">
        <v>338.52626455932733</v>
      </c>
      <c r="F274" s="44">
        <v>391.27224657427587</v>
      </c>
      <c r="I274" t="str">
        <f t="shared" si="38"/>
        <v>Pathologists</v>
      </c>
      <c r="J274" t="str">
        <f t="shared" si="39"/>
        <v>Private Practice Loading</v>
      </c>
      <c r="K274" t="str">
        <f t="shared" si="40"/>
        <v>QLD</v>
      </c>
      <c r="L274" t="str">
        <f t="shared" si="41"/>
        <v>339 (286 - 391)</v>
      </c>
      <c r="O274" t="s">
        <v>55</v>
      </c>
      <c r="P274" t="s">
        <v>190</v>
      </c>
      <c r="Q274" t="s">
        <v>82</v>
      </c>
      <c r="R274" t="s">
        <v>294</v>
      </c>
    </row>
    <row r="275" spans="1:18" x14ac:dyDescent="0.2">
      <c r="A275" t="s">
        <v>55</v>
      </c>
      <c r="B275" s="44" t="s">
        <v>190</v>
      </c>
      <c r="C275" t="s">
        <v>62</v>
      </c>
      <c r="D275" s="44">
        <v>369.70246763080041</v>
      </c>
      <c r="E275" s="44">
        <v>426.32967137865938</v>
      </c>
      <c r="F275" s="44">
        <v>482.95687512651824</v>
      </c>
      <c r="I275" t="str">
        <f t="shared" si="38"/>
        <v>Pathologists</v>
      </c>
      <c r="J275" t="str">
        <f t="shared" si="39"/>
        <v>Private Practice Loading</v>
      </c>
      <c r="K275" t="str">
        <f t="shared" si="40"/>
        <v>SA</v>
      </c>
      <c r="L275" t="str">
        <f t="shared" si="41"/>
        <v>426 (370 - 483)</v>
      </c>
      <c r="O275" t="s">
        <v>55</v>
      </c>
      <c r="P275" t="s">
        <v>190</v>
      </c>
      <c r="Q275" t="s">
        <v>62</v>
      </c>
      <c r="R275" t="s">
        <v>295</v>
      </c>
    </row>
    <row r="276" spans="1:18" x14ac:dyDescent="0.2">
      <c r="A276" t="s">
        <v>55</v>
      </c>
      <c r="B276" s="44" t="s">
        <v>190</v>
      </c>
      <c r="C276" t="s">
        <v>32</v>
      </c>
      <c r="D276" s="44">
        <v>337.41975202429148</v>
      </c>
      <c r="E276" s="44">
        <v>397.93711229757093</v>
      </c>
      <c r="F276" s="44">
        <v>458.45447257085021</v>
      </c>
      <c r="I276" t="str">
        <f t="shared" si="38"/>
        <v>Pathologists</v>
      </c>
      <c r="J276" t="str">
        <f t="shared" si="39"/>
        <v>Private Practice Loading</v>
      </c>
      <c r="K276" t="str">
        <f t="shared" si="40"/>
        <v>VIC</v>
      </c>
      <c r="L276" t="str">
        <f t="shared" si="41"/>
        <v>398 (337 - 458)</v>
      </c>
      <c r="O276" t="s">
        <v>55</v>
      </c>
      <c r="P276" t="s">
        <v>190</v>
      </c>
      <c r="Q276" t="s">
        <v>32</v>
      </c>
      <c r="R276" t="s">
        <v>296</v>
      </c>
    </row>
    <row r="277" spans="1:18" x14ac:dyDescent="0.2">
      <c r="A277" t="s">
        <v>55</v>
      </c>
      <c r="B277" s="44" t="s">
        <v>190</v>
      </c>
      <c r="C277" t="s">
        <v>88</v>
      </c>
      <c r="D277" s="44">
        <v>371.44467187013396</v>
      </c>
      <c r="E277" s="44">
        <v>424.62587542821552</v>
      </c>
      <c r="F277" s="44">
        <v>477.80707898629703</v>
      </c>
      <c r="I277" t="str">
        <f t="shared" si="38"/>
        <v>Pathologists</v>
      </c>
      <c r="J277" t="str">
        <f t="shared" si="39"/>
        <v>Private Practice Loading</v>
      </c>
      <c r="K277" t="str">
        <f t="shared" si="40"/>
        <v>WA</v>
      </c>
      <c r="L277" t="str">
        <f t="shared" si="41"/>
        <v>425 (371 - 478)</v>
      </c>
      <c r="O277" t="s">
        <v>55</v>
      </c>
      <c r="P277" t="s">
        <v>190</v>
      </c>
      <c r="Q277" t="s">
        <v>88</v>
      </c>
      <c r="R277" t="s">
        <v>297</v>
      </c>
    </row>
    <row r="278" spans="1:18" x14ac:dyDescent="0.2">
      <c r="A278" t="s">
        <v>55</v>
      </c>
      <c r="B278" s="44" t="s">
        <v>193</v>
      </c>
      <c r="C278" t="s">
        <v>96</v>
      </c>
      <c r="D278" s="44">
        <v>263.33641467611341</v>
      </c>
      <c r="E278" s="44">
        <v>384.46098380769229</v>
      </c>
      <c r="F278" s="44">
        <v>551.42819559716588</v>
      </c>
      <c r="I278" t="str">
        <f t="shared" si="38"/>
        <v>Pathologists</v>
      </c>
      <c r="J278" t="str">
        <f t="shared" si="39"/>
        <v>Professional Development Allowance</v>
      </c>
      <c r="K278" t="str">
        <f t="shared" si="40"/>
        <v>ALL</v>
      </c>
      <c r="L278" t="str">
        <f t="shared" si="41"/>
        <v>384 (263 - 551)</v>
      </c>
      <c r="O278" t="s">
        <v>55</v>
      </c>
      <c r="P278" t="s">
        <v>193</v>
      </c>
      <c r="Q278" t="s">
        <v>96</v>
      </c>
      <c r="R278" t="s">
        <v>306</v>
      </c>
    </row>
    <row r="279" spans="1:18" x14ac:dyDescent="0.2">
      <c r="A279" t="s">
        <v>55</v>
      </c>
      <c r="B279" s="44" t="s">
        <v>193</v>
      </c>
      <c r="C279" t="s">
        <v>74</v>
      </c>
      <c r="D279" s="44">
        <v>268.72383106898161</v>
      </c>
      <c r="E279" s="44">
        <v>312.51377973178137</v>
      </c>
      <c r="F279" s="44">
        <v>356.30372839458113</v>
      </c>
      <c r="I279" t="str">
        <f t="shared" si="38"/>
        <v>Pathologists</v>
      </c>
      <c r="J279" t="str">
        <f t="shared" si="39"/>
        <v>Professional Development Allowance</v>
      </c>
      <c r="K279" t="str">
        <f t="shared" si="40"/>
        <v>NSW</v>
      </c>
      <c r="L279" t="str">
        <f t="shared" si="41"/>
        <v>313 (269 - 356)</v>
      </c>
      <c r="O279" t="s">
        <v>55</v>
      </c>
      <c r="P279" t="s">
        <v>193</v>
      </c>
      <c r="Q279" t="s">
        <v>74</v>
      </c>
      <c r="R279" t="s">
        <v>293</v>
      </c>
    </row>
    <row r="280" spans="1:18" x14ac:dyDescent="0.2">
      <c r="A280" t="s">
        <v>55</v>
      </c>
      <c r="B280" s="44" t="s">
        <v>193</v>
      </c>
      <c r="C280" t="s">
        <v>82</v>
      </c>
      <c r="D280" s="44">
        <v>285.78028254437862</v>
      </c>
      <c r="E280" s="44">
        <v>338.52626455932733</v>
      </c>
      <c r="F280" s="44">
        <v>391.27224657427587</v>
      </c>
      <c r="I280" t="str">
        <f t="shared" si="38"/>
        <v>Pathologists</v>
      </c>
      <c r="J280" t="str">
        <f t="shared" si="39"/>
        <v>Professional Development Allowance</v>
      </c>
      <c r="K280" t="str">
        <f t="shared" si="40"/>
        <v>QLD</v>
      </c>
      <c r="L280" t="str">
        <f t="shared" si="41"/>
        <v>339 (286 - 391)</v>
      </c>
      <c r="O280" t="s">
        <v>55</v>
      </c>
      <c r="P280" t="s">
        <v>193</v>
      </c>
      <c r="Q280" t="s">
        <v>82</v>
      </c>
      <c r="R280" t="s">
        <v>294</v>
      </c>
    </row>
    <row r="281" spans="1:18" x14ac:dyDescent="0.2">
      <c r="A281" t="s">
        <v>55</v>
      </c>
      <c r="B281" s="44" t="s">
        <v>193</v>
      </c>
      <c r="C281" t="s">
        <v>62</v>
      </c>
      <c r="D281" s="44">
        <v>369.70246763080041</v>
      </c>
      <c r="E281" s="44">
        <v>426.32967137865938</v>
      </c>
      <c r="F281" s="44">
        <v>482.95687512651824</v>
      </c>
      <c r="I281" t="str">
        <f t="shared" si="38"/>
        <v>Pathologists</v>
      </c>
      <c r="J281" t="str">
        <f t="shared" si="39"/>
        <v>Professional Development Allowance</v>
      </c>
      <c r="K281" t="str">
        <f t="shared" si="40"/>
        <v>SA</v>
      </c>
      <c r="L281" t="str">
        <f t="shared" si="41"/>
        <v>426 (370 - 483)</v>
      </c>
      <c r="O281" t="s">
        <v>55</v>
      </c>
      <c r="P281" t="s">
        <v>193</v>
      </c>
      <c r="Q281" t="s">
        <v>62</v>
      </c>
      <c r="R281" t="s">
        <v>295</v>
      </c>
    </row>
    <row r="282" spans="1:18" x14ac:dyDescent="0.2">
      <c r="A282" t="s">
        <v>55</v>
      </c>
      <c r="B282" s="44" t="s">
        <v>193</v>
      </c>
      <c r="C282" t="s">
        <v>32</v>
      </c>
      <c r="D282" s="44">
        <v>337.41975202429148</v>
      </c>
      <c r="E282" s="44">
        <v>397.93711229757093</v>
      </c>
      <c r="F282" s="44">
        <v>458.45447257085021</v>
      </c>
      <c r="I282" t="str">
        <f t="shared" si="38"/>
        <v>Pathologists</v>
      </c>
      <c r="J282" t="str">
        <f t="shared" si="39"/>
        <v>Professional Development Allowance</v>
      </c>
      <c r="K282" t="str">
        <f t="shared" si="40"/>
        <v>VIC</v>
      </c>
      <c r="L282" t="str">
        <f t="shared" si="41"/>
        <v>398 (337 - 458)</v>
      </c>
      <c r="O282" t="s">
        <v>55</v>
      </c>
      <c r="P282" t="s">
        <v>193</v>
      </c>
      <c r="Q282" t="s">
        <v>32</v>
      </c>
      <c r="R282" t="s">
        <v>296</v>
      </c>
    </row>
    <row r="283" spans="1:18" x14ac:dyDescent="0.2">
      <c r="A283" t="s">
        <v>55</v>
      </c>
      <c r="B283" s="44" t="s">
        <v>193</v>
      </c>
      <c r="C283" t="s">
        <v>88</v>
      </c>
      <c r="D283" s="44">
        <v>371.44467187013396</v>
      </c>
      <c r="E283" s="44">
        <v>424.62587542821552</v>
      </c>
      <c r="F283" s="44">
        <v>477.80707898629703</v>
      </c>
      <c r="I283" t="str">
        <f t="shared" si="38"/>
        <v>Pathologists</v>
      </c>
      <c r="J283" t="str">
        <f t="shared" si="39"/>
        <v>Professional Development Allowance</v>
      </c>
      <c r="K283" t="str">
        <f t="shared" si="40"/>
        <v>WA</v>
      </c>
      <c r="L283" t="str">
        <f t="shared" si="41"/>
        <v>425 (371 - 478)</v>
      </c>
      <c r="O283" t="s">
        <v>55</v>
      </c>
      <c r="P283" t="s">
        <v>193</v>
      </c>
      <c r="Q283" t="s">
        <v>88</v>
      </c>
      <c r="R283" t="s">
        <v>297</v>
      </c>
    </row>
    <row r="284" spans="1:18" x14ac:dyDescent="0.2">
      <c r="A284" t="s">
        <v>55</v>
      </c>
      <c r="B284" s="44" t="s">
        <v>189</v>
      </c>
      <c r="C284" t="s">
        <v>96</v>
      </c>
      <c r="D284" s="44">
        <v>262.83796882591093</v>
      </c>
      <c r="E284" s="44">
        <v>384.46098380769229</v>
      </c>
      <c r="F284" s="44">
        <v>552.40621938259108</v>
      </c>
      <c r="I284" t="str">
        <f t="shared" si="38"/>
        <v>Pathologists</v>
      </c>
      <c r="J284" t="str">
        <f t="shared" si="39"/>
        <v>Public Holiday Penalty</v>
      </c>
      <c r="K284" t="str">
        <f t="shared" si="40"/>
        <v>ALL</v>
      </c>
      <c r="L284" t="str">
        <f t="shared" si="41"/>
        <v>384 (263 - 552)</v>
      </c>
      <c r="O284" t="s">
        <v>55</v>
      </c>
      <c r="P284" t="s">
        <v>189</v>
      </c>
      <c r="Q284" t="s">
        <v>96</v>
      </c>
      <c r="R284" t="s">
        <v>324</v>
      </c>
    </row>
    <row r="285" spans="1:18" x14ac:dyDescent="0.2">
      <c r="A285" t="s">
        <v>55</v>
      </c>
      <c r="B285" s="44" t="s">
        <v>189</v>
      </c>
      <c r="C285" t="s">
        <v>74</v>
      </c>
      <c r="D285" s="44">
        <v>268.22538521877914</v>
      </c>
      <c r="E285" s="44">
        <v>312.51377973178137</v>
      </c>
      <c r="F285" s="44">
        <v>356.91592475085645</v>
      </c>
      <c r="I285" t="str">
        <f t="shared" si="38"/>
        <v>Pathologists</v>
      </c>
      <c r="J285" t="str">
        <f t="shared" si="39"/>
        <v>Public Holiday Penalty</v>
      </c>
      <c r="K285" t="str">
        <f t="shared" si="40"/>
        <v>NSW</v>
      </c>
      <c r="L285" t="str">
        <f t="shared" si="41"/>
        <v>313 (268 - 357)</v>
      </c>
      <c r="O285" t="s">
        <v>55</v>
      </c>
      <c r="P285" t="s">
        <v>189</v>
      </c>
      <c r="Q285" t="s">
        <v>74</v>
      </c>
      <c r="R285" t="s">
        <v>319</v>
      </c>
    </row>
    <row r="286" spans="1:18" x14ac:dyDescent="0.2">
      <c r="A286" t="s">
        <v>55</v>
      </c>
      <c r="B286" s="44" t="s">
        <v>189</v>
      </c>
      <c r="C286" t="s">
        <v>82</v>
      </c>
      <c r="D286" s="44">
        <v>285.25308973061351</v>
      </c>
      <c r="E286" s="44">
        <v>338.52626455932733</v>
      </c>
      <c r="F286" s="44">
        <v>391.93542977265645</v>
      </c>
      <c r="I286" t="str">
        <f t="shared" si="38"/>
        <v>Pathologists</v>
      </c>
      <c r="J286" t="str">
        <f t="shared" si="39"/>
        <v>Public Holiday Penalty</v>
      </c>
      <c r="K286" t="str">
        <f t="shared" si="40"/>
        <v>QLD</v>
      </c>
      <c r="L286" t="str">
        <f t="shared" si="41"/>
        <v>339 (285 - 392)</v>
      </c>
      <c r="O286" t="s">
        <v>55</v>
      </c>
      <c r="P286" t="s">
        <v>189</v>
      </c>
      <c r="Q286" t="s">
        <v>82</v>
      </c>
      <c r="R286" t="s">
        <v>320</v>
      </c>
    </row>
    <row r="287" spans="1:18" x14ac:dyDescent="0.2">
      <c r="A287" t="s">
        <v>55</v>
      </c>
      <c r="B287" s="44" t="s">
        <v>189</v>
      </c>
      <c r="C287" t="s">
        <v>62</v>
      </c>
      <c r="D287" s="44">
        <v>369.08560477654936</v>
      </c>
      <c r="E287" s="44">
        <v>426.32967137865938</v>
      </c>
      <c r="F287" s="44">
        <v>483.69578960020243</v>
      </c>
      <c r="I287" t="str">
        <f t="shared" si="38"/>
        <v>Pathologists</v>
      </c>
      <c r="J287" t="str">
        <f t="shared" si="39"/>
        <v>Public Holiday Penalty</v>
      </c>
      <c r="K287" t="str">
        <f t="shared" si="40"/>
        <v>SA</v>
      </c>
      <c r="L287" t="str">
        <f t="shared" si="41"/>
        <v>426 (369 - 484)</v>
      </c>
      <c r="O287" t="s">
        <v>55</v>
      </c>
      <c r="P287" t="s">
        <v>189</v>
      </c>
      <c r="Q287" t="s">
        <v>62</v>
      </c>
      <c r="R287" t="s">
        <v>321</v>
      </c>
    </row>
    <row r="288" spans="1:18" x14ac:dyDescent="0.2">
      <c r="A288" t="s">
        <v>55</v>
      </c>
      <c r="B288" s="44" t="s">
        <v>189</v>
      </c>
      <c r="C288" t="s">
        <v>32</v>
      </c>
      <c r="D288" s="44">
        <v>336.7253770242915</v>
      </c>
      <c r="E288" s="44">
        <v>397.93711229757093</v>
      </c>
      <c r="F288" s="44">
        <v>459.32245283400812</v>
      </c>
      <c r="I288" t="str">
        <f t="shared" si="38"/>
        <v>Pathologists</v>
      </c>
      <c r="J288" t="str">
        <f t="shared" si="39"/>
        <v>Public Holiday Penalty</v>
      </c>
      <c r="K288" t="str">
        <f t="shared" si="40"/>
        <v>VIC</v>
      </c>
      <c r="L288" t="str">
        <f t="shared" si="41"/>
        <v>398 (337 - 459)</v>
      </c>
      <c r="O288" t="s">
        <v>55</v>
      </c>
      <c r="P288" t="s">
        <v>189</v>
      </c>
      <c r="Q288" t="s">
        <v>32</v>
      </c>
      <c r="R288" t="s">
        <v>322</v>
      </c>
    </row>
    <row r="289" spans="1:18" x14ac:dyDescent="0.2">
      <c r="A289" t="s">
        <v>55</v>
      </c>
      <c r="B289" s="44" t="s">
        <v>189</v>
      </c>
      <c r="C289" t="s">
        <v>88</v>
      </c>
      <c r="D289" s="44">
        <v>370.61589479523514</v>
      </c>
      <c r="E289" s="44">
        <v>424.62587542821552</v>
      </c>
      <c r="F289" s="44">
        <v>478.78510277172217</v>
      </c>
      <c r="I289" t="str">
        <f t="shared" si="38"/>
        <v>Pathologists</v>
      </c>
      <c r="J289" t="str">
        <f t="shared" si="39"/>
        <v>Public Holiday Penalty</v>
      </c>
      <c r="K289" t="str">
        <f t="shared" si="40"/>
        <v>WA</v>
      </c>
      <c r="L289" t="str">
        <f t="shared" si="41"/>
        <v>425 (371 - 479)</v>
      </c>
      <c r="O289" t="s">
        <v>55</v>
      </c>
      <c r="P289" t="s">
        <v>189</v>
      </c>
      <c r="Q289" t="s">
        <v>88</v>
      </c>
      <c r="R289" t="s">
        <v>323</v>
      </c>
    </row>
    <row r="290" spans="1:18" x14ac:dyDescent="0.2">
      <c r="A290" t="s">
        <v>55</v>
      </c>
      <c r="B290" s="44" t="s">
        <v>192</v>
      </c>
      <c r="C290" t="s">
        <v>96</v>
      </c>
      <c r="D290" s="44">
        <v>263.33641467611341</v>
      </c>
      <c r="E290" s="44">
        <v>384.46098380769229</v>
      </c>
      <c r="F290" s="44">
        <v>551.42819559716588</v>
      </c>
      <c r="I290" t="str">
        <f t="shared" si="38"/>
        <v>Pathologists</v>
      </c>
      <c r="J290" t="str">
        <f t="shared" si="39"/>
        <v>Sick Leave</v>
      </c>
      <c r="K290" t="str">
        <f t="shared" si="40"/>
        <v>ALL</v>
      </c>
      <c r="L290" t="str">
        <f t="shared" si="41"/>
        <v>384 (263 - 551)</v>
      </c>
      <c r="O290" t="s">
        <v>55</v>
      </c>
      <c r="P290" t="s">
        <v>192</v>
      </c>
      <c r="Q290" t="s">
        <v>96</v>
      </c>
      <c r="R290" t="s">
        <v>306</v>
      </c>
    </row>
    <row r="291" spans="1:18" x14ac:dyDescent="0.2">
      <c r="A291" t="s">
        <v>55</v>
      </c>
      <c r="B291" s="44" t="s">
        <v>192</v>
      </c>
      <c r="C291" t="s">
        <v>74</v>
      </c>
      <c r="D291" s="44">
        <v>268.72383106898161</v>
      </c>
      <c r="E291" s="44">
        <v>312.51377973178137</v>
      </c>
      <c r="F291" s="44">
        <v>356.30372839458113</v>
      </c>
      <c r="I291" t="str">
        <f t="shared" si="38"/>
        <v>Pathologists</v>
      </c>
      <c r="J291" t="str">
        <f t="shared" si="39"/>
        <v>Sick Leave</v>
      </c>
      <c r="K291" t="str">
        <f t="shared" si="40"/>
        <v>NSW</v>
      </c>
      <c r="L291" t="str">
        <f t="shared" si="41"/>
        <v>313 (269 - 356)</v>
      </c>
      <c r="O291" t="s">
        <v>55</v>
      </c>
      <c r="P291" t="s">
        <v>192</v>
      </c>
      <c r="Q291" t="s">
        <v>74</v>
      </c>
      <c r="R291" t="s">
        <v>293</v>
      </c>
    </row>
    <row r="292" spans="1:18" x14ac:dyDescent="0.2">
      <c r="A292" t="s">
        <v>55</v>
      </c>
      <c r="B292" s="44" t="s">
        <v>192</v>
      </c>
      <c r="C292" t="s">
        <v>82</v>
      </c>
      <c r="D292" s="44">
        <v>285.78028254437862</v>
      </c>
      <c r="E292" s="44">
        <v>338.52626455932733</v>
      </c>
      <c r="F292" s="44">
        <v>391.27224657427587</v>
      </c>
      <c r="I292" t="str">
        <f t="shared" si="38"/>
        <v>Pathologists</v>
      </c>
      <c r="J292" t="str">
        <f t="shared" si="39"/>
        <v>Sick Leave</v>
      </c>
      <c r="K292" t="str">
        <f t="shared" si="40"/>
        <v>QLD</v>
      </c>
      <c r="L292" t="str">
        <f t="shared" si="41"/>
        <v>339 (286 - 391)</v>
      </c>
      <c r="O292" t="s">
        <v>55</v>
      </c>
      <c r="P292" t="s">
        <v>192</v>
      </c>
      <c r="Q292" t="s">
        <v>82</v>
      </c>
      <c r="R292" t="s">
        <v>294</v>
      </c>
    </row>
    <row r="293" spans="1:18" x14ac:dyDescent="0.2">
      <c r="A293" t="s">
        <v>55</v>
      </c>
      <c r="B293" s="44" t="s">
        <v>192</v>
      </c>
      <c r="C293" t="s">
        <v>62</v>
      </c>
      <c r="D293" s="44">
        <v>369.70246763080041</v>
      </c>
      <c r="E293" s="44">
        <v>426.32967137865938</v>
      </c>
      <c r="F293" s="44">
        <v>482.95687512651824</v>
      </c>
      <c r="I293" t="str">
        <f t="shared" si="38"/>
        <v>Pathologists</v>
      </c>
      <c r="J293" t="str">
        <f t="shared" si="39"/>
        <v>Sick Leave</v>
      </c>
      <c r="K293" t="str">
        <f t="shared" si="40"/>
        <v>SA</v>
      </c>
      <c r="L293" t="str">
        <f t="shared" si="41"/>
        <v>426 (370 - 483)</v>
      </c>
      <c r="O293" t="s">
        <v>55</v>
      </c>
      <c r="P293" t="s">
        <v>192</v>
      </c>
      <c r="Q293" t="s">
        <v>62</v>
      </c>
      <c r="R293" t="s">
        <v>295</v>
      </c>
    </row>
    <row r="294" spans="1:18" x14ac:dyDescent="0.2">
      <c r="A294" t="s">
        <v>55</v>
      </c>
      <c r="B294" s="44" t="s">
        <v>192</v>
      </c>
      <c r="C294" t="s">
        <v>32</v>
      </c>
      <c r="D294" s="44">
        <v>337.41975202429148</v>
      </c>
      <c r="E294" s="44">
        <v>397.93711229757093</v>
      </c>
      <c r="F294" s="44">
        <v>458.45447257085021</v>
      </c>
      <c r="I294" t="str">
        <f t="shared" si="38"/>
        <v>Pathologists</v>
      </c>
      <c r="J294" t="str">
        <f t="shared" si="39"/>
        <v>Sick Leave</v>
      </c>
      <c r="K294" t="str">
        <f t="shared" si="40"/>
        <v>VIC</v>
      </c>
      <c r="L294" t="str">
        <f t="shared" si="41"/>
        <v>398 (337 - 458)</v>
      </c>
      <c r="O294" t="s">
        <v>55</v>
      </c>
      <c r="P294" t="s">
        <v>192</v>
      </c>
      <c r="Q294" t="s">
        <v>32</v>
      </c>
      <c r="R294" t="s">
        <v>296</v>
      </c>
    </row>
    <row r="295" spans="1:18" x14ac:dyDescent="0.2">
      <c r="A295" t="s">
        <v>55</v>
      </c>
      <c r="B295" s="44" t="s">
        <v>192</v>
      </c>
      <c r="C295" t="s">
        <v>88</v>
      </c>
      <c r="D295" s="44">
        <v>371.44467187013396</v>
      </c>
      <c r="E295" s="44">
        <v>424.62587542821552</v>
      </c>
      <c r="F295" s="44">
        <v>477.80707898629703</v>
      </c>
      <c r="I295" t="str">
        <f t="shared" si="38"/>
        <v>Pathologists</v>
      </c>
      <c r="J295" t="str">
        <f t="shared" si="39"/>
        <v>Sick Leave</v>
      </c>
      <c r="K295" t="str">
        <f t="shared" si="40"/>
        <v>WA</v>
      </c>
      <c r="L295" t="str">
        <f t="shared" si="41"/>
        <v>425 (371 - 478)</v>
      </c>
      <c r="O295" t="s">
        <v>55</v>
      </c>
      <c r="P295" t="s">
        <v>192</v>
      </c>
      <c r="Q295" t="s">
        <v>88</v>
      </c>
      <c r="R295" t="s">
        <v>297</v>
      </c>
    </row>
    <row r="296" spans="1:18" x14ac:dyDescent="0.2">
      <c r="A296" t="s">
        <v>55</v>
      </c>
      <c r="B296" s="44" t="s">
        <v>199</v>
      </c>
      <c r="C296" t="s">
        <v>96</v>
      </c>
      <c r="D296" s="44">
        <v>262.88328208502026</v>
      </c>
      <c r="E296" s="44">
        <v>384.46098380769229</v>
      </c>
      <c r="F296" s="44">
        <v>554.85127884615372</v>
      </c>
      <c r="I296" t="str">
        <f t="shared" si="38"/>
        <v>Pathologists</v>
      </c>
      <c r="J296" t="str">
        <f t="shared" si="39"/>
        <v>Superannuation</v>
      </c>
      <c r="K296" t="str">
        <f t="shared" si="40"/>
        <v>ALL</v>
      </c>
      <c r="L296" t="str">
        <f t="shared" si="41"/>
        <v>384 (263 - 555)</v>
      </c>
      <c r="O296" t="s">
        <v>55</v>
      </c>
      <c r="P296" t="s">
        <v>199</v>
      </c>
      <c r="Q296" t="s">
        <v>96</v>
      </c>
      <c r="R296" t="s">
        <v>330</v>
      </c>
    </row>
    <row r="297" spans="1:18" x14ac:dyDescent="0.2">
      <c r="A297" t="s">
        <v>55</v>
      </c>
      <c r="B297" s="44" t="s">
        <v>199</v>
      </c>
      <c r="C297" t="s">
        <v>74</v>
      </c>
      <c r="D297" s="44">
        <v>268.27069847788857</v>
      </c>
      <c r="E297" s="44">
        <v>312.51377973178137</v>
      </c>
      <c r="F297" s="44">
        <v>358.44641564154472</v>
      </c>
      <c r="I297" t="str">
        <f t="shared" si="38"/>
        <v>Pathologists</v>
      </c>
      <c r="J297" t="str">
        <f t="shared" si="39"/>
        <v>Superannuation</v>
      </c>
      <c r="K297" t="str">
        <f t="shared" si="40"/>
        <v>NSW</v>
      </c>
      <c r="L297" t="str">
        <f t="shared" si="41"/>
        <v>313 (268 - 358)</v>
      </c>
      <c r="O297" t="s">
        <v>55</v>
      </c>
      <c r="P297" t="s">
        <v>199</v>
      </c>
      <c r="Q297" t="s">
        <v>74</v>
      </c>
      <c r="R297" t="s">
        <v>325</v>
      </c>
    </row>
    <row r="298" spans="1:18" x14ac:dyDescent="0.2">
      <c r="A298" t="s">
        <v>55</v>
      </c>
      <c r="B298" s="44" t="s">
        <v>199</v>
      </c>
      <c r="C298" t="s">
        <v>82</v>
      </c>
      <c r="D298" s="44">
        <v>285.30101635004672</v>
      </c>
      <c r="E298" s="44">
        <v>338.52626455932733</v>
      </c>
      <c r="F298" s="44">
        <v>393.5933877686079</v>
      </c>
      <c r="I298" t="str">
        <f t="shared" si="38"/>
        <v>Pathologists</v>
      </c>
      <c r="J298" t="str">
        <f t="shared" si="39"/>
        <v>Superannuation</v>
      </c>
      <c r="K298" t="str">
        <f t="shared" si="40"/>
        <v>QLD</v>
      </c>
      <c r="L298" t="str">
        <f t="shared" si="41"/>
        <v>339 (285 - 394)</v>
      </c>
      <c r="O298" t="s">
        <v>55</v>
      </c>
      <c r="P298" t="s">
        <v>199</v>
      </c>
      <c r="Q298" t="s">
        <v>82</v>
      </c>
      <c r="R298" t="s">
        <v>326</v>
      </c>
    </row>
    <row r="299" spans="1:18" x14ac:dyDescent="0.2">
      <c r="A299" t="s">
        <v>55</v>
      </c>
      <c r="B299" s="44" t="s">
        <v>199</v>
      </c>
      <c r="C299" t="s">
        <v>62</v>
      </c>
      <c r="D299" s="44">
        <v>369.1416832178449</v>
      </c>
      <c r="E299" s="44">
        <v>426.32967137865938</v>
      </c>
      <c r="F299" s="44">
        <v>485.54307578441291</v>
      </c>
      <c r="I299" t="str">
        <f t="shared" si="38"/>
        <v>Pathologists</v>
      </c>
      <c r="J299" t="str">
        <f t="shared" si="39"/>
        <v>Superannuation</v>
      </c>
      <c r="K299" t="str">
        <f t="shared" si="40"/>
        <v>SA</v>
      </c>
      <c r="L299" t="str">
        <f t="shared" si="41"/>
        <v>426 (369 - 486)</v>
      </c>
      <c r="O299" t="s">
        <v>55</v>
      </c>
      <c r="P299" t="s">
        <v>199</v>
      </c>
      <c r="Q299" t="s">
        <v>62</v>
      </c>
      <c r="R299" t="s">
        <v>327</v>
      </c>
    </row>
    <row r="300" spans="1:18" x14ac:dyDescent="0.2">
      <c r="A300" t="s">
        <v>55</v>
      </c>
      <c r="B300" s="44" t="s">
        <v>199</v>
      </c>
      <c r="C300" t="s">
        <v>32</v>
      </c>
      <c r="D300" s="44">
        <v>336.78850202429146</v>
      </c>
      <c r="E300" s="44">
        <v>397.93711229757093</v>
      </c>
      <c r="F300" s="44">
        <v>461.49240349190279</v>
      </c>
      <c r="I300" t="str">
        <f t="shared" si="38"/>
        <v>Pathologists</v>
      </c>
      <c r="J300" t="str">
        <f t="shared" si="39"/>
        <v>Superannuation</v>
      </c>
      <c r="K300" t="str">
        <f t="shared" si="40"/>
        <v>VIC</v>
      </c>
      <c r="L300" t="str">
        <f t="shared" si="41"/>
        <v>398 (337 - 461)</v>
      </c>
      <c r="O300" t="s">
        <v>55</v>
      </c>
      <c r="P300" t="s">
        <v>199</v>
      </c>
      <c r="Q300" t="s">
        <v>32</v>
      </c>
      <c r="R300" t="s">
        <v>328</v>
      </c>
    </row>
    <row r="301" spans="1:18" x14ac:dyDescent="0.2">
      <c r="A301" t="s">
        <v>55</v>
      </c>
      <c r="B301" s="44" t="s">
        <v>199</v>
      </c>
      <c r="C301" t="s">
        <v>88</v>
      </c>
      <c r="D301" s="44">
        <v>370.69123816568043</v>
      </c>
      <c r="E301" s="44">
        <v>424.62587542821552</v>
      </c>
      <c r="F301" s="44">
        <v>481.23016223528487</v>
      </c>
      <c r="I301" t="str">
        <f t="shared" si="38"/>
        <v>Pathologists</v>
      </c>
      <c r="J301" t="str">
        <f t="shared" si="39"/>
        <v>Superannuation</v>
      </c>
      <c r="K301" t="str">
        <f t="shared" si="40"/>
        <v>WA</v>
      </c>
      <c r="L301" t="str">
        <f t="shared" si="41"/>
        <v>425 (371 - 481)</v>
      </c>
      <c r="O301" t="s">
        <v>55</v>
      </c>
      <c r="P301" t="s">
        <v>199</v>
      </c>
      <c r="Q301" t="s">
        <v>88</v>
      </c>
      <c r="R301" t="s">
        <v>329</v>
      </c>
    </row>
  </sheetData>
  <autoFilter ref="A1:F1" xr:uid="{F40BA63D-D085-C34B-B749-E046A8ABD30E}"/>
  <sortState xmlns:xlrd2="http://schemas.microsoft.com/office/spreadsheetml/2017/richdata2" ref="A2:F331">
    <sortCondition ref="A2:A331"/>
    <sortCondition ref="C2:C331"/>
  </sortState>
  <mergeCells count="3">
    <mergeCell ref="V3:AA3"/>
    <mergeCell ref="V1:AA1"/>
    <mergeCell ref="T2:T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02643-5DC7-194C-A705-D52E093AE7F1}">
  <dimension ref="A1:F331"/>
  <sheetViews>
    <sheetView topLeftCell="D1" workbookViewId="0">
      <selection activeCell="D1" sqref="D1"/>
    </sheetView>
  </sheetViews>
  <sheetFormatPr baseColWidth="10" defaultColWidth="11" defaultRowHeight="16" x14ac:dyDescent="0.2"/>
  <cols>
    <col min="4" max="6" width="10.83203125" style="79" customWidth="1"/>
  </cols>
  <sheetData>
    <row r="1" spans="1:6" x14ac:dyDescent="0.2">
      <c r="A1" t="s">
        <v>6</v>
      </c>
      <c r="B1" t="s">
        <v>5</v>
      </c>
      <c r="C1" t="s">
        <v>197</v>
      </c>
      <c r="D1" s="79" t="s">
        <v>29</v>
      </c>
      <c r="E1" s="79" t="s">
        <v>56</v>
      </c>
      <c r="F1" s="79" t="s">
        <v>31</v>
      </c>
    </row>
    <row r="2" spans="1:6" x14ac:dyDescent="0.2">
      <c r="A2" t="s">
        <v>47</v>
      </c>
      <c r="B2" t="s">
        <v>96</v>
      </c>
      <c r="C2" s="44" t="s">
        <v>194</v>
      </c>
      <c r="D2" s="79">
        <v>117177.61784615385</v>
      </c>
      <c r="E2" s="79">
        <v>160026.83397907691</v>
      </c>
      <c r="F2" s="79">
        <v>224322.59846153847</v>
      </c>
    </row>
    <row r="3" spans="1:6" x14ac:dyDescent="0.2">
      <c r="A3" t="s">
        <v>47</v>
      </c>
      <c r="B3" t="s">
        <v>74</v>
      </c>
      <c r="C3" s="44" t="s">
        <v>194</v>
      </c>
      <c r="D3" s="79">
        <v>114089.18591999999</v>
      </c>
      <c r="E3" s="79">
        <v>137204.75628</v>
      </c>
      <c r="F3" s="79">
        <v>160320.32663999998</v>
      </c>
    </row>
    <row r="4" spans="1:6" x14ac:dyDescent="0.2">
      <c r="A4" t="s">
        <v>47</v>
      </c>
      <c r="B4" t="s">
        <v>82</v>
      </c>
      <c r="C4" s="44" t="s">
        <v>194</v>
      </c>
      <c r="D4" s="79">
        <v>114785.40246153847</v>
      </c>
      <c r="E4" s="79">
        <v>152905.41211538459</v>
      </c>
      <c r="F4" s="79">
        <v>191025.42176923077</v>
      </c>
    </row>
    <row r="5" spans="1:6" x14ac:dyDescent="0.2">
      <c r="A5" t="s">
        <v>47</v>
      </c>
      <c r="B5" t="s">
        <v>62</v>
      </c>
      <c r="C5" s="44" t="s">
        <v>194</v>
      </c>
      <c r="D5" s="79">
        <v>134772.70984615386</v>
      </c>
      <c r="E5" s="79">
        <v>150064.75707692307</v>
      </c>
      <c r="F5" s="79">
        <v>165356.80430769228</v>
      </c>
    </row>
    <row r="6" spans="1:6" x14ac:dyDescent="0.2">
      <c r="A6" t="s">
        <v>47</v>
      </c>
      <c r="B6" t="s">
        <v>32</v>
      </c>
      <c r="C6" s="44" t="s">
        <v>194</v>
      </c>
      <c r="D6" s="79">
        <v>162844.25638461538</v>
      </c>
      <c r="E6" s="79">
        <v>198325.59665384615</v>
      </c>
      <c r="F6" s="79">
        <v>233806.93692307692</v>
      </c>
    </row>
    <row r="7" spans="1:6" x14ac:dyDescent="0.2">
      <c r="A7" t="s">
        <v>47</v>
      </c>
      <c r="B7" t="s">
        <v>88</v>
      </c>
      <c r="C7" s="44" t="s">
        <v>194</v>
      </c>
      <c r="D7" s="79">
        <v>148744.27361538459</v>
      </c>
      <c r="E7" s="79">
        <v>163559.54323076922</v>
      </c>
      <c r="F7" s="79">
        <v>178374.81284615383</v>
      </c>
    </row>
    <row r="8" spans="1:6" x14ac:dyDescent="0.2">
      <c r="A8" t="s">
        <v>47</v>
      </c>
      <c r="B8" t="s">
        <v>96</v>
      </c>
      <c r="C8" s="44" t="s">
        <v>191</v>
      </c>
      <c r="D8" s="79">
        <v>117177.61784615385</v>
      </c>
      <c r="E8" s="79">
        <v>160026.83397907691</v>
      </c>
      <c r="F8" s="79">
        <v>224322.59846153847</v>
      </c>
    </row>
    <row r="9" spans="1:6" x14ac:dyDescent="0.2">
      <c r="A9" t="s">
        <v>47</v>
      </c>
      <c r="B9" t="s">
        <v>74</v>
      </c>
      <c r="C9" s="44" t="s">
        <v>191</v>
      </c>
      <c r="D9" s="79">
        <v>114089.18591999999</v>
      </c>
      <c r="E9" s="79">
        <v>137204.75628</v>
      </c>
      <c r="F9" s="79">
        <v>160320.32663999998</v>
      </c>
    </row>
    <row r="10" spans="1:6" x14ac:dyDescent="0.2">
      <c r="A10" t="s">
        <v>47</v>
      </c>
      <c r="B10" t="s">
        <v>82</v>
      </c>
      <c r="C10" s="44" t="s">
        <v>191</v>
      </c>
      <c r="D10" s="79">
        <v>114785.40246153847</v>
      </c>
      <c r="E10" s="79">
        <v>152905.41211538459</v>
      </c>
      <c r="F10" s="79">
        <v>191025.42176923077</v>
      </c>
    </row>
    <row r="11" spans="1:6" x14ac:dyDescent="0.2">
      <c r="A11" t="s">
        <v>47</v>
      </c>
      <c r="B11" t="s">
        <v>62</v>
      </c>
      <c r="C11" s="44" t="s">
        <v>191</v>
      </c>
      <c r="D11" s="79">
        <v>134772.70984615386</v>
      </c>
      <c r="E11" s="79">
        <v>150064.75707692307</v>
      </c>
      <c r="F11" s="79">
        <v>165356.80430769228</v>
      </c>
    </row>
    <row r="12" spans="1:6" x14ac:dyDescent="0.2">
      <c r="A12" t="s">
        <v>47</v>
      </c>
      <c r="B12" t="s">
        <v>32</v>
      </c>
      <c r="C12" s="44" t="s">
        <v>191</v>
      </c>
      <c r="D12" s="79">
        <v>162844.25638461538</v>
      </c>
      <c r="E12" s="79">
        <v>198325.59665384615</v>
      </c>
      <c r="F12" s="79">
        <v>233806.93692307692</v>
      </c>
    </row>
    <row r="13" spans="1:6" x14ac:dyDescent="0.2">
      <c r="A13" t="s">
        <v>47</v>
      </c>
      <c r="B13" t="s">
        <v>88</v>
      </c>
      <c r="C13" s="44" t="s">
        <v>191</v>
      </c>
      <c r="D13" s="79">
        <v>148744.27361538459</v>
      </c>
      <c r="E13" s="79">
        <v>163559.54323076922</v>
      </c>
      <c r="F13" s="79">
        <v>178374.81284615383</v>
      </c>
    </row>
    <row r="14" spans="1:6" x14ac:dyDescent="0.2">
      <c r="A14" t="s">
        <v>47</v>
      </c>
      <c r="B14" t="s">
        <v>96</v>
      </c>
      <c r="C14" s="44" t="s">
        <v>188</v>
      </c>
      <c r="D14" s="79">
        <v>112407.21784615384</v>
      </c>
      <c r="E14" s="79">
        <v>160026.83397907691</v>
      </c>
      <c r="F14" s="79">
        <v>242614.5984615385</v>
      </c>
    </row>
    <row r="15" spans="1:6" x14ac:dyDescent="0.2">
      <c r="A15" t="s">
        <v>47</v>
      </c>
      <c r="B15" t="s">
        <v>74</v>
      </c>
      <c r="C15" s="44" t="s">
        <v>188</v>
      </c>
      <c r="D15" s="79">
        <v>109271.07392</v>
      </c>
      <c r="E15" s="79">
        <v>137204.75628</v>
      </c>
      <c r="F15" s="79">
        <v>173861.33463999999</v>
      </c>
    </row>
    <row r="16" spans="1:6" x14ac:dyDescent="0.2">
      <c r="A16" t="s">
        <v>47</v>
      </c>
      <c r="B16" t="s">
        <v>82</v>
      </c>
      <c r="C16" s="44" t="s">
        <v>188</v>
      </c>
      <c r="D16" s="79">
        <v>110015.00246153846</v>
      </c>
      <c r="E16" s="79">
        <v>152905.41211538459</v>
      </c>
      <c r="F16" s="79">
        <v>207005.62176923075</v>
      </c>
    </row>
    <row r="17" spans="1:6" x14ac:dyDescent="0.2">
      <c r="A17" t="s">
        <v>47</v>
      </c>
      <c r="B17" t="s">
        <v>62</v>
      </c>
      <c r="C17" s="44" t="s">
        <v>188</v>
      </c>
      <c r="D17" s="79">
        <v>129081.10984615385</v>
      </c>
      <c r="E17" s="79">
        <v>150064.75707692307</v>
      </c>
      <c r="F17" s="79">
        <v>179323.2043076923</v>
      </c>
    </row>
    <row r="18" spans="1:6" x14ac:dyDescent="0.2">
      <c r="A18" t="s">
        <v>47</v>
      </c>
      <c r="B18" t="s">
        <v>32</v>
      </c>
      <c r="C18" s="44" t="s">
        <v>188</v>
      </c>
      <c r="D18" s="79">
        <v>156474.1563846154</v>
      </c>
      <c r="E18" s="79">
        <v>198325.59665384615</v>
      </c>
      <c r="F18" s="79">
        <v>252098.93692307692</v>
      </c>
    </row>
    <row r="19" spans="1:6" x14ac:dyDescent="0.2">
      <c r="A19" t="s">
        <v>47</v>
      </c>
      <c r="B19" t="s">
        <v>88</v>
      </c>
      <c r="C19" s="44" t="s">
        <v>188</v>
      </c>
      <c r="D19" s="79">
        <v>142986.37361538463</v>
      </c>
      <c r="E19" s="79">
        <v>163559.54323076922</v>
      </c>
      <c r="F19" s="79">
        <v>192184.61284615385</v>
      </c>
    </row>
    <row r="20" spans="1:6" x14ac:dyDescent="0.2">
      <c r="A20" t="s">
        <v>47</v>
      </c>
      <c r="B20" t="s">
        <v>96</v>
      </c>
      <c r="C20" s="44" t="s">
        <v>185</v>
      </c>
      <c r="D20" s="79">
        <v>114089.18591999999</v>
      </c>
      <c r="E20" s="79">
        <v>160412.0130713846</v>
      </c>
      <c r="F20" s="79">
        <v>233806.93692307692</v>
      </c>
    </row>
    <row r="21" spans="1:6" x14ac:dyDescent="0.2">
      <c r="A21" t="s">
        <v>47</v>
      </c>
      <c r="B21" t="s">
        <v>74</v>
      </c>
      <c r="C21" s="44" t="s">
        <v>185</v>
      </c>
      <c r="D21" s="79">
        <v>114089.18591999999</v>
      </c>
      <c r="E21" s="79">
        <v>137204.75628</v>
      </c>
      <c r="F21" s="79">
        <v>160320.32663999998</v>
      </c>
    </row>
    <row r="22" spans="1:6" x14ac:dyDescent="0.2">
      <c r="A22" t="s">
        <v>47</v>
      </c>
      <c r="B22" t="s">
        <v>82</v>
      </c>
      <c r="C22" s="44" t="s">
        <v>185</v>
      </c>
      <c r="D22" s="79">
        <v>114785.40246153847</v>
      </c>
      <c r="E22" s="79">
        <v>152905.41211538459</v>
      </c>
      <c r="F22" s="79">
        <v>191025.42176923077</v>
      </c>
    </row>
    <row r="23" spans="1:6" x14ac:dyDescent="0.2">
      <c r="A23" t="s">
        <v>47</v>
      </c>
      <c r="B23" t="s">
        <v>62</v>
      </c>
      <c r="C23" s="44" t="s">
        <v>185</v>
      </c>
      <c r="D23" s="79">
        <v>134772.70984615386</v>
      </c>
      <c r="E23" s="79">
        <v>150064.75707692307</v>
      </c>
      <c r="F23" s="79">
        <v>165356.80430769228</v>
      </c>
    </row>
    <row r="24" spans="1:6" x14ac:dyDescent="0.2">
      <c r="A24" t="s">
        <v>47</v>
      </c>
      <c r="B24" t="s">
        <v>32</v>
      </c>
      <c r="C24" s="44" t="s">
        <v>185</v>
      </c>
      <c r="D24" s="79">
        <v>162844.25638461538</v>
      </c>
      <c r="E24" s="79">
        <v>198325.59665384615</v>
      </c>
      <c r="F24" s="79">
        <v>233806.93692307692</v>
      </c>
    </row>
    <row r="25" spans="1:6" x14ac:dyDescent="0.2">
      <c r="A25" t="s">
        <v>47</v>
      </c>
      <c r="B25" t="s">
        <v>88</v>
      </c>
      <c r="C25" s="44" t="s">
        <v>185</v>
      </c>
      <c r="D25" s="79">
        <v>148744.27361538459</v>
      </c>
      <c r="E25" s="79">
        <v>163559.54323076922</v>
      </c>
      <c r="F25" s="79">
        <v>178374.81284615383</v>
      </c>
    </row>
    <row r="26" spans="1:6" x14ac:dyDescent="0.2">
      <c r="A26" t="s">
        <v>47</v>
      </c>
      <c r="B26" t="s">
        <v>96</v>
      </c>
      <c r="C26" s="44" t="s">
        <v>198</v>
      </c>
      <c r="D26" s="79">
        <v>117177.61784615385</v>
      </c>
      <c r="E26" s="79">
        <v>160026.83397907691</v>
      </c>
      <c r="F26" s="79">
        <v>224322.59846153847</v>
      </c>
    </row>
    <row r="27" spans="1:6" x14ac:dyDescent="0.2">
      <c r="A27" t="s">
        <v>47</v>
      </c>
      <c r="B27" t="s">
        <v>74</v>
      </c>
      <c r="C27" s="44" t="s">
        <v>198</v>
      </c>
      <c r="D27" s="79">
        <v>114089.18591999999</v>
      </c>
      <c r="E27" s="79">
        <v>137204.75628</v>
      </c>
      <c r="F27" s="79">
        <v>160320.32663999998</v>
      </c>
    </row>
    <row r="28" spans="1:6" x14ac:dyDescent="0.2">
      <c r="A28" t="s">
        <v>47</v>
      </c>
      <c r="B28" t="s">
        <v>82</v>
      </c>
      <c r="C28" s="44" t="s">
        <v>198</v>
      </c>
      <c r="D28" s="79">
        <v>114785.40246153847</v>
      </c>
      <c r="E28" s="79">
        <v>152905.41211538459</v>
      </c>
      <c r="F28" s="79">
        <v>191025.42176923077</v>
      </c>
    </row>
    <row r="29" spans="1:6" x14ac:dyDescent="0.2">
      <c r="A29" t="s">
        <v>47</v>
      </c>
      <c r="B29" t="s">
        <v>62</v>
      </c>
      <c r="C29" s="44" t="s">
        <v>198</v>
      </c>
      <c r="D29" s="79">
        <v>134772.70984615386</v>
      </c>
      <c r="E29" s="79">
        <v>150064.75707692307</v>
      </c>
      <c r="F29" s="79">
        <v>165356.80430769228</v>
      </c>
    </row>
    <row r="30" spans="1:6" x14ac:dyDescent="0.2">
      <c r="A30" t="s">
        <v>47</v>
      </c>
      <c r="B30" t="s">
        <v>32</v>
      </c>
      <c r="C30" s="44" t="s">
        <v>198</v>
      </c>
      <c r="D30" s="79">
        <v>162844.25638461538</v>
      </c>
      <c r="E30" s="79">
        <v>198325.59665384615</v>
      </c>
      <c r="F30" s="79">
        <v>233806.93692307692</v>
      </c>
    </row>
    <row r="31" spans="1:6" x14ac:dyDescent="0.2">
      <c r="A31" t="s">
        <v>47</v>
      </c>
      <c r="B31" t="s">
        <v>88</v>
      </c>
      <c r="C31" s="44" t="s">
        <v>198</v>
      </c>
      <c r="D31" s="79">
        <v>148744.27361538459</v>
      </c>
      <c r="E31" s="79">
        <v>163559.54323076922</v>
      </c>
      <c r="F31" s="79">
        <v>178374.81284615383</v>
      </c>
    </row>
    <row r="32" spans="1:6" x14ac:dyDescent="0.2">
      <c r="A32" t="s">
        <v>47</v>
      </c>
      <c r="B32" t="s">
        <v>96</v>
      </c>
      <c r="C32" s="44" t="s">
        <v>195</v>
      </c>
      <c r="D32" s="79">
        <v>117177.61784615385</v>
      </c>
      <c r="E32" s="79">
        <v>160026.83397907691</v>
      </c>
      <c r="F32" s="79">
        <v>224322.59846153847</v>
      </c>
    </row>
    <row r="33" spans="1:6" x14ac:dyDescent="0.2">
      <c r="A33" t="s">
        <v>47</v>
      </c>
      <c r="B33" t="s">
        <v>74</v>
      </c>
      <c r="C33" s="44" t="s">
        <v>195</v>
      </c>
      <c r="D33" s="79">
        <v>114089.18591999999</v>
      </c>
      <c r="E33" s="79">
        <v>137204.75628</v>
      </c>
      <c r="F33" s="79">
        <v>160320.32663999998</v>
      </c>
    </row>
    <row r="34" spans="1:6" x14ac:dyDescent="0.2">
      <c r="A34" t="s">
        <v>47</v>
      </c>
      <c r="B34" t="s">
        <v>82</v>
      </c>
      <c r="C34" s="44" t="s">
        <v>195</v>
      </c>
      <c r="D34" s="79">
        <v>114785.40246153847</v>
      </c>
      <c r="E34" s="79">
        <v>152905.41211538459</v>
      </c>
      <c r="F34" s="79">
        <v>191025.42176923077</v>
      </c>
    </row>
    <row r="35" spans="1:6" x14ac:dyDescent="0.2">
      <c r="A35" t="s">
        <v>47</v>
      </c>
      <c r="B35" t="s">
        <v>62</v>
      </c>
      <c r="C35" s="44" t="s">
        <v>195</v>
      </c>
      <c r="D35" s="79">
        <v>134772.70984615386</v>
      </c>
      <c r="E35" s="79">
        <v>150064.75707692307</v>
      </c>
      <c r="F35" s="79">
        <v>165356.80430769228</v>
      </c>
    </row>
    <row r="36" spans="1:6" x14ac:dyDescent="0.2">
      <c r="A36" t="s">
        <v>47</v>
      </c>
      <c r="B36" t="s">
        <v>32</v>
      </c>
      <c r="C36" s="44" t="s">
        <v>195</v>
      </c>
      <c r="D36" s="79">
        <v>162844.25638461538</v>
      </c>
      <c r="E36" s="79">
        <v>198325.59665384615</v>
      </c>
      <c r="F36" s="79">
        <v>233806.93692307692</v>
      </c>
    </row>
    <row r="37" spans="1:6" x14ac:dyDescent="0.2">
      <c r="A37" t="s">
        <v>47</v>
      </c>
      <c r="B37" t="s">
        <v>88</v>
      </c>
      <c r="C37" s="44" t="s">
        <v>195</v>
      </c>
      <c r="D37" s="79">
        <v>148744.27361538459</v>
      </c>
      <c r="E37" s="79">
        <v>163559.54323076922</v>
      </c>
      <c r="F37" s="79">
        <v>178374.81284615383</v>
      </c>
    </row>
    <row r="38" spans="1:6" x14ac:dyDescent="0.2">
      <c r="A38" t="s">
        <v>47</v>
      </c>
      <c r="B38" t="s">
        <v>96</v>
      </c>
      <c r="C38" s="44" t="s">
        <v>190</v>
      </c>
      <c r="D38" s="79">
        <v>117177.61784615385</v>
      </c>
      <c r="E38" s="79">
        <v>160026.83397907691</v>
      </c>
      <c r="F38" s="79">
        <v>224322.59846153847</v>
      </c>
    </row>
    <row r="39" spans="1:6" x14ac:dyDescent="0.2">
      <c r="A39" t="s">
        <v>47</v>
      </c>
      <c r="B39" t="s">
        <v>74</v>
      </c>
      <c r="C39" s="44" t="s">
        <v>190</v>
      </c>
      <c r="D39" s="79">
        <v>114089.18591999999</v>
      </c>
      <c r="E39" s="79">
        <v>137204.75628</v>
      </c>
      <c r="F39" s="79">
        <v>160320.32663999998</v>
      </c>
    </row>
    <row r="40" spans="1:6" x14ac:dyDescent="0.2">
      <c r="A40" t="s">
        <v>47</v>
      </c>
      <c r="B40" t="s">
        <v>82</v>
      </c>
      <c r="C40" s="44" t="s">
        <v>190</v>
      </c>
      <c r="D40" s="79">
        <v>114785.40246153847</v>
      </c>
      <c r="E40" s="79">
        <v>152905.41211538459</v>
      </c>
      <c r="F40" s="79">
        <v>191025.42176923077</v>
      </c>
    </row>
    <row r="41" spans="1:6" x14ac:dyDescent="0.2">
      <c r="A41" t="s">
        <v>47</v>
      </c>
      <c r="B41" t="s">
        <v>62</v>
      </c>
      <c r="C41" s="44" t="s">
        <v>190</v>
      </c>
      <c r="D41" s="79">
        <v>134772.70984615386</v>
      </c>
      <c r="E41" s="79">
        <v>150064.75707692307</v>
      </c>
      <c r="F41" s="79">
        <v>165356.80430769228</v>
      </c>
    </row>
    <row r="42" spans="1:6" x14ac:dyDescent="0.2">
      <c r="A42" t="s">
        <v>47</v>
      </c>
      <c r="B42" t="s">
        <v>32</v>
      </c>
      <c r="C42" s="44" t="s">
        <v>190</v>
      </c>
      <c r="D42" s="79">
        <v>162844.25638461538</v>
      </c>
      <c r="E42" s="79">
        <v>198325.59665384615</v>
      </c>
      <c r="F42" s="79">
        <v>233806.93692307692</v>
      </c>
    </row>
    <row r="43" spans="1:6" x14ac:dyDescent="0.2">
      <c r="A43" t="s">
        <v>47</v>
      </c>
      <c r="B43" t="s">
        <v>88</v>
      </c>
      <c r="C43" s="44" t="s">
        <v>190</v>
      </c>
      <c r="D43" s="79">
        <v>148744.27361538459</v>
      </c>
      <c r="E43" s="79">
        <v>163559.54323076922</v>
      </c>
      <c r="F43" s="79">
        <v>178374.81284615383</v>
      </c>
    </row>
    <row r="44" spans="1:6" x14ac:dyDescent="0.2">
      <c r="A44" t="s">
        <v>47</v>
      </c>
      <c r="B44" t="s">
        <v>96</v>
      </c>
      <c r="C44" s="44" t="s">
        <v>193</v>
      </c>
      <c r="D44" s="79">
        <v>117177.61784615385</v>
      </c>
      <c r="E44" s="79">
        <v>160026.83397907691</v>
      </c>
      <c r="F44" s="79">
        <v>224322.59846153847</v>
      </c>
    </row>
    <row r="45" spans="1:6" x14ac:dyDescent="0.2">
      <c r="A45" t="s">
        <v>47</v>
      </c>
      <c r="B45" t="s">
        <v>74</v>
      </c>
      <c r="C45" s="44" t="s">
        <v>193</v>
      </c>
      <c r="D45" s="79">
        <v>114089.18591999999</v>
      </c>
      <c r="E45" s="79">
        <v>137204.75628</v>
      </c>
      <c r="F45" s="79">
        <v>160320.32663999998</v>
      </c>
    </row>
    <row r="46" spans="1:6" x14ac:dyDescent="0.2">
      <c r="A46" t="s">
        <v>47</v>
      </c>
      <c r="B46" t="s">
        <v>82</v>
      </c>
      <c r="C46" s="44" t="s">
        <v>193</v>
      </c>
      <c r="D46" s="79">
        <v>114785.40246153847</v>
      </c>
      <c r="E46" s="79">
        <v>152905.41211538459</v>
      </c>
      <c r="F46" s="79">
        <v>191025.42176923077</v>
      </c>
    </row>
    <row r="47" spans="1:6" x14ac:dyDescent="0.2">
      <c r="A47" t="s">
        <v>47</v>
      </c>
      <c r="B47" t="s">
        <v>62</v>
      </c>
      <c r="C47" s="44" t="s">
        <v>193</v>
      </c>
      <c r="D47" s="79">
        <v>134772.70984615386</v>
      </c>
      <c r="E47" s="79">
        <v>150064.75707692307</v>
      </c>
      <c r="F47" s="79">
        <v>165356.80430769228</v>
      </c>
    </row>
    <row r="48" spans="1:6" x14ac:dyDescent="0.2">
      <c r="A48" t="s">
        <v>47</v>
      </c>
      <c r="B48" t="s">
        <v>32</v>
      </c>
      <c r="C48" s="44" t="s">
        <v>193</v>
      </c>
      <c r="D48" s="79">
        <v>162844.25638461538</v>
      </c>
      <c r="E48" s="79">
        <v>198325.59665384615</v>
      </c>
      <c r="F48" s="79">
        <v>233806.93692307692</v>
      </c>
    </row>
    <row r="49" spans="1:6" x14ac:dyDescent="0.2">
      <c r="A49" t="s">
        <v>47</v>
      </c>
      <c r="B49" t="s">
        <v>88</v>
      </c>
      <c r="C49" s="44" t="s">
        <v>193</v>
      </c>
      <c r="D49" s="79">
        <v>148744.27361538459</v>
      </c>
      <c r="E49" s="79">
        <v>163559.54323076922</v>
      </c>
      <c r="F49" s="79">
        <v>178374.81284615383</v>
      </c>
    </row>
    <row r="50" spans="1:6" x14ac:dyDescent="0.2">
      <c r="A50" t="s">
        <v>47</v>
      </c>
      <c r="B50" t="s">
        <v>96</v>
      </c>
      <c r="C50" s="44" t="s">
        <v>189</v>
      </c>
      <c r="D50" s="79">
        <v>116915.24584615385</v>
      </c>
      <c r="E50" s="79">
        <v>160026.83397907691</v>
      </c>
      <c r="F50" s="79">
        <v>224779.89846153845</v>
      </c>
    </row>
    <row r="51" spans="1:6" x14ac:dyDescent="0.2">
      <c r="A51" t="s">
        <v>47</v>
      </c>
      <c r="B51" t="s">
        <v>74</v>
      </c>
      <c r="C51" s="44" t="s">
        <v>189</v>
      </c>
      <c r="D51" s="79">
        <v>113824.18975999998</v>
      </c>
      <c r="E51" s="79">
        <v>137204.75628</v>
      </c>
      <c r="F51" s="79">
        <v>160658.85183999999</v>
      </c>
    </row>
    <row r="52" spans="1:6" x14ac:dyDescent="0.2">
      <c r="A52" t="s">
        <v>47</v>
      </c>
      <c r="B52" t="s">
        <v>82</v>
      </c>
      <c r="C52" s="44" t="s">
        <v>189</v>
      </c>
      <c r="D52" s="79">
        <v>114523.03046153847</v>
      </c>
      <c r="E52" s="79">
        <v>152905.41211538459</v>
      </c>
      <c r="F52" s="79">
        <v>191424.92676923075</v>
      </c>
    </row>
    <row r="53" spans="1:6" x14ac:dyDescent="0.2">
      <c r="A53" t="s">
        <v>47</v>
      </c>
      <c r="B53" t="s">
        <v>62</v>
      </c>
      <c r="C53" s="44" t="s">
        <v>189</v>
      </c>
      <c r="D53" s="79">
        <v>134459.67184615385</v>
      </c>
      <c r="E53" s="79">
        <v>150064.75707692307</v>
      </c>
      <c r="F53" s="79">
        <v>165705.96430769231</v>
      </c>
    </row>
    <row r="54" spans="1:6" x14ac:dyDescent="0.2">
      <c r="A54" t="s">
        <v>47</v>
      </c>
      <c r="B54" t="s">
        <v>32</v>
      </c>
      <c r="C54" s="44" t="s">
        <v>189</v>
      </c>
      <c r="D54" s="79">
        <v>162493.90088461537</v>
      </c>
      <c r="E54" s="79">
        <v>198325.59665384615</v>
      </c>
      <c r="F54" s="79">
        <v>234264.23692307691</v>
      </c>
    </row>
    <row r="55" spans="1:6" x14ac:dyDescent="0.2">
      <c r="A55" t="s">
        <v>47</v>
      </c>
      <c r="B55" t="s">
        <v>88</v>
      </c>
      <c r="C55" s="44" t="s">
        <v>189</v>
      </c>
      <c r="D55" s="79">
        <v>148427.58911538462</v>
      </c>
      <c r="E55" s="79">
        <v>163559.54323076922</v>
      </c>
      <c r="F55" s="79">
        <v>178720.05784615385</v>
      </c>
    </row>
    <row r="56" spans="1:6" x14ac:dyDescent="0.2">
      <c r="A56" t="s">
        <v>47</v>
      </c>
      <c r="B56" t="s">
        <v>96</v>
      </c>
      <c r="C56" s="44" t="s">
        <v>192</v>
      </c>
      <c r="D56" s="79">
        <v>117177.61784615385</v>
      </c>
      <c r="E56" s="79">
        <v>160026.83397907691</v>
      </c>
      <c r="F56" s="79">
        <v>224322.59846153847</v>
      </c>
    </row>
    <row r="57" spans="1:6" x14ac:dyDescent="0.2">
      <c r="A57" t="s">
        <v>47</v>
      </c>
      <c r="B57" t="s">
        <v>74</v>
      </c>
      <c r="C57" s="44" t="s">
        <v>192</v>
      </c>
      <c r="D57" s="79">
        <v>114089.18591999999</v>
      </c>
      <c r="E57" s="79">
        <v>137204.75628</v>
      </c>
      <c r="F57" s="79">
        <v>160320.32663999998</v>
      </c>
    </row>
    <row r="58" spans="1:6" x14ac:dyDescent="0.2">
      <c r="A58" t="s">
        <v>47</v>
      </c>
      <c r="B58" t="s">
        <v>82</v>
      </c>
      <c r="C58" s="44" t="s">
        <v>192</v>
      </c>
      <c r="D58" s="79">
        <v>114785.40246153847</v>
      </c>
      <c r="E58" s="79">
        <v>152905.41211538459</v>
      </c>
      <c r="F58" s="79">
        <v>191025.42176923077</v>
      </c>
    </row>
    <row r="59" spans="1:6" x14ac:dyDescent="0.2">
      <c r="A59" t="s">
        <v>47</v>
      </c>
      <c r="B59" t="s">
        <v>62</v>
      </c>
      <c r="C59" s="44" t="s">
        <v>192</v>
      </c>
      <c r="D59" s="79">
        <v>134772.70984615386</v>
      </c>
      <c r="E59" s="79">
        <v>150064.75707692307</v>
      </c>
      <c r="F59" s="79">
        <v>165356.80430769228</v>
      </c>
    </row>
    <row r="60" spans="1:6" x14ac:dyDescent="0.2">
      <c r="A60" t="s">
        <v>47</v>
      </c>
      <c r="B60" t="s">
        <v>32</v>
      </c>
      <c r="C60" s="44" t="s">
        <v>192</v>
      </c>
      <c r="D60" s="79">
        <v>162844.25638461538</v>
      </c>
      <c r="E60" s="79">
        <v>198325.59665384615</v>
      </c>
      <c r="F60" s="79">
        <v>233806.93692307692</v>
      </c>
    </row>
    <row r="61" spans="1:6" x14ac:dyDescent="0.2">
      <c r="A61" t="s">
        <v>47</v>
      </c>
      <c r="B61" t="s">
        <v>88</v>
      </c>
      <c r="C61" s="44" t="s">
        <v>192</v>
      </c>
      <c r="D61" s="79">
        <v>148744.27361538459</v>
      </c>
      <c r="E61" s="79">
        <v>163559.54323076922</v>
      </c>
      <c r="F61" s="79">
        <v>178374.81284615383</v>
      </c>
    </row>
    <row r="62" spans="1:6" x14ac:dyDescent="0.2">
      <c r="A62" t="s">
        <v>47</v>
      </c>
      <c r="B62" t="s">
        <v>96</v>
      </c>
      <c r="C62" s="44" t="s">
        <v>199</v>
      </c>
      <c r="D62" s="79">
        <v>116939.09784615383</v>
      </c>
      <c r="E62" s="79">
        <v>160026.83397907691</v>
      </c>
      <c r="F62" s="79">
        <v>225923.14846153845</v>
      </c>
    </row>
    <row r="63" spans="1:6" x14ac:dyDescent="0.2">
      <c r="A63" t="s">
        <v>47</v>
      </c>
      <c r="B63" t="s">
        <v>74</v>
      </c>
      <c r="C63" s="44" t="s">
        <v>199</v>
      </c>
      <c r="D63" s="79">
        <v>113848.28031999999</v>
      </c>
      <c r="E63" s="79">
        <v>137204.75628</v>
      </c>
      <c r="F63" s="79">
        <v>161505.16483999998</v>
      </c>
    </row>
    <row r="64" spans="1:6" x14ac:dyDescent="0.2">
      <c r="A64" t="s">
        <v>47</v>
      </c>
      <c r="B64" t="s">
        <v>82</v>
      </c>
      <c r="C64" s="44" t="s">
        <v>199</v>
      </c>
      <c r="D64" s="79">
        <v>114546.88246153845</v>
      </c>
      <c r="E64" s="79">
        <v>152905.41211538459</v>
      </c>
      <c r="F64" s="79">
        <v>192423.68926923076</v>
      </c>
    </row>
    <row r="65" spans="1:6" x14ac:dyDescent="0.2">
      <c r="A65" t="s">
        <v>47</v>
      </c>
      <c r="B65" t="s">
        <v>62</v>
      </c>
      <c r="C65" s="44" t="s">
        <v>199</v>
      </c>
      <c r="D65" s="79">
        <v>134488.12984615384</v>
      </c>
      <c r="E65" s="79">
        <v>150064.75707692307</v>
      </c>
      <c r="F65" s="79">
        <v>166578.86430769227</v>
      </c>
    </row>
    <row r="66" spans="1:6" x14ac:dyDescent="0.2">
      <c r="A66" t="s">
        <v>47</v>
      </c>
      <c r="B66" t="s">
        <v>32</v>
      </c>
      <c r="C66" s="44" t="s">
        <v>199</v>
      </c>
      <c r="D66" s="79">
        <v>162525.75138461537</v>
      </c>
      <c r="E66" s="79">
        <v>198325.59665384615</v>
      </c>
      <c r="F66" s="79">
        <v>235407.48692307691</v>
      </c>
    </row>
    <row r="67" spans="1:6" x14ac:dyDescent="0.2">
      <c r="A67" t="s">
        <v>47</v>
      </c>
      <c r="B67" t="s">
        <v>88</v>
      </c>
      <c r="C67" s="44" t="s">
        <v>199</v>
      </c>
      <c r="D67" s="79">
        <v>148456.3786153846</v>
      </c>
      <c r="E67" s="79">
        <v>163559.54323076922</v>
      </c>
      <c r="F67" s="79">
        <v>179583.17034615384</v>
      </c>
    </row>
    <row r="68" spans="1:6" x14ac:dyDescent="0.2">
      <c r="A68" t="s">
        <v>50</v>
      </c>
      <c r="B68" t="s">
        <v>96</v>
      </c>
      <c r="C68" s="44" t="s">
        <v>194</v>
      </c>
      <c r="D68" s="79">
        <v>164730.14138461539</v>
      </c>
      <c r="E68" s="79">
        <v>236555.57696153846</v>
      </c>
      <c r="F68" s="79">
        <v>347404.81907692307</v>
      </c>
    </row>
    <row r="69" spans="1:6" x14ac:dyDescent="0.2">
      <c r="A69" t="s">
        <v>50</v>
      </c>
      <c r="B69" t="s">
        <v>74</v>
      </c>
      <c r="C69" s="44" t="s">
        <v>194</v>
      </c>
      <c r="D69" s="79">
        <v>168992.36138461542</v>
      </c>
      <c r="E69" s="79">
        <v>231185.3645</v>
      </c>
      <c r="F69" s="79">
        <v>293378.36761538463</v>
      </c>
    </row>
    <row r="70" spans="1:6" x14ac:dyDescent="0.2">
      <c r="A70" t="s">
        <v>50</v>
      </c>
      <c r="B70" t="s">
        <v>82</v>
      </c>
      <c r="C70" s="44" t="s">
        <v>194</v>
      </c>
      <c r="D70" s="79">
        <v>165286.09792307694</v>
      </c>
      <c r="E70" s="79">
        <v>248808.66465384612</v>
      </c>
      <c r="F70" s="79">
        <v>332331.23138461541</v>
      </c>
    </row>
    <row r="71" spans="1:6" x14ac:dyDescent="0.2">
      <c r="A71" t="s">
        <v>50</v>
      </c>
      <c r="B71" t="s">
        <v>62</v>
      </c>
      <c r="C71" s="44" t="s">
        <v>194</v>
      </c>
      <c r="D71" s="79">
        <v>157196.94138461538</v>
      </c>
      <c r="E71" s="79">
        <v>216872.15480769228</v>
      </c>
      <c r="F71" s="79">
        <v>276547.36823076918</v>
      </c>
    </row>
    <row r="72" spans="1:6" x14ac:dyDescent="0.2">
      <c r="A72" t="s">
        <v>50</v>
      </c>
      <c r="B72" t="s">
        <v>32</v>
      </c>
      <c r="C72" s="44" t="s">
        <v>194</v>
      </c>
      <c r="D72" s="79">
        <v>203549.5686153846</v>
      </c>
      <c r="E72" s="79">
        <v>260395.89330769231</v>
      </c>
      <c r="F72" s="79">
        <v>317242.21799999999</v>
      </c>
    </row>
    <row r="73" spans="1:6" x14ac:dyDescent="0.2">
      <c r="A73" t="s">
        <v>50</v>
      </c>
      <c r="B73" t="s">
        <v>88</v>
      </c>
      <c r="C73" s="44" t="s">
        <v>194</v>
      </c>
      <c r="D73" s="79">
        <v>206401.11800000002</v>
      </c>
      <c r="E73" s="79">
        <v>224182.02484615386</v>
      </c>
      <c r="F73" s="79">
        <v>241962.9316923077</v>
      </c>
    </row>
    <row r="74" spans="1:6" x14ac:dyDescent="0.2">
      <c r="A74" t="s">
        <v>50</v>
      </c>
      <c r="B74" t="s">
        <v>96</v>
      </c>
      <c r="C74" s="44" t="s">
        <v>191</v>
      </c>
      <c r="D74" s="79">
        <v>164730.14138461539</v>
      </c>
      <c r="E74" s="79">
        <v>236555.57696153846</v>
      </c>
      <c r="F74" s="79">
        <v>347404.81907692307</v>
      </c>
    </row>
    <row r="75" spans="1:6" x14ac:dyDescent="0.2">
      <c r="A75" t="s">
        <v>50</v>
      </c>
      <c r="B75" t="s">
        <v>74</v>
      </c>
      <c r="C75" s="44" t="s">
        <v>191</v>
      </c>
      <c r="D75" s="79">
        <v>168992.36138461542</v>
      </c>
      <c r="E75" s="79">
        <v>231185.3645</v>
      </c>
      <c r="F75" s="79">
        <v>293378.36761538463</v>
      </c>
    </row>
    <row r="76" spans="1:6" x14ac:dyDescent="0.2">
      <c r="A76" t="s">
        <v>50</v>
      </c>
      <c r="B76" t="s">
        <v>82</v>
      </c>
      <c r="C76" s="44" t="s">
        <v>191</v>
      </c>
      <c r="D76" s="79">
        <v>165286.09792307694</v>
      </c>
      <c r="E76" s="79">
        <v>248808.66465384612</v>
      </c>
      <c r="F76" s="79">
        <v>332331.23138461541</v>
      </c>
    </row>
    <row r="77" spans="1:6" x14ac:dyDescent="0.2">
      <c r="A77" t="s">
        <v>50</v>
      </c>
      <c r="B77" t="s">
        <v>62</v>
      </c>
      <c r="C77" s="44" t="s">
        <v>191</v>
      </c>
      <c r="D77" s="79">
        <v>157196.94138461538</v>
      </c>
      <c r="E77" s="79">
        <v>216872.15480769228</v>
      </c>
      <c r="F77" s="79">
        <v>276547.36823076918</v>
      </c>
    </row>
    <row r="78" spans="1:6" x14ac:dyDescent="0.2">
      <c r="A78" t="s">
        <v>50</v>
      </c>
      <c r="B78" t="s">
        <v>32</v>
      </c>
      <c r="C78" s="44" t="s">
        <v>191</v>
      </c>
      <c r="D78" s="79">
        <v>203549.5686153846</v>
      </c>
      <c r="E78" s="79">
        <v>260395.89330769231</v>
      </c>
      <c r="F78" s="79">
        <v>317242.21799999999</v>
      </c>
    </row>
    <row r="79" spans="1:6" x14ac:dyDescent="0.2">
      <c r="A79" t="s">
        <v>50</v>
      </c>
      <c r="B79" t="s">
        <v>88</v>
      </c>
      <c r="C79" s="44" t="s">
        <v>191</v>
      </c>
      <c r="D79" s="79">
        <v>206401.11800000002</v>
      </c>
      <c r="E79" s="79">
        <v>224182.02484615386</v>
      </c>
      <c r="F79" s="79">
        <v>241962.9316923077</v>
      </c>
    </row>
    <row r="80" spans="1:6" x14ac:dyDescent="0.2">
      <c r="A80" t="s">
        <v>50</v>
      </c>
      <c r="B80" t="s">
        <v>96</v>
      </c>
      <c r="C80" s="44" t="s">
        <v>188</v>
      </c>
      <c r="D80" s="79">
        <v>158119.54138461541</v>
      </c>
      <c r="E80" s="79">
        <v>236555.57696153846</v>
      </c>
      <c r="F80" s="79">
        <v>375320.01907692308</v>
      </c>
    </row>
    <row r="81" spans="1:6" x14ac:dyDescent="0.2">
      <c r="A81" t="s">
        <v>50</v>
      </c>
      <c r="B81" t="s">
        <v>74</v>
      </c>
      <c r="C81" s="44" t="s">
        <v>188</v>
      </c>
      <c r="D81" s="79">
        <v>162381.76138461538</v>
      </c>
      <c r="E81" s="79">
        <v>231185.3645</v>
      </c>
      <c r="F81" s="79">
        <v>316330.96761538461</v>
      </c>
    </row>
    <row r="82" spans="1:6" x14ac:dyDescent="0.2">
      <c r="A82" t="s">
        <v>50</v>
      </c>
      <c r="B82" t="s">
        <v>82</v>
      </c>
      <c r="C82" s="44" t="s">
        <v>188</v>
      </c>
      <c r="D82" s="79">
        <v>158382.99792307694</v>
      </c>
      <c r="E82" s="79">
        <v>248808.66465384612</v>
      </c>
      <c r="F82" s="79">
        <v>360246.43138461537</v>
      </c>
    </row>
    <row r="83" spans="1:6" x14ac:dyDescent="0.2">
      <c r="A83" t="s">
        <v>50</v>
      </c>
      <c r="B83" t="s">
        <v>62</v>
      </c>
      <c r="C83" s="44" t="s">
        <v>188</v>
      </c>
      <c r="D83" s="79">
        <v>150558.34138461537</v>
      </c>
      <c r="E83" s="79">
        <v>216872.15480769228</v>
      </c>
      <c r="F83" s="79">
        <v>299905.16823076922</v>
      </c>
    </row>
    <row r="84" spans="1:6" x14ac:dyDescent="0.2">
      <c r="A84" t="s">
        <v>50</v>
      </c>
      <c r="B84" t="s">
        <v>32</v>
      </c>
      <c r="C84" s="44" t="s">
        <v>188</v>
      </c>
      <c r="D84" s="79">
        <v>195587.16861538461</v>
      </c>
      <c r="E84" s="79">
        <v>260395.89330769231</v>
      </c>
      <c r="F84" s="79">
        <v>342061.81799999997</v>
      </c>
    </row>
    <row r="85" spans="1:6" x14ac:dyDescent="0.2">
      <c r="A85" t="s">
        <v>50</v>
      </c>
      <c r="B85" t="s">
        <v>88</v>
      </c>
      <c r="C85" s="44" t="s">
        <v>188</v>
      </c>
      <c r="D85" s="79">
        <v>198411.318</v>
      </c>
      <c r="E85" s="79">
        <v>224182.02484615386</v>
      </c>
      <c r="F85" s="79">
        <v>260695.73169230769</v>
      </c>
    </row>
    <row r="86" spans="1:6" x14ac:dyDescent="0.2">
      <c r="A86" t="s">
        <v>50</v>
      </c>
      <c r="B86" t="s">
        <v>96</v>
      </c>
      <c r="C86" s="44" t="s">
        <v>185</v>
      </c>
      <c r="D86" s="79">
        <v>157196.94138461538</v>
      </c>
      <c r="E86" s="79">
        <v>236288.82042307692</v>
      </c>
      <c r="F86" s="79">
        <v>332331.23138461541</v>
      </c>
    </row>
    <row r="87" spans="1:6" x14ac:dyDescent="0.2">
      <c r="A87" t="s">
        <v>50</v>
      </c>
      <c r="B87" t="s">
        <v>74</v>
      </c>
      <c r="C87" s="44" t="s">
        <v>185</v>
      </c>
      <c r="D87" s="79">
        <v>168992.36138461542</v>
      </c>
      <c r="E87" s="79">
        <v>231185.3645</v>
      </c>
      <c r="F87" s="79">
        <v>293378.36761538463</v>
      </c>
    </row>
    <row r="88" spans="1:6" x14ac:dyDescent="0.2">
      <c r="A88" t="s">
        <v>50</v>
      </c>
      <c r="B88" t="s">
        <v>82</v>
      </c>
      <c r="C88" s="44" t="s">
        <v>185</v>
      </c>
      <c r="D88" s="79">
        <v>165286.09792307694</v>
      </c>
      <c r="E88" s="79">
        <v>248808.66465384612</v>
      </c>
      <c r="F88" s="79">
        <v>332331.23138461541</v>
      </c>
    </row>
    <row r="89" spans="1:6" x14ac:dyDescent="0.2">
      <c r="A89" t="s">
        <v>50</v>
      </c>
      <c r="B89" t="s">
        <v>62</v>
      </c>
      <c r="C89" s="44" t="s">
        <v>185</v>
      </c>
      <c r="D89" s="79">
        <v>157196.94138461538</v>
      </c>
      <c r="E89" s="79">
        <v>216872.15480769228</v>
      </c>
      <c r="F89" s="79">
        <v>276547.36823076918</v>
      </c>
    </row>
    <row r="90" spans="1:6" x14ac:dyDescent="0.2">
      <c r="A90" t="s">
        <v>50</v>
      </c>
      <c r="B90" t="s">
        <v>32</v>
      </c>
      <c r="C90" s="44" t="s">
        <v>185</v>
      </c>
      <c r="D90" s="79">
        <v>203549.5686153846</v>
      </c>
      <c r="E90" s="79">
        <v>260395.89330769231</v>
      </c>
      <c r="F90" s="79">
        <v>317242.21799999999</v>
      </c>
    </row>
    <row r="91" spans="1:6" x14ac:dyDescent="0.2">
      <c r="A91" t="s">
        <v>50</v>
      </c>
      <c r="B91" t="s">
        <v>88</v>
      </c>
      <c r="C91" s="44" t="s">
        <v>185</v>
      </c>
      <c r="D91" s="79">
        <v>206401.11800000002</v>
      </c>
      <c r="E91" s="79">
        <v>224182.02484615386</v>
      </c>
      <c r="F91" s="79">
        <v>241962.9316923077</v>
      </c>
    </row>
    <row r="92" spans="1:6" x14ac:dyDescent="0.2">
      <c r="A92" t="s">
        <v>50</v>
      </c>
      <c r="B92" t="s">
        <v>96</v>
      </c>
      <c r="C92" s="44" t="s">
        <v>198</v>
      </c>
      <c r="D92" s="79">
        <v>164730.14138461539</v>
      </c>
      <c r="E92" s="79">
        <v>236555.57696153846</v>
      </c>
      <c r="F92" s="79">
        <v>347404.81907692307</v>
      </c>
    </row>
    <row r="93" spans="1:6" x14ac:dyDescent="0.2">
      <c r="A93" t="s">
        <v>50</v>
      </c>
      <c r="B93" t="s">
        <v>74</v>
      </c>
      <c r="C93" s="44" t="s">
        <v>198</v>
      </c>
      <c r="D93" s="79">
        <v>168992.36138461542</v>
      </c>
      <c r="E93" s="79">
        <v>231185.3645</v>
      </c>
      <c r="F93" s="79">
        <v>293378.36761538463</v>
      </c>
    </row>
    <row r="94" spans="1:6" x14ac:dyDescent="0.2">
      <c r="A94" t="s">
        <v>50</v>
      </c>
      <c r="B94" t="s">
        <v>82</v>
      </c>
      <c r="C94" s="44" t="s">
        <v>198</v>
      </c>
      <c r="D94" s="79">
        <v>165286.09792307694</v>
      </c>
      <c r="E94" s="79">
        <v>248808.66465384612</v>
      </c>
      <c r="F94" s="79">
        <v>332331.23138461541</v>
      </c>
    </row>
    <row r="95" spans="1:6" x14ac:dyDescent="0.2">
      <c r="A95" t="s">
        <v>50</v>
      </c>
      <c r="B95" t="s">
        <v>62</v>
      </c>
      <c r="C95" s="44" t="s">
        <v>198</v>
      </c>
      <c r="D95" s="79">
        <v>157196.94138461538</v>
      </c>
      <c r="E95" s="79">
        <v>216872.15480769228</v>
      </c>
      <c r="F95" s="79">
        <v>276547.36823076918</v>
      </c>
    </row>
    <row r="96" spans="1:6" x14ac:dyDescent="0.2">
      <c r="A96" t="s">
        <v>50</v>
      </c>
      <c r="B96" t="s">
        <v>32</v>
      </c>
      <c r="C96" s="44" t="s">
        <v>198</v>
      </c>
      <c r="D96" s="79">
        <v>203549.5686153846</v>
      </c>
      <c r="E96" s="79">
        <v>260395.89330769231</v>
      </c>
      <c r="F96" s="79">
        <v>317242.21799999999</v>
      </c>
    </row>
    <row r="97" spans="1:6" x14ac:dyDescent="0.2">
      <c r="A97" t="s">
        <v>50</v>
      </c>
      <c r="B97" t="s">
        <v>88</v>
      </c>
      <c r="C97" s="44" t="s">
        <v>198</v>
      </c>
      <c r="D97" s="79">
        <v>206401.11800000002</v>
      </c>
      <c r="E97" s="79">
        <v>224182.02484615386</v>
      </c>
      <c r="F97" s="79">
        <v>241962.9316923077</v>
      </c>
    </row>
    <row r="98" spans="1:6" x14ac:dyDescent="0.2">
      <c r="A98" t="s">
        <v>50</v>
      </c>
      <c r="B98" t="s">
        <v>96</v>
      </c>
      <c r="C98" s="44" t="s">
        <v>195</v>
      </c>
      <c r="D98" s="79">
        <v>164730.14138461539</v>
      </c>
      <c r="E98" s="79">
        <v>236555.57696153846</v>
      </c>
      <c r="F98" s="79">
        <v>347404.81907692307</v>
      </c>
    </row>
    <row r="99" spans="1:6" x14ac:dyDescent="0.2">
      <c r="A99" t="s">
        <v>50</v>
      </c>
      <c r="B99" t="s">
        <v>74</v>
      </c>
      <c r="C99" s="44" t="s">
        <v>195</v>
      </c>
      <c r="D99" s="79">
        <v>168992.36138461542</v>
      </c>
      <c r="E99" s="79">
        <v>231185.3645</v>
      </c>
      <c r="F99" s="79">
        <v>293378.36761538463</v>
      </c>
    </row>
    <row r="100" spans="1:6" x14ac:dyDescent="0.2">
      <c r="A100" t="s">
        <v>50</v>
      </c>
      <c r="B100" t="s">
        <v>82</v>
      </c>
      <c r="C100" s="44" t="s">
        <v>195</v>
      </c>
      <c r="D100" s="79">
        <v>165286.09792307694</v>
      </c>
      <c r="E100" s="79">
        <v>248808.66465384612</v>
      </c>
      <c r="F100" s="79">
        <v>332331.23138461541</v>
      </c>
    </row>
    <row r="101" spans="1:6" x14ac:dyDescent="0.2">
      <c r="A101" t="s">
        <v>50</v>
      </c>
      <c r="B101" t="s">
        <v>62</v>
      </c>
      <c r="C101" s="44" t="s">
        <v>195</v>
      </c>
      <c r="D101" s="79">
        <v>157196.94138461538</v>
      </c>
      <c r="E101" s="79">
        <v>216872.15480769228</v>
      </c>
      <c r="F101" s="79">
        <v>276547.36823076918</v>
      </c>
    </row>
    <row r="102" spans="1:6" x14ac:dyDescent="0.2">
      <c r="A102" t="s">
        <v>50</v>
      </c>
      <c r="B102" t="s">
        <v>32</v>
      </c>
      <c r="C102" s="44" t="s">
        <v>195</v>
      </c>
      <c r="D102" s="79">
        <v>203549.5686153846</v>
      </c>
      <c r="E102" s="79">
        <v>260395.89330769231</v>
      </c>
      <c r="F102" s="79">
        <v>317242.21799999999</v>
      </c>
    </row>
    <row r="103" spans="1:6" x14ac:dyDescent="0.2">
      <c r="A103" t="s">
        <v>50</v>
      </c>
      <c r="B103" t="s">
        <v>88</v>
      </c>
      <c r="C103" s="44" t="s">
        <v>195</v>
      </c>
      <c r="D103" s="79">
        <v>206401.11800000002</v>
      </c>
      <c r="E103" s="79">
        <v>224182.02484615386</v>
      </c>
      <c r="F103" s="79">
        <v>241962.9316923077</v>
      </c>
    </row>
    <row r="104" spans="1:6" x14ac:dyDescent="0.2">
      <c r="A104" t="s">
        <v>50</v>
      </c>
      <c r="B104" t="s">
        <v>96</v>
      </c>
      <c r="C104" s="44" t="s">
        <v>190</v>
      </c>
      <c r="D104" s="79">
        <v>164730.14138461539</v>
      </c>
      <c r="E104" s="79">
        <v>236555.57696153846</v>
      </c>
      <c r="F104" s="79">
        <v>347404.81907692307</v>
      </c>
    </row>
    <row r="105" spans="1:6" x14ac:dyDescent="0.2">
      <c r="A105" t="s">
        <v>50</v>
      </c>
      <c r="B105" t="s">
        <v>74</v>
      </c>
      <c r="C105" s="44" t="s">
        <v>190</v>
      </c>
      <c r="D105" s="79">
        <v>168992.36138461542</v>
      </c>
      <c r="E105" s="79">
        <v>231185.3645</v>
      </c>
      <c r="F105" s="79">
        <v>293378.36761538463</v>
      </c>
    </row>
    <row r="106" spans="1:6" x14ac:dyDescent="0.2">
      <c r="A106" t="s">
        <v>50</v>
      </c>
      <c r="B106" t="s">
        <v>82</v>
      </c>
      <c r="C106" s="44" t="s">
        <v>190</v>
      </c>
      <c r="D106" s="79">
        <v>165286.09792307694</v>
      </c>
      <c r="E106" s="79">
        <v>248808.66465384612</v>
      </c>
      <c r="F106" s="79">
        <v>332331.23138461541</v>
      </c>
    </row>
    <row r="107" spans="1:6" x14ac:dyDescent="0.2">
      <c r="A107" t="s">
        <v>50</v>
      </c>
      <c r="B107" t="s">
        <v>62</v>
      </c>
      <c r="C107" s="44" t="s">
        <v>190</v>
      </c>
      <c r="D107" s="79">
        <v>157196.94138461538</v>
      </c>
      <c r="E107" s="79">
        <v>216872.15480769228</v>
      </c>
      <c r="F107" s="79">
        <v>276547.36823076918</v>
      </c>
    </row>
    <row r="108" spans="1:6" x14ac:dyDescent="0.2">
      <c r="A108" t="s">
        <v>50</v>
      </c>
      <c r="B108" t="s">
        <v>32</v>
      </c>
      <c r="C108" s="44" t="s">
        <v>190</v>
      </c>
      <c r="D108" s="79">
        <v>203549.5686153846</v>
      </c>
      <c r="E108" s="79">
        <v>260395.89330769231</v>
      </c>
      <c r="F108" s="79">
        <v>317242.21799999999</v>
      </c>
    </row>
    <row r="109" spans="1:6" x14ac:dyDescent="0.2">
      <c r="A109" t="s">
        <v>50</v>
      </c>
      <c r="B109" t="s">
        <v>88</v>
      </c>
      <c r="C109" s="44" t="s">
        <v>190</v>
      </c>
      <c r="D109" s="79">
        <v>206401.11800000002</v>
      </c>
      <c r="E109" s="79">
        <v>224182.02484615386</v>
      </c>
      <c r="F109" s="79">
        <v>241962.9316923077</v>
      </c>
    </row>
    <row r="110" spans="1:6" x14ac:dyDescent="0.2">
      <c r="A110" t="s">
        <v>50</v>
      </c>
      <c r="B110" t="s">
        <v>96</v>
      </c>
      <c r="C110" s="44" t="s">
        <v>193</v>
      </c>
      <c r="D110" s="79">
        <v>164730.14138461539</v>
      </c>
      <c r="E110" s="79">
        <v>236555.57696153846</v>
      </c>
      <c r="F110" s="79">
        <v>347404.81907692307</v>
      </c>
    </row>
    <row r="111" spans="1:6" x14ac:dyDescent="0.2">
      <c r="A111" t="s">
        <v>50</v>
      </c>
      <c r="B111" t="s">
        <v>74</v>
      </c>
      <c r="C111" s="44" t="s">
        <v>193</v>
      </c>
      <c r="D111" s="79">
        <v>168992.36138461542</v>
      </c>
      <c r="E111" s="79">
        <v>231185.3645</v>
      </c>
      <c r="F111" s="79">
        <v>293378.36761538463</v>
      </c>
    </row>
    <row r="112" spans="1:6" x14ac:dyDescent="0.2">
      <c r="A112" t="s">
        <v>50</v>
      </c>
      <c r="B112" t="s">
        <v>82</v>
      </c>
      <c r="C112" s="44" t="s">
        <v>193</v>
      </c>
      <c r="D112" s="79">
        <v>165286.09792307694</v>
      </c>
      <c r="E112" s="79">
        <v>248808.66465384612</v>
      </c>
      <c r="F112" s="79">
        <v>332331.23138461541</v>
      </c>
    </row>
    <row r="113" spans="1:6" x14ac:dyDescent="0.2">
      <c r="A113" t="s">
        <v>50</v>
      </c>
      <c r="B113" t="s">
        <v>62</v>
      </c>
      <c r="C113" s="44" t="s">
        <v>193</v>
      </c>
      <c r="D113" s="79">
        <v>157196.94138461538</v>
      </c>
      <c r="E113" s="79">
        <v>216872.15480769228</v>
      </c>
      <c r="F113" s="79">
        <v>276547.36823076918</v>
      </c>
    </row>
    <row r="114" spans="1:6" x14ac:dyDescent="0.2">
      <c r="A114" t="s">
        <v>50</v>
      </c>
      <c r="B114" t="s">
        <v>32</v>
      </c>
      <c r="C114" s="44" t="s">
        <v>193</v>
      </c>
      <c r="D114" s="79">
        <v>203549.5686153846</v>
      </c>
      <c r="E114" s="79">
        <v>260395.89330769231</v>
      </c>
      <c r="F114" s="79">
        <v>317242.21799999999</v>
      </c>
    </row>
    <row r="115" spans="1:6" x14ac:dyDescent="0.2">
      <c r="A115" t="s">
        <v>50</v>
      </c>
      <c r="B115" t="s">
        <v>88</v>
      </c>
      <c r="C115" s="44" t="s">
        <v>193</v>
      </c>
      <c r="D115" s="79">
        <v>206401.11800000002</v>
      </c>
      <c r="E115" s="79">
        <v>224182.02484615386</v>
      </c>
      <c r="F115" s="79">
        <v>241962.9316923077</v>
      </c>
    </row>
    <row r="116" spans="1:6" x14ac:dyDescent="0.2">
      <c r="A116" t="s">
        <v>50</v>
      </c>
      <c r="B116" t="s">
        <v>96</v>
      </c>
      <c r="C116" s="44" t="s">
        <v>189</v>
      </c>
      <c r="D116" s="79">
        <v>164366.5583846154</v>
      </c>
      <c r="E116" s="79">
        <v>236555.57696153846</v>
      </c>
      <c r="F116" s="79">
        <v>348102.69907692308</v>
      </c>
    </row>
    <row r="117" spans="1:6" x14ac:dyDescent="0.2">
      <c r="A117" t="s">
        <v>50</v>
      </c>
      <c r="B117" t="s">
        <v>74</v>
      </c>
      <c r="C117" s="44" t="s">
        <v>189</v>
      </c>
      <c r="D117" s="79">
        <v>168628.77838461538</v>
      </c>
      <c r="E117" s="79">
        <v>231185.3645</v>
      </c>
      <c r="F117" s="79">
        <v>293952.18261538458</v>
      </c>
    </row>
    <row r="118" spans="1:6" x14ac:dyDescent="0.2">
      <c r="A118" t="s">
        <v>50</v>
      </c>
      <c r="B118" t="s">
        <v>82</v>
      </c>
      <c r="C118" s="44" t="s">
        <v>189</v>
      </c>
      <c r="D118" s="79">
        <v>164906.42742307694</v>
      </c>
      <c r="E118" s="79">
        <v>248808.66465384612</v>
      </c>
      <c r="F118" s="79">
        <v>333029.11138461542</v>
      </c>
    </row>
    <row r="119" spans="1:6" x14ac:dyDescent="0.2">
      <c r="A119" t="s">
        <v>50</v>
      </c>
      <c r="B119" t="s">
        <v>62</v>
      </c>
      <c r="C119" s="44" t="s">
        <v>189</v>
      </c>
      <c r="D119" s="79">
        <v>156831.81838461538</v>
      </c>
      <c r="E119" s="79">
        <v>216872.15480769228</v>
      </c>
      <c r="F119" s="79">
        <v>277131.31323076924</v>
      </c>
    </row>
    <row r="120" spans="1:6" x14ac:dyDescent="0.2">
      <c r="A120" t="s">
        <v>50</v>
      </c>
      <c r="B120" t="s">
        <v>32</v>
      </c>
      <c r="C120" s="44" t="s">
        <v>189</v>
      </c>
      <c r="D120" s="79">
        <v>203111.6366153846</v>
      </c>
      <c r="E120" s="79">
        <v>260395.89330769231</v>
      </c>
      <c r="F120" s="79">
        <v>317862.70799999998</v>
      </c>
    </row>
    <row r="121" spans="1:6" x14ac:dyDescent="0.2">
      <c r="A121" t="s">
        <v>50</v>
      </c>
      <c r="B121" t="s">
        <v>88</v>
      </c>
      <c r="C121" s="44" t="s">
        <v>189</v>
      </c>
      <c r="D121" s="79">
        <v>205961.679</v>
      </c>
      <c r="E121" s="79">
        <v>224182.02484615386</v>
      </c>
      <c r="F121" s="79">
        <v>242431.25169230768</v>
      </c>
    </row>
    <row r="122" spans="1:6" x14ac:dyDescent="0.2">
      <c r="A122" t="s">
        <v>50</v>
      </c>
      <c r="B122" t="s">
        <v>96</v>
      </c>
      <c r="C122" s="44" t="s">
        <v>192</v>
      </c>
      <c r="D122" s="79">
        <v>164730.14138461539</v>
      </c>
      <c r="E122" s="79">
        <v>236555.57696153846</v>
      </c>
      <c r="F122" s="79">
        <v>347404.81907692307</v>
      </c>
    </row>
    <row r="123" spans="1:6" x14ac:dyDescent="0.2">
      <c r="A123" t="s">
        <v>50</v>
      </c>
      <c r="B123" t="s">
        <v>74</v>
      </c>
      <c r="C123" s="44" t="s">
        <v>192</v>
      </c>
      <c r="D123" s="79">
        <v>168992.36138461542</v>
      </c>
      <c r="E123" s="79">
        <v>231185.3645</v>
      </c>
      <c r="F123" s="79">
        <v>293378.36761538463</v>
      </c>
    </row>
    <row r="124" spans="1:6" x14ac:dyDescent="0.2">
      <c r="A124" t="s">
        <v>50</v>
      </c>
      <c r="B124" t="s">
        <v>82</v>
      </c>
      <c r="C124" s="44" t="s">
        <v>192</v>
      </c>
      <c r="D124" s="79">
        <v>165286.09792307694</v>
      </c>
      <c r="E124" s="79">
        <v>248808.66465384612</v>
      </c>
      <c r="F124" s="79">
        <v>332331.23138461541</v>
      </c>
    </row>
    <row r="125" spans="1:6" x14ac:dyDescent="0.2">
      <c r="A125" t="s">
        <v>50</v>
      </c>
      <c r="B125" t="s">
        <v>62</v>
      </c>
      <c r="C125" s="44" t="s">
        <v>192</v>
      </c>
      <c r="D125" s="79">
        <v>157196.94138461538</v>
      </c>
      <c r="E125" s="79">
        <v>216872.15480769228</v>
      </c>
      <c r="F125" s="79">
        <v>276547.36823076918</v>
      </c>
    </row>
    <row r="126" spans="1:6" x14ac:dyDescent="0.2">
      <c r="A126" t="s">
        <v>50</v>
      </c>
      <c r="B126" t="s">
        <v>32</v>
      </c>
      <c r="C126" s="44" t="s">
        <v>192</v>
      </c>
      <c r="D126" s="79">
        <v>203549.5686153846</v>
      </c>
      <c r="E126" s="79">
        <v>260395.89330769231</v>
      </c>
      <c r="F126" s="79">
        <v>317242.21799999999</v>
      </c>
    </row>
    <row r="127" spans="1:6" x14ac:dyDescent="0.2">
      <c r="A127" t="s">
        <v>50</v>
      </c>
      <c r="B127" t="s">
        <v>88</v>
      </c>
      <c r="C127" s="44" t="s">
        <v>192</v>
      </c>
      <c r="D127" s="79">
        <v>206401.11800000002</v>
      </c>
      <c r="E127" s="79">
        <v>224182.02484615386</v>
      </c>
      <c r="F127" s="79">
        <v>241962.9316923077</v>
      </c>
    </row>
    <row r="128" spans="1:6" x14ac:dyDescent="0.2">
      <c r="A128" t="s">
        <v>50</v>
      </c>
      <c r="B128" t="s">
        <v>96</v>
      </c>
      <c r="C128" s="44" t="s">
        <v>199</v>
      </c>
      <c r="D128" s="79">
        <v>164399.61138461542</v>
      </c>
      <c r="E128" s="79">
        <v>236555.57696153846</v>
      </c>
      <c r="F128" s="79">
        <v>349847.39907692315</v>
      </c>
    </row>
    <row r="129" spans="1:6" x14ac:dyDescent="0.2">
      <c r="A129" t="s">
        <v>50</v>
      </c>
      <c r="B129" t="s">
        <v>74</v>
      </c>
      <c r="C129" s="44" t="s">
        <v>199</v>
      </c>
      <c r="D129" s="79">
        <v>168661.83138461539</v>
      </c>
      <c r="E129" s="79">
        <v>231185.3645</v>
      </c>
      <c r="F129" s="79">
        <v>295386.72011538461</v>
      </c>
    </row>
    <row r="130" spans="1:6" x14ac:dyDescent="0.2">
      <c r="A130" t="s">
        <v>50</v>
      </c>
      <c r="B130" t="s">
        <v>82</v>
      </c>
      <c r="C130" s="44" t="s">
        <v>199</v>
      </c>
      <c r="D130" s="79">
        <v>164940.94292307695</v>
      </c>
      <c r="E130" s="79">
        <v>248808.66465384612</v>
      </c>
      <c r="F130" s="79">
        <v>334773.81138461537</v>
      </c>
    </row>
    <row r="131" spans="1:6" x14ac:dyDescent="0.2">
      <c r="A131" t="s">
        <v>50</v>
      </c>
      <c r="B131" t="s">
        <v>62</v>
      </c>
      <c r="C131" s="44" t="s">
        <v>199</v>
      </c>
      <c r="D131" s="79">
        <v>156865.01138461538</v>
      </c>
      <c r="E131" s="79">
        <v>216872.15480769228</v>
      </c>
      <c r="F131" s="79">
        <v>278591.17573076917</v>
      </c>
    </row>
    <row r="132" spans="1:6" x14ac:dyDescent="0.2">
      <c r="A132" t="s">
        <v>50</v>
      </c>
      <c r="B132" t="s">
        <v>32</v>
      </c>
      <c r="C132" s="44" t="s">
        <v>199</v>
      </c>
      <c r="D132" s="79">
        <v>203151.44861538461</v>
      </c>
      <c r="E132" s="79">
        <v>260395.89330769231</v>
      </c>
      <c r="F132" s="79">
        <v>319413.93299999996</v>
      </c>
    </row>
    <row r="133" spans="1:6" x14ac:dyDescent="0.2">
      <c r="A133" t="s">
        <v>50</v>
      </c>
      <c r="B133" t="s">
        <v>88</v>
      </c>
      <c r="C133" s="44" t="s">
        <v>199</v>
      </c>
      <c r="D133" s="79">
        <v>206001.628</v>
      </c>
      <c r="E133" s="79">
        <v>224182.02484615386</v>
      </c>
      <c r="F133" s="79">
        <v>243602.05169230769</v>
      </c>
    </row>
    <row r="134" spans="1:6" x14ac:dyDescent="0.2">
      <c r="A134" t="s">
        <v>33</v>
      </c>
      <c r="B134" t="s">
        <v>96</v>
      </c>
      <c r="C134" s="44" t="s">
        <v>194</v>
      </c>
      <c r="D134" s="79">
        <v>119254.10892307691</v>
      </c>
      <c r="E134" s="79">
        <v>192266.06223815383</v>
      </c>
      <c r="F134" s="79">
        <v>270490.24323076918</v>
      </c>
    </row>
    <row r="135" spans="1:6" x14ac:dyDescent="0.2">
      <c r="A135" t="s">
        <v>33</v>
      </c>
      <c r="B135" t="s">
        <v>74</v>
      </c>
      <c r="C135" s="44" t="s">
        <v>194</v>
      </c>
      <c r="D135" s="79">
        <v>142117.72308</v>
      </c>
      <c r="E135" s="79">
        <v>183839.76995999998</v>
      </c>
      <c r="F135" s="79">
        <v>225561.81683999998</v>
      </c>
    </row>
    <row r="136" spans="1:6" x14ac:dyDescent="0.2">
      <c r="A136" t="s">
        <v>33</v>
      </c>
      <c r="B136" t="s">
        <v>82</v>
      </c>
      <c r="C136" s="44" t="s">
        <v>194</v>
      </c>
      <c r="D136" s="79">
        <v>116793.40123076923</v>
      </c>
      <c r="E136" s="79">
        <v>168044.7283076923</v>
      </c>
      <c r="F136" s="79">
        <v>219296.05538461538</v>
      </c>
    </row>
    <row r="137" spans="1:6" x14ac:dyDescent="0.2">
      <c r="A137" t="s">
        <v>33</v>
      </c>
      <c r="B137" t="s">
        <v>62</v>
      </c>
      <c r="C137" s="44" t="s">
        <v>194</v>
      </c>
      <c r="D137" s="79">
        <v>128729.77015384616</v>
      </c>
      <c r="E137" s="79">
        <v>183923.68915384618</v>
      </c>
      <c r="F137" s="79">
        <v>239117.60815384614</v>
      </c>
    </row>
    <row r="138" spans="1:6" x14ac:dyDescent="0.2">
      <c r="A138" t="s">
        <v>33</v>
      </c>
      <c r="B138" t="s">
        <v>32</v>
      </c>
      <c r="C138" s="44" t="s">
        <v>194</v>
      </c>
      <c r="D138" s="79">
        <v>203549.5686153846</v>
      </c>
      <c r="E138" s="79">
        <v>242777.29053846153</v>
      </c>
      <c r="F138" s="79">
        <v>282005.01246153843</v>
      </c>
    </row>
    <row r="139" spans="1:6" x14ac:dyDescent="0.2">
      <c r="A139" t="s">
        <v>33</v>
      </c>
      <c r="B139" t="s">
        <v>88</v>
      </c>
      <c r="C139" s="44" t="s">
        <v>194</v>
      </c>
      <c r="D139" s="79">
        <v>148744.27361538459</v>
      </c>
      <c r="E139" s="79">
        <v>184365.50338461538</v>
      </c>
      <c r="F139" s="79">
        <v>219986.73315384611</v>
      </c>
    </row>
    <row r="140" spans="1:6" x14ac:dyDescent="0.2">
      <c r="A140" t="s">
        <v>33</v>
      </c>
      <c r="B140" t="s">
        <v>96</v>
      </c>
      <c r="C140" s="44" t="s">
        <v>191</v>
      </c>
      <c r="D140" s="79">
        <v>119254.10892307691</v>
      </c>
      <c r="E140" s="79">
        <v>192266.06223815383</v>
      </c>
      <c r="F140" s="79">
        <v>270490.24323076918</v>
      </c>
    </row>
    <row r="141" spans="1:6" x14ac:dyDescent="0.2">
      <c r="A141" t="s">
        <v>33</v>
      </c>
      <c r="B141" t="s">
        <v>74</v>
      </c>
      <c r="C141" s="44" t="s">
        <v>191</v>
      </c>
      <c r="D141" s="79">
        <v>142117.72308</v>
      </c>
      <c r="E141" s="79">
        <v>183839.76995999998</v>
      </c>
      <c r="F141" s="79">
        <v>225561.81683999998</v>
      </c>
    </row>
    <row r="142" spans="1:6" x14ac:dyDescent="0.2">
      <c r="A142" t="s">
        <v>33</v>
      </c>
      <c r="B142" t="s">
        <v>82</v>
      </c>
      <c r="C142" s="44" t="s">
        <v>191</v>
      </c>
      <c r="D142" s="79">
        <v>116793.40123076923</v>
      </c>
      <c r="E142" s="79">
        <v>168044.7283076923</v>
      </c>
      <c r="F142" s="79">
        <v>219296.05538461538</v>
      </c>
    </row>
    <row r="143" spans="1:6" x14ac:dyDescent="0.2">
      <c r="A143" t="s">
        <v>33</v>
      </c>
      <c r="B143" t="s">
        <v>62</v>
      </c>
      <c r="C143" s="44" t="s">
        <v>191</v>
      </c>
      <c r="D143" s="79">
        <v>128729.77015384616</v>
      </c>
      <c r="E143" s="79">
        <v>183923.68915384618</v>
      </c>
      <c r="F143" s="79">
        <v>239117.60815384614</v>
      </c>
    </row>
    <row r="144" spans="1:6" x14ac:dyDescent="0.2">
      <c r="A144" t="s">
        <v>33</v>
      </c>
      <c r="B144" t="s">
        <v>32</v>
      </c>
      <c r="C144" s="44" t="s">
        <v>191</v>
      </c>
      <c r="D144" s="79">
        <v>203549.5686153846</v>
      </c>
      <c r="E144" s="79">
        <v>242777.29053846153</v>
      </c>
      <c r="F144" s="79">
        <v>282005.01246153843</v>
      </c>
    </row>
    <row r="145" spans="1:6" x14ac:dyDescent="0.2">
      <c r="A145" t="s">
        <v>33</v>
      </c>
      <c r="B145" t="s">
        <v>88</v>
      </c>
      <c r="C145" s="44" t="s">
        <v>191</v>
      </c>
      <c r="D145" s="79">
        <v>148744.27361538459</v>
      </c>
      <c r="E145" s="79">
        <v>184365.50338461538</v>
      </c>
      <c r="F145" s="79">
        <v>219986.73315384611</v>
      </c>
    </row>
    <row r="146" spans="1:6" x14ac:dyDescent="0.2">
      <c r="A146" t="s">
        <v>33</v>
      </c>
      <c r="B146" t="s">
        <v>96</v>
      </c>
      <c r="C146" s="44" t="s">
        <v>188</v>
      </c>
      <c r="D146" s="79">
        <v>114398.90892307692</v>
      </c>
      <c r="E146" s="79">
        <v>192266.06223815383</v>
      </c>
      <c r="F146" s="79">
        <v>292553.04323076922</v>
      </c>
    </row>
    <row r="147" spans="1:6" x14ac:dyDescent="0.2">
      <c r="A147" t="s">
        <v>33</v>
      </c>
      <c r="B147" t="s">
        <v>74</v>
      </c>
      <c r="C147" s="44" t="s">
        <v>188</v>
      </c>
      <c r="D147" s="79">
        <v>136115.93508</v>
      </c>
      <c r="E147" s="79">
        <v>183839.76995999998</v>
      </c>
      <c r="F147" s="79">
        <v>244613.26483999996</v>
      </c>
    </row>
    <row r="148" spans="1:6" x14ac:dyDescent="0.2">
      <c r="A148" t="s">
        <v>33</v>
      </c>
      <c r="B148" t="s">
        <v>82</v>
      </c>
      <c r="C148" s="44" t="s">
        <v>188</v>
      </c>
      <c r="D148" s="79">
        <v>111938.20123076922</v>
      </c>
      <c r="E148" s="79">
        <v>168044.7283076923</v>
      </c>
      <c r="F148" s="79">
        <v>237664.05538461538</v>
      </c>
    </row>
    <row r="149" spans="1:6" x14ac:dyDescent="0.2">
      <c r="A149" t="s">
        <v>33</v>
      </c>
      <c r="B149" t="s">
        <v>62</v>
      </c>
      <c r="C149" s="44" t="s">
        <v>188</v>
      </c>
      <c r="D149" s="79">
        <v>123293.37015384615</v>
      </c>
      <c r="E149" s="79">
        <v>183923.68915384618</v>
      </c>
      <c r="F149" s="79">
        <v>259314.00815384614</v>
      </c>
    </row>
    <row r="150" spans="1:6" x14ac:dyDescent="0.2">
      <c r="A150" t="s">
        <v>33</v>
      </c>
      <c r="B150" t="s">
        <v>32</v>
      </c>
      <c r="C150" s="44" t="s">
        <v>188</v>
      </c>
      <c r="D150" s="79">
        <v>195587.16861538461</v>
      </c>
      <c r="E150" s="79">
        <v>242777.29053846153</v>
      </c>
      <c r="F150" s="79">
        <v>304067.81246153841</v>
      </c>
    </row>
    <row r="151" spans="1:6" x14ac:dyDescent="0.2">
      <c r="A151" t="s">
        <v>33</v>
      </c>
      <c r="B151" t="s">
        <v>88</v>
      </c>
      <c r="C151" s="44" t="s">
        <v>188</v>
      </c>
      <c r="D151" s="79">
        <v>142986.37361538463</v>
      </c>
      <c r="E151" s="79">
        <v>184365.50338461538</v>
      </c>
      <c r="F151" s="79">
        <v>237018.13315384614</v>
      </c>
    </row>
    <row r="152" spans="1:6" x14ac:dyDescent="0.2">
      <c r="A152" t="s">
        <v>33</v>
      </c>
      <c r="B152" t="s">
        <v>96</v>
      </c>
      <c r="C152" s="44" t="s">
        <v>185</v>
      </c>
      <c r="D152" s="79">
        <v>116793.40123076923</v>
      </c>
      <c r="E152" s="79">
        <v>192590.19626892309</v>
      </c>
      <c r="F152" s="79">
        <v>282005.01246153843</v>
      </c>
    </row>
    <row r="153" spans="1:6" x14ac:dyDescent="0.2">
      <c r="A153" t="s">
        <v>33</v>
      </c>
      <c r="B153" t="s">
        <v>74</v>
      </c>
      <c r="C153" s="44" t="s">
        <v>185</v>
      </c>
      <c r="D153" s="79">
        <v>142117.72308</v>
      </c>
      <c r="E153" s="79">
        <v>183839.76995999998</v>
      </c>
      <c r="F153" s="79">
        <v>225561.81683999998</v>
      </c>
    </row>
    <row r="154" spans="1:6" x14ac:dyDescent="0.2">
      <c r="A154" t="s">
        <v>33</v>
      </c>
      <c r="B154" t="s">
        <v>82</v>
      </c>
      <c r="C154" s="44" t="s">
        <v>185</v>
      </c>
      <c r="D154" s="79">
        <v>116793.40123076923</v>
      </c>
      <c r="E154" s="79">
        <v>168044.7283076923</v>
      </c>
      <c r="F154" s="79">
        <v>219296.05538461538</v>
      </c>
    </row>
    <row r="155" spans="1:6" x14ac:dyDescent="0.2">
      <c r="A155" t="s">
        <v>33</v>
      </c>
      <c r="B155" t="s">
        <v>62</v>
      </c>
      <c r="C155" s="44" t="s">
        <v>185</v>
      </c>
      <c r="D155" s="79">
        <v>128729.77015384616</v>
      </c>
      <c r="E155" s="79">
        <v>183923.68915384618</v>
      </c>
      <c r="F155" s="79">
        <v>239117.60815384614</v>
      </c>
    </row>
    <row r="156" spans="1:6" x14ac:dyDescent="0.2">
      <c r="A156" t="s">
        <v>33</v>
      </c>
      <c r="B156" t="s">
        <v>32</v>
      </c>
      <c r="C156" s="44" t="s">
        <v>185</v>
      </c>
      <c r="D156" s="79">
        <v>203549.5686153846</v>
      </c>
      <c r="E156" s="79">
        <v>242777.29053846153</v>
      </c>
      <c r="F156" s="79">
        <v>282005.01246153843</v>
      </c>
    </row>
    <row r="157" spans="1:6" x14ac:dyDescent="0.2">
      <c r="A157" t="s">
        <v>33</v>
      </c>
      <c r="B157" t="s">
        <v>88</v>
      </c>
      <c r="C157" s="44" t="s">
        <v>185</v>
      </c>
      <c r="D157" s="79">
        <v>148744.27361538459</v>
      </c>
      <c r="E157" s="79">
        <v>184365.50338461538</v>
      </c>
      <c r="F157" s="79">
        <v>219986.73315384611</v>
      </c>
    </row>
    <row r="158" spans="1:6" x14ac:dyDescent="0.2">
      <c r="A158" t="s">
        <v>33</v>
      </c>
      <c r="B158" t="s">
        <v>96</v>
      </c>
      <c r="C158" s="44" t="s">
        <v>198</v>
      </c>
      <c r="D158" s="79">
        <v>119254.10892307691</v>
      </c>
      <c r="E158" s="79">
        <v>192266.06223815383</v>
      </c>
      <c r="F158" s="79">
        <v>270490.24323076918</v>
      </c>
    </row>
    <row r="159" spans="1:6" x14ac:dyDescent="0.2">
      <c r="A159" t="s">
        <v>33</v>
      </c>
      <c r="B159" t="s">
        <v>74</v>
      </c>
      <c r="C159" s="44" t="s">
        <v>198</v>
      </c>
      <c r="D159" s="79">
        <v>142117.72308</v>
      </c>
      <c r="E159" s="79">
        <v>183839.76995999998</v>
      </c>
      <c r="F159" s="79">
        <v>225561.81683999998</v>
      </c>
    </row>
    <row r="160" spans="1:6" x14ac:dyDescent="0.2">
      <c r="A160" t="s">
        <v>33</v>
      </c>
      <c r="B160" t="s">
        <v>82</v>
      </c>
      <c r="C160" s="44" t="s">
        <v>198</v>
      </c>
      <c r="D160" s="79">
        <v>116793.40123076923</v>
      </c>
      <c r="E160" s="79">
        <v>168044.7283076923</v>
      </c>
      <c r="F160" s="79">
        <v>219296.05538461538</v>
      </c>
    </row>
    <row r="161" spans="1:6" x14ac:dyDescent="0.2">
      <c r="A161" t="s">
        <v>33</v>
      </c>
      <c r="B161" t="s">
        <v>62</v>
      </c>
      <c r="C161" s="44" t="s">
        <v>198</v>
      </c>
      <c r="D161" s="79">
        <v>128729.77015384616</v>
      </c>
      <c r="E161" s="79">
        <v>183923.68915384618</v>
      </c>
      <c r="F161" s="79">
        <v>239117.60815384614</v>
      </c>
    </row>
    <row r="162" spans="1:6" x14ac:dyDescent="0.2">
      <c r="A162" t="s">
        <v>33</v>
      </c>
      <c r="B162" t="s">
        <v>32</v>
      </c>
      <c r="C162" s="44" t="s">
        <v>198</v>
      </c>
      <c r="D162" s="79">
        <v>203549.5686153846</v>
      </c>
      <c r="E162" s="79">
        <v>242777.29053846153</v>
      </c>
      <c r="F162" s="79">
        <v>282005.01246153843</v>
      </c>
    </row>
    <row r="163" spans="1:6" x14ac:dyDescent="0.2">
      <c r="A163" t="s">
        <v>33</v>
      </c>
      <c r="B163" t="s">
        <v>88</v>
      </c>
      <c r="C163" s="44" t="s">
        <v>198</v>
      </c>
      <c r="D163" s="79">
        <v>148744.27361538459</v>
      </c>
      <c r="E163" s="79">
        <v>184365.50338461538</v>
      </c>
      <c r="F163" s="79">
        <v>219986.73315384611</v>
      </c>
    </row>
    <row r="164" spans="1:6" x14ac:dyDescent="0.2">
      <c r="A164" t="s">
        <v>33</v>
      </c>
      <c r="B164" t="s">
        <v>96</v>
      </c>
      <c r="C164" s="44" t="s">
        <v>195</v>
      </c>
      <c r="D164" s="79">
        <v>119254.10892307691</v>
      </c>
      <c r="E164" s="79">
        <v>192266.06223815383</v>
      </c>
      <c r="F164" s="79">
        <v>270490.24323076918</v>
      </c>
    </row>
    <row r="165" spans="1:6" x14ac:dyDescent="0.2">
      <c r="A165" t="s">
        <v>33</v>
      </c>
      <c r="B165" t="s">
        <v>74</v>
      </c>
      <c r="C165" s="44" t="s">
        <v>195</v>
      </c>
      <c r="D165" s="79">
        <v>142117.72308</v>
      </c>
      <c r="E165" s="79">
        <v>183839.76995999998</v>
      </c>
      <c r="F165" s="79">
        <v>225561.81683999998</v>
      </c>
    </row>
    <row r="166" spans="1:6" x14ac:dyDescent="0.2">
      <c r="A166" t="s">
        <v>33</v>
      </c>
      <c r="B166" t="s">
        <v>82</v>
      </c>
      <c r="C166" s="44" t="s">
        <v>195</v>
      </c>
      <c r="D166" s="79">
        <v>116793.40123076923</v>
      </c>
      <c r="E166" s="79">
        <v>168044.7283076923</v>
      </c>
      <c r="F166" s="79">
        <v>219296.05538461538</v>
      </c>
    </row>
    <row r="167" spans="1:6" x14ac:dyDescent="0.2">
      <c r="A167" t="s">
        <v>33</v>
      </c>
      <c r="B167" t="s">
        <v>62</v>
      </c>
      <c r="C167" s="44" t="s">
        <v>195</v>
      </c>
      <c r="D167" s="79">
        <v>128729.77015384616</v>
      </c>
      <c r="E167" s="79">
        <v>183923.68915384618</v>
      </c>
      <c r="F167" s="79">
        <v>239117.60815384614</v>
      </c>
    </row>
    <row r="168" spans="1:6" x14ac:dyDescent="0.2">
      <c r="A168" t="s">
        <v>33</v>
      </c>
      <c r="B168" t="s">
        <v>32</v>
      </c>
      <c r="C168" s="44" t="s">
        <v>195</v>
      </c>
      <c r="D168" s="79">
        <v>203549.5686153846</v>
      </c>
      <c r="E168" s="79">
        <v>242777.29053846153</v>
      </c>
      <c r="F168" s="79">
        <v>282005.01246153843</v>
      </c>
    </row>
    <row r="169" spans="1:6" x14ac:dyDescent="0.2">
      <c r="A169" t="s">
        <v>33</v>
      </c>
      <c r="B169" t="s">
        <v>88</v>
      </c>
      <c r="C169" s="44" t="s">
        <v>195</v>
      </c>
      <c r="D169" s="79">
        <v>148744.27361538459</v>
      </c>
      <c r="E169" s="79">
        <v>184365.50338461538</v>
      </c>
      <c r="F169" s="79">
        <v>219986.73315384611</v>
      </c>
    </row>
    <row r="170" spans="1:6" x14ac:dyDescent="0.2">
      <c r="A170" t="s">
        <v>33</v>
      </c>
      <c r="B170" t="s">
        <v>96</v>
      </c>
      <c r="C170" s="44" t="s">
        <v>190</v>
      </c>
      <c r="D170" s="79">
        <v>119254.10892307691</v>
      </c>
      <c r="E170" s="79">
        <v>192266.06223815383</v>
      </c>
      <c r="F170" s="79">
        <v>270490.24323076918</v>
      </c>
    </row>
    <row r="171" spans="1:6" x14ac:dyDescent="0.2">
      <c r="A171" t="s">
        <v>33</v>
      </c>
      <c r="B171" t="s">
        <v>74</v>
      </c>
      <c r="C171" s="44" t="s">
        <v>190</v>
      </c>
      <c r="D171" s="79">
        <v>142117.72308</v>
      </c>
      <c r="E171" s="79">
        <v>183839.76995999998</v>
      </c>
      <c r="F171" s="79">
        <v>225561.81683999998</v>
      </c>
    </row>
    <row r="172" spans="1:6" x14ac:dyDescent="0.2">
      <c r="A172" t="s">
        <v>33</v>
      </c>
      <c r="B172" t="s">
        <v>82</v>
      </c>
      <c r="C172" s="44" t="s">
        <v>190</v>
      </c>
      <c r="D172" s="79">
        <v>116793.40123076923</v>
      </c>
      <c r="E172" s="79">
        <v>168044.7283076923</v>
      </c>
      <c r="F172" s="79">
        <v>219296.05538461538</v>
      </c>
    </row>
    <row r="173" spans="1:6" x14ac:dyDescent="0.2">
      <c r="A173" t="s">
        <v>33</v>
      </c>
      <c r="B173" t="s">
        <v>62</v>
      </c>
      <c r="C173" s="44" t="s">
        <v>190</v>
      </c>
      <c r="D173" s="79">
        <v>128729.77015384616</v>
      </c>
      <c r="E173" s="79">
        <v>183923.68915384618</v>
      </c>
      <c r="F173" s="79">
        <v>239117.60815384614</v>
      </c>
    </row>
    <row r="174" spans="1:6" x14ac:dyDescent="0.2">
      <c r="A174" t="s">
        <v>33</v>
      </c>
      <c r="B174" t="s">
        <v>32</v>
      </c>
      <c r="C174" s="44" t="s">
        <v>190</v>
      </c>
      <c r="D174" s="79">
        <v>203549.5686153846</v>
      </c>
      <c r="E174" s="79">
        <v>242777.29053846153</v>
      </c>
      <c r="F174" s="79">
        <v>282005.01246153843</v>
      </c>
    </row>
    <row r="175" spans="1:6" x14ac:dyDescent="0.2">
      <c r="A175" t="s">
        <v>33</v>
      </c>
      <c r="B175" t="s">
        <v>88</v>
      </c>
      <c r="C175" s="44" t="s">
        <v>190</v>
      </c>
      <c r="D175" s="79">
        <v>148744.27361538459</v>
      </c>
      <c r="E175" s="79">
        <v>184365.50338461538</v>
      </c>
      <c r="F175" s="79">
        <v>219986.73315384611</v>
      </c>
    </row>
    <row r="176" spans="1:6" x14ac:dyDescent="0.2">
      <c r="A176" t="s">
        <v>33</v>
      </c>
      <c r="B176" t="s">
        <v>96</v>
      </c>
      <c r="C176" s="44" t="s">
        <v>193</v>
      </c>
      <c r="D176" s="79">
        <v>119254.10892307691</v>
      </c>
      <c r="E176" s="79">
        <v>192266.06223815383</v>
      </c>
      <c r="F176" s="79">
        <v>270490.24323076918</v>
      </c>
    </row>
    <row r="177" spans="1:6" x14ac:dyDescent="0.2">
      <c r="A177" t="s">
        <v>33</v>
      </c>
      <c r="B177" t="s">
        <v>74</v>
      </c>
      <c r="C177" s="44" t="s">
        <v>193</v>
      </c>
      <c r="D177" s="79">
        <v>142117.72308</v>
      </c>
      <c r="E177" s="79">
        <v>183839.76995999998</v>
      </c>
      <c r="F177" s="79">
        <v>225561.81683999998</v>
      </c>
    </row>
    <row r="178" spans="1:6" x14ac:dyDescent="0.2">
      <c r="A178" t="s">
        <v>33</v>
      </c>
      <c r="B178" t="s">
        <v>82</v>
      </c>
      <c r="C178" s="44" t="s">
        <v>193</v>
      </c>
      <c r="D178" s="79">
        <v>116793.40123076923</v>
      </c>
      <c r="E178" s="79">
        <v>168044.7283076923</v>
      </c>
      <c r="F178" s="79">
        <v>219296.05538461538</v>
      </c>
    </row>
    <row r="179" spans="1:6" x14ac:dyDescent="0.2">
      <c r="A179" t="s">
        <v>33</v>
      </c>
      <c r="B179" t="s">
        <v>62</v>
      </c>
      <c r="C179" s="44" t="s">
        <v>193</v>
      </c>
      <c r="D179" s="79">
        <v>128729.77015384616</v>
      </c>
      <c r="E179" s="79">
        <v>183923.68915384618</v>
      </c>
      <c r="F179" s="79">
        <v>239117.60815384614</v>
      </c>
    </row>
    <row r="180" spans="1:6" x14ac:dyDescent="0.2">
      <c r="A180" t="s">
        <v>33</v>
      </c>
      <c r="B180" t="s">
        <v>32</v>
      </c>
      <c r="C180" s="44" t="s">
        <v>193</v>
      </c>
      <c r="D180" s="79">
        <v>203549.5686153846</v>
      </c>
      <c r="E180" s="79">
        <v>242777.29053846153</v>
      </c>
      <c r="F180" s="79">
        <v>282005.01246153843</v>
      </c>
    </row>
    <row r="181" spans="1:6" x14ac:dyDescent="0.2">
      <c r="A181" t="s">
        <v>33</v>
      </c>
      <c r="B181" t="s">
        <v>88</v>
      </c>
      <c r="C181" s="44" t="s">
        <v>193</v>
      </c>
      <c r="D181" s="79">
        <v>148744.27361538459</v>
      </c>
      <c r="E181" s="79">
        <v>184365.50338461538</v>
      </c>
      <c r="F181" s="79">
        <v>219986.73315384611</v>
      </c>
    </row>
    <row r="182" spans="1:6" x14ac:dyDescent="0.2">
      <c r="A182" t="s">
        <v>33</v>
      </c>
      <c r="B182" t="s">
        <v>96</v>
      </c>
      <c r="C182" s="44" t="s">
        <v>189</v>
      </c>
      <c r="D182" s="79">
        <v>118987.07292307692</v>
      </c>
      <c r="E182" s="79">
        <v>192266.06223815383</v>
      </c>
      <c r="F182" s="79">
        <v>271041.81323076924</v>
      </c>
    </row>
    <row r="183" spans="1:6" x14ac:dyDescent="0.2">
      <c r="A183" t="s">
        <v>33</v>
      </c>
      <c r="B183" t="s">
        <v>74</v>
      </c>
      <c r="C183" s="44" t="s">
        <v>189</v>
      </c>
      <c r="D183" s="79">
        <v>141787.62474</v>
      </c>
      <c r="E183" s="79">
        <v>183839.76995999998</v>
      </c>
      <c r="F183" s="79">
        <v>226038.10303999996</v>
      </c>
    </row>
    <row r="184" spans="1:6" x14ac:dyDescent="0.2">
      <c r="A184" t="s">
        <v>33</v>
      </c>
      <c r="B184" t="s">
        <v>82</v>
      </c>
      <c r="C184" s="44" t="s">
        <v>189</v>
      </c>
      <c r="D184" s="79">
        <v>116526.36523076922</v>
      </c>
      <c r="E184" s="79">
        <v>168044.7283076923</v>
      </c>
      <c r="F184" s="79">
        <v>219755.25538461539</v>
      </c>
    </row>
    <row r="185" spans="1:6" x14ac:dyDescent="0.2">
      <c r="A185" t="s">
        <v>33</v>
      </c>
      <c r="B185" t="s">
        <v>62</v>
      </c>
      <c r="C185" s="44" t="s">
        <v>189</v>
      </c>
      <c r="D185" s="79">
        <v>128430.76815384615</v>
      </c>
      <c r="E185" s="79">
        <v>183923.68915384618</v>
      </c>
      <c r="F185" s="79">
        <v>239622.51815384615</v>
      </c>
    </row>
    <row r="186" spans="1:6" x14ac:dyDescent="0.2">
      <c r="A186" t="s">
        <v>33</v>
      </c>
      <c r="B186" t="s">
        <v>32</v>
      </c>
      <c r="C186" s="44" t="s">
        <v>189</v>
      </c>
      <c r="D186" s="79">
        <v>203111.6366153846</v>
      </c>
      <c r="E186" s="79">
        <v>242777.29053846153</v>
      </c>
      <c r="F186" s="79">
        <v>282556.58246153843</v>
      </c>
    </row>
    <row r="187" spans="1:6" x14ac:dyDescent="0.2">
      <c r="A187" t="s">
        <v>33</v>
      </c>
      <c r="B187" t="s">
        <v>88</v>
      </c>
      <c r="C187" s="44" t="s">
        <v>189</v>
      </c>
      <c r="D187" s="79">
        <v>148427.58911538462</v>
      </c>
      <c r="E187" s="79">
        <v>184365.50338461538</v>
      </c>
      <c r="F187" s="79">
        <v>220412.51815384615</v>
      </c>
    </row>
    <row r="188" spans="1:6" x14ac:dyDescent="0.2">
      <c r="A188" t="s">
        <v>33</v>
      </c>
      <c r="B188" t="s">
        <v>96</v>
      </c>
      <c r="C188" s="44" t="s">
        <v>192</v>
      </c>
      <c r="D188" s="79">
        <v>119254.10892307691</v>
      </c>
      <c r="E188" s="79">
        <v>192266.06223815383</v>
      </c>
      <c r="F188" s="79">
        <v>270490.24323076918</v>
      </c>
    </row>
    <row r="189" spans="1:6" x14ac:dyDescent="0.2">
      <c r="A189" t="s">
        <v>33</v>
      </c>
      <c r="B189" t="s">
        <v>74</v>
      </c>
      <c r="C189" s="44" t="s">
        <v>192</v>
      </c>
      <c r="D189" s="79">
        <v>142117.72308</v>
      </c>
      <c r="E189" s="79">
        <v>183839.76995999998</v>
      </c>
      <c r="F189" s="79">
        <v>225561.81683999998</v>
      </c>
    </row>
    <row r="190" spans="1:6" x14ac:dyDescent="0.2">
      <c r="A190" t="s">
        <v>33</v>
      </c>
      <c r="B190" t="s">
        <v>82</v>
      </c>
      <c r="C190" s="44" t="s">
        <v>192</v>
      </c>
      <c r="D190" s="79">
        <v>116793.40123076923</v>
      </c>
      <c r="E190" s="79">
        <v>168044.7283076923</v>
      </c>
      <c r="F190" s="79">
        <v>219296.05538461538</v>
      </c>
    </row>
    <row r="191" spans="1:6" x14ac:dyDescent="0.2">
      <c r="A191" t="s">
        <v>33</v>
      </c>
      <c r="B191" t="s">
        <v>62</v>
      </c>
      <c r="C191" s="44" t="s">
        <v>192</v>
      </c>
      <c r="D191" s="79">
        <v>128729.77015384616</v>
      </c>
      <c r="E191" s="79">
        <v>183923.68915384618</v>
      </c>
      <c r="F191" s="79">
        <v>239117.60815384614</v>
      </c>
    </row>
    <row r="192" spans="1:6" x14ac:dyDescent="0.2">
      <c r="A192" t="s">
        <v>33</v>
      </c>
      <c r="B192" t="s">
        <v>32</v>
      </c>
      <c r="C192" s="44" t="s">
        <v>192</v>
      </c>
      <c r="D192" s="79">
        <v>203549.5686153846</v>
      </c>
      <c r="E192" s="79">
        <v>242777.29053846153</v>
      </c>
      <c r="F192" s="79">
        <v>282005.01246153843</v>
      </c>
    </row>
    <row r="193" spans="1:6" x14ac:dyDescent="0.2">
      <c r="A193" t="s">
        <v>33</v>
      </c>
      <c r="B193" t="s">
        <v>88</v>
      </c>
      <c r="C193" s="44" t="s">
        <v>192</v>
      </c>
      <c r="D193" s="79">
        <v>148744.27361538459</v>
      </c>
      <c r="E193" s="79">
        <v>184365.50338461538</v>
      </c>
      <c r="F193" s="79">
        <v>219986.73315384611</v>
      </c>
    </row>
    <row r="194" spans="1:6" x14ac:dyDescent="0.2">
      <c r="A194" t="s">
        <v>33</v>
      </c>
      <c r="B194" t="s">
        <v>96</v>
      </c>
      <c r="C194" s="44" t="s">
        <v>199</v>
      </c>
      <c r="D194" s="79">
        <v>119011.3489230769</v>
      </c>
      <c r="E194" s="79">
        <v>192266.06223815383</v>
      </c>
      <c r="F194" s="79">
        <v>272420.73823076917</v>
      </c>
    </row>
    <row r="195" spans="1:6" x14ac:dyDescent="0.2">
      <c r="A195" t="s">
        <v>33</v>
      </c>
      <c r="B195" t="s">
        <v>74</v>
      </c>
      <c r="C195" s="44" t="s">
        <v>199</v>
      </c>
      <c r="D195" s="79">
        <v>141817.63368</v>
      </c>
      <c r="E195" s="79">
        <v>183839.76995999998</v>
      </c>
      <c r="F195" s="79">
        <v>227228.81853999998</v>
      </c>
    </row>
    <row r="196" spans="1:6" x14ac:dyDescent="0.2">
      <c r="A196" t="s">
        <v>33</v>
      </c>
      <c r="B196" t="s">
        <v>82</v>
      </c>
      <c r="C196" s="44" t="s">
        <v>199</v>
      </c>
      <c r="D196" s="79">
        <v>116550.64123076922</v>
      </c>
      <c r="E196" s="79">
        <v>168044.7283076923</v>
      </c>
      <c r="F196" s="79">
        <v>220903.25538461539</v>
      </c>
    </row>
    <row r="197" spans="1:6" x14ac:dyDescent="0.2">
      <c r="A197" t="s">
        <v>33</v>
      </c>
      <c r="B197" t="s">
        <v>62</v>
      </c>
      <c r="C197" s="44" t="s">
        <v>199</v>
      </c>
      <c r="D197" s="79">
        <v>128457.95015384615</v>
      </c>
      <c r="E197" s="79">
        <v>183923.68915384618</v>
      </c>
      <c r="F197" s="79">
        <v>240884.79315384611</v>
      </c>
    </row>
    <row r="198" spans="1:6" x14ac:dyDescent="0.2">
      <c r="A198" t="s">
        <v>33</v>
      </c>
      <c r="B198" t="s">
        <v>32</v>
      </c>
      <c r="C198" s="44" t="s">
        <v>199</v>
      </c>
      <c r="D198" s="79">
        <v>203151.44861538461</v>
      </c>
      <c r="E198" s="79">
        <v>242777.29053846153</v>
      </c>
      <c r="F198" s="79">
        <v>283935.50746153842</v>
      </c>
    </row>
    <row r="199" spans="1:6" x14ac:dyDescent="0.2">
      <c r="A199" t="s">
        <v>33</v>
      </c>
      <c r="B199" t="s">
        <v>88</v>
      </c>
      <c r="C199" s="44" t="s">
        <v>199</v>
      </c>
      <c r="D199" s="79">
        <v>148456.3786153846</v>
      </c>
      <c r="E199" s="79">
        <v>184365.50338461538</v>
      </c>
      <c r="F199" s="79">
        <v>221476.98065384611</v>
      </c>
    </row>
    <row r="200" spans="1:6" x14ac:dyDescent="0.2">
      <c r="A200" t="s">
        <v>40</v>
      </c>
      <c r="B200" t="s">
        <v>96</v>
      </c>
      <c r="C200" s="44" t="s">
        <v>194</v>
      </c>
      <c r="D200" s="79">
        <v>153064.47200000001</v>
      </c>
      <c r="E200" s="79">
        <v>261015.09310338466</v>
      </c>
      <c r="F200" s="79">
        <v>356023.47040000005</v>
      </c>
    </row>
    <row r="201" spans="1:6" x14ac:dyDescent="0.2">
      <c r="A201" t="s">
        <v>40</v>
      </c>
      <c r="B201" t="s">
        <v>74</v>
      </c>
      <c r="C201" s="44" t="s">
        <v>194</v>
      </c>
      <c r="D201" s="79">
        <v>171850.50164</v>
      </c>
      <c r="E201" s="79">
        <v>263051.15888</v>
      </c>
      <c r="F201" s="79">
        <v>354251.81612000003</v>
      </c>
    </row>
    <row r="202" spans="1:6" x14ac:dyDescent="0.2">
      <c r="A202" t="s">
        <v>40</v>
      </c>
      <c r="B202" t="s">
        <v>82</v>
      </c>
      <c r="C202" s="44" t="s">
        <v>194</v>
      </c>
      <c r="D202" s="79">
        <v>165286.09792307694</v>
      </c>
      <c r="E202" s="79">
        <v>248808.66465384612</v>
      </c>
      <c r="F202" s="79">
        <v>332331.23138461541</v>
      </c>
    </row>
    <row r="203" spans="1:6" x14ac:dyDescent="0.2">
      <c r="A203" t="s">
        <v>40</v>
      </c>
      <c r="B203" t="s">
        <v>62</v>
      </c>
      <c r="C203" s="44" t="s">
        <v>194</v>
      </c>
      <c r="D203" s="79">
        <v>158473.59523076925</v>
      </c>
      <c r="E203" s="79">
        <v>248832.14261538463</v>
      </c>
      <c r="F203" s="79">
        <v>339190.69000000006</v>
      </c>
    </row>
    <row r="204" spans="1:6" x14ac:dyDescent="0.2">
      <c r="A204" t="s">
        <v>40</v>
      </c>
      <c r="B204" t="s">
        <v>32</v>
      </c>
      <c r="C204" s="44" t="s">
        <v>194</v>
      </c>
      <c r="D204" s="79">
        <v>157843.93900000001</v>
      </c>
      <c r="E204" s="79">
        <v>262742.43440000003</v>
      </c>
      <c r="F204" s="79">
        <v>367640.92980000004</v>
      </c>
    </row>
    <row r="205" spans="1:6" x14ac:dyDescent="0.2">
      <c r="A205" t="s">
        <v>40</v>
      </c>
      <c r="B205" t="s">
        <v>88</v>
      </c>
      <c r="C205" s="44" t="s">
        <v>194</v>
      </c>
      <c r="D205" s="79">
        <v>201066.5876153846</v>
      </c>
      <c r="E205" s="79">
        <v>281686.45407692308</v>
      </c>
      <c r="F205" s="79">
        <v>362306.3205384615</v>
      </c>
    </row>
    <row r="206" spans="1:6" x14ac:dyDescent="0.2">
      <c r="A206" t="s">
        <v>40</v>
      </c>
      <c r="B206" t="s">
        <v>96</v>
      </c>
      <c r="C206" s="44" t="s">
        <v>191</v>
      </c>
      <c r="D206" s="79">
        <v>153064.47200000001</v>
      </c>
      <c r="E206" s="79">
        <v>261015.09310338466</v>
      </c>
      <c r="F206" s="79">
        <v>356023.47040000005</v>
      </c>
    </row>
    <row r="207" spans="1:6" x14ac:dyDescent="0.2">
      <c r="A207" t="s">
        <v>40</v>
      </c>
      <c r="B207" t="s">
        <v>74</v>
      </c>
      <c r="C207" s="44" t="s">
        <v>191</v>
      </c>
      <c r="D207" s="79">
        <v>171850.50164</v>
      </c>
      <c r="E207" s="79">
        <v>263051.15888</v>
      </c>
      <c r="F207" s="79">
        <v>354251.81612000003</v>
      </c>
    </row>
    <row r="208" spans="1:6" x14ac:dyDescent="0.2">
      <c r="A208" t="s">
        <v>40</v>
      </c>
      <c r="B208" t="s">
        <v>82</v>
      </c>
      <c r="C208" s="44" t="s">
        <v>191</v>
      </c>
      <c r="D208" s="79">
        <v>165286.09792307694</v>
      </c>
      <c r="E208" s="79">
        <v>248808.66465384612</v>
      </c>
      <c r="F208" s="79">
        <v>332331.23138461541</v>
      </c>
    </row>
    <row r="209" spans="1:6" x14ac:dyDescent="0.2">
      <c r="A209" t="s">
        <v>40</v>
      </c>
      <c r="B209" t="s">
        <v>62</v>
      </c>
      <c r="C209" s="44" t="s">
        <v>191</v>
      </c>
      <c r="D209" s="79">
        <v>158473.59523076925</v>
      </c>
      <c r="E209" s="79">
        <v>248832.14261538463</v>
      </c>
      <c r="F209" s="79">
        <v>339190.69000000006</v>
      </c>
    </row>
    <row r="210" spans="1:6" x14ac:dyDescent="0.2">
      <c r="A210" t="s">
        <v>40</v>
      </c>
      <c r="B210" t="s">
        <v>32</v>
      </c>
      <c r="C210" s="44" t="s">
        <v>191</v>
      </c>
      <c r="D210" s="79">
        <v>157843.93900000001</v>
      </c>
      <c r="E210" s="79">
        <v>262742.43440000003</v>
      </c>
      <c r="F210" s="79">
        <v>367640.92980000004</v>
      </c>
    </row>
    <row r="211" spans="1:6" x14ac:dyDescent="0.2">
      <c r="A211" t="s">
        <v>40</v>
      </c>
      <c r="B211" t="s">
        <v>88</v>
      </c>
      <c r="C211" s="44" t="s">
        <v>191</v>
      </c>
      <c r="D211" s="79">
        <v>201066.5876153846</v>
      </c>
      <c r="E211" s="79">
        <v>281686.45407692308</v>
      </c>
      <c r="F211" s="79">
        <v>362306.3205384615</v>
      </c>
    </row>
    <row r="212" spans="1:6" x14ac:dyDescent="0.2">
      <c r="A212" t="s">
        <v>40</v>
      </c>
      <c r="B212" t="s">
        <v>96</v>
      </c>
      <c r="C212" s="44" t="s">
        <v>188</v>
      </c>
      <c r="D212" s="79">
        <v>146944.07199999999</v>
      </c>
      <c r="E212" s="79">
        <v>261015.09310338466</v>
      </c>
      <c r="F212" s="79">
        <v>384534.03040000005</v>
      </c>
    </row>
    <row r="213" spans="1:6" x14ac:dyDescent="0.2">
      <c r="A213" t="s">
        <v>40</v>
      </c>
      <c r="B213" t="s">
        <v>74</v>
      </c>
      <c r="C213" s="44" t="s">
        <v>188</v>
      </c>
      <c r="D213" s="79">
        <v>165128.09763999999</v>
      </c>
      <c r="E213" s="79">
        <v>263051.15888</v>
      </c>
      <c r="F213" s="79">
        <v>381966.88011999999</v>
      </c>
    </row>
    <row r="214" spans="1:6" x14ac:dyDescent="0.2">
      <c r="A214" t="s">
        <v>40</v>
      </c>
      <c r="B214" t="s">
        <v>82</v>
      </c>
      <c r="C214" s="44" t="s">
        <v>188</v>
      </c>
      <c r="D214" s="79">
        <v>158382.99792307694</v>
      </c>
      <c r="E214" s="79">
        <v>248808.66465384612</v>
      </c>
      <c r="F214" s="79">
        <v>360246.43138461537</v>
      </c>
    </row>
    <row r="215" spans="1:6" x14ac:dyDescent="0.2">
      <c r="A215" t="s">
        <v>40</v>
      </c>
      <c r="B215" t="s">
        <v>62</v>
      </c>
      <c r="C215" s="44" t="s">
        <v>188</v>
      </c>
      <c r="D215" s="79">
        <v>151834.99523076921</v>
      </c>
      <c r="E215" s="79">
        <v>248832.14261538463</v>
      </c>
      <c r="F215" s="79">
        <v>367608.69000000006</v>
      </c>
    </row>
    <row r="216" spans="1:6" x14ac:dyDescent="0.2">
      <c r="A216" t="s">
        <v>40</v>
      </c>
      <c r="B216" t="s">
        <v>32</v>
      </c>
      <c r="C216" s="44" t="s">
        <v>188</v>
      </c>
      <c r="D216" s="79">
        <v>151723.53899999999</v>
      </c>
      <c r="E216" s="79">
        <v>262742.43440000003</v>
      </c>
      <c r="F216" s="79">
        <v>396151.4898000001</v>
      </c>
    </row>
    <row r="217" spans="1:6" x14ac:dyDescent="0.2">
      <c r="A217" t="s">
        <v>40</v>
      </c>
      <c r="B217" t="s">
        <v>88</v>
      </c>
      <c r="C217" s="44" t="s">
        <v>188</v>
      </c>
      <c r="D217" s="79">
        <v>193283.28761538462</v>
      </c>
      <c r="E217" s="79">
        <v>281686.45407692308</v>
      </c>
      <c r="F217" s="79">
        <v>390356.12053846149</v>
      </c>
    </row>
    <row r="218" spans="1:6" x14ac:dyDescent="0.2">
      <c r="A218" t="s">
        <v>40</v>
      </c>
      <c r="B218" t="s">
        <v>96</v>
      </c>
      <c r="C218" s="44" t="s">
        <v>185</v>
      </c>
      <c r="D218" s="79">
        <v>157843.93900000001</v>
      </c>
      <c r="E218" s="79">
        <v>261024.17092523081</v>
      </c>
      <c r="F218" s="79">
        <v>367640.92980000004</v>
      </c>
    </row>
    <row r="219" spans="1:6" x14ac:dyDescent="0.2">
      <c r="A219" t="s">
        <v>40</v>
      </c>
      <c r="B219" t="s">
        <v>74</v>
      </c>
      <c r="C219" s="44" t="s">
        <v>185</v>
      </c>
      <c r="D219" s="79">
        <v>171850.50164</v>
      </c>
      <c r="E219" s="79">
        <v>263051.15888</v>
      </c>
      <c r="F219" s="79">
        <v>354251.81612000003</v>
      </c>
    </row>
    <row r="220" spans="1:6" x14ac:dyDescent="0.2">
      <c r="A220" t="s">
        <v>40</v>
      </c>
      <c r="B220" t="s">
        <v>82</v>
      </c>
      <c r="C220" s="44" t="s">
        <v>185</v>
      </c>
      <c r="D220" s="79">
        <v>165286.09792307694</v>
      </c>
      <c r="E220" s="79">
        <v>248808.66465384612</v>
      </c>
      <c r="F220" s="79">
        <v>332331.23138461541</v>
      </c>
    </row>
    <row r="221" spans="1:6" x14ac:dyDescent="0.2">
      <c r="A221" t="s">
        <v>40</v>
      </c>
      <c r="B221" t="s">
        <v>62</v>
      </c>
      <c r="C221" s="44" t="s">
        <v>185</v>
      </c>
      <c r="D221" s="79">
        <v>158473.59523076925</v>
      </c>
      <c r="E221" s="79">
        <v>248832.14261538463</v>
      </c>
      <c r="F221" s="79">
        <v>339190.69000000006</v>
      </c>
    </row>
    <row r="222" spans="1:6" x14ac:dyDescent="0.2">
      <c r="A222" t="s">
        <v>40</v>
      </c>
      <c r="B222" t="s">
        <v>32</v>
      </c>
      <c r="C222" s="44" t="s">
        <v>185</v>
      </c>
      <c r="D222" s="79">
        <v>157843.93900000001</v>
      </c>
      <c r="E222" s="79">
        <v>262742.43440000003</v>
      </c>
      <c r="F222" s="79">
        <v>367640.92980000004</v>
      </c>
    </row>
    <row r="223" spans="1:6" x14ac:dyDescent="0.2">
      <c r="A223" t="s">
        <v>40</v>
      </c>
      <c r="B223" t="s">
        <v>88</v>
      </c>
      <c r="C223" s="44" t="s">
        <v>185</v>
      </c>
      <c r="D223" s="79">
        <v>201066.5876153846</v>
      </c>
      <c r="E223" s="79">
        <v>281686.45407692308</v>
      </c>
      <c r="F223" s="79">
        <v>362306.3205384615</v>
      </c>
    </row>
    <row r="224" spans="1:6" x14ac:dyDescent="0.2">
      <c r="A224" t="s">
        <v>40</v>
      </c>
      <c r="B224" t="s">
        <v>96</v>
      </c>
      <c r="C224" s="44" t="s">
        <v>198</v>
      </c>
      <c r="D224" s="79">
        <v>153064.47200000001</v>
      </c>
      <c r="E224" s="79">
        <v>261015.09310338466</v>
      </c>
      <c r="F224" s="79">
        <v>356023.47040000005</v>
      </c>
    </row>
    <row r="225" spans="1:6" x14ac:dyDescent="0.2">
      <c r="A225" t="s">
        <v>40</v>
      </c>
      <c r="B225" t="s">
        <v>74</v>
      </c>
      <c r="C225" s="44" t="s">
        <v>198</v>
      </c>
      <c r="D225" s="79">
        <v>171850.50164</v>
      </c>
      <c r="E225" s="79">
        <v>263051.15888</v>
      </c>
      <c r="F225" s="79">
        <v>354251.81612000003</v>
      </c>
    </row>
    <row r="226" spans="1:6" x14ac:dyDescent="0.2">
      <c r="A226" t="s">
        <v>40</v>
      </c>
      <c r="B226" t="s">
        <v>82</v>
      </c>
      <c r="C226" s="44" t="s">
        <v>198</v>
      </c>
      <c r="D226" s="79">
        <v>165286.09792307694</v>
      </c>
      <c r="E226" s="79">
        <v>248808.66465384612</v>
      </c>
      <c r="F226" s="79">
        <v>332331.23138461541</v>
      </c>
    </row>
    <row r="227" spans="1:6" x14ac:dyDescent="0.2">
      <c r="A227" t="s">
        <v>40</v>
      </c>
      <c r="B227" t="s">
        <v>62</v>
      </c>
      <c r="C227" s="44" t="s">
        <v>198</v>
      </c>
      <c r="D227" s="79">
        <v>158473.59523076925</v>
      </c>
      <c r="E227" s="79">
        <v>248832.14261538463</v>
      </c>
      <c r="F227" s="79">
        <v>339190.69000000006</v>
      </c>
    </row>
    <row r="228" spans="1:6" x14ac:dyDescent="0.2">
      <c r="A228" t="s">
        <v>40</v>
      </c>
      <c r="B228" t="s">
        <v>32</v>
      </c>
      <c r="C228" s="44" t="s">
        <v>198</v>
      </c>
      <c r="D228" s="79">
        <v>157843.93900000001</v>
      </c>
      <c r="E228" s="79">
        <v>262742.43440000003</v>
      </c>
      <c r="F228" s="79">
        <v>367640.92980000004</v>
      </c>
    </row>
    <row r="229" spans="1:6" x14ac:dyDescent="0.2">
      <c r="A229" t="s">
        <v>40</v>
      </c>
      <c r="B229" t="s">
        <v>88</v>
      </c>
      <c r="C229" s="44" t="s">
        <v>198</v>
      </c>
      <c r="D229" s="79">
        <v>201066.5876153846</v>
      </c>
      <c r="E229" s="79">
        <v>281686.45407692308</v>
      </c>
      <c r="F229" s="79">
        <v>362306.3205384615</v>
      </c>
    </row>
    <row r="230" spans="1:6" x14ac:dyDescent="0.2">
      <c r="A230" t="s">
        <v>40</v>
      </c>
      <c r="B230" t="s">
        <v>96</v>
      </c>
      <c r="C230" s="44" t="s">
        <v>195</v>
      </c>
      <c r="D230" s="79">
        <v>153064.47200000001</v>
      </c>
      <c r="E230" s="79">
        <v>261015.09310338466</v>
      </c>
      <c r="F230" s="79">
        <v>356023.47040000005</v>
      </c>
    </row>
    <row r="231" spans="1:6" x14ac:dyDescent="0.2">
      <c r="A231" t="s">
        <v>40</v>
      </c>
      <c r="B231" t="s">
        <v>74</v>
      </c>
      <c r="C231" s="44" t="s">
        <v>195</v>
      </c>
      <c r="D231" s="79">
        <v>171850.50164</v>
      </c>
      <c r="E231" s="79">
        <v>263051.15888</v>
      </c>
      <c r="F231" s="79">
        <v>354251.81612000003</v>
      </c>
    </row>
    <row r="232" spans="1:6" x14ac:dyDescent="0.2">
      <c r="A232" t="s">
        <v>40</v>
      </c>
      <c r="B232" t="s">
        <v>82</v>
      </c>
      <c r="C232" s="44" t="s">
        <v>195</v>
      </c>
      <c r="D232" s="79">
        <v>165286.09792307694</v>
      </c>
      <c r="E232" s="79">
        <v>248808.66465384612</v>
      </c>
      <c r="F232" s="79">
        <v>332331.23138461541</v>
      </c>
    </row>
    <row r="233" spans="1:6" x14ac:dyDescent="0.2">
      <c r="A233" t="s">
        <v>40</v>
      </c>
      <c r="B233" t="s">
        <v>62</v>
      </c>
      <c r="C233" s="44" t="s">
        <v>195</v>
      </c>
      <c r="D233" s="79">
        <v>158473.59523076925</v>
      </c>
      <c r="E233" s="79">
        <v>248832.14261538463</v>
      </c>
      <c r="F233" s="79">
        <v>339190.69000000006</v>
      </c>
    </row>
    <row r="234" spans="1:6" x14ac:dyDescent="0.2">
      <c r="A234" t="s">
        <v>40</v>
      </c>
      <c r="B234" t="s">
        <v>32</v>
      </c>
      <c r="C234" s="44" t="s">
        <v>195</v>
      </c>
      <c r="D234" s="79">
        <v>157843.93900000001</v>
      </c>
      <c r="E234" s="79">
        <v>262742.43440000003</v>
      </c>
      <c r="F234" s="79">
        <v>367640.92980000004</v>
      </c>
    </row>
    <row r="235" spans="1:6" x14ac:dyDescent="0.2">
      <c r="A235" t="s">
        <v>40</v>
      </c>
      <c r="B235" t="s">
        <v>88</v>
      </c>
      <c r="C235" s="44" t="s">
        <v>195</v>
      </c>
      <c r="D235" s="79">
        <v>201066.5876153846</v>
      </c>
      <c r="E235" s="79">
        <v>281686.45407692308</v>
      </c>
      <c r="F235" s="79">
        <v>362306.3205384615</v>
      </c>
    </row>
    <row r="236" spans="1:6" x14ac:dyDescent="0.2">
      <c r="A236" t="s">
        <v>40</v>
      </c>
      <c r="B236" t="s">
        <v>96</v>
      </c>
      <c r="C236" s="44" t="s">
        <v>190</v>
      </c>
      <c r="D236" s="79">
        <v>153064.47200000001</v>
      </c>
      <c r="E236" s="79">
        <v>261015.09310338466</v>
      </c>
      <c r="F236" s="79">
        <v>356023.47040000005</v>
      </c>
    </row>
    <row r="237" spans="1:6" x14ac:dyDescent="0.2">
      <c r="A237" t="s">
        <v>40</v>
      </c>
      <c r="B237" t="s">
        <v>74</v>
      </c>
      <c r="C237" s="44" t="s">
        <v>190</v>
      </c>
      <c r="D237" s="79">
        <v>171850.50164</v>
      </c>
      <c r="E237" s="79">
        <v>263051.15888</v>
      </c>
      <c r="F237" s="79">
        <v>354251.81612000003</v>
      </c>
    </row>
    <row r="238" spans="1:6" x14ac:dyDescent="0.2">
      <c r="A238" t="s">
        <v>40</v>
      </c>
      <c r="B238" t="s">
        <v>82</v>
      </c>
      <c r="C238" s="44" t="s">
        <v>190</v>
      </c>
      <c r="D238" s="79">
        <v>165286.09792307694</v>
      </c>
      <c r="E238" s="79">
        <v>248808.66465384612</v>
      </c>
      <c r="F238" s="79">
        <v>332331.23138461541</v>
      </c>
    </row>
    <row r="239" spans="1:6" x14ac:dyDescent="0.2">
      <c r="A239" t="s">
        <v>40</v>
      </c>
      <c r="B239" t="s">
        <v>62</v>
      </c>
      <c r="C239" s="44" t="s">
        <v>190</v>
      </c>
      <c r="D239" s="79">
        <v>158473.59523076925</v>
      </c>
      <c r="E239" s="79">
        <v>248832.14261538463</v>
      </c>
      <c r="F239" s="79">
        <v>339190.69000000006</v>
      </c>
    </row>
    <row r="240" spans="1:6" x14ac:dyDescent="0.2">
      <c r="A240" t="s">
        <v>40</v>
      </c>
      <c r="B240" t="s">
        <v>32</v>
      </c>
      <c r="C240" s="44" t="s">
        <v>190</v>
      </c>
      <c r="D240" s="79">
        <v>157843.93900000001</v>
      </c>
      <c r="E240" s="79">
        <v>262742.43440000003</v>
      </c>
      <c r="F240" s="79">
        <v>367640.92980000004</v>
      </c>
    </row>
    <row r="241" spans="1:6" x14ac:dyDescent="0.2">
      <c r="A241" t="s">
        <v>40</v>
      </c>
      <c r="B241" t="s">
        <v>88</v>
      </c>
      <c r="C241" s="44" t="s">
        <v>190</v>
      </c>
      <c r="D241" s="79">
        <v>201066.5876153846</v>
      </c>
      <c r="E241" s="79">
        <v>281686.45407692308</v>
      </c>
      <c r="F241" s="79">
        <v>362306.3205384615</v>
      </c>
    </row>
    <row r="242" spans="1:6" x14ac:dyDescent="0.2">
      <c r="A242" t="s">
        <v>40</v>
      </c>
      <c r="B242" t="s">
        <v>96</v>
      </c>
      <c r="C242" s="44" t="s">
        <v>193</v>
      </c>
      <c r="D242" s="79">
        <v>153064.47200000001</v>
      </c>
      <c r="E242" s="79">
        <v>261015.09310338466</v>
      </c>
      <c r="F242" s="79">
        <v>356023.47040000005</v>
      </c>
    </row>
    <row r="243" spans="1:6" x14ac:dyDescent="0.2">
      <c r="A243" t="s">
        <v>40</v>
      </c>
      <c r="B243" t="s">
        <v>74</v>
      </c>
      <c r="C243" s="44" t="s">
        <v>193</v>
      </c>
      <c r="D243" s="79">
        <v>171850.50164</v>
      </c>
      <c r="E243" s="79">
        <v>263051.15888</v>
      </c>
      <c r="F243" s="79">
        <v>354251.81612000003</v>
      </c>
    </row>
    <row r="244" spans="1:6" x14ac:dyDescent="0.2">
      <c r="A244" t="s">
        <v>40</v>
      </c>
      <c r="B244" t="s">
        <v>82</v>
      </c>
      <c r="C244" s="44" t="s">
        <v>193</v>
      </c>
      <c r="D244" s="79">
        <v>165286.09792307694</v>
      </c>
      <c r="E244" s="79">
        <v>248808.66465384612</v>
      </c>
      <c r="F244" s="79">
        <v>332331.23138461541</v>
      </c>
    </row>
    <row r="245" spans="1:6" x14ac:dyDescent="0.2">
      <c r="A245" t="s">
        <v>40</v>
      </c>
      <c r="B245" t="s">
        <v>62</v>
      </c>
      <c r="C245" s="44" t="s">
        <v>193</v>
      </c>
      <c r="D245" s="79">
        <v>158473.59523076925</v>
      </c>
      <c r="E245" s="79">
        <v>248832.14261538463</v>
      </c>
      <c r="F245" s="79">
        <v>339190.69000000006</v>
      </c>
    </row>
    <row r="246" spans="1:6" x14ac:dyDescent="0.2">
      <c r="A246" t="s">
        <v>40</v>
      </c>
      <c r="B246" t="s">
        <v>32</v>
      </c>
      <c r="C246" s="44" t="s">
        <v>193</v>
      </c>
      <c r="D246" s="79">
        <v>157843.93900000001</v>
      </c>
      <c r="E246" s="79">
        <v>262742.43440000003</v>
      </c>
      <c r="F246" s="79">
        <v>367640.92980000004</v>
      </c>
    </row>
    <row r="247" spans="1:6" x14ac:dyDescent="0.2">
      <c r="A247" t="s">
        <v>40</v>
      </c>
      <c r="B247" t="s">
        <v>88</v>
      </c>
      <c r="C247" s="44" t="s">
        <v>193</v>
      </c>
      <c r="D247" s="79">
        <v>201066.5876153846</v>
      </c>
      <c r="E247" s="79">
        <v>281686.45407692308</v>
      </c>
      <c r="F247" s="79">
        <v>362306.3205384615</v>
      </c>
    </row>
    <row r="248" spans="1:6" x14ac:dyDescent="0.2">
      <c r="A248" t="s">
        <v>40</v>
      </c>
      <c r="B248" t="s">
        <v>96</v>
      </c>
      <c r="C248" s="44" t="s">
        <v>189</v>
      </c>
      <c r="D248" s="79">
        <v>152727.84999999998</v>
      </c>
      <c r="E248" s="79">
        <v>261015.09310338466</v>
      </c>
      <c r="F248" s="79">
        <v>356736.23440000007</v>
      </c>
    </row>
    <row r="249" spans="1:6" x14ac:dyDescent="0.2">
      <c r="A249" t="s">
        <v>40</v>
      </c>
      <c r="B249" t="s">
        <v>74</v>
      </c>
      <c r="C249" s="44" t="s">
        <v>189</v>
      </c>
      <c r="D249" s="79">
        <v>171480.76942</v>
      </c>
      <c r="E249" s="79">
        <v>263051.15888</v>
      </c>
      <c r="F249" s="79">
        <v>354944.69272000005</v>
      </c>
    </row>
    <row r="250" spans="1:6" x14ac:dyDescent="0.2">
      <c r="A250" t="s">
        <v>40</v>
      </c>
      <c r="B250" t="s">
        <v>82</v>
      </c>
      <c r="C250" s="44" t="s">
        <v>189</v>
      </c>
      <c r="D250" s="79">
        <v>164906.42742307694</v>
      </c>
      <c r="E250" s="79">
        <v>248808.66465384612</v>
      </c>
      <c r="F250" s="79">
        <v>333029.11138461542</v>
      </c>
    </row>
    <row r="251" spans="1:6" x14ac:dyDescent="0.2">
      <c r="A251" t="s">
        <v>40</v>
      </c>
      <c r="B251" t="s">
        <v>62</v>
      </c>
      <c r="C251" s="44" t="s">
        <v>189</v>
      </c>
      <c r="D251" s="79">
        <v>158108.47223076923</v>
      </c>
      <c r="E251" s="79">
        <v>248832.14261538463</v>
      </c>
      <c r="F251" s="79">
        <v>339901.14</v>
      </c>
    </row>
    <row r="252" spans="1:6" x14ac:dyDescent="0.2">
      <c r="A252" t="s">
        <v>40</v>
      </c>
      <c r="B252" t="s">
        <v>32</v>
      </c>
      <c r="C252" s="44" t="s">
        <v>189</v>
      </c>
      <c r="D252" s="79">
        <v>157507.31699999998</v>
      </c>
      <c r="E252" s="79">
        <v>262742.43440000003</v>
      </c>
      <c r="F252" s="79">
        <v>368353.69380000007</v>
      </c>
    </row>
    <row r="253" spans="1:6" x14ac:dyDescent="0.2">
      <c r="A253" t="s">
        <v>40</v>
      </c>
      <c r="B253" t="s">
        <v>88</v>
      </c>
      <c r="C253" s="44" t="s">
        <v>189</v>
      </c>
      <c r="D253" s="79">
        <v>200638.50611538463</v>
      </c>
      <c r="E253" s="79">
        <v>281686.45407692308</v>
      </c>
      <c r="F253" s="79">
        <v>363007.56553846149</v>
      </c>
    </row>
    <row r="254" spans="1:6" x14ac:dyDescent="0.2">
      <c r="A254" t="s">
        <v>40</v>
      </c>
      <c r="B254" t="s">
        <v>96</v>
      </c>
      <c r="C254" s="44" t="s">
        <v>192</v>
      </c>
      <c r="D254" s="79">
        <v>153064.47200000001</v>
      </c>
      <c r="E254" s="79">
        <v>261015.09310338466</v>
      </c>
      <c r="F254" s="79">
        <v>356023.47040000005</v>
      </c>
    </row>
    <row r="255" spans="1:6" x14ac:dyDescent="0.2">
      <c r="A255" t="s">
        <v>40</v>
      </c>
      <c r="B255" t="s">
        <v>74</v>
      </c>
      <c r="C255" s="44" t="s">
        <v>192</v>
      </c>
      <c r="D255" s="79">
        <v>171850.50164</v>
      </c>
      <c r="E255" s="79">
        <v>263051.15888</v>
      </c>
      <c r="F255" s="79">
        <v>354251.81612000003</v>
      </c>
    </row>
    <row r="256" spans="1:6" x14ac:dyDescent="0.2">
      <c r="A256" t="s">
        <v>40</v>
      </c>
      <c r="B256" t="s">
        <v>82</v>
      </c>
      <c r="C256" s="44" t="s">
        <v>192</v>
      </c>
      <c r="D256" s="79">
        <v>165286.09792307694</v>
      </c>
      <c r="E256" s="79">
        <v>248808.66465384612</v>
      </c>
      <c r="F256" s="79">
        <v>332331.23138461541</v>
      </c>
    </row>
    <row r="257" spans="1:6" x14ac:dyDescent="0.2">
      <c r="A257" t="s">
        <v>40</v>
      </c>
      <c r="B257" t="s">
        <v>62</v>
      </c>
      <c r="C257" s="44" t="s">
        <v>192</v>
      </c>
      <c r="D257" s="79">
        <v>158473.59523076925</v>
      </c>
      <c r="E257" s="79">
        <v>248832.14261538463</v>
      </c>
      <c r="F257" s="79">
        <v>339190.69000000006</v>
      </c>
    </row>
    <row r="258" spans="1:6" x14ac:dyDescent="0.2">
      <c r="A258" t="s">
        <v>40</v>
      </c>
      <c r="B258" t="s">
        <v>32</v>
      </c>
      <c r="C258" s="44" t="s">
        <v>192</v>
      </c>
      <c r="D258" s="79">
        <v>157843.93900000001</v>
      </c>
      <c r="E258" s="79">
        <v>262742.43440000003</v>
      </c>
      <c r="F258" s="79">
        <v>367640.92980000004</v>
      </c>
    </row>
    <row r="259" spans="1:6" x14ac:dyDescent="0.2">
      <c r="A259" t="s">
        <v>40</v>
      </c>
      <c r="B259" t="s">
        <v>88</v>
      </c>
      <c r="C259" s="44" t="s">
        <v>192</v>
      </c>
      <c r="D259" s="79">
        <v>201066.5876153846</v>
      </c>
      <c r="E259" s="79">
        <v>281686.45407692308</v>
      </c>
      <c r="F259" s="79">
        <v>362306.3205384615</v>
      </c>
    </row>
    <row r="260" spans="1:6" x14ac:dyDescent="0.2">
      <c r="A260" t="s">
        <v>40</v>
      </c>
      <c r="B260" t="s">
        <v>96</v>
      </c>
      <c r="C260" s="44" t="s">
        <v>199</v>
      </c>
      <c r="D260" s="79">
        <v>152758.45199999999</v>
      </c>
      <c r="E260" s="79">
        <v>261015.09310338466</v>
      </c>
      <c r="F260" s="79">
        <v>358518.14440000005</v>
      </c>
    </row>
    <row r="261" spans="1:6" x14ac:dyDescent="0.2">
      <c r="A261" t="s">
        <v>40</v>
      </c>
      <c r="B261" t="s">
        <v>74</v>
      </c>
      <c r="C261" s="44" t="s">
        <v>199</v>
      </c>
      <c r="D261" s="79">
        <v>171514.38144</v>
      </c>
      <c r="E261" s="79">
        <v>263051.15888</v>
      </c>
      <c r="F261" s="79">
        <v>356676.88422000001</v>
      </c>
    </row>
    <row r="262" spans="1:6" x14ac:dyDescent="0.2">
      <c r="A262" t="s">
        <v>40</v>
      </c>
      <c r="B262" t="s">
        <v>82</v>
      </c>
      <c r="C262" s="44" t="s">
        <v>199</v>
      </c>
      <c r="D262" s="79">
        <v>164940.94292307695</v>
      </c>
      <c r="E262" s="79">
        <v>248808.66465384612</v>
      </c>
      <c r="F262" s="79">
        <v>334773.81138461537</v>
      </c>
    </row>
    <row r="263" spans="1:6" x14ac:dyDescent="0.2">
      <c r="A263" t="s">
        <v>40</v>
      </c>
      <c r="B263" t="s">
        <v>62</v>
      </c>
      <c r="C263" s="44" t="s">
        <v>199</v>
      </c>
      <c r="D263" s="79">
        <v>158141.66523076923</v>
      </c>
      <c r="E263" s="79">
        <v>248832.14261538463</v>
      </c>
      <c r="F263" s="79">
        <v>341677.26500000001</v>
      </c>
    </row>
    <row r="264" spans="1:6" x14ac:dyDescent="0.2">
      <c r="A264" t="s">
        <v>40</v>
      </c>
      <c r="B264" t="s">
        <v>32</v>
      </c>
      <c r="C264" s="44" t="s">
        <v>199</v>
      </c>
      <c r="D264" s="79">
        <v>157537.91899999999</v>
      </c>
      <c r="E264" s="79">
        <v>262742.43440000003</v>
      </c>
      <c r="F264" s="79">
        <v>370135.60380000004</v>
      </c>
    </row>
    <row r="265" spans="1:6" x14ac:dyDescent="0.2">
      <c r="A265" t="s">
        <v>40</v>
      </c>
      <c r="B265" t="s">
        <v>88</v>
      </c>
      <c r="C265" s="44" t="s">
        <v>199</v>
      </c>
      <c r="D265" s="79">
        <v>200677.42261538462</v>
      </c>
      <c r="E265" s="79">
        <v>281686.45407692308</v>
      </c>
      <c r="F265" s="79">
        <v>364760.67803846148</v>
      </c>
    </row>
    <row r="266" spans="1:6" x14ac:dyDescent="0.2">
      <c r="A266" t="s">
        <v>55</v>
      </c>
      <c r="B266" t="s">
        <v>96</v>
      </c>
      <c r="C266" s="44" t="s">
        <v>194</v>
      </c>
      <c r="D266" s="79">
        <v>520352.75540000002</v>
      </c>
      <c r="E266" s="79">
        <v>759694.90400399989</v>
      </c>
      <c r="F266" s="79">
        <v>1089622.1144999999</v>
      </c>
    </row>
    <row r="267" spans="1:6" x14ac:dyDescent="0.2">
      <c r="A267" t="s">
        <v>55</v>
      </c>
      <c r="B267" t="s">
        <v>74</v>
      </c>
      <c r="C267" s="44" t="s">
        <v>194</v>
      </c>
      <c r="D267" s="79">
        <v>530998.29019230767</v>
      </c>
      <c r="E267" s="79">
        <v>617527.22875000001</v>
      </c>
      <c r="F267" s="79">
        <v>704056.16730769235</v>
      </c>
    </row>
    <row r="268" spans="1:6" x14ac:dyDescent="0.2">
      <c r="A268" t="s">
        <v>55</v>
      </c>
      <c r="B268" t="s">
        <v>82</v>
      </c>
      <c r="C268" s="44" t="s">
        <v>194</v>
      </c>
      <c r="D268" s="79">
        <v>564701.8383076922</v>
      </c>
      <c r="E268" s="79">
        <v>668927.89876923081</v>
      </c>
      <c r="F268" s="79">
        <v>773153.95923076919</v>
      </c>
    </row>
    <row r="269" spans="1:6" x14ac:dyDescent="0.2">
      <c r="A269" t="s">
        <v>55</v>
      </c>
      <c r="B269" t="s">
        <v>62</v>
      </c>
      <c r="C269" s="44" t="s">
        <v>194</v>
      </c>
      <c r="D269" s="79">
        <v>730532.07603846164</v>
      </c>
      <c r="E269" s="79">
        <v>842427.43064423092</v>
      </c>
      <c r="F269" s="79">
        <v>954322.78525000007</v>
      </c>
    </row>
    <row r="270" spans="1:6" x14ac:dyDescent="0.2">
      <c r="A270" t="s">
        <v>55</v>
      </c>
      <c r="B270" t="s">
        <v>32</v>
      </c>
      <c r="C270" s="44" t="s">
        <v>194</v>
      </c>
      <c r="D270" s="79">
        <v>666741.42999999993</v>
      </c>
      <c r="E270" s="79">
        <v>786323.73390000011</v>
      </c>
      <c r="F270" s="79">
        <v>905906.03779999993</v>
      </c>
    </row>
    <row r="271" spans="1:6" x14ac:dyDescent="0.2">
      <c r="A271" t="s">
        <v>55</v>
      </c>
      <c r="B271" t="s">
        <v>88</v>
      </c>
      <c r="C271" s="44" t="s">
        <v>194</v>
      </c>
      <c r="D271" s="79">
        <v>733974.67161538464</v>
      </c>
      <c r="E271" s="79">
        <v>839060.72984615387</v>
      </c>
      <c r="F271" s="79">
        <v>944146.788076923</v>
      </c>
    </row>
    <row r="272" spans="1:6" x14ac:dyDescent="0.2">
      <c r="A272" t="s">
        <v>55</v>
      </c>
      <c r="B272" t="s">
        <v>96</v>
      </c>
      <c r="C272" s="44" t="s">
        <v>191</v>
      </c>
      <c r="D272" s="79">
        <v>520352.75540000002</v>
      </c>
      <c r="E272" s="79">
        <v>759694.90400399989</v>
      </c>
      <c r="F272" s="79">
        <v>1089622.1144999999</v>
      </c>
    </row>
    <row r="273" spans="1:6" x14ac:dyDescent="0.2">
      <c r="A273" t="s">
        <v>55</v>
      </c>
      <c r="B273" t="s">
        <v>74</v>
      </c>
      <c r="C273" s="44" t="s">
        <v>191</v>
      </c>
      <c r="D273" s="79">
        <v>530998.29019230767</v>
      </c>
      <c r="E273" s="79">
        <v>617527.22875000001</v>
      </c>
      <c r="F273" s="79">
        <v>704056.16730769235</v>
      </c>
    </row>
    <row r="274" spans="1:6" x14ac:dyDescent="0.2">
      <c r="A274" t="s">
        <v>55</v>
      </c>
      <c r="B274" t="s">
        <v>82</v>
      </c>
      <c r="C274" s="44" t="s">
        <v>191</v>
      </c>
      <c r="D274" s="79">
        <v>564701.8383076922</v>
      </c>
      <c r="E274" s="79">
        <v>668927.89876923081</v>
      </c>
      <c r="F274" s="79">
        <v>773153.95923076919</v>
      </c>
    </row>
    <row r="275" spans="1:6" x14ac:dyDescent="0.2">
      <c r="A275" t="s">
        <v>55</v>
      </c>
      <c r="B275" t="s">
        <v>62</v>
      </c>
      <c r="C275" s="44" t="s">
        <v>191</v>
      </c>
      <c r="D275" s="79">
        <v>730532.07603846164</v>
      </c>
      <c r="E275" s="79">
        <v>842427.43064423092</v>
      </c>
      <c r="F275" s="79">
        <v>954322.78525000007</v>
      </c>
    </row>
    <row r="276" spans="1:6" x14ac:dyDescent="0.2">
      <c r="A276" t="s">
        <v>55</v>
      </c>
      <c r="B276" t="s">
        <v>32</v>
      </c>
      <c r="C276" s="44" t="s">
        <v>191</v>
      </c>
      <c r="D276" s="79">
        <v>666741.42999999993</v>
      </c>
      <c r="E276" s="79">
        <v>786323.73390000011</v>
      </c>
      <c r="F276" s="79">
        <v>905906.03779999993</v>
      </c>
    </row>
    <row r="277" spans="1:6" x14ac:dyDescent="0.2">
      <c r="A277" t="s">
        <v>55</v>
      </c>
      <c r="B277" t="s">
        <v>88</v>
      </c>
      <c r="C277" s="44" t="s">
        <v>191</v>
      </c>
      <c r="D277" s="79">
        <v>733974.67161538464</v>
      </c>
      <c r="E277" s="79">
        <v>839060.72984615387</v>
      </c>
      <c r="F277" s="79">
        <v>944146.788076923</v>
      </c>
    </row>
    <row r="278" spans="1:6" x14ac:dyDescent="0.2">
      <c r="A278" t="s">
        <v>55</v>
      </c>
      <c r="B278" t="s">
        <v>96</v>
      </c>
      <c r="C278" s="44" t="s">
        <v>188</v>
      </c>
      <c r="D278" s="79">
        <v>520352.75540000002</v>
      </c>
      <c r="E278" s="79">
        <v>759694.90400399989</v>
      </c>
      <c r="F278" s="79">
        <v>1205576.6144999999</v>
      </c>
    </row>
    <row r="279" spans="1:6" x14ac:dyDescent="0.2">
      <c r="A279" t="s">
        <v>55</v>
      </c>
      <c r="B279" t="s">
        <v>74</v>
      </c>
      <c r="C279" s="44" t="s">
        <v>188</v>
      </c>
      <c r="D279" s="79">
        <v>530998.29019230767</v>
      </c>
      <c r="E279" s="79">
        <v>617527.22875000001</v>
      </c>
      <c r="F279" s="79">
        <v>776638.16730769235</v>
      </c>
    </row>
    <row r="280" spans="1:6" x14ac:dyDescent="0.2">
      <c r="A280" t="s">
        <v>55</v>
      </c>
      <c r="B280" t="s">
        <v>82</v>
      </c>
      <c r="C280" s="44" t="s">
        <v>188</v>
      </c>
      <c r="D280" s="79">
        <v>564701.8383076922</v>
      </c>
      <c r="E280" s="79">
        <v>668927.89876923081</v>
      </c>
      <c r="F280" s="79">
        <v>851780.95923076919</v>
      </c>
    </row>
    <row r="281" spans="1:6" x14ac:dyDescent="0.2">
      <c r="A281" t="s">
        <v>55</v>
      </c>
      <c r="B281" t="s">
        <v>62</v>
      </c>
      <c r="C281" s="44" t="s">
        <v>188</v>
      </c>
      <c r="D281" s="79">
        <v>730532.07603846164</v>
      </c>
      <c r="E281" s="79">
        <v>842427.43064423092</v>
      </c>
      <c r="F281" s="79">
        <v>1041928.48525</v>
      </c>
    </row>
    <row r="282" spans="1:6" x14ac:dyDescent="0.2">
      <c r="A282" t="s">
        <v>55</v>
      </c>
      <c r="B282" t="s">
        <v>32</v>
      </c>
      <c r="C282" s="44" t="s">
        <v>188</v>
      </c>
      <c r="D282" s="79">
        <v>666741.42999999993</v>
      </c>
      <c r="E282" s="79">
        <v>786323.73390000011</v>
      </c>
      <c r="F282" s="79">
        <v>1008813.7777999999</v>
      </c>
    </row>
    <row r="283" spans="1:6" x14ac:dyDescent="0.2">
      <c r="A283" t="s">
        <v>55</v>
      </c>
      <c r="B283" t="s">
        <v>88</v>
      </c>
      <c r="C283" s="44" t="s">
        <v>188</v>
      </c>
      <c r="D283" s="79">
        <v>733974.67161538464</v>
      </c>
      <c r="E283" s="79">
        <v>839060.72984615387</v>
      </c>
      <c r="F283" s="79">
        <v>1060101.288076923</v>
      </c>
    </row>
    <row r="284" spans="1:6" x14ac:dyDescent="0.2">
      <c r="A284" t="s">
        <v>55</v>
      </c>
      <c r="B284" t="s">
        <v>96</v>
      </c>
      <c r="C284" s="44" t="s">
        <v>185</v>
      </c>
      <c r="D284" s="79">
        <v>530998.29019230767</v>
      </c>
      <c r="E284" s="79">
        <v>750853.40438192314</v>
      </c>
      <c r="F284" s="79">
        <v>954322.78525000007</v>
      </c>
    </row>
    <row r="285" spans="1:6" x14ac:dyDescent="0.2">
      <c r="A285" t="s">
        <v>55</v>
      </c>
      <c r="B285" t="s">
        <v>74</v>
      </c>
      <c r="C285" s="44" t="s">
        <v>185</v>
      </c>
      <c r="D285" s="79">
        <v>530998.29019230767</v>
      </c>
      <c r="E285" s="79">
        <v>617527.22875000001</v>
      </c>
      <c r="F285" s="79">
        <v>704056.16730769235</v>
      </c>
    </row>
    <row r="286" spans="1:6" x14ac:dyDescent="0.2">
      <c r="A286" t="s">
        <v>55</v>
      </c>
      <c r="B286" t="s">
        <v>82</v>
      </c>
      <c r="C286" s="44" t="s">
        <v>185</v>
      </c>
      <c r="D286" s="79">
        <v>564701.8383076922</v>
      </c>
      <c r="E286" s="79">
        <v>668927.89876923081</v>
      </c>
      <c r="F286" s="79">
        <v>773153.95923076919</v>
      </c>
    </row>
    <row r="287" spans="1:6" x14ac:dyDescent="0.2">
      <c r="A287" t="s">
        <v>55</v>
      </c>
      <c r="B287" t="s">
        <v>62</v>
      </c>
      <c r="C287" s="44" t="s">
        <v>185</v>
      </c>
      <c r="D287" s="79">
        <v>730532.07603846164</v>
      </c>
      <c r="E287" s="79">
        <v>842427.43064423092</v>
      </c>
      <c r="F287" s="79">
        <v>954322.78525000007</v>
      </c>
    </row>
    <row r="288" spans="1:6" x14ac:dyDescent="0.2">
      <c r="A288" t="s">
        <v>55</v>
      </c>
      <c r="B288" t="s">
        <v>32</v>
      </c>
      <c r="C288" s="44" t="s">
        <v>185</v>
      </c>
      <c r="D288" s="79">
        <v>666741.42999999993</v>
      </c>
      <c r="E288" s="79">
        <v>786323.73390000011</v>
      </c>
      <c r="F288" s="79">
        <v>905906.03779999993</v>
      </c>
    </row>
    <row r="289" spans="1:6" x14ac:dyDescent="0.2">
      <c r="A289" t="s">
        <v>55</v>
      </c>
      <c r="B289" t="s">
        <v>88</v>
      </c>
      <c r="C289" s="44" t="s">
        <v>185</v>
      </c>
      <c r="D289" s="79">
        <v>733974.67161538464</v>
      </c>
      <c r="E289" s="79">
        <v>839060.72984615387</v>
      </c>
      <c r="F289" s="79">
        <v>944146.788076923</v>
      </c>
    </row>
    <row r="290" spans="1:6" x14ac:dyDescent="0.2">
      <c r="A290" t="s">
        <v>55</v>
      </c>
      <c r="B290" t="s">
        <v>96</v>
      </c>
      <c r="C290" s="44" t="s">
        <v>198</v>
      </c>
      <c r="D290" s="79">
        <v>520352.75540000002</v>
      </c>
      <c r="E290" s="79">
        <v>759694.90400399989</v>
      </c>
      <c r="F290" s="79">
        <v>1089622.1144999999</v>
      </c>
    </row>
    <row r="291" spans="1:6" x14ac:dyDescent="0.2">
      <c r="A291" t="s">
        <v>55</v>
      </c>
      <c r="B291" t="s">
        <v>74</v>
      </c>
      <c r="C291" s="44" t="s">
        <v>198</v>
      </c>
      <c r="D291" s="79">
        <v>530998.29019230767</v>
      </c>
      <c r="E291" s="79">
        <v>617527.22875000001</v>
      </c>
      <c r="F291" s="79">
        <v>704056.16730769235</v>
      </c>
    </row>
    <row r="292" spans="1:6" x14ac:dyDescent="0.2">
      <c r="A292" t="s">
        <v>55</v>
      </c>
      <c r="B292" t="s">
        <v>82</v>
      </c>
      <c r="C292" s="44" t="s">
        <v>198</v>
      </c>
      <c r="D292" s="79">
        <v>564701.8383076922</v>
      </c>
      <c r="E292" s="79">
        <v>668927.89876923081</v>
      </c>
      <c r="F292" s="79">
        <v>773153.95923076919</v>
      </c>
    </row>
    <row r="293" spans="1:6" x14ac:dyDescent="0.2">
      <c r="A293" t="s">
        <v>55</v>
      </c>
      <c r="B293" t="s">
        <v>62</v>
      </c>
      <c r="C293" s="44" t="s">
        <v>198</v>
      </c>
      <c r="D293" s="79">
        <v>730532.07603846164</v>
      </c>
      <c r="E293" s="79">
        <v>842427.43064423092</v>
      </c>
      <c r="F293" s="79">
        <v>954322.78525000007</v>
      </c>
    </row>
    <row r="294" spans="1:6" x14ac:dyDescent="0.2">
      <c r="A294" t="s">
        <v>55</v>
      </c>
      <c r="B294" t="s">
        <v>32</v>
      </c>
      <c r="C294" s="44" t="s">
        <v>198</v>
      </c>
      <c r="D294" s="79">
        <v>666741.42999999993</v>
      </c>
      <c r="E294" s="79">
        <v>786323.73390000011</v>
      </c>
      <c r="F294" s="79">
        <v>905906.03779999993</v>
      </c>
    </row>
    <row r="295" spans="1:6" x14ac:dyDescent="0.2">
      <c r="A295" t="s">
        <v>55</v>
      </c>
      <c r="B295" t="s">
        <v>88</v>
      </c>
      <c r="C295" s="44" t="s">
        <v>198</v>
      </c>
      <c r="D295" s="79">
        <v>733974.67161538464</v>
      </c>
      <c r="E295" s="79">
        <v>839060.72984615387</v>
      </c>
      <c r="F295" s="79">
        <v>944146.788076923</v>
      </c>
    </row>
    <row r="296" spans="1:6" x14ac:dyDescent="0.2">
      <c r="A296" t="s">
        <v>55</v>
      </c>
      <c r="B296" t="s">
        <v>96</v>
      </c>
      <c r="C296" s="44" t="s">
        <v>195</v>
      </c>
      <c r="D296" s="79">
        <v>520352.75540000002</v>
      </c>
      <c r="E296" s="79">
        <v>759694.90400399989</v>
      </c>
      <c r="F296" s="79">
        <v>1089622.1144999999</v>
      </c>
    </row>
    <row r="297" spans="1:6" x14ac:dyDescent="0.2">
      <c r="A297" t="s">
        <v>55</v>
      </c>
      <c r="B297" t="s">
        <v>74</v>
      </c>
      <c r="C297" s="44" t="s">
        <v>195</v>
      </c>
      <c r="D297" s="79">
        <v>530998.29019230767</v>
      </c>
      <c r="E297" s="79">
        <v>617527.22875000001</v>
      </c>
      <c r="F297" s="79">
        <v>704056.16730769235</v>
      </c>
    </row>
    <row r="298" spans="1:6" x14ac:dyDescent="0.2">
      <c r="A298" t="s">
        <v>55</v>
      </c>
      <c r="B298" t="s">
        <v>82</v>
      </c>
      <c r="C298" s="44" t="s">
        <v>195</v>
      </c>
      <c r="D298" s="79">
        <v>564701.8383076922</v>
      </c>
      <c r="E298" s="79">
        <v>668927.89876923081</v>
      </c>
      <c r="F298" s="79">
        <v>773153.95923076919</v>
      </c>
    </row>
    <row r="299" spans="1:6" x14ac:dyDescent="0.2">
      <c r="A299" t="s">
        <v>55</v>
      </c>
      <c r="B299" t="s">
        <v>62</v>
      </c>
      <c r="C299" s="44" t="s">
        <v>195</v>
      </c>
      <c r="D299" s="79">
        <v>730532.07603846164</v>
      </c>
      <c r="E299" s="79">
        <v>842427.43064423092</v>
      </c>
      <c r="F299" s="79">
        <v>954322.78525000007</v>
      </c>
    </row>
    <row r="300" spans="1:6" x14ac:dyDescent="0.2">
      <c r="A300" t="s">
        <v>55</v>
      </c>
      <c r="B300" t="s">
        <v>32</v>
      </c>
      <c r="C300" s="44" t="s">
        <v>195</v>
      </c>
      <c r="D300" s="79">
        <v>666741.42999999993</v>
      </c>
      <c r="E300" s="79">
        <v>786323.73390000011</v>
      </c>
      <c r="F300" s="79">
        <v>905906.03779999993</v>
      </c>
    </row>
    <row r="301" spans="1:6" x14ac:dyDescent="0.2">
      <c r="A301" t="s">
        <v>55</v>
      </c>
      <c r="B301" t="s">
        <v>88</v>
      </c>
      <c r="C301" s="44" t="s">
        <v>195</v>
      </c>
      <c r="D301" s="79">
        <v>733974.67161538464</v>
      </c>
      <c r="E301" s="79">
        <v>839060.72984615387</v>
      </c>
      <c r="F301" s="79">
        <v>944146.788076923</v>
      </c>
    </row>
    <row r="302" spans="1:6" x14ac:dyDescent="0.2">
      <c r="A302" t="s">
        <v>55</v>
      </c>
      <c r="B302" t="s">
        <v>96</v>
      </c>
      <c r="C302" s="44" t="s">
        <v>190</v>
      </c>
      <c r="D302" s="79">
        <v>520352.75540000002</v>
      </c>
      <c r="E302" s="79">
        <v>759694.90400399989</v>
      </c>
      <c r="F302" s="79">
        <v>1089622.1144999999</v>
      </c>
    </row>
    <row r="303" spans="1:6" x14ac:dyDescent="0.2">
      <c r="A303" t="s">
        <v>55</v>
      </c>
      <c r="B303" t="s">
        <v>74</v>
      </c>
      <c r="C303" s="44" t="s">
        <v>190</v>
      </c>
      <c r="D303" s="79">
        <v>530998.29019230767</v>
      </c>
      <c r="E303" s="79">
        <v>617527.22875000001</v>
      </c>
      <c r="F303" s="79">
        <v>704056.16730769235</v>
      </c>
    </row>
    <row r="304" spans="1:6" x14ac:dyDescent="0.2">
      <c r="A304" t="s">
        <v>55</v>
      </c>
      <c r="B304" t="s">
        <v>82</v>
      </c>
      <c r="C304" s="44" t="s">
        <v>190</v>
      </c>
      <c r="D304" s="79">
        <v>564701.8383076922</v>
      </c>
      <c r="E304" s="79">
        <v>668927.89876923081</v>
      </c>
      <c r="F304" s="79">
        <v>773153.95923076919</v>
      </c>
    </row>
    <row r="305" spans="1:6" x14ac:dyDescent="0.2">
      <c r="A305" t="s">
        <v>55</v>
      </c>
      <c r="B305" t="s">
        <v>62</v>
      </c>
      <c r="C305" s="44" t="s">
        <v>190</v>
      </c>
      <c r="D305" s="79">
        <v>730532.07603846164</v>
      </c>
      <c r="E305" s="79">
        <v>842427.43064423092</v>
      </c>
      <c r="F305" s="79">
        <v>954322.78525000007</v>
      </c>
    </row>
    <row r="306" spans="1:6" x14ac:dyDescent="0.2">
      <c r="A306" t="s">
        <v>55</v>
      </c>
      <c r="B306" t="s">
        <v>32</v>
      </c>
      <c r="C306" s="44" t="s">
        <v>190</v>
      </c>
      <c r="D306" s="79">
        <v>666741.42999999993</v>
      </c>
      <c r="E306" s="79">
        <v>786323.73390000011</v>
      </c>
      <c r="F306" s="79">
        <v>905906.03779999993</v>
      </c>
    </row>
    <row r="307" spans="1:6" x14ac:dyDescent="0.2">
      <c r="A307" t="s">
        <v>55</v>
      </c>
      <c r="B307" t="s">
        <v>88</v>
      </c>
      <c r="C307" s="44" t="s">
        <v>190</v>
      </c>
      <c r="D307" s="79">
        <v>733974.67161538464</v>
      </c>
      <c r="E307" s="79">
        <v>839060.72984615387</v>
      </c>
      <c r="F307" s="79">
        <v>944146.788076923</v>
      </c>
    </row>
    <row r="308" spans="1:6" x14ac:dyDescent="0.2">
      <c r="A308" t="s">
        <v>55</v>
      </c>
      <c r="B308" t="s">
        <v>96</v>
      </c>
      <c r="C308" s="44" t="s">
        <v>193</v>
      </c>
      <c r="D308" s="79">
        <v>520352.75540000002</v>
      </c>
      <c r="E308" s="79">
        <v>759694.90400399989</v>
      </c>
      <c r="F308" s="79">
        <v>1089622.1144999999</v>
      </c>
    </row>
    <row r="309" spans="1:6" x14ac:dyDescent="0.2">
      <c r="A309" t="s">
        <v>55</v>
      </c>
      <c r="B309" t="s">
        <v>74</v>
      </c>
      <c r="C309" s="44" t="s">
        <v>193</v>
      </c>
      <c r="D309" s="79">
        <v>530998.29019230767</v>
      </c>
      <c r="E309" s="79">
        <v>617527.22875000001</v>
      </c>
      <c r="F309" s="79">
        <v>704056.16730769235</v>
      </c>
    </row>
    <row r="310" spans="1:6" x14ac:dyDescent="0.2">
      <c r="A310" t="s">
        <v>55</v>
      </c>
      <c r="B310" t="s">
        <v>82</v>
      </c>
      <c r="C310" s="44" t="s">
        <v>193</v>
      </c>
      <c r="D310" s="79">
        <v>564701.8383076922</v>
      </c>
      <c r="E310" s="79">
        <v>668927.89876923081</v>
      </c>
      <c r="F310" s="79">
        <v>773153.95923076919</v>
      </c>
    </row>
    <row r="311" spans="1:6" x14ac:dyDescent="0.2">
      <c r="A311" t="s">
        <v>55</v>
      </c>
      <c r="B311" t="s">
        <v>62</v>
      </c>
      <c r="C311" s="44" t="s">
        <v>193</v>
      </c>
      <c r="D311" s="79">
        <v>730532.07603846164</v>
      </c>
      <c r="E311" s="79">
        <v>842427.43064423092</v>
      </c>
      <c r="F311" s="79">
        <v>954322.78525000007</v>
      </c>
    </row>
    <row r="312" spans="1:6" x14ac:dyDescent="0.2">
      <c r="A312" t="s">
        <v>55</v>
      </c>
      <c r="B312" t="s">
        <v>32</v>
      </c>
      <c r="C312" s="44" t="s">
        <v>193</v>
      </c>
      <c r="D312" s="79">
        <v>666741.42999999993</v>
      </c>
      <c r="E312" s="79">
        <v>786323.73390000011</v>
      </c>
      <c r="F312" s="79">
        <v>905906.03779999993</v>
      </c>
    </row>
    <row r="313" spans="1:6" x14ac:dyDescent="0.2">
      <c r="A313" t="s">
        <v>55</v>
      </c>
      <c r="B313" t="s">
        <v>88</v>
      </c>
      <c r="C313" s="44" t="s">
        <v>193</v>
      </c>
      <c r="D313" s="79">
        <v>733974.67161538464</v>
      </c>
      <c r="E313" s="79">
        <v>839060.72984615387</v>
      </c>
      <c r="F313" s="79">
        <v>944146.788076923</v>
      </c>
    </row>
    <row r="314" spans="1:6" x14ac:dyDescent="0.2">
      <c r="A314" t="s">
        <v>55</v>
      </c>
      <c r="B314" t="s">
        <v>96</v>
      </c>
      <c r="C314" s="44" t="s">
        <v>189</v>
      </c>
      <c r="D314" s="79">
        <v>519367.82640000002</v>
      </c>
      <c r="E314" s="79">
        <v>759694.90400399989</v>
      </c>
      <c r="F314" s="79">
        <v>1091554.6894999999</v>
      </c>
    </row>
    <row r="315" spans="1:6" x14ac:dyDescent="0.2">
      <c r="A315" t="s">
        <v>55</v>
      </c>
      <c r="B315" t="s">
        <v>74</v>
      </c>
      <c r="C315" s="44" t="s">
        <v>189</v>
      </c>
      <c r="D315" s="79">
        <v>530013.36119230767</v>
      </c>
      <c r="E315" s="79">
        <v>617527.22875000001</v>
      </c>
      <c r="F315" s="79">
        <v>705265.8673076923</v>
      </c>
    </row>
    <row r="316" spans="1:6" x14ac:dyDescent="0.2">
      <c r="A316" t="s">
        <v>55</v>
      </c>
      <c r="B316" t="s">
        <v>82</v>
      </c>
      <c r="C316" s="44" t="s">
        <v>189</v>
      </c>
      <c r="D316" s="79">
        <v>563660.10530769231</v>
      </c>
      <c r="E316" s="79">
        <v>668927.89876923081</v>
      </c>
      <c r="F316" s="79">
        <v>774464.40923076915</v>
      </c>
    </row>
    <row r="317" spans="1:6" x14ac:dyDescent="0.2">
      <c r="A317" t="s">
        <v>55</v>
      </c>
      <c r="B317" t="s">
        <v>62</v>
      </c>
      <c r="C317" s="44" t="s">
        <v>189</v>
      </c>
      <c r="D317" s="79">
        <v>729313.15503846155</v>
      </c>
      <c r="E317" s="79">
        <v>842427.43064423092</v>
      </c>
      <c r="F317" s="79">
        <v>955782.88025000005</v>
      </c>
    </row>
    <row r="318" spans="1:6" x14ac:dyDescent="0.2">
      <c r="A318" t="s">
        <v>55</v>
      </c>
      <c r="B318" t="s">
        <v>32</v>
      </c>
      <c r="C318" s="44" t="s">
        <v>189</v>
      </c>
      <c r="D318" s="79">
        <v>665369.34499999997</v>
      </c>
      <c r="E318" s="79">
        <v>786323.73390000011</v>
      </c>
      <c r="F318" s="79">
        <v>907621.16680000001</v>
      </c>
    </row>
    <row r="319" spans="1:6" x14ac:dyDescent="0.2">
      <c r="A319" t="s">
        <v>55</v>
      </c>
      <c r="B319" t="s">
        <v>88</v>
      </c>
      <c r="C319" s="44" t="s">
        <v>189</v>
      </c>
      <c r="D319" s="79">
        <v>732337.00811538461</v>
      </c>
      <c r="E319" s="79">
        <v>839060.72984615387</v>
      </c>
      <c r="F319" s="79">
        <v>946079.36307692295</v>
      </c>
    </row>
    <row r="320" spans="1:6" x14ac:dyDescent="0.2">
      <c r="A320" t="s">
        <v>55</v>
      </c>
      <c r="B320" t="s">
        <v>96</v>
      </c>
      <c r="C320" s="44" t="s">
        <v>192</v>
      </c>
      <c r="D320" s="79">
        <v>520352.75540000002</v>
      </c>
      <c r="E320" s="79">
        <v>759694.90400399989</v>
      </c>
      <c r="F320" s="79">
        <v>1089622.1144999999</v>
      </c>
    </row>
    <row r="321" spans="1:6" x14ac:dyDescent="0.2">
      <c r="A321" t="s">
        <v>55</v>
      </c>
      <c r="B321" t="s">
        <v>74</v>
      </c>
      <c r="C321" s="44" t="s">
        <v>192</v>
      </c>
      <c r="D321" s="79">
        <v>530998.29019230767</v>
      </c>
      <c r="E321" s="79">
        <v>617527.22875000001</v>
      </c>
      <c r="F321" s="79">
        <v>704056.16730769235</v>
      </c>
    </row>
    <row r="322" spans="1:6" x14ac:dyDescent="0.2">
      <c r="A322" t="s">
        <v>55</v>
      </c>
      <c r="B322" t="s">
        <v>82</v>
      </c>
      <c r="C322" s="44" t="s">
        <v>192</v>
      </c>
      <c r="D322" s="79">
        <v>564701.8383076922</v>
      </c>
      <c r="E322" s="79">
        <v>668927.89876923081</v>
      </c>
      <c r="F322" s="79">
        <v>773153.95923076919</v>
      </c>
    </row>
    <row r="323" spans="1:6" x14ac:dyDescent="0.2">
      <c r="A323" t="s">
        <v>55</v>
      </c>
      <c r="B323" t="s">
        <v>62</v>
      </c>
      <c r="C323" s="44" t="s">
        <v>192</v>
      </c>
      <c r="D323" s="79">
        <v>730532.07603846164</v>
      </c>
      <c r="E323" s="79">
        <v>842427.43064423092</v>
      </c>
      <c r="F323" s="79">
        <v>954322.78525000007</v>
      </c>
    </row>
    <row r="324" spans="1:6" x14ac:dyDescent="0.2">
      <c r="A324" t="s">
        <v>55</v>
      </c>
      <c r="B324" t="s">
        <v>32</v>
      </c>
      <c r="C324" s="44" t="s">
        <v>192</v>
      </c>
      <c r="D324" s="79">
        <v>666741.42999999993</v>
      </c>
      <c r="E324" s="79">
        <v>786323.73390000011</v>
      </c>
      <c r="F324" s="79">
        <v>905906.03779999993</v>
      </c>
    </row>
    <row r="325" spans="1:6" x14ac:dyDescent="0.2">
      <c r="A325" t="s">
        <v>55</v>
      </c>
      <c r="B325" t="s">
        <v>88</v>
      </c>
      <c r="C325" s="44" t="s">
        <v>192</v>
      </c>
      <c r="D325" s="79">
        <v>733974.67161538464</v>
      </c>
      <c r="E325" s="79">
        <v>839060.72984615387</v>
      </c>
      <c r="F325" s="79">
        <v>944146.788076923</v>
      </c>
    </row>
    <row r="326" spans="1:6" x14ac:dyDescent="0.2">
      <c r="A326" t="s">
        <v>55</v>
      </c>
      <c r="B326" t="s">
        <v>96</v>
      </c>
      <c r="C326" s="44" t="s">
        <v>199</v>
      </c>
      <c r="D326" s="79">
        <v>519457.36540000001</v>
      </c>
      <c r="E326" s="79">
        <v>759694.90400399989</v>
      </c>
      <c r="F326" s="79">
        <v>1096386.1269999999</v>
      </c>
    </row>
    <row r="327" spans="1:6" x14ac:dyDescent="0.2">
      <c r="A327" t="s">
        <v>55</v>
      </c>
      <c r="B327" t="s">
        <v>74</v>
      </c>
      <c r="C327" s="44" t="s">
        <v>199</v>
      </c>
      <c r="D327" s="79">
        <v>530102.90019230777</v>
      </c>
      <c r="E327" s="79">
        <v>617527.22875000001</v>
      </c>
      <c r="F327" s="79">
        <v>708290.1173076923</v>
      </c>
    </row>
    <row r="328" spans="1:6" x14ac:dyDescent="0.2">
      <c r="A328" t="s">
        <v>55</v>
      </c>
      <c r="B328" t="s">
        <v>82</v>
      </c>
      <c r="C328" s="44" t="s">
        <v>199</v>
      </c>
      <c r="D328" s="79">
        <v>563754.80830769229</v>
      </c>
      <c r="E328" s="79">
        <v>668927.89876923081</v>
      </c>
      <c r="F328" s="79">
        <v>777740.53423076915</v>
      </c>
    </row>
    <row r="329" spans="1:6" x14ac:dyDescent="0.2">
      <c r="A329" t="s">
        <v>55</v>
      </c>
      <c r="B329" t="s">
        <v>62</v>
      </c>
      <c r="C329" s="44" t="s">
        <v>199</v>
      </c>
      <c r="D329" s="79">
        <v>729423.96603846154</v>
      </c>
      <c r="E329" s="79">
        <v>842427.43064423092</v>
      </c>
      <c r="F329" s="79">
        <v>959433.11774999998</v>
      </c>
    </row>
    <row r="330" spans="1:6" x14ac:dyDescent="0.2">
      <c r="A330" t="s">
        <v>55</v>
      </c>
      <c r="B330" t="s">
        <v>32</v>
      </c>
      <c r="C330" s="44" t="s">
        <v>199</v>
      </c>
      <c r="D330" s="79">
        <v>665494.07999999996</v>
      </c>
      <c r="E330" s="79">
        <v>786323.73390000011</v>
      </c>
      <c r="F330" s="79">
        <v>911908.98930000002</v>
      </c>
    </row>
    <row r="331" spans="1:6" x14ac:dyDescent="0.2">
      <c r="A331" t="s">
        <v>55</v>
      </c>
      <c r="B331" t="s">
        <v>88</v>
      </c>
      <c r="C331" s="44" t="s">
        <v>199</v>
      </c>
      <c r="D331" s="79">
        <v>732485.8866153846</v>
      </c>
      <c r="E331" s="79">
        <v>839060.72984615387</v>
      </c>
      <c r="F331" s="79">
        <v>950910.80057692295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F7E24-80DD-7345-91A6-184F968492A2}">
  <dimension ref="A1:F31"/>
  <sheetViews>
    <sheetView workbookViewId="0">
      <selection activeCell="F22" sqref="F22"/>
    </sheetView>
  </sheetViews>
  <sheetFormatPr baseColWidth="10" defaultColWidth="11" defaultRowHeight="16" x14ac:dyDescent="0.2"/>
  <cols>
    <col min="4" max="6" width="10.83203125" style="79"/>
  </cols>
  <sheetData>
    <row r="1" spans="1:6" x14ac:dyDescent="0.2">
      <c r="A1" t="s">
        <v>6</v>
      </c>
      <c r="B1" t="s">
        <v>5</v>
      </c>
      <c r="C1" t="s">
        <v>197</v>
      </c>
      <c r="D1" s="79" t="s">
        <v>29</v>
      </c>
      <c r="E1" s="79" t="s">
        <v>56</v>
      </c>
      <c r="F1" s="79" t="s">
        <v>31</v>
      </c>
    </row>
    <row r="2" spans="1:6" x14ac:dyDescent="0.2">
      <c r="A2" t="s">
        <v>47</v>
      </c>
      <c r="B2" t="s">
        <v>96</v>
      </c>
      <c r="C2" s="44" t="s">
        <v>185</v>
      </c>
      <c r="D2" s="79">
        <v>57.737442267206475</v>
      </c>
      <c r="E2" s="79">
        <v>81.180168558393035</v>
      </c>
      <c r="F2" s="79">
        <v>118.32334864528184</v>
      </c>
    </row>
    <row r="3" spans="1:6" x14ac:dyDescent="0.2">
      <c r="A3" t="s">
        <v>47</v>
      </c>
      <c r="B3" t="s">
        <v>74</v>
      </c>
      <c r="C3" s="44" t="s">
        <v>185</v>
      </c>
      <c r="D3" s="79">
        <v>57.737442267206475</v>
      </c>
      <c r="E3" s="79">
        <v>69.435605404858308</v>
      </c>
      <c r="F3" s="79">
        <v>81.133768542510111</v>
      </c>
    </row>
    <row r="4" spans="1:6" x14ac:dyDescent="0.2">
      <c r="A4" t="s">
        <v>47</v>
      </c>
      <c r="B4" t="s">
        <v>82</v>
      </c>
      <c r="C4" s="44" t="s">
        <v>185</v>
      </c>
      <c r="D4" s="79">
        <v>58.089778573653071</v>
      </c>
      <c r="E4" s="79">
        <v>77.38128143491123</v>
      </c>
      <c r="F4" s="79">
        <v>96.672784296169425</v>
      </c>
    </row>
    <row r="5" spans="1:6" x14ac:dyDescent="0.2">
      <c r="A5" t="s">
        <v>47</v>
      </c>
      <c r="B5" t="s">
        <v>62</v>
      </c>
      <c r="C5" s="44" t="s">
        <v>185</v>
      </c>
      <c r="D5" s="79">
        <v>68.20481267517907</v>
      </c>
      <c r="E5" s="79">
        <v>75.94370297415135</v>
      </c>
      <c r="F5" s="79">
        <v>83.682593273123629</v>
      </c>
    </row>
    <row r="6" spans="1:6" x14ac:dyDescent="0.2">
      <c r="A6" t="s">
        <v>47</v>
      </c>
      <c r="B6" t="s">
        <v>32</v>
      </c>
      <c r="C6" s="44" t="s">
        <v>185</v>
      </c>
      <c r="D6" s="79">
        <v>82.411060923388348</v>
      </c>
      <c r="E6" s="79">
        <v>100.3672047843351</v>
      </c>
      <c r="F6" s="79">
        <v>118.32334864528184</v>
      </c>
    </row>
    <row r="7" spans="1:6" x14ac:dyDescent="0.2">
      <c r="A7" t="s">
        <v>47</v>
      </c>
      <c r="B7" t="s">
        <v>88</v>
      </c>
      <c r="C7" s="44" t="s">
        <v>185</v>
      </c>
      <c r="D7" s="79">
        <v>75.275442113048882</v>
      </c>
      <c r="E7" s="79">
        <v>82.773048193709116</v>
      </c>
      <c r="F7" s="79">
        <v>90.270654274369349</v>
      </c>
    </row>
    <row r="8" spans="1:6" x14ac:dyDescent="0.2">
      <c r="A8" t="s">
        <v>50</v>
      </c>
      <c r="B8" t="s">
        <v>96</v>
      </c>
      <c r="C8" s="44" t="s">
        <v>185</v>
      </c>
      <c r="D8" s="79">
        <v>79.553107988165678</v>
      </c>
      <c r="E8" s="79">
        <v>119.57936256228588</v>
      </c>
      <c r="F8" s="79">
        <v>168.18382155091874</v>
      </c>
    </row>
    <row r="9" spans="1:6" x14ac:dyDescent="0.2">
      <c r="A9" t="s">
        <v>50</v>
      </c>
      <c r="B9" t="s">
        <v>74</v>
      </c>
      <c r="C9" s="44" t="s">
        <v>185</v>
      </c>
      <c r="D9" s="79">
        <v>85.522450093428859</v>
      </c>
      <c r="E9" s="79">
        <v>116.99664195344128</v>
      </c>
      <c r="F9" s="79">
        <v>148.47083381345377</v>
      </c>
    </row>
    <row r="10" spans="1:6" x14ac:dyDescent="0.2">
      <c r="A10" t="s">
        <v>50</v>
      </c>
      <c r="B10" t="s">
        <v>82</v>
      </c>
      <c r="C10" s="44" t="s">
        <v>185</v>
      </c>
      <c r="D10" s="79">
        <v>83.646810689816263</v>
      </c>
      <c r="E10" s="79">
        <v>125.91531612036746</v>
      </c>
      <c r="F10" s="79">
        <v>168.18382155091874</v>
      </c>
    </row>
    <row r="11" spans="1:6" x14ac:dyDescent="0.2">
      <c r="A11" t="s">
        <v>50</v>
      </c>
      <c r="B11" t="s">
        <v>62</v>
      </c>
      <c r="C11" s="44" t="s">
        <v>185</v>
      </c>
      <c r="D11" s="79">
        <v>79.553107988165678</v>
      </c>
      <c r="E11" s="79">
        <v>109.75311478122079</v>
      </c>
      <c r="F11" s="79">
        <v>139.95312157427591</v>
      </c>
    </row>
    <row r="12" spans="1:6" x14ac:dyDescent="0.2">
      <c r="A12" t="s">
        <v>50</v>
      </c>
      <c r="B12" t="s">
        <v>32</v>
      </c>
      <c r="C12" s="44" t="s">
        <v>185</v>
      </c>
      <c r="D12" s="79">
        <v>103.01091529118654</v>
      </c>
      <c r="E12" s="79">
        <v>131.77929823263781</v>
      </c>
      <c r="F12" s="79">
        <v>160.54768117408906</v>
      </c>
    </row>
    <row r="13" spans="1:6" x14ac:dyDescent="0.2">
      <c r="A13" t="s">
        <v>50</v>
      </c>
      <c r="B13" t="s">
        <v>88</v>
      </c>
      <c r="C13" s="44" t="s">
        <v>185</v>
      </c>
      <c r="D13" s="79">
        <v>104.45400708502025</v>
      </c>
      <c r="E13" s="79">
        <v>113.45244172376208</v>
      </c>
      <c r="F13" s="79">
        <v>122.45087636250389</v>
      </c>
    </row>
    <row r="14" spans="1:6" x14ac:dyDescent="0.2">
      <c r="A14" t="s">
        <v>33</v>
      </c>
      <c r="B14" t="s">
        <v>96</v>
      </c>
      <c r="C14" s="44" t="s">
        <v>185</v>
      </c>
      <c r="D14" s="79">
        <v>59.105972282777955</v>
      </c>
      <c r="E14" s="79">
        <v>97.464674225163506</v>
      </c>
      <c r="F14" s="79">
        <v>142.71508727810649</v>
      </c>
    </row>
    <row r="15" spans="1:6" x14ac:dyDescent="0.2">
      <c r="A15" t="s">
        <v>33</v>
      </c>
      <c r="B15" t="s">
        <v>74</v>
      </c>
      <c r="C15" s="44" t="s">
        <v>185</v>
      </c>
      <c r="D15" s="79">
        <v>71.921924635627533</v>
      </c>
      <c r="E15" s="79">
        <v>93.036320829959507</v>
      </c>
      <c r="F15" s="79">
        <v>114.1507170242915</v>
      </c>
    </row>
    <row r="16" spans="1:6" x14ac:dyDescent="0.2">
      <c r="A16" t="s">
        <v>33</v>
      </c>
      <c r="B16" t="s">
        <v>82</v>
      </c>
      <c r="C16" s="44" t="s">
        <v>185</v>
      </c>
      <c r="D16" s="79">
        <v>59.105972282777955</v>
      </c>
      <c r="E16" s="79">
        <v>85.042878698224854</v>
      </c>
      <c r="F16" s="79">
        <v>110.97978511367175</v>
      </c>
    </row>
    <row r="17" spans="1:6" x14ac:dyDescent="0.2">
      <c r="A17" t="s">
        <v>33</v>
      </c>
      <c r="B17" t="s">
        <v>62</v>
      </c>
      <c r="C17" s="44" t="s">
        <v>185</v>
      </c>
      <c r="D17" s="79">
        <v>65.146644814699471</v>
      </c>
      <c r="E17" s="79">
        <v>93.078790057614455</v>
      </c>
      <c r="F17" s="79">
        <v>121.01093530052941</v>
      </c>
    </row>
    <row r="18" spans="1:6" x14ac:dyDescent="0.2">
      <c r="A18" t="s">
        <v>33</v>
      </c>
      <c r="B18" t="s">
        <v>32</v>
      </c>
      <c r="C18" s="44" t="s">
        <v>185</v>
      </c>
      <c r="D18" s="79">
        <v>103.01091529118654</v>
      </c>
      <c r="E18" s="79">
        <v>122.86300128464651</v>
      </c>
      <c r="F18" s="79">
        <v>142.71508727810649</v>
      </c>
    </row>
    <row r="19" spans="1:6" x14ac:dyDescent="0.2">
      <c r="A19" t="s">
        <v>33</v>
      </c>
      <c r="B19" t="s">
        <v>88</v>
      </c>
      <c r="C19" s="44" t="s">
        <v>185</v>
      </c>
      <c r="D19" s="79">
        <v>75.275442113048882</v>
      </c>
      <c r="E19" s="79">
        <v>93.302380255372157</v>
      </c>
      <c r="F19" s="79">
        <v>111.3293183976954</v>
      </c>
    </row>
    <row r="20" spans="1:6" x14ac:dyDescent="0.2">
      <c r="A20" t="s">
        <v>40</v>
      </c>
      <c r="B20" t="s">
        <v>96</v>
      </c>
      <c r="C20" s="44" t="s">
        <v>185</v>
      </c>
      <c r="D20" s="79">
        <v>79.880535931174094</v>
      </c>
      <c r="E20" s="79">
        <v>132.09725249252568</v>
      </c>
      <c r="F20" s="79">
        <v>186.05310212550611</v>
      </c>
    </row>
    <row r="21" spans="1:6" x14ac:dyDescent="0.2">
      <c r="A21" t="s">
        <v>40</v>
      </c>
      <c r="B21" t="s">
        <v>74</v>
      </c>
      <c r="C21" s="44" t="s">
        <v>185</v>
      </c>
      <c r="D21" s="79">
        <v>86.96887734817814</v>
      </c>
      <c r="E21" s="79">
        <v>133.12305611336032</v>
      </c>
      <c r="F21" s="79">
        <v>179.27723487854254</v>
      </c>
    </row>
    <row r="22" spans="1:6" x14ac:dyDescent="0.2">
      <c r="A22" t="s">
        <v>40</v>
      </c>
      <c r="B22" t="s">
        <v>82</v>
      </c>
      <c r="C22" s="44" t="s">
        <v>185</v>
      </c>
      <c r="D22" s="79">
        <v>83.646810689816263</v>
      </c>
      <c r="E22" s="79">
        <v>125.91531612036746</v>
      </c>
      <c r="F22" s="79">
        <v>168.18382155091874</v>
      </c>
    </row>
    <row r="23" spans="1:6" x14ac:dyDescent="0.2">
      <c r="A23" t="s">
        <v>40</v>
      </c>
      <c r="B23" t="s">
        <v>62</v>
      </c>
      <c r="C23" s="44" t="s">
        <v>185</v>
      </c>
      <c r="D23" s="79">
        <v>80.199187869822495</v>
      </c>
      <c r="E23" s="79">
        <v>125.92719767985052</v>
      </c>
      <c r="F23" s="79">
        <v>171.65520748987856</v>
      </c>
    </row>
    <row r="24" spans="1:6" x14ac:dyDescent="0.2">
      <c r="A24" t="s">
        <v>40</v>
      </c>
      <c r="B24" t="s">
        <v>32</v>
      </c>
      <c r="C24" s="44" t="s">
        <v>185</v>
      </c>
      <c r="D24" s="79">
        <v>79.880535931174094</v>
      </c>
      <c r="E24" s="79">
        <v>132.9668190283401</v>
      </c>
      <c r="F24" s="79">
        <v>186.05310212550611</v>
      </c>
    </row>
    <row r="25" spans="1:6" x14ac:dyDescent="0.2">
      <c r="A25" t="s">
        <v>40</v>
      </c>
      <c r="B25" t="s">
        <v>88</v>
      </c>
      <c r="C25" s="44" t="s">
        <v>185</v>
      </c>
      <c r="D25" s="79">
        <v>101.75434595920274</v>
      </c>
      <c r="E25" s="79">
        <v>142.55387352071006</v>
      </c>
      <c r="F25" s="79">
        <v>183.35340108221735</v>
      </c>
    </row>
    <row r="26" spans="1:6" x14ac:dyDescent="0.2">
      <c r="A26" t="s">
        <v>55</v>
      </c>
      <c r="B26" t="s">
        <v>96</v>
      </c>
      <c r="C26" s="44" t="s">
        <v>185</v>
      </c>
      <c r="D26" s="79">
        <v>268.72383106898161</v>
      </c>
      <c r="E26" s="79">
        <v>379.98654067911093</v>
      </c>
      <c r="F26" s="79">
        <v>482.95687512651824</v>
      </c>
    </row>
    <row r="27" spans="1:6" x14ac:dyDescent="0.2">
      <c r="A27" t="s">
        <v>55</v>
      </c>
      <c r="B27" t="s">
        <v>74</v>
      </c>
      <c r="C27" s="44" t="s">
        <v>185</v>
      </c>
      <c r="D27" s="79">
        <v>268.72383106898161</v>
      </c>
      <c r="E27" s="79">
        <v>312.51377973178137</v>
      </c>
      <c r="F27" s="79">
        <v>356.30372839458113</v>
      </c>
    </row>
    <row r="28" spans="1:6" x14ac:dyDescent="0.2">
      <c r="A28" t="s">
        <v>55</v>
      </c>
      <c r="B28" t="s">
        <v>82</v>
      </c>
      <c r="C28" s="44" t="s">
        <v>185</v>
      </c>
      <c r="D28" s="79">
        <v>285.78028254437862</v>
      </c>
      <c r="E28" s="79">
        <v>338.52626455932733</v>
      </c>
      <c r="F28" s="79">
        <v>391.27224657427587</v>
      </c>
    </row>
    <row r="29" spans="1:6" x14ac:dyDescent="0.2">
      <c r="A29" t="s">
        <v>55</v>
      </c>
      <c r="B29" t="s">
        <v>62</v>
      </c>
      <c r="C29" s="44" t="s">
        <v>185</v>
      </c>
      <c r="D29" s="79">
        <v>369.70246763080041</v>
      </c>
      <c r="E29" s="79">
        <v>426.32967137865938</v>
      </c>
      <c r="F29" s="79">
        <v>482.95687512651824</v>
      </c>
    </row>
    <row r="30" spans="1:6" x14ac:dyDescent="0.2">
      <c r="A30" t="s">
        <v>55</v>
      </c>
      <c r="B30" t="s">
        <v>32</v>
      </c>
      <c r="C30" s="44" t="s">
        <v>185</v>
      </c>
      <c r="D30" s="79">
        <v>337.41975202429148</v>
      </c>
      <c r="E30" s="79">
        <v>397.93711229757093</v>
      </c>
      <c r="F30" s="79">
        <v>458.45447257085021</v>
      </c>
    </row>
    <row r="31" spans="1:6" x14ac:dyDescent="0.2">
      <c r="A31" t="s">
        <v>55</v>
      </c>
      <c r="B31" t="s">
        <v>88</v>
      </c>
      <c r="C31" s="44" t="s">
        <v>185</v>
      </c>
      <c r="D31" s="79">
        <v>371.44467187013396</v>
      </c>
      <c r="E31" s="79">
        <v>424.62587542821552</v>
      </c>
      <c r="F31" s="79">
        <v>477.80707898629703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3E5E2-C14F-7748-9FD8-82AD70719193}">
  <dimension ref="A1:E6"/>
  <sheetViews>
    <sheetView workbookViewId="0">
      <selection activeCell="D2" sqref="D2"/>
    </sheetView>
  </sheetViews>
  <sheetFormatPr baseColWidth="10" defaultColWidth="10.83203125" defaultRowHeight="16" x14ac:dyDescent="0.2"/>
  <cols>
    <col min="1" max="16384" width="10.83203125" style="52"/>
  </cols>
  <sheetData>
    <row r="1" spans="1:5" s="50" customFormat="1" ht="34" x14ac:dyDescent="0.2">
      <c r="A1" s="48" t="s">
        <v>5</v>
      </c>
      <c r="B1" s="48" t="s">
        <v>6</v>
      </c>
      <c r="C1" s="49" t="s">
        <v>331</v>
      </c>
      <c r="D1" s="49" t="s">
        <v>332</v>
      </c>
      <c r="E1" s="49"/>
    </row>
    <row r="2" spans="1:5" s="50" customFormat="1" x14ac:dyDescent="0.2">
      <c r="A2" s="50" t="s">
        <v>96</v>
      </c>
      <c r="B2" s="51" t="s">
        <v>33</v>
      </c>
      <c r="C2" s="47" t="s">
        <v>333</v>
      </c>
      <c r="D2" s="47" t="s">
        <v>334</v>
      </c>
    </row>
    <row r="3" spans="1:5" s="50" customFormat="1" x14ac:dyDescent="0.2">
      <c r="A3" s="50" t="s">
        <v>96</v>
      </c>
      <c r="B3" s="51" t="s">
        <v>40</v>
      </c>
      <c r="C3" s="47" t="s">
        <v>335</v>
      </c>
      <c r="D3" s="47" t="s">
        <v>336</v>
      </c>
    </row>
    <row r="4" spans="1:5" s="50" customFormat="1" x14ac:dyDescent="0.2">
      <c r="A4" s="50" t="s">
        <v>96</v>
      </c>
      <c r="B4" s="51" t="s">
        <v>47</v>
      </c>
      <c r="C4" s="47" t="s">
        <v>337</v>
      </c>
      <c r="D4" s="47" t="s">
        <v>338</v>
      </c>
    </row>
    <row r="5" spans="1:5" s="50" customFormat="1" x14ac:dyDescent="0.2">
      <c r="A5" s="50" t="s">
        <v>96</v>
      </c>
      <c r="B5" s="51" t="s">
        <v>50</v>
      </c>
      <c r="C5" s="47" t="s">
        <v>339</v>
      </c>
      <c r="D5" s="47" t="s">
        <v>340</v>
      </c>
    </row>
    <row r="6" spans="1:5" s="50" customFormat="1" x14ac:dyDescent="0.2">
      <c r="A6" s="50" t="s">
        <v>96</v>
      </c>
      <c r="B6" s="51" t="s">
        <v>55</v>
      </c>
      <c r="C6" s="47" t="s">
        <v>341</v>
      </c>
      <c r="D6" s="47" t="s">
        <v>342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F1817-2170-1C4B-91E5-73439D6A365E}">
  <dimension ref="A1:H73"/>
  <sheetViews>
    <sheetView workbookViewId="0">
      <selection activeCell="G64" sqref="G64"/>
    </sheetView>
  </sheetViews>
  <sheetFormatPr baseColWidth="10" defaultColWidth="11" defaultRowHeight="16" x14ac:dyDescent="0.2"/>
  <sheetData>
    <row r="1" spans="1:8" x14ac:dyDescent="0.2">
      <c r="A1" t="s">
        <v>5</v>
      </c>
      <c r="B1" t="s">
        <v>6</v>
      </c>
      <c r="C1" s="44" t="s">
        <v>11</v>
      </c>
      <c r="D1" s="44"/>
      <c r="E1" s="44"/>
      <c r="F1" s="44" t="s">
        <v>12</v>
      </c>
      <c r="G1" s="44"/>
      <c r="H1" s="44"/>
    </row>
    <row r="2" spans="1:8" x14ac:dyDescent="0.2">
      <c r="C2" s="44" t="s">
        <v>29</v>
      </c>
      <c r="D2" s="44" t="s">
        <v>30</v>
      </c>
      <c r="E2" s="44" t="s">
        <v>31</v>
      </c>
      <c r="F2" s="44" t="s">
        <v>29</v>
      </c>
      <c r="G2" s="44" t="s">
        <v>30</v>
      </c>
      <c r="H2" s="44" t="s">
        <v>31</v>
      </c>
    </row>
    <row r="3" spans="1:8" x14ac:dyDescent="0.2">
      <c r="A3" t="s">
        <v>32</v>
      </c>
      <c r="B3" t="s">
        <v>33</v>
      </c>
      <c r="C3" s="44">
        <v>203151.44861538461</v>
      </c>
      <c r="D3" s="44">
        <v>242302.4455384615</v>
      </c>
      <c r="E3" s="44">
        <v>281453.44246153842</v>
      </c>
      <c r="F3" s="44">
        <v>102.80943755839301</v>
      </c>
      <c r="G3" s="44">
        <v>122.62269511055743</v>
      </c>
      <c r="H3" s="44">
        <v>142.43595266272186</v>
      </c>
    </row>
    <row r="4" spans="1:8" x14ac:dyDescent="0.2">
      <c r="A4" t="s">
        <v>32</v>
      </c>
      <c r="B4" t="s">
        <v>40</v>
      </c>
      <c r="C4" s="44">
        <v>157537.91899999999</v>
      </c>
      <c r="D4" s="44">
        <v>262233.04240000003</v>
      </c>
      <c r="E4" s="44">
        <v>366928.16580000008</v>
      </c>
      <c r="F4" s="44">
        <v>79.725667510121454</v>
      </c>
      <c r="G4" s="44">
        <v>132.7090295546559</v>
      </c>
      <c r="H4" s="44">
        <v>185.69239159919033</v>
      </c>
    </row>
    <row r="5" spans="1:8" x14ac:dyDescent="0.2">
      <c r="A5" t="s">
        <v>32</v>
      </c>
      <c r="B5" t="s">
        <v>47</v>
      </c>
      <c r="C5" s="44">
        <v>162525.75138461537</v>
      </c>
      <c r="D5" s="44">
        <v>197937.69415384615</v>
      </c>
      <c r="E5" s="44">
        <v>233349.63692307693</v>
      </c>
      <c r="F5" s="44">
        <v>82.249874182497663</v>
      </c>
      <c r="G5" s="44">
        <v>100.17089785113671</v>
      </c>
      <c r="H5" s="44">
        <v>118.09192151977578</v>
      </c>
    </row>
    <row r="6" spans="1:8" x14ac:dyDescent="0.2">
      <c r="A6" t="s">
        <v>32</v>
      </c>
      <c r="B6" t="s">
        <v>50</v>
      </c>
      <c r="C6" s="44">
        <v>203151.44861538461</v>
      </c>
      <c r="D6" s="44">
        <v>259886.58830769232</v>
      </c>
      <c r="E6" s="44">
        <v>316621.728</v>
      </c>
      <c r="F6" s="44">
        <v>102.80943755839301</v>
      </c>
      <c r="G6" s="44">
        <v>131.5215527872937</v>
      </c>
      <c r="H6" s="44">
        <v>160.23366801619434</v>
      </c>
    </row>
    <row r="7" spans="1:8" x14ac:dyDescent="0.2">
      <c r="A7" t="s">
        <v>32</v>
      </c>
      <c r="B7" t="s">
        <v>55</v>
      </c>
      <c r="C7" s="44">
        <v>640547.07999999996</v>
      </c>
      <c r="D7" s="44">
        <v>755217.70440000005</v>
      </c>
      <c r="E7" s="44">
        <v>869888.3287999999</v>
      </c>
      <c r="F7" s="44">
        <v>324.16350202429146</v>
      </c>
      <c r="G7" s="44">
        <v>382.19519453441296</v>
      </c>
      <c r="H7" s="44">
        <v>440.22688704453435</v>
      </c>
    </row>
    <row r="8" spans="1:8" x14ac:dyDescent="0.2">
      <c r="C8" s="44"/>
      <c r="D8" s="44"/>
      <c r="E8" s="44"/>
      <c r="F8" s="44"/>
      <c r="G8" s="44"/>
      <c r="H8" s="44"/>
    </row>
    <row r="9" spans="1:8" x14ac:dyDescent="0.2">
      <c r="A9" t="s">
        <v>62</v>
      </c>
      <c r="B9" t="s">
        <v>33</v>
      </c>
      <c r="C9" s="44">
        <v>128457.95015384615</v>
      </c>
      <c r="D9" s="44">
        <v>183535.32415384613</v>
      </c>
      <c r="E9" s="44">
        <v>238612.69815384614</v>
      </c>
      <c r="F9" s="44">
        <v>65.875871873767252</v>
      </c>
      <c r="G9" s="44">
        <v>94.12067905325442</v>
      </c>
      <c r="H9" s="44">
        <v>122.3654862327416</v>
      </c>
    </row>
    <row r="10" spans="1:8" x14ac:dyDescent="0.2">
      <c r="A10" t="s">
        <v>62</v>
      </c>
      <c r="B10" t="s">
        <v>40</v>
      </c>
      <c r="C10" s="44">
        <v>158141.66523076923</v>
      </c>
      <c r="D10" s="44">
        <v>248310.95261538462</v>
      </c>
      <c r="E10" s="44">
        <v>338480.24000000005</v>
      </c>
      <c r="F10" s="44">
        <v>81.09828986193294</v>
      </c>
      <c r="G10" s="44">
        <v>127.33895005917159</v>
      </c>
      <c r="H10" s="44">
        <v>173.57961025641029</v>
      </c>
    </row>
    <row r="11" spans="1:8" x14ac:dyDescent="0.2">
      <c r="A11" t="s">
        <v>62</v>
      </c>
      <c r="B11" t="s">
        <v>47</v>
      </c>
      <c r="C11" s="44">
        <v>134488.12984615384</v>
      </c>
      <c r="D11" s="44">
        <v>149747.88707692307</v>
      </c>
      <c r="E11" s="44">
        <v>165007.6443076923</v>
      </c>
      <c r="F11" s="44">
        <v>68.968271715976329</v>
      </c>
      <c r="G11" s="44">
        <v>76.793788244575936</v>
      </c>
      <c r="H11" s="44">
        <v>84.619304773175543</v>
      </c>
    </row>
    <row r="12" spans="1:8" x14ac:dyDescent="0.2">
      <c r="A12" t="s">
        <v>62</v>
      </c>
      <c r="B12" t="s">
        <v>50</v>
      </c>
      <c r="C12" s="44">
        <v>156865.01138461538</v>
      </c>
      <c r="D12" s="44">
        <v>216414.21730769228</v>
      </c>
      <c r="E12" s="44">
        <v>275963.42323076923</v>
      </c>
      <c r="F12" s="44">
        <v>80.443595581854055</v>
      </c>
      <c r="G12" s="44">
        <v>110.98164990138066</v>
      </c>
      <c r="H12" s="44">
        <v>141.5197042209073</v>
      </c>
    </row>
    <row r="13" spans="1:8" x14ac:dyDescent="0.2">
      <c r="A13" t="s">
        <v>62</v>
      </c>
      <c r="B13" t="s">
        <v>55</v>
      </c>
      <c r="C13" s="44">
        <v>707261.76603846159</v>
      </c>
      <c r="D13" s="44">
        <v>815461.27814423083</v>
      </c>
      <c r="E13" s="44">
        <v>923660.79024999996</v>
      </c>
      <c r="F13" s="44">
        <v>357.92599495873566</v>
      </c>
      <c r="G13" s="44">
        <v>412.68283306894273</v>
      </c>
      <c r="H13" s="44">
        <v>467.4396711791498</v>
      </c>
    </row>
    <row r="14" spans="1:8" x14ac:dyDescent="0.2">
      <c r="C14" s="44"/>
      <c r="D14" s="44"/>
      <c r="E14" s="44"/>
      <c r="F14" s="44"/>
      <c r="G14" s="44"/>
      <c r="H14" s="44"/>
    </row>
    <row r="15" spans="1:8" x14ac:dyDescent="0.2">
      <c r="A15" t="s">
        <v>74</v>
      </c>
      <c r="B15" t="s">
        <v>33</v>
      </c>
      <c r="C15" s="44">
        <v>141817.63368</v>
      </c>
      <c r="D15" s="44">
        <v>183451.58215999999</v>
      </c>
      <c r="E15" s="44">
        <v>225085.53063999998</v>
      </c>
      <c r="F15" s="44">
        <v>68.181554653846149</v>
      </c>
      <c r="G15" s="44">
        <v>88.197876038461544</v>
      </c>
      <c r="H15" s="44">
        <v>108.21419742307691</v>
      </c>
    </row>
    <row r="16" spans="1:8" x14ac:dyDescent="0.2">
      <c r="A16" t="s">
        <v>74</v>
      </c>
      <c r="B16" t="s">
        <v>40</v>
      </c>
      <c r="C16" s="44">
        <v>171514.38144</v>
      </c>
      <c r="D16" s="44">
        <v>262536.66047999996</v>
      </c>
      <c r="E16" s="44">
        <v>353558.93952000001</v>
      </c>
      <c r="F16" s="44">
        <v>86.798776032388673</v>
      </c>
      <c r="G16" s="44">
        <v>132.8626824291498</v>
      </c>
      <c r="H16" s="44">
        <v>178.92658882591095</v>
      </c>
    </row>
    <row r="17" spans="1:8" x14ac:dyDescent="0.2">
      <c r="A17" t="s">
        <v>74</v>
      </c>
      <c r="B17" t="s">
        <v>47</v>
      </c>
      <c r="C17" s="44">
        <v>113848.28031999999</v>
      </c>
      <c r="D17" s="44">
        <v>136915.04087999999</v>
      </c>
      <c r="E17" s="44">
        <v>159981.80144000001</v>
      </c>
      <c r="F17" s="44">
        <v>54.73475015384615</v>
      </c>
      <c r="G17" s="44">
        <v>65.824538884615379</v>
      </c>
      <c r="H17" s="44">
        <v>76.914327615384622</v>
      </c>
    </row>
    <row r="18" spans="1:8" x14ac:dyDescent="0.2">
      <c r="A18" t="s">
        <v>74</v>
      </c>
      <c r="B18" t="s">
        <v>50</v>
      </c>
      <c r="C18" s="44">
        <v>168661.83138461539</v>
      </c>
      <c r="D18" s="44">
        <v>230733.19199999998</v>
      </c>
      <c r="E18" s="44">
        <v>292804.55261538463</v>
      </c>
      <c r="F18" s="44">
        <v>81.087418934911256</v>
      </c>
      <c r="G18" s="44">
        <v>110.92941923076921</v>
      </c>
      <c r="H18" s="44">
        <v>140.77141952662723</v>
      </c>
    </row>
    <row r="19" spans="1:8" x14ac:dyDescent="0.2">
      <c r="A19" t="s">
        <v>74</v>
      </c>
      <c r="B19" t="s">
        <v>55</v>
      </c>
      <c r="C19" s="44">
        <v>548010.7001923077</v>
      </c>
      <c r="D19" s="44">
        <v>637525.58374999999</v>
      </c>
      <c r="E19" s="44">
        <v>727040.46730769239</v>
      </c>
      <c r="F19" s="44">
        <v>263.46668278476329</v>
      </c>
      <c r="G19" s="44">
        <v>306.50268449519228</v>
      </c>
      <c r="H19" s="44">
        <v>349.53868620562133</v>
      </c>
    </row>
    <row r="20" spans="1:8" x14ac:dyDescent="0.2">
      <c r="C20" s="44"/>
      <c r="D20" s="44"/>
      <c r="E20" s="44"/>
      <c r="F20" s="44"/>
      <c r="G20" s="44"/>
      <c r="H20" s="44"/>
    </row>
    <row r="21" spans="1:8" x14ac:dyDescent="0.2">
      <c r="A21" t="s">
        <v>82</v>
      </c>
      <c r="B21" t="s">
        <v>33</v>
      </c>
      <c r="C21" s="44">
        <v>117643.06123076922</v>
      </c>
      <c r="D21" s="44">
        <v>169273.15830769233</v>
      </c>
      <c r="E21" s="44">
        <v>220903.25538461539</v>
      </c>
      <c r="F21" s="44">
        <v>62.410112058763517</v>
      </c>
      <c r="G21" s="44">
        <v>89.800083982860656</v>
      </c>
      <c r="H21" s="44">
        <v>117.19005590695778</v>
      </c>
    </row>
    <row r="22" spans="1:8" x14ac:dyDescent="0.2">
      <c r="A22" t="s">
        <v>82</v>
      </c>
      <c r="B22" t="s">
        <v>40</v>
      </c>
      <c r="C22" s="44">
        <v>166494.14042307693</v>
      </c>
      <c r="D22" s="44">
        <v>250633.97590384615</v>
      </c>
      <c r="E22" s="44">
        <v>334773.81138461537</v>
      </c>
      <c r="F22" s="44">
        <v>88.325803937971841</v>
      </c>
      <c r="G22" s="44">
        <v>132.96232143440113</v>
      </c>
      <c r="H22" s="44">
        <v>177.59883893083045</v>
      </c>
    </row>
    <row r="23" spans="1:8" x14ac:dyDescent="0.2">
      <c r="A23" t="s">
        <v>82</v>
      </c>
      <c r="B23" t="s">
        <v>47</v>
      </c>
      <c r="C23" s="44">
        <v>115620.22246153846</v>
      </c>
      <c r="D23" s="44">
        <v>154021.9558653846</v>
      </c>
      <c r="E23" s="44">
        <v>192423.68926923076</v>
      </c>
      <c r="F23" s="44">
        <v>61.336988043256483</v>
      </c>
      <c r="G23" s="44">
        <v>81.709260406039576</v>
      </c>
      <c r="H23" s="44">
        <v>102.08153276882268</v>
      </c>
    </row>
    <row r="24" spans="1:8" x14ac:dyDescent="0.2">
      <c r="A24" t="s">
        <v>82</v>
      </c>
      <c r="B24" t="s">
        <v>50</v>
      </c>
      <c r="C24" s="44">
        <v>166494.14042307693</v>
      </c>
      <c r="D24" s="44">
        <v>250633.97590384615</v>
      </c>
      <c r="E24" s="44">
        <v>334773.81138461537</v>
      </c>
      <c r="F24" s="44">
        <v>88.325803937971841</v>
      </c>
      <c r="G24" s="44">
        <v>132.96232143440113</v>
      </c>
      <c r="H24" s="44">
        <v>177.59883893083045</v>
      </c>
    </row>
    <row r="25" spans="1:8" x14ac:dyDescent="0.2">
      <c r="A25" t="s">
        <v>82</v>
      </c>
      <c r="B25" t="s">
        <v>55</v>
      </c>
      <c r="C25" s="44">
        <v>549075.84330769232</v>
      </c>
      <c r="D25" s="44">
        <v>650303.68876923074</v>
      </c>
      <c r="E25" s="44">
        <v>751531.53423076915</v>
      </c>
      <c r="F25" s="44">
        <v>277.87239033790098</v>
      </c>
      <c r="G25" s="44">
        <v>329.10105706944876</v>
      </c>
      <c r="H25" s="44">
        <v>380.32972380099653</v>
      </c>
    </row>
    <row r="26" spans="1:8" x14ac:dyDescent="0.2">
      <c r="C26" s="44"/>
      <c r="D26" s="44"/>
      <c r="E26" s="44"/>
      <c r="F26" s="44"/>
      <c r="G26" s="44"/>
      <c r="H26" s="44"/>
    </row>
    <row r="27" spans="1:8" x14ac:dyDescent="0.2">
      <c r="A27" t="s">
        <v>88</v>
      </c>
      <c r="B27" t="s">
        <v>33</v>
      </c>
      <c r="C27" s="44">
        <v>148456.3786153846</v>
      </c>
      <c r="D27" s="44">
        <v>184008.66338461539</v>
      </c>
      <c r="E27" s="44">
        <v>219560.94815384614</v>
      </c>
      <c r="F27" s="44">
        <v>75.129746262846453</v>
      </c>
      <c r="G27" s="44">
        <v>93.121793210837751</v>
      </c>
      <c r="H27" s="44">
        <v>111.11384015882902</v>
      </c>
    </row>
    <row r="28" spans="1:8" x14ac:dyDescent="0.2">
      <c r="A28" t="s">
        <v>88</v>
      </c>
      <c r="B28" t="s">
        <v>40</v>
      </c>
      <c r="C28" s="44">
        <v>200677.42261538462</v>
      </c>
      <c r="D28" s="44">
        <v>281141.24907692306</v>
      </c>
      <c r="E28" s="44">
        <v>361605.07553846145</v>
      </c>
      <c r="F28" s="44">
        <v>101.55740010900031</v>
      </c>
      <c r="G28" s="44">
        <v>142.27796005917159</v>
      </c>
      <c r="H28" s="44">
        <v>182.99852000934283</v>
      </c>
    </row>
    <row r="29" spans="1:8" x14ac:dyDescent="0.2">
      <c r="A29" t="s">
        <v>88</v>
      </c>
      <c r="B29" t="s">
        <v>47</v>
      </c>
      <c r="C29" s="44">
        <v>148456.3786153846</v>
      </c>
      <c r="D29" s="44">
        <v>163242.97323076922</v>
      </c>
      <c r="E29" s="44">
        <v>178029.56784615383</v>
      </c>
      <c r="F29" s="44">
        <v>75.129746262846453</v>
      </c>
      <c r="G29" s="44">
        <v>82.612840703830571</v>
      </c>
      <c r="H29" s="44">
        <v>90.095935144814689</v>
      </c>
    </row>
    <row r="30" spans="1:8" x14ac:dyDescent="0.2">
      <c r="A30" t="s">
        <v>88</v>
      </c>
      <c r="B30" t="s">
        <v>50</v>
      </c>
      <c r="C30" s="44">
        <v>206001.628</v>
      </c>
      <c r="D30" s="44">
        <v>223748.11984615386</v>
      </c>
      <c r="E30" s="44">
        <v>241494.61169230769</v>
      </c>
      <c r="F30" s="44">
        <v>104.25183603238865</v>
      </c>
      <c r="G30" s="44">
        <v>113.23285417315478</v>
      </c>
      <c r="H30" s="44">
        <v>122.2138723139209</v>
      </c>
    </row>
    <row r="31" spans="1:8" x14ac:dyDescent="0.2">
      <c r="A31" t="s">
        <v>88</v>
      </c>
      <c r="B31" t="s">
        <v>55</v>
      </c>
      <c r="C31" s="44">
        <v>702710.18661538465</v>
      </c>
      <c r="D31" s="44">
        <v>803136.44984615385</v>
      </c>
      <c r="E31" s="44">
        <v>903562.71307692304</v>
      </c>
      <c r="F31" s="44">
        <v>337.84143587278106</v>
      </c>
      <c r="G31" s="44">
        <v>386.12329319526623</v>
      </c>
      <c r="H31" s="44">
        <v>434.40515051775145</v>
      </c>
    </row>
    <row r="32" spans="1:8" x14ac:dyDescent="0.2">
      <c r="C32" s="44"/>
      <c r="D32" s="44"/>
      <c r="E32" s="44"/>
      <c r="F32" s="44"/>
      <c r="G32" s="44"/>
      <c r="H32" s="44"/>
    </row>
    <row r="33" spans="1:8" x14ac:dyDescent="0.2">
      <c r="A33" t="s">
        <v>96</v>
      </c>
      <c r="B33" t="s">
        <v>33</v>
      </c>
      <c r="C33" s="44">
        <v>117643.06123076922</v>
      </c>
      <c r="D33" s="44">
        <v>192514.23470892306</v>
      </c>
      <c r="E33" s="44">
        <v>281453.44246153842</v>
      </c>
      <c r="F33" s="44">
        <v>62.410112058763517</v>
      </c>
      <c r="G33" s="44">
        <v>97.572625479194357</v>
      </c>
      <c r="H33" s="44">
        <v>142.43595266272186</v>
      </c>
    </row>
    <row r="34" spans="1:8" x14ac:dyDescent="0.2">
      <c r="A34" t="s">
        <v>96</v>
      </c>
      <c r="B34" t="s">
        <v>40</v>
      </c>
      <c r="C34" s="44">
        <v>157537.91899999999</v>
      </c>
      <c r="D34" s="44">
        <v>260971.1760952308</v>
      </c>
      <c r="E34" s="44">
        <v>366928.16580000008</v>
      </c>
      <c r="F34" s="44">
        <v>79.725667510121454</v>
      </c>
      <c r="G34" s="44">
        <v>133.63018870731</v>
      </c>
      <c r="H34" s="44">
        <v>185.69239159919033</v>
      </c>
    </row>
    <row r="35" spans="1:8" x14ac:dyDescent="0.2">
      <c r="A35" t="s">
        <v>96</v>
      </c>
      <c r="B35" t="s">
        <v>47</v>
      </c>
      <c r="C35" s="44">
        <v>113848.28031999999</v>
      </c>
      <c r="D35" s="44">
        <v>160373.11024138459</v>
      </c>
      <c r="E35" s="44">
        <v>233349.63692307693</v>
      </c>
      <c r="F35" s="44">
        <v>54.73475015384615</v>
      </c>
      <c r="G35" s="44">
        <v>81.422265218039641</v>
      </c>
      <c r="H35" s="44">
        <v>118.09192151977578</v>
      </c>
    </row>
    <row r="36" spans="1:8" x14ac:dyDescent="0.2">
      <c r="A36" t="s">
        <v>96</v>
      </c>
      <c r="B36" t="s">
        <v>50</v>
      </c>
      <c r="C36" s="44">
        <v>156865.01138461538</v>
      </c>
      <c r="D36" s="44">
        <v>236283.21867307689</v>
      </c>
      <c r="E36" s="44">
        <v>334773.81138461537</v>
      </c>
      <c r="F36" s="44">
        <v>80.443595581854055</v>
      </c>
      <c r="G36" s="44">
        <v>119.9255595053999</v>
      </c>
      <c r="H36" s="44">
        <v>177.59883893083045</v>
      </c>
    </row>
    <row r="37" spans="1:8" x14ac:dyDescent="0.2">
      <c r="A37" t="s">
        <v>96</v>
      </c>
      <c r="B37" t="s">
        <v>55</v>
      </c>
      <c r="C37" s="44">
        <v>548010.7001923077</v>
      </c>
      <c r="D37" s="44">
        <v>732328.94098192314</v>
      </c>
      <c r="E37" s="44">
        <v>923660.79024999996</v>
      </c>
      <c r="F37" s="44">
        <v>263.46668278476329</v>
      </c>
      <c r="G37" s="44">
        <v>363.32101247265263</v>
      </c>
      <c r="H37" s="44">
        <v>467.4396711791498</v>
      </c>
    </row>
    <row r="39" spans="1:8" x14ac:dyDescent="0.2">
      <c r="A39" t="s">
        <v>32</v>
      </c>
      <c r="B39" t="s">
        <v>33</v>
      </c>
      <c r="C39" s="28" t="str">
        <f>TEXT(D3, "0,0") &amp; " (" &amp; TEXT(C3, "0,0") &amp; " - " &amp; TEXT(E3, "0,0") &amp; ")"</f>
        <v>242,302 (203,151 - 281,453)</v>
      </c>
      <c r="F39" s="28" t="str">
        <f>TEXT(G3, "0,0") &amp; " (" &amp; TEXT(F3, "0,0") &amp; " - " &amp; TEXT(H3, "0,0") &amp; ")"</f>
        <v>123 (103 - 142)</v>
      </c>
    </row>
    <row r="40" spans="1:8" x14ac:dyDescent="0.2">
      <c r="A40" t="s">
        <v>32</v>
      </c>
      <c r="B40" t="s">
        <v>40</v>
      </c>
      <c r="C40" s="28" t="str">
        <f t="shared" ref="C40:C43" si="0">TEXT(D4, "0,0") &amp; " (" &amp; TEXT(C4, "0,0") &amp; " - " &amp; TEXT(E4, "0,0") &amp; ")"</f>
        <v>262,233 (157,538 - 366,928)</v>
      </c>
      <c r="F40" s="28" t="str">
        <f t="shared" ref="F40:F43" si="1">TEXT(G4, "0,0") &amp; " (" &amp; TEXT(F4, "0,0") &amp; " - " &amp; TEXT(H4, "0,0") &amp; ")"</f>
        <v>133 (80 - 186)</v>
      </c>
    </row>
    <row r="41" spans="1:8" x14ac:dyDescent="0.2">
      <c r="A41" t="s">
        <v>32</v>
      </c>
      <c r="B41" t="s">
        <v>47</v>
      </c>
      <c r="C41" s="28" t="str">
        <f t="shared" si="0"/>
        <v>197,938 (162,526 - 233,350)</v>
      </c>
      <c r="F41" s="28" t="str">
        <f t="shared" si="1"/>
        <v>100 (82 - 118)</v>
      </c>
    </row>
    <row r="42" spans="1:8" x14ac:dyDescent="0.2">
      <c r="A42" t="s">
        <v>32</v>
      </c>
      <c r="B42" t="s">
        <v>50</v>
      </c>
      <c r="C42" s="28" t="str">
        <f t="shared" si="0"/>
        <v>259,887 (203,151 - 316,622)</v>
      </c>
      <c r="F42" s="28" t="str">
        <f t="shared" si="1"/>
        <v>132 (103 - 160)</v>
      </c>
    </row>
    <row r="43" spans="1:8" x14ac:dyDescent="0.2">
      <c r="A43" t="s">
        <v>32</v>
      </c>
      <c r="B43" t="s">
        <v>55</v>
      </c>
      <c r="C43" s="28" t="str">
        <f t="shared" si="0"/>
        <v>755,218 (640,547 - 869,888)</v>
      </c>
      <c r="F43" s="28" t="str">
        <f t="shared" si="1"/>
        <v>382 (324 - 440)</v>
      </c>
    </row>
    <row r="45" spans="1:8" x14ac:dyDescent="0.2">
      <c r="A45" t="s">
        <v>62</v>
      </c>
      <c r="B45" t="s">
        <v>33</v>
      </c>
      <c r="C45" s="28" t="str">
        <f>TEXT(D9, "0,0") &amp; " (" &amp; TEXT(C9, "0,0") &amp; " - " &amp; TEXT(E9, "0,0") &amp; ")"</f>
        <v>183,535 (128,458 - 238,613)</v>
      </c>
      <c r="F45" s="28" t="str">
        <f>TEXT(G9, "0,0") &amp; " (" &amp; TEXT(F9, "0,0") &amp; " - " &amp; TEXT(H9, "0,0") &amp; ")"</f>
        <v>94 (66 - 122)</v>
      </c>
    </row>
    <row r="46" spans="1:8" x14ac:dyDescent="0.2">
      <c r="A46" t="s">
        <v>62</v>
      </c>
      <c r="B46" t="s">
        <v>40</v>
      </c>
      <c r="C46" s="28" t="str">
        <f t="shared" ref="C46:C49" si="2">TEXT(D10, "0,0") &amp; " (" &amp; TEXT(C10, "0,0") &amp; " - " &amp; TEXT(E10, "0,0") &amp; ")"</f>
        <v>248,311 (158,142 - 338,480)</v>
      </c>
      <c r="F46" s="28" t="str">
        <f t="shared" ref="F46:F49" si="3">TEXT(G10, "0,0") &amp; " (" &amp; TEXT(F10, "0,0") &amp; " - " &amp; TEXT(H10, "0,0") &amp; ")"</f>
        <v>127 (81 - 174)</v>
      </c>
    </row>
    <row r="47" spans="1:8" x14ac:dyDescent="0.2">
      <c r="A47" t="s">
        <v>62</v>
      </c>
      <c r="B47" t="s">
        <v>47</v>
      </c>
      <c r="C47" s="28" t="str">
        <f t="shared" si="2"/>
        <v>149,748 (134,488 - 165,008)</v>
      </c>
      <c r="F47" s="28" t="str">
        <f t="shared" si="3"/>
        <v>77 (69 - 85)</v>
      </c>
    </row>
    <row r="48" spans="1:8" x14ac:dyDescent="0.2">
      <c r="A48" t="s">
        <v>62</v>
      </c>
      <c r="B48" t="s">
        <v>50</v>
      </c>
      <c r="C48" s="28" t="str">
        <f t="shared" si="2"/>
        <v>216,414 (156,865 - 275,963)</v>
      </c>
      <c r="F48" s="28" t="str">
        <f t="shared" si="3"/>
        <v>111 (80 - 142)</v>
      </c>
    </row>
    <row r="49" spans="1:6" x14ac:dyDescent="0.2">
      <c r="A49" t="s">
        <v>62</v>
      </c>
      <c r="B49" t="s">
        <v>55</v>
      </c>
      <c r="C49" s="28" t="str">
        <f t="shared" si="2"/>
        <v>815,461 (707,262 - 923,661)</v>
      </c>
      <c r="F49" s="28" t="str">
        <f t="shared" si="3"/>
        <v>413 (358 - 467)</v>
      </c>
    </row>
    <row r="51" spans="1:6" x14ac:dyDescent="0.2">
      <c r="A51" t="s">
        <v>74</v>
      </c>
      <c r="B51" t="s">
        <v>33</v>
      </c>
      <c r="C51" s="28" t="str">
        <f>TEXT(D15, "0,0") &amp; " (" &amp; TEXT(C15, "0,0") &amp; " - " &amp; TEXT(E15, "0,0") &amp; ")"</f>
        <v>183,452 (141,818 - 225,086)</v>
      </c>
      <c r="F51" s="28" t="str">
        <f>TEXT(G15, "0,0") &amp; " (" &amp; TEXT(F15, "0,0") &amp; " - " &amp; TEXT(H15, "0,0") &amp; ")"</f>
        <v>88 (68 - 108)</v>
      </c>
    </row>
    <row r="52" spans="1:6" x14ac:dyDescent="0.2">
      <c r="A52" t="s">
        <v>74</v>
      </c>
      <c r="B52" t="s">
        <v>40</v>
      </c>
      <c r="C52" s="28" t="str">
        <f t="shared" ref="C52:C55" si="4">TEXT(D16, "0,0") &amp; " (" &amp; TEXT(C16, "0,0") &amp; " - " &amp; TEXT(E16, "0,0") &amp; ")"</f>
        <v>262,537 (171,514 - 353,559)</v>
      </c>
      <c r="F52" s="28" t="str">
        <f t="shared" ref="F52:F55" si="5">TEXT(G16, "0,0") &amp; " (" &amp; TEXT(F16, "0,0") &amp; " - " &amp; TEXT(H16, "0,0") &amp; ")"</f>
        <v>133 (87 - 179)</v>
      </c>
    </row>
    <row r="53" spans="1:6" x14ac:dyDescent="0.2">
      <c r="A53" t="s">
        <v>74</v>
      </c>
      <c r="B53" t="s">
        <v>47</v>
      </c>
      <c r="C53" s="28" t="str">
        <f t="shared" si="4"/>
        <v>136,915 (113,848 - 159,982)</v>
      </c>
      <c r="F53" s="28" t="str">
        <f t="shared" si="5"/>
        <v>66 (55 - 77)</v>
      </c>
    </row>
    <row r="54" spans="1:6" x14ac:dyDescent="0.2">
      <c r="A54" t="s">
        <v>74</v>
      </c>
      <c r="B54" t="s">
        <v>50</v>
      </c>
      <c r="C54" s="28" t="str">
        <f t="shared" si="4"/>
        <v>230,733 (168,662 - 292,805)</v>
      </c>
      <c r="F54" s="28" t="str">
        <f t="shared" si="5"/>
        <v>111 (81 - 141)</v>
      </c>
    </row>
    <row r="55" spans="1:6" x14ac:dyDescent="0.2">
      <c r="A55" t="s">
        <v>74</v>
      </c>
      <c r="B55" t="s">
        <v>55</v>
      </c>
      <c r="C55" s="28" t="str">
        <f t="shared" si="4"/>
        <v>637,526 (548,011 - 727,040)</v>
      </c>
      <c r="F55" s="28" t="str">
        <f t="shared" si="5"/>
        <v>307 (263 - 350)</v>
      </c>
    </row>
    <row r="57" spans="1:6" x14ac:dyDescent="0.2">
      <c r="A57" t="s">
        <v>82</v>
      </c>
      <c r="B57" t="s">
        <v>33</v>
      </c>
      <c r="C57" s="28" t="str">
        <f>TEXT(D21, "0,0") &amp; " (" &amp; TEXT(C21, "0,0") &amp; " - " &amp; TEXT(E21, "0,0") &amp; ")"</f>
        <v>169,273 (117,643 - 220,903)</v>
      </c>
      <c r="F57" s="28" t="str">
        <f>TEXT(G21, "0,0") &amp; " (" &amp; TEXT(F21, "0,0") &amp; " - " &amp; TEXT(H21, "0,0") &amp; ")"</f>
        <v>90 (62 - 117)</v>
      </c>
    </row>
    <row r="58" spans="1:6" x14ac:dyDescent="0.2">
      <c r="A58" t="s">
        <v>82</v>
      </c>
      <c r="B58" t="s">
        <v>40</v>
      </c>
      <c r="C58" s="28" t="str">
        <f t="shared" ref="C58:C61" si="6">TEXT(D22, "0,0") &amp; " (" &amp; TEXT(C22, "0,0") &amp; " - " &amp; TEXT(E22, "0,0") &amp; ")"</f>
        <v>250,634 (166,494 - 334,774)</v>
      </c>
      <c r="F58" s="28" t="str">
        <f t="shared" ref="F58:F61" si="7">TEXT(G22, "0,0") &amp; " (" &amp; TEXT(F22, "0,0") &amp; " - " &amp; TEXT(H22, "0,0") &amp; ")"</f>
        <v>133 (88 - 178)</v>
      </c>
    </row>
    <row r="59" spans="1:6" x14ac:dyDescent="0.2">
      <c r="A59" t="s">
        <v>82</v>
      </c>
      <c r="B59" t="s">
        <v>47</v>
      </c>
      <c r="C59" s="28" t="str">
        <f t="shared" si="6"/>
        <v>154,022 (115,620 - 192,424)</v>
      </c>
      <c r="F59" s="28" t="str">
        <f t="shared" si="7"/>
        <v>82 (61 - 102)</v>
      </c>
    </row>
    <row r="60" spans="1:6" x14ac:dyDescent="0.2">
      <c r="A60" t="s">
        <v>82</v>
      </c>
      <c r="B60" t="s">
        <v>50</v>
      </c>
      <c r="C60" s="28" t="str">
        <f t="shared" si="6"/>
        <v>250,634 (166,494 - 334,774)</v>
      </c>
      <c r="F60" s="28" t="str">
        <f t="shared" si="7"/>
        <v>133 (88 - 178)</v>
      </c>
    </row>
    <row r="61" spans="1:6" x14ac:dyDescent="0.2">
      <c r="A61" t="s">
        <v>82</v>
      </c>
      <c r="B61" t="s">
        <v>55</v>
      </c>
      <c r="C61" s="28" t="str">
        <f t="shared" si="6"/>
        <v>650,304 (549,076 - 751,532)</v>
      </c>
      <c r="F61" s="28" t="str">
        <f t="shared" si="7"/>
        <v>329 (278 - 380)</v>
      </c>
    </row>
    <row r="63" spans="1:6" x14ac:dyDescent="0.2">
      <c r="A63" t="s">
        <v>88</v>
      </c>
      <c r="B63" t="s">
        <v>33</v>
      </c>
      <c r="C63" s="28" t="str">
        <f>TEXT(D27, "0,0") &amp; " (" &amp; TEXT(C27, "0,0") &amp; " - " &amp; TEXT(E27, "0,0") &amp; ")"</f>
        <v>184,009 (148,456 - 219,561)</v>
      </c>
      <c r="F63" s="28" t="str">
        <f>TEXT(G27, "0,0") &amp; " (" &amp; TEXT(F27, "0,0") &amp; " - " &amp; TEXT(H27, "0,0") &amp; ")"</f>
        <v>93 (75 - 111)</v>
      </c>
    </row>
    <row r="64" spans="1:6" x14ac:dyDescent="0.2">
      <c r="A64" t="s">
        <v>88</v>
      </c>
      <c r="B64" t="s">
        <v>40</v>
      </c>
      <c r="C64" s="28" t="str">
        <f t="shared" ref="C64:C67" si="8">TEXT(D28, "0,0") &amp; " (" &amp; TEXT(C28, "0,0") &amp; " - " &amp; TEXT(E28, "0,0") &amp; ")"</f>
        <v>281,141 (200,677 - 361,605)</v>
      </c>
      <c r="F64" s="28" t="str">
        <f t="shared" ref="F64:F67" si="9">TEXT(G28, "0,0") &amp; " (" &amp; TEXT(F28, "0,0") &amp; " - " &amp; TEXT(H28, "0,0") &amp; ")"</f>
        <v>142 (102 - 183)</v>
      </c>
    </row>
    <row r="65" spans="1:6" x14ac:dyDescent="0.2">
      <c r="A65" t="s">
        <v>88</v>
      </c>
      <c r="B65" t="s">
        <v>47</v>
      </c>
      <c r="C65" s="28" t="str">
        <f t="shared" si="8"/>
        <v>163,243 (148,456 - 178,030)</v>
      </c>
      <c r="F65" s="28" t="str">
        <f t="shared" si="9"/>
        <v>83 (75 - 90)</v>
      </c>
    </row>
    <row r="66" spans="1:6" x14ac:dyDescent="0.2">
      <c r="A66" t="s">
        <v>88</v>
      </c>
      <c r="B66" t="s">
        <v>50</v>
      </c>
      <c r="C66" s="28" t="str">
        <f t="shared" si="8"/>
        <v>223,748 (206,002 - 241,495)</v>
      </c>
      <c r="F66" s="28" t="str">
        <f t="shared" si="9"/>
        <v>113 (104 - 122)</v>
      </c>
    </row>
    <row r="67" spans="1:6" x14ac:dyDescent="0.2">
      <c r="A67" t="s">
        <v>88</v>
      </c>
      <c r="B67" t="s">
        <v>55</v>
      </c>
      <c r="C67" s="28" t="str">
        <f t="shared" si="8"/>
        <v>803,136 (702,710 - 903,563)</v>
      </c>
      <c r="F67" s="28" t="str">
        <f t="shared" si="9"/>
        <v>386 (338 - 434)</v>
      </c>
    </row>
    <row r="69" spans="1:6" x14ac:dyDescent="0.2">
      <c r="B69" t="s">
        <v>33</v>
      </c>
    </row>
    <row r="70" spans="1:6" x14ac:dyDescent="0.2">
      <c r="B70" t="s">
        <v>40</v>
      </c>
    </row>
    <row r="71" spans="1:6" x14ac:dyDescent="0.2">
      <c r="B71" t="s">
        <v>47</v>
      </c>
    </row>
    <row r="72" spans="1:6" x14ac:dyDescent="0.2">
      <c r="B72" t="s">
        <v>50</v>
      </c>
    </row>
    <row r="73" spans="1:6" x14ac:dyDescent="0.2">
      <c r="B73" t="s">
        <v>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2DBC-8B2A-B84A-8ADC-DF682F9CBA47}">
  <dimension ref="A1:M21"/>
  <sheetViews>
    <sheetView workbookViewId="0">
      <selection activeCell="A9" sqref="A9:F21"/>
    </sheetView>
  </sheetViews>
  <sheetFormatPr baseColWidth="10" defaultColWidth="11" defaultRowHeight="16" x14ac:dyDescent="0.2"/>
  <sheetData>
    <row r="1" spans="1:13" x14ac:dyDescent="0.2">
      <c r="B1" s="40"/>
      <c r="C1" s="53"/>
      <c r="D1" s="41"/>
      <c r="E1" s="41"/>
      <c r="F1" s="42"/>
      <c r="G1" s="41"/>
      <c r="H1" s="41"/>
      <c r="I1" s="43"/>
      <c r="K1" s="41"/>
    </row>
    <row r="2" spans="1:13" x14ac:dyDescent="0.2">
      <c r="A2" t="s">
        <v>6</v>
      </c>
      <c r="B2" s="40" t="s">
        <v>17</v>
      </c>
      <c r="C2" s="53" t="s">
        <v>18</v>
      </c>
      <c r="D2" s="41" t="s">
        <v>343</v>
      </c>
      <c r="E2" s="41" t="s">
        <v>344</v>
      </c>
      <c r="F2" s="42" t="s">
        <v>345</v>
      </c>
      <c r="G2" s="41" t="s">
        <v>346</v>
      </c>
      <c r="H2" s="41" t="s">
        <v>347</v>
      </c>
      <c r="I2" s="43" t="s">
        <v>25</v>
      </c>
      <c r="J2" t="s">
        <v>26</v>
      </c>
      <c r="K2" s="41" t="s">
        <v>27</v>
      </c>
      <c r="L2" t="s">
        <v>28</v>
      </c>
      <c r="M2" s="44" t="s">
        <v>348</v>
      </c>
    </row>
    <row r="3" spans="1:13" x14ac:dyDescent="0.2">
      <c r="A3" t="s">
        <v>33</v>
      </c>
      <c r="B3" s="41">
        <v>0.1095</v>
      </c>
      <c r="C3" s="53">
        <v>37.950000000000003</v>
      </c>
      <c r="D3" s="41">
        <v>0.1</v>
      </c>
      <c r="E3" s="41">
        <v>3.5000000000000003E-2</v>
      </c>
      <c r="F3" s="42">
        <v>0</v>
      </c>
      <c r="G3" s="41">
        <v>0</v>
      </c>
      <c r="H3" s="41">
        <v>4.5999999999999999E-2</v>
      </c>
      <c r="I3" s="44">
        <v>365.2</v>
      </c>
      <c r="J3" s="53">
        <v>4</v>
      </c>
      <c r="K3" s="41">
        <v>7.4999999999999997E-2</v>
      </c>
      <c r="L3" s="41">
        <v>1.4999999999999999E-2</v>
      </c>
      <c r="M3" s="44" t="s">
        <v>349</v>
      </c>
    </row>
    <row r="4" spans="1:13" x14ac:dyDescent="0.2">
      <c r="A4" t="s">
        <v>40</v>
      </c>
      <c r="B4" s="41">
        <v>0.1095</v>
      </c>
      <c r="C4" s="53">
        <v>37.549999999999997</v>
      </c>
      <c r="D4" s="41">
        <v>0.1</v>
      </c>
      <c r="E4" s="41">
        <v>3.5000000000000003E-2</v>
      </c>
      <c r="F4" s="42">
        <v>0</v>
      </c>
      <c r="G4" s="41">
        <v>0</v>
      </c>
      <c r="H4" s="41">
        <v>4.5999999999999999E-2</v>
      </c>
      <c r="I4" s="44">
        <v>365.2</v>
      </c>
      <c r="J4" s="53">
        <v>4.4000000000000004</v>
      </c>
      <c r="K4" s="41">
        <v>0.11000000000000001</v>
      </c>
      <c r="L4" s="41">
        <v>1.4999999999999999E-2</v>
      </c>
      <c r="M4" s="44" t="s">
        <v>350</v>
      </c>
    </row>
    <row r="5" spans="1:13" x14ac:dyDescent="0.2">
      <c r="A5" t="s">
        <v>47</v>
      </c>
      <c r="B5" s="41">
        <v>0.1095</v>
      </c>
      <c r="C5" s="53">
        <v>37.950000000000003</v>
      </c>
      <c r="D5" s="41">
        <v>0.1</v>
      </c>
      <c r="E5" s="41">
        <v>3.5000000000000003E-2</v>
      </c>
      <c r="F5" s="42">
        <v>0</v>
      </c>
      <c r="G5" s="41">
        <v>0</v>
      </c>
      <c r="H5" s="41">
        <v>4.5999999999999999E-2</v>
      </c>
      <c r="I5" s="44">
        <v>365.2</v>
      </c>
      <c r="J5" s="53">
        <v>4</v>
      </c>
      <c r="K5" s="41">
        <v>7.4999999999999997E-2</v>
      </c>
      <c r="L5" s="41">
        <v>1.4999999999999999E-2</v>
      </c>
      <c r="M5" s="44" t="s">
        <v>351</v>
      </c>
    </row>
    <row r="6" spans="1:13" x14ac:dyDescent="0.2">
      <c r="A6" t="s">
        <v>50</v>
      </c>
      <c r="B6" s="41">
        <v>0.1095</v>
      </c>
      <c r="C6" s="53">
        <v>37.950000000000003</v>
      </c>
      <c r="D6" s="41">
        <v>0.1</v>
      </c>
      <c r="E6" s="41">
        <v>3.5000000000000003E-2</v>
      </c>
      <c r="F6" s="42">
        <v>0</v>
      </c>
      <c r="G6" s="41">
        <v>0</v>
      </c>
      <c r="H6" s="41">
        <v>4.5999999999999999E-2</v>
      </c>
      <c r="I6" s="44">
        <v>365.2</v>
      </c>
      <c r="J6" s="53">
        <v>4</v>
      </c>
      <c r="K6" s="41">
        <v>0.11000000000000001</v>
      </c>
      <c r="L6" s="41">
        <v>1.4999999999999999E-2</v>
      </c>
      <c r="M6" s="44" t="s">
        <v>352</v>
      </c>
    </row>
    <row r="7" spans="1:13" x14ac:dyDescent="0.2">
      <c r="A7" t="s">
        <v>55</v>
      </c>
      <c r="B7" s="41">
        <v>0.1095</v>
      </c>
      <c r="C7" s="53">
        <v>38.799999999999997</v>
      </c>
      <c r="D7" s="41">
        <v>0</v>
      </c>
      <c r="E7" s="41">
        <v>3.5000000000000003E-2</v>
      </c>
      <c r="F7" s="42">
        <v>0.04</v>
      </c>
      <c r="G7" s="41">
        <v>0.25480000000000003</v>
      </c>
      <c r="H7" s="41">
        <v>4.5999999999999999E-2</v>
      </c>
      <c r="I7" s="44">
        <v>28681.832000000002</v>
      </c>
      <c r="J7" s="53">
        <v>4.4000000000000004</v>
      </c>
      <c r="K7" s="41">
        <v>0.10499999999999998</v>
      </c>
      <c r="L7" s="41">
        <v>1.4999999999999999E-2</v>
      </c>
      <c r="M7" s="44" t="s">
        <v>353</v>
      </c>
    </row>
    <row r="9" spans="1:13" x14ac:dyDescent="0.2">
      <c r="A9" t="s">
        <v>6</v>
      </c>
      <c r="B9" t="s">
        <v>33</v>
      </c>
      <c r="C9" t="s">
        <v>40</v>
      </c>
      <c r="D9" t="s">
        <v>47</v>
      </c>
      <c r="E9" t="s">
        <v>50</v>
      </c>
      <c r="F9" t="s">
        <v>55</v>
      </c>
    </row>
    <row r="10" spans="1:13" x14ac:dyDescent="0.2">
      <c r="A10" s="40" t="s">
        <v>17</v>
      </c>
      <c r="B10" s="41">
        <v>0.1095</v>
      </c>
      <c r="C10" s="41">
        <v>0.1095</v>
      </c>
      <c r="D10" s="41">
        <v>0.1095</v>
      </c>
      <c r="E10" s="41">
        <v>0.1095</v>
      </c>
      <c r="F10" s="41">
        <v>0.1095</v>
      </c>
    </row>
    <row r="11" spans="1:13" x14ac:dyDescent="0.2">
      <c r="A11" s="53" t="s">
        <v>18</v>
      </c>
      <c r="B11" s="53">
        <v>37.950000000000003</v>
      </c>
      <c r="C11" s="53">
        <v>37.549999999999997</v>
      </c>
      <c r="D11" s="53">
        <v>37.950000000000003</v>
      </c>
      <c r="E11" s="53">
        <v>37.950000000000003</v>
      </c>
      <c r="F11" s="53">
        <v>38.799999999999997</v>
      </c>
    </row>
    <row r="12" spans="1:13" x14ac:dyDescent="0.2">
      <c r="A12" s="41" t="s">
        <v>343</v>
      </c>
      <c r="B12" s="41">
        <v>0.1</v>
      </c>
      <c r="C12" s="41">
        <v>0.1</v>
      </c>
      <c r="D12" s="41">
        <v>0.1</v>
      </c>
      <c r="E12" s="41">
        <v>0.1</v>
      </c>
      <c r="F12" s="41">
        <v>0</v>
      </c>
    </row>
    <row r="13" spans="1:13" x14ac:dyDescent="0.2">
      <c r="A13" s="41" t="s">
        <v>344</v>
      </c>
      <c r="B13" s="41">
        <v>3.5000000000000003E-2</v>
      </c>
      <c r="C13" s="41">
        <v>3.5000000000000003E-2</v>
      </c>
      <c r="D13" s="41">
        <v>3.5000000000000003E-2</v>
      </c>
      <c r="E13" s="41">
        <v>3.5000000000000003E-2</v>
      </c>
      <c r="F13" s="41">
        <v>3.5000000000000003E-2</v>
      </c>
    </row>
    <row r="14" spans="1:13" x14ac:dyDescent="0.2">
      <c r="A14" s="42" t="s">
        <v>345</v>
      </c>
      <c r="B14" s="42">
        <v>0</v>
      </c>
      <c r="C14" s="42">
        <v>0</v>
      </c>
      <c r="D14" s="42">
        <v>0</v>
      </c>
      <c r="E14" s="42">
        <v>0</v>
      </c>
      <c r="F14" s="42">
        <v>0.04</v>
      </c>
    </row>
    <row r="15" spans="1:13" x14ac:dyDescent="0.2">
      <c r="A15" s="41" t="s">
        <v>346</v>
      </c>
      <c r="B15" s="41">
        <v>0</v>
      </c>
      <c r="C15" s="41">
        <v>0</v>
      </c>
      <c r="D15" s="41">
        <v>0</v>
      </c>
      <c r="E15" s="41">
        <v>0</v>
      </c>
      <c r="F15" s="41">
        <v>0.25480000000000003</v>
      </c>
    </row>
    <row r="16" spans="1:13" x14ac:dyDescent="0.2">
      <c r="A16" s="41" t="s">
        <v>347</v>
      </c>
      <c r="B16" s="41">
        <v>4.5999999999999999E-2</v>
      </c>
      <c r="C16" s="41">
        <v>4.5999999999999999E-2</v>
      </c>
      <c r="D16" s="41">
        <v>4.5999999999999999E-2</v>
      </c>
      <c r="E16" s="41">
        <v>4.5999999999999999E-2</v>
      </c>
      <c r="F16" s="41">
        <v>4.5999999999999999E-2</v>
      </c>
    </row>
    <row r="17" spans="1:6" x14ac:dyDescent="0.2">
      <c r="A17" s="43" t="s">
        <v>25</v>
      </c>
      <c r="B17" s="44">
        <v>365.2</v>
      </c>
      <c r="C17" s="44">
        <v>365.2</v>
      </c>
      <c r="D17" s="44">
        <v>365.2</v>
      </c>
      <c r="E17" s="44">
        <v>365.2</v>
      </c>
      <c r="F17" s="44">
        <v>28681.832000000002</v>
      </c>
    </row>
    <row r="18" spans="1:6" x14ac:dyDescent="0.2">
      <c r="A18" t="s">
        <v>26</v>
      </c>
      <c r="B18" s="53">
        <v>4</v>
      </c>
      <c r="C18" s="53">
        <v>4.4000000000000004</v>
      </c>
      <c r="D18" s="53">
        <v>4</v>
      </c>
      <c r="E18" s="53">
        <v>4</v>
      </c>
      <c r="F18" s="53">
        <v>4.4000000000000004</v>
      </c>
    </row>
    <row r="19" spans="1:6" x14ac:dyDescent="0.2">
      <c r="A19" s="41" t="s">
        <v>27</v>
      </c>
      <c r="B19" s="41">
        <v>7.4999999999999997E-2</v>
      </c>
      <c r="C19" s="41">
        <v>0.11000000000000001</v>
      </c>
      <c r="D19" s="41">
        <v>7.4999999999999997E-2</v>
      </c>
      <c r="E19" s="41">
        <v>0.11000000000000001</v>
      </c>
      <c r="F19" s="41">
        <v>0.10499999999999998</v>
      </c>
    </row>
    <row r="20" spans="1:6" x14ac:dyDescent="0.2">
      <c r="A20" t="s">
        <v>28</v>
      </c>
      <c r="B20" s="41">
        <v>1.4999999999999999E-2</v>
      </c>
      <c r="C20" s="41">
        <v>1.4999999999999999E-2</v>
      </c>
      <c r="D20" s="41">
        <v>1.4999999999999999E-2</v>
      </c>
      <c r="E20" s="41">
        <v>1.4999999999999999E-2</v>
      </c>
      <c r="F20" s="41">
        <v>1.4999999999999999E-2</v>
      </c>
    </row>
    <row r="21" spans="1:6" x14ac:dyDescent="0.2">
      <c r="A21" s="44" t="s">
        <v>348</v>
      </c>
      <c r="B21" s="44" t="s">
        <v>349</v>
      </c>
      <c r="C21" s="44" t="s">
        <v>350</v>
      </c>
      <c r="D21" s="44" t="s">
        <v>351</v>
      </c>
      <c r="E21" s="44" t="s">
        <v>352</v>
      </c>
      <c r="F21" s="44" t="s">
        <v>353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E866-7AB1-BA42-A6AB-ACEEAAACF7D9}">
  <dimension ref="A1:N31"/>
  <sheetViews>
    <sheetView workbookViewId="0">
      <selection activeCell="C1" sqref="C1:J1048576"/>
    </sheetView>
  </sheetViews>
  <sheetFormatPr baseColWidth="10" defaultColWidth="11" defaultRowHeight="16" x14ac:dyDescent="0.2"/>
  <sheetData>
    <row r="1" spans="1:14" x14ac:dyDescent="0.2">
      <c r="A1" t="s">
        <v>5</v>
      </c>
      <c r="B1" t="s">
        <v>6</v>
      </c>
      <c r="C1" s="40" t="s">
        <v>17</v>
      </c>
      <c r="D1" s="41" t="s">
        <v>20</v>
      </c>
      <c r="E1" s="41" t="s">
        <v>21</v>
      </c>
      <c r="F1" s="42" t="s">
        <v>22</v>
      </c>
      <c r="G1" s="41" t="s">
        <v>23</v>
      </c>
      <c r="H1" s="41" t="s">
        <v>24</v>
      </c>
      <c r="I1" s="43" t="s">
        <v>25</v>
      </c>
      <c r="J1" t="s">
        <v>26</v>
      </c>
      <c r="K1" s="41" t="s">
        <v>27</v>
      </c>
      <c r="L1" s="44" t="s">
        <v>354</v>
      </c>
      <c r="M1" s="44" t="s">
        <v>355</v>
      </c>
      <c r="N1" s="44" t="s">
        <v>356</v>
      </c>
    </row>
    <row r="2" spans="1:14" x14ac:dyDescent="0.2">
      <c r="A2" t="s">
        <v>32</v>
      </c>
      <c r="B2" t="s">
        <v>33</v>
      </c>
      <c r="C2" s="44">
        <v>9971.744999999999</v>
      </c>
      <c r="D2" s="44">
        <v>9496.9</v>
      </c>
      <c r="E2" s="44">
        <v>3323.9150000000004</v>
      </c>
      <c r="F2" s="44">
        <v>0</v>
      </c>
      <c r="G2" s="44">
        <v>0</v>
      </c>
      <c r="H2" s="44">
        <v>4368.5739999999996</v>
      </c>
      <c r="I2" s="44">
        <v>0</v>
      </c>
      <c r="J2" s="44">
        <v>7305.3076923076924</v>
      </c>
      <c r="K2" s="44">
        <v>16619.575000000001</v>
      </c>
      <c r="L2" s="44">
        <v>79624</v>
      </c>
      <c r="M2" s="44">
        <v>94969</v>
      </c>
      <c r="N2" s="44">
        <v>110314</v>
      </c>
    </row>
    <row r="3" spans="1:14" x14ac:dyDescent="0.2">
      <c r="A3" t="s">
        <v>32</v>
      </c>
      <c r="B3" t="s">
        <v>40</v>
      </c>
      <c r="C3" s="44">
        <v>10697.232</v>
      </c>
      <c r="D3" s="44">
        <v>10187.840000000002</v>
      </c>
      <c r="E3" s="44">
        <v>3565.7440000000006</v>
      </c>
      <c r="F3" s="44">
        <v>0</v>
      </c>
      <c r="G3" s="44">
        <v>0</v>
      </c>
      <c r="H3" s="44">
        <v>4686.4064000000008</v>
      </c>
      <c r="I3" s="44">
        <v>0</v>
      </c>
      <c r="J3" s="44">
        <v>9796.0000000000018</v>
      </c>
      <c r="K3" s="44">
        <v>17828.72</v>
      </c>
      <c r="L3" s="44">
        <v>61204</v>
      </c>
      <c r="M3" s="44">
        <v>101878.40000000001</v>
      </c>
      <c r="N3" s="44">
        <v>142552.80000000002</v>
      </c>
    </row>
    <row r="4" spans="1:14" x14ac:dyDescent="0.2">
      <c r="A4" t="s">
        <v>32</v>
      </c>
      <c r="B4" t="s">
        <v>47</v>
      </c>
      <c r="C4" s="44">
        <v>8145.9524999999994</v>
      </c>
      <c r="D4" s="44">
        <v>7758.05</v>
      </c>
      <c r="E4" s="44">
        <v>2715.3175000000001</v>
      </c>
      <c r="F4" s="44">
        <v>0</v>
      </c>
      <c r="G4" s="44">
        <v>0</v>
      </c>
      <c r="H4" s="44">
        <v>3568.703</v>
      </c>
      <c r="I4" s="44">
        <v>0</v>
      </c>
      <c r="J4" s="44">
        <v>5967.7307692307695</v>
      </c>
      <c r="K4" s="44">
        <v>13576.5875</v>
      </c>
      <c r="L4" s="44">
        <v>63701</v>
      </c>
      <c r="M4" s="44">
        <v>77580.5</v>
      </c>
      <c r="N4" s="44">
        <v>91460</v>
      </c>
    </row>
    <row r="5" spans="1:14" x14ac:dyDescent="0.2">
      <c r="A5" t="s">
        <v>32</v>
      </c>
      <c r="B5" t="s">
        <v>50</v>
      </c>
      <c r="C5" s="44">
        <v>10695.404999999999</v>
      </c>
      <c r="D5" s="44">
        <v>10186.1</v>
      </c>
      <c r="E5" s="44">
        <v>3565.1350000000002</v>
      </c>
      <c r="F5" s="44">
        <v>0</v>
      </c>
      <c r="G5" s="44">
        <v>0</v>
      </c>
      <c r="H5" s="44">
        <v>4685.6059999999998</v>
      </c>
      <c r="I5" s="44">
        <v>0</v>
      </c>
      <c r="J5" s="44">
        <v>7835.461538461539</v>
      </c>
      <c r="K5" s="44">
        <v>17825.674999999999</v>
      </c>
      <c r="L5" s="44">
        <v>79624</v>
      </c>
      <c r="M5" s="44">
        <v>101861</v>
      </c>
      <c r="N5" s="44">
        <v>124098</v>
      </c>
    </row>
    <row r="6" spans="1:14" x14ac:dyDescent="0.2">
      <c r="A6" t="s">
        <v>32</v>
      </c>
      <c r="B6" t="s">
        <v>55</v>
      </c>
      <c r="C6" s="44">
        <v>31106.029500000001</v>
      </c>
      <c r="D6" s="44">
        <v>0</v>
      </c>
      <c r="E6" s="44">
        <v>10368.676500000001</v>
      </c>
      <c r="F6" s="44">
        <v>0</v>
      </c>
      <c r="G6" s="44">
        <v>0</v>
      </c>
      <c r="H6" s="44">
        <v>13627.403400000001</v>
      </c>
      <c r="I6" s="44">
        <v>29000.16</v>
      </c>
      <c r="J6" s="44">
        <v>22788.300000000003</v>
      </c>
      <c r="K6" s="44">
        <v>51843.3825</v>
      </c>
      <c r="L6" s="44">
        <v>249470</v>
      </c>
      <c r="M6" s="44">
        <v>296247.90000000002</v>
      </c>
      <c r="N6" s="44">
        <v>343025.8</v>
      </c>
    </row>
    <row r="7" spans="1:14" x14ac:dyDescent="0.2">
      <c r="A7" t="s">
        <v>62</v>
      </c>
      <c r="B7" t="s">
        <v>33</v>
      </c>
      <c r="C7" s="44">
        <v>8155.665</v>
      </c>
      <c r="D7" s="44">
        <v>7767.3</v>
      </c>
      <c r="E7" s="44">
        <v>2718.5550000000003</v>
      </c>
      <c r="F7" s="44">
        <v>0</v>
      </c>
      <c r="G7" s="44">
        <v>0</v>
      </c>
      <c r="H7" s="44">
        <v>3572.9580000000001</v>
      </c>
      <c r="I7" s="44">
        <v>0</v>
      </c>
      <c r="J7" s="44">
        <v>5974.8461538461543</v>
      </c>
      <c r="K7" s="44">
        <v>0</v>
      </c>
      <c r="L7" s="44">
        <v>54364</v>
      </c>
      <c r="M7" s="44">
        <v>77673</v>
      </c>
      <c r="N7" s="44">
        <v>100982</v>
      </c>
    </row>
    <row r="8" spans="1:14" x14ac:dyDescent="0.2">
      <c r="A8" t="s">
        <v>62</v>
      </c>
      <c r="B8" t="s">
        <v>40</v>
      </c>
      <c r="C8" s="44">
        <v>10944.99</v>
      </c>
      <c r="D8" s="44">
        <v>10423.800000000001</v>
      </c>
      <c r="E8" s="44">
        <v>3648.3300000000004</v>
      </c>
      <c r="F8" s="44">
        <v>0</v>
      </c>
      <c r="G8" s="44">
        <v>0</v>
      </c>
      <c r="H8" s="44">
        <v>4794.9480000000003</v>
      </c>
      <c r="I8" s="44">
        <v>0</v>
      </c>
      <c r="J8" s="44">
        <v>10022.884615384615</v>
      </c>
      <c r="K8" s="44">
        <v>0</v>
      </c>
      <c r="L8" s="44">
        <v>66386</v>
      </c>
      <c r="M8" s="44">
        <v>104238</v>
      </c>
      <c r="N8" s="44">
        <v>142090</v>
      </c>
    </row>
    <row r="9" spans="1:14" x14ac:dyDescent="0.2">
      <c r="A9" t="s">
        <v>62</v>
      </c>
      <c r="B9" t="s">
        <v>47</v>
      </c>
      <c r="C9" s="44">
        <v>6654.2699999999995</v>
      </c>
      <c r="D9" s="44">
        <v>6337.4000000000005</v>
      </c>
      <c r="E9" s="44">
        <v>2218.09</v>
      </c>
      <c r="F9" s="44">
        <v>0</v>
      </c>
      <c r="G9" s="44">
        <v>0</v>
      </c>
      <c r="H9" s="44">
        <v>2915.2039999999997</v>
      </c>
      <c r="I9" s="44">
        <v>0</v>
      </c>
      <c r="J9" s="44">
        <v>4874.9230769230771</v>
      </c>
      <c r="K9" s="44">
        <v>0</v>
      </c>
      <c r="L9" s="44">
        <v>56916</v>
      </c>
      <c r="M9" s="44">
        <v>63374</v>
      </c>
      <c r="N9" s="44">
        <v>69832</v>
      </c>
    </row>
    <row r="10" spans="1:14" x14ac:dyDescent="0.2">
      <c r="A10" t="s">
        <v>62</v>
      </c>
      <c r="B10" t="s">
        <v>50</v>
      </c>
      <c r="C10" s="44">
        <v>9616.6875</v>
      </c>
      <c r="D10" s="44">
        <v>9158.75</v>
      </c>
      <c r="E10" s="44">
        <v>3205.5625000000005</v>
      </c>
      <c r="F10" s="44">
        <v>0</v>
      </c>
      <c r="G10" s="44">
        <v>0</v>
      </c>
      <c r="H10" s="44">
        <v>4213.0249999999996</v>
      </c>
      <c r="I10" s="44">
        <v>0</v>
      </c>
      <c r="J10" s="44">
        <v>7045.1923076923085</v>
      </c>
      <c r="K10" s="44">
        <v>0</v>
      </c>
      <c r="L10" s="44">
        <v>66386</v>
      </c>
      <c r="M10" s="44">
        <v>91587.5</v>
      </c>
      <c r="N10" s="44">
        <v>116789</v>
      </c>
    </row>
    <row r="11" spans="1:14" x14ac:dyDescent="0.2">
      <c r="A11" t="s">
        <v>62</v>
      </c>
      <c r="B11" t="s">
        <v>55</v>
      </c>
      <c r="C11" s="44">
        <v>26966.1525</v>
      </c>
      <c r="D11" s="44">
        <v>0</v>
      </c>
      <c r="E11" s="44">
        <v>8988.7175000000007</v>
      </c>
      <c r="F11" s="44">
        <v>0</v>
      </c>
      <c r="G11" s="44">
        <v>154092.29999999999</v>
      </c>
      <c r="H11" s="44">
        <v>11813.743</v>
      </c>
      <c r="I11" s="44">
        <v>26000</v>
      </c>
      <c r="J11" s="44">
        <v>24694.278846153848</v>
      </c>
      <c r="K11" s="44">
        <v>44943.587499999994</v>
      </c>
      <c r="L11" s="44">
        <v>221622</v>
      </c>
      <c r="M11" s="44">
        <v>256820.5</v>
      </c>
      <c r="N11" s="44">
        <v>292019</v>
      </c>
    </row>
    <row r="12" spans="1:14" x14ac:dyDescent="0.2">
      <c r="A12" t="s">
        <v>74</v>
      </c>
      <c r="B12" t="s">
        <v>33</v>
      </c>
      <c r="C12" s="44">
        <v>8151.9437999999991</v>
      </c>
      <c r="D12" s="44">
        <v>7763.7560000000003</v>
      </c>
      <c r="E12" s="44">
        <v>2717.3146000000002</v>
      </c>
      <c r="F12" s="44">
        <v>0</v>
      </c>
      <c r="G12" s="44">
        <v>0</v>
      </c>
      <c r="H12" s="44">
        <v>3571.3277599999997</v>
      </c>
      <c r="I12" s="44">
        <v>0</v>
      </c>
      <c r="J12" s="44">
        <v>5972.12</v>
      </c>
      <c r="K12" s="44">
        <v>0</v>
      </c>
      <c r="L12" s="44">
        <v>60017.880000000005</v>
      </c>
      <c r="M12" s="44">
        <v>77637.56</v>
      </c>
      <c r="N12" s="44">
        <v>95257.239999999991</v>
      </c>
    </row>
    <row r="13" spans="1:14" x14ac:dyDescent="0.2">
      <c r="A13" t="s">
        <v>74</v>
      </c>
      <c r="B13" t="s">
        <v>40</v>
      </c>
      <c r="C13" s="44">
        <v>10804.466399999999</v>
      </c>
      <c r="D13" s="44">
        <v>10289.968000000001</v>
      </c>
      <c r="E13" s="44">
        <v>3601.4888000000001</v>
      </c>
      <c r="F13" s="44">
        <v>0</v>
      </c>
      <c r="G13" s="44">
        <v>0</v>
      </c>
      <c r="H13" s="44">
        <v>4733.3852799999995</v>
      </c>
      <c r="I13" s="44">
        <v>0</v>
      </c>
      <c r="J13" s="44">
        <v>7915.36</v>
      </c>
      <c r="K13" s="44">
        <v>18007.443999999996</v>
      </c>
      <c r="L13" s="44">
        <v>67224.039999999994</v>
      </c>
      <c r="M13" s="44">
        <v>102899.68</v>
      </c>
      <c r="N13" s="44">
        <v>138575.32</v>
      </c>
    </row>
    <row r="14" spans="1:14" x14ac:dyDescent="0.2">
      <c r="A14" t="s">
        <v>74</v>
      </c>
      <c r="B14" t="s">
        <v>47</v>
      </c>
      <c r="C14" s="44">
        <v>6084.0233999999991</v>
      </c>
      <c r="D14" s="44">
        <v>5794.308</v>
      </c>
      <c r="E14" s="44">
        <v>2028.0078000000001</v>
      </c>
      <c r="F14" s="44">
        <v>0</v>
      </c>
      <c r="G14" s="44">
        <v>0</v>
      </c>
      <c r="H14" s="44">
        <v>2665.3816799999995</v>
      </c>
      <c r="I14" s="44">
        <v>0</v>
      </c>
      <c r="J14" s="44">
        <v>4457.16</v>
      </c>
      <c r="K14" s="44">
        <v>0</v>
      </c>
      <c r="L14" s="44">
        <v>48181.119999999995</v>
      </c>
      <c r="M14" s="44">
        <v>57943.079999999994</v>
      </c>
      <c r="N14" s="44">
        <v>67705.039999999994</v>
      </c>
    </row>
    <row r="15" spans="1:14" x14ac:dyDescent="0.2">
      <c r="A15" t="s">
        <v>74</v>
      </c>
      <c r="B15" t="s">
        <v>50</v>
      </c>
      <c r="C15" s="44">
        <v>9495.6224999999995</v>
      </c>
      <c r="D15" s="44">
        <v>9043.4500000000007</v>
      </c>
      <c r="E15" s="44">
        <v>3165.2075000000004</v>
      </c>
      <c r="F15" s="44">
        <v>0</v>
      </c>
      <c r="G15" s="44">
        <v>0</v>
      </c>
      <c r="H15" s="44">
        <v>4159.9870000000001</v>
      </c>
      <c r="I15" s="44">
        <v>0</v>
      </c>
      <c r="J15" s="44">
        <v>6956.5</v>
      </c>
      <c r="K15" s="44">
        <v>15826.037499999999</v>
      </c>
      <c r="L15" s="44">
        <v>66106</v>
      </c>
      <c r="M15" s="44">
        <v>90434.5</v>
      </c>
      <c r="N15" s="44">
        <v>114763</v>
      </c>
    </row>
    <row r="16" spans="1:14" x14ac:dyDescent="0.2">
      <c r="A16" t="s">
        <v>74</v>
      </c>
      <c r="B16" t="s">
        <v>55</v>
      </c>
      <c r="C16" s="44">
        <v>22103.445</v>
      </c>
      <c r="D16" s="44">
        <v>0</v>
      </c>
      <c r="E16" s="44">
        <v>7367.8150000000005</v>
      </c>
      <c r="F16" s="44">
        <v>42101.8</v>
      </c>
      <c r="G16" s="44">
        <v>36628.565999999999</v>
      </c>
      <c r="H16" s="44">
        <v>9683.4140000000007</v>
      </c>
      <c r="I16" s="44">
        <v>38000</v>
      </c>
      <c r="J16" s="44">
        <v>20241.25</v>
      </c>
      <c r="K16" s="44">
        <v>36839.074999999997</v>
      </c>
      <c r="L16" s="44">
        <v>179078</v>
      </c>
      <c r="M16" s="44">
        <v>210509</v>
      </c>
      <c r="N16" s="44">
        <v>241940</v>
      </c>
    </row>
    <row r="17" spans="1:14" x14ac:dyDescent="0.2">
      <c r="A17" t="s">
        <v>82</v>
      </c>
      <c r="B17" t="s">
        <v>33</v>
      </c>
      <c r="C17" s="44">
        <v>8949.99</v>
      </c>
      <c r="D17" s="44">
        <v>7019.6</v>
      </c>
      <c r="E17" s="44">
        <v>2456.86</v>
      </c>
      <c r="F17" s="44">
        <v>0</v>
      </c>
      <c r="G17" s="44">
        <v>0</v>
      </c>
      <c r="H17" s="44">
        <v>3229.0160000000001</v>
      </c>
      <c r="I17" s="44">
        <v>1826</v>
      </c>
      <c r="J17" s="44">
        <v>5399.6923076923076</v>
      </c>
      <c r="K17" s="44">
        <v>0</v>
      </c>
      <c r="L17" s="44">
        <v>48552</v>
      </c>
      <c r="M17" s="44">
        <v>70196</v>
      </c>
      <c r="N17" s="44">
        <v>91840</v>
      </c>
    </row>
    <row r="18" spans="1:14" x14ac:dyDescent="0.2">
      <c r="A18" t="s">
        <v>82</v>
      </c>
      <c r="B18" t="s">
        <v>40</v>
      </c>
      <c r="C18" s="44">
        <v>13298.696250000001</v>
      </c>
      <c r="D18" s="44">
        <v>10430.35</v>
      </c>
      <c r="E18" s="44">
        <v>3650.6225000000004</v>
      </c>
      <c r="F18" s="44">
        <v>0</v>
      </c>
      <c r="G18" s="44">
        <v>0</v>
      </c>
      <c r="H18" s="44">
        <v>4797.9610000000002</v>
      </c>
      <c r="I18" s="44">
        <v>1826</v>
      </c>
      <c r="J18" s="44">
        <v>8023.3461538461543</v>
      </c>
      <c r="K18" s="44">
        <v>0</v>
      </c>
      <c r="L18" s="44">
        <v>69031</v>
      </c>
      <c r="M18" s="44">
        <v>104303.5</v>
      </c>
      <c r="N18" s="44">
        <v>139576</v>
      </c>
    </row>
    <row r="19" spans="1:14" x14ac:dyDescent="0.2">
      <c r="A19" t="s">
        <v>82</v>
      </c>
      <c r="B19" t="s">
        <v>47</v>
      </c>
      <c r="C19" s="44">
        <v>8134.8187500000004</v>
      </c>
      <c r="D19" s="44">
        <v>6380.25</v>
      </c>
      <c r="E19" s="44">
        <v>2233.0875000000001</v>
      </c>
      <c r="F19" s="44">
        <v>0</v>
      </c>
      <c r="G19" s="44">
        <v>0</v>
      </c>
      <c r="H19" s="44">
        <v>2934.915</v>
      </c>
      <c r="I19" s="44">
        <v>1826</v>
      </c>
      <c r="J19" s="44">
        <v>4907.8846153846152</v>
      </c>
      <c r="K19" s="44">
        <v>0</v>
      </c>
      <c r="L19" s="44">
        <v>47704</v>
      </c>
      <c r="M19" s="44">
        <v>63802.5</v>
      </c>
      <c r="N19" s="44">
        <v>79901</v>
      </c>
    </row>
    <row r="20" spans="1:14" x14ac:dyDescent="0.2">
      <c r="A20" t="s">
        <v>82</v>
      </c>
      <c r="B20" t="s">
        <v>50</v>
      </c>
      <c r="C20" s="44">
        <v>13298.696250000001</v>
      </c>
      <c r="D20" s="44">
        <v>10430.35</v>
      </c>
      <c r="E20" s="44">
        <v>3650.6225000000004</v>
      </c>
      <c r="F20" s="44">
        <v>0</v>
      </c>
      <c r="G20" s="44">
        <v>0</v>
      </c>
      <c r="H20" s="44">
        <v>4797.9610000000002</v>
      </c>
      <c r="I20" s="44">
        <v>1826</v>
      </c>
      <c r="J20" s="44">
        <v>8023.3461538461543</v>
      </c>
      <c r="K20" s="44">
        <v>0</v>
      </c>
      <c r="L20" s="44">
        <v>69031</v>
      </c>
      <c r="M20" s="44">
        <v>104303.5</v>
      </c>
      <c r="N20" s="44">
        <v>139576</v>
      </c>
    </row>
    <row r="21" spans="1:14" x14ac:dyDescent="0.2">
      <c r="A21" t="s">
        <v>82</v>
      </c>
      <c r="B21" t="s">
        <v>55</v>
      </c>
      <c r="C21" s="44">
        <v>28782.87</v>
      </c>
      <c r="D21" s="44">
        <v>0</v>
      </c>
      <c r="E21" s="44">
        <v>7901.1800000000012</v>
      </c>
      <c r="F21" s="44">
        <v>0</v>
      </c>
      <c r="G21" s="44">
        <v>112874</v>
      </c>
      <c r="H21" s="44">
        <v>10384.407999999999</v>
      </c>
      <c r="I21" s="44">
        <v>21500</v>
      </c>
      <c r="J21" s="44">
        <v>17365.23076923077</v>
      </c>
      <c r="K21" s="44">
        <v>0</v>
      </c>
      <c r="L21" s="44">
        <v>189406</v>
      </c>
      <c r="M21" s="44">
        <v>225748</v>
      </c>
      <c r="N21" s="44">
        <v>262090</v>
      </c>
    </row>
    <row r="22" spans="1:14" x14ac:dyDescent="0.2">
      <c r="A22" t="s">
        <v>88</v>
      </c>
      <c r="B22" t="s">
        <v>33</v>
      </c>
      <c r="C22" s="44">
        <v>7493.6399999999994</v>
      </c>
      <c r="D22" s="44">
        <v>7136.8</v>
      </c>
      <c r="E22" s="44">
        <v>2497.88</v>
      </c>
      <c r="F22" s="44">
        <v>0</v>
      </c>
      <c r="G22" s="44">
        <v>0</v>
      </c>
      <c r="H22" s="44">
        <v>3282.9279999999999</v>
      </c>
      <c r="I22" s="44">
        <v>0</v>
      </c>
      <c r="J22" s="44">
        <v>5489.8461538461543</v>
      </c>
      <c r="K22" s="44">
        <v>14273.6</v>
      </c>
      <c r="L22" s="44">
        <v>57579</v>
      </c>
      <c r="M22" s="44">
        <v>71368</v>
      </c>
      <c r="N22" s="44">
        <v>85157</v>
      </c>
    </row>
    <row r="23" spans="1:14" x14ac:dyDescent="0.2">
      <c r="A23" t="s">
        <v>88</v>
      </c>
      <c r="B23" t="s">
        <v>40</v>
      </c>
      <c r="C23" s="44">
        <v>11449.305</v>
      </c>
      <c r="D23" s="44">
        <v>10904.1</v>
      </c>
      <c r="E23" s="44">
        <v>3816.4350000000004</v>
      </c>
      <c r="F23" s="44">
        <v>0</v>
      </c>
      <c r="G23" s="44">
        <v>0</v>
      </c>
      <c r="H23" s="44">
        <v>5015.8859999999995</v>
      </c>
      <c r="I23" s="44">
        <v>0</v>
      </c>
      <c r="J23" s="44">
        <v>8387.7692307692305</v>
      </c>
      <c r="K23" s="44">
        <v>21808.2</v>
      </c>
      <c r="L23" s="44">
        <v>77833</v>
      </c>
      <c r="M23" s="44">
        <v>109041</v>
      </c>
      <c r="N23" s="44">
        <v>140249</v>
      </c>
    </row>
    <row r="24" spans="1:14" x14ac:dyDescent="0.2">
      <c r="A24" t="s">
        <v>88</v>
      </c>
      <c r="B24" t="s">
        <v>47</v>
      </c>
      <c r="C24" s="44">
        <v>6647.9699999999993</v>
      </c>
      <c r="D24" s="44">
        <v>6331.4000000000005</v>
      </c>
      <c r="E24" s="44">
        <v>2215.9900000000002</v>
      </c>
      <c r="F24" s="44">
        <v>0</v>
      </c>
      <c r="G24" s="44">
        <v>0</v>
      </c>
      <c r="H24" s="44">
        <v>2912.444</v>
      </c>
      <c r="I24" s="44">
        <v>0</v>
      </c>
      <c r="J24" s="44">
        <v>4870.3076923076924</v>
      </c>
      <c r="K24" s="44">
        <v>12662.800000000001</v>
      </c>
      <c r="L24" s="44">
        <v>57579</v>
      </c>
      <c r="M24" s="44">
        <v>63314</v>
      </c>
      <c r="N24" s="44">
        <v>69049</v>
      </c>
    </row>
    <row r="25" spans="1:14" x14ac:dyDescent="0.2">
      <c r="A25" t="s">
        <v>88</v>
      </c>
      <c r="B25" t="s">
        <v>50</v>
      </c>
      <c r="C25" s="44">
        <v>9112.0049999999992</v>
      </c>
      <c r="D25" s="44">
        <v>8678.1</v>
      </c>
      <c r="E25" s="44">
        <v>3037.3350000000005</v>
      </c>
      <c r="F25" s="44">
        <v>0</v>
      </c>
      <c r="G25" s="44">
        <v>0</v>
      </c>
      <c r="H25" s="44">
        <v>3991.9259999999999</v>
      </c>
      <c r="I25" s="44">
        <v>0</v>
      </c>
      <c r="J25" s="44">
        <v>6675.461538461539</v>
      </c>
      <c r="K25" s="44">
        <v>17356.2</v>
      </c>
      <c r="L25" s="44">
        <v>79898</v>
      </c>
      <c r="M25" s="44">
        <v>86781</v>
      </c>
      <c r="N25" s="44">
        <v>93664</v>
      </c>
    </row>
    <row r="26" spans="1:14" x14ac:dyDescent="0.2">
      <c r="A26" t="s">
        <v>88</v>
      </c>
      <c r="B26" t="s">
        <v>55</v>
      </c>
      <c r="C26" s="44">
        <v>35924.28</v>
      </c>
      <c r="D26" s="44">
        <v>0</v>
      </c>
      <c r="E26" s="44">
        <v>11974.760000000002</v>
      </c>
      <c r="F26" s="44">
        <v>0</v>
      </c>
      <c r="G26" s="44">
        <v>0</v>
      </c>
      <c r="H26" s="44">
        <v>15738.255999999999</v>
      </c>
      <c r="I26" s="44">
        <v>28909</v>
      </c>
      <c r="J26" s="44">
        <v>26318.153846153848</v>
      </c>
      <c r="K26" s="44">
        <v>0</v>
      </c>
      <c r="L26" s="44">
        <v>297757</v>
      </c>
      <c r="M26" s="44">
        <v>342136</v>
      </c>
      <c r="N26" s="44">
        <v>386515</v>
      </c>
    </row>
    <row r="27" spans="1:14" x14ac:dyDescent="0.2">
      <c r="A27" t="s">
        <v>96</v>
      </c>
      <c r="B27" t="s">
        <v>33</v>
      </c>
      <c r="C27" s="44">
        <v>10399.1055</v>
      </c>
      <c r="D27" s="44">
        <v>9496.9</v>
      </c>
      <c r="E27" s="44">
        <v>3323.9150000000004</v>
      </c>
      <c r="F27" s="44">
        <v>0</v>
      </c>
      <c r="G27" s="44">
        <v>0</v>
      </c>
      <c r="H27" s="44">
        <v>4368.5739999999996</v>
      </c>
      <c r="I27" s="44">
        <v>365.2</v>
      </c>
      <c r="J27" s="44">
        <v>7305.3076923076924</v>
      </c>
      <c r="K27" s="44">
        <v>7122.6750000000002</v>
      </c>
      <c r="L27" s="44">
        <v>60027.376000000004</v>
      </c>
      <c r="M27" s="44">
        <v>78368.712</v>
      </c>
      <c r="N27" s="44">
        <v>96710.047999999995</v>
      </c>
    </row>
    <row r="28" spans="1:14" x14ac:dyDescent="0.2">
      <c r="A28" t="s">
        <v>96</v>
      </c>
      <c r="B28" t="s">
        <v>40</v>
      </c>
      <c r="C28" s="44">
        <v>11155.684800000001</v>
      </c>
      <c r="D28" s="44">
        <v>10187.840000000002</v>
      </c>
      <c r="E28" s="44">
        <v>3565.7440000000006</v>
      </c>
      <c r="F28" s="44">
        <v>0</v>
      </c>
      <c r="G28" s="44">
        <v>0</v>
      </c>
      <c r="H28" s="44">
        <v>4686.4064000000008</v>
      </c>
      <c r="I28" s="44">
        <v>365.2</v>
      </c>
      <c r="J28" s="44">
        <v>8620.4800000000014</v>
      </c>
      <c r="K28" s="44">
        <v>11206.624000000002</v>
      </c>
      <c r="L28" s="44">
        <v>68335.607999999993</v>
      </c>
      <c r="M28" s="44">
        <v>104472.11600000001</v>
      </c>
      <c r="N28" s="44">
        <v>140608.62400000001</v>
      </c>
    </row>
    <row r="29" spans="1:14" x14ac:dyDescent="0.2">
      <c r="A29" t="s">
        <v>96</v>
      </c>
      <c r="B29" t="s">
        <v>47</v>
      </c>
      <c r="C29" s="44">
        <v>8495.0647499999995</v>
      </c>
      <c r="D29" s="44">
        <v>7758.05</v>
      </c>
      <c r="E29" s="44">
        <v>2715.3175000000001</v>
      </c>
      <c r="F29" s="44">
        <v>0</v>
      </c>
      <c r="G29" s="44">
        <v>0</v>
      </c>
      <c r="H29" s="44">
        <v>3568.703</v>
      </c>
      <c r="I29" s="44">
        <v>365.2</v>
      </c>
      <c r="J29" s="44">
        <v>5967.7307692307695</v>
      </c>
      <c r="K29" s="44">
        <v>5818.5374999999995</v>
      </c>
      <c r="L29" s="44">
        <v>54816.224000000002</v>
      </c>
      <c r="M29" s="44">
        <v>65202.815999999992</v>
      </c>
      <c r="N29" s="44">
        <v>75589.407999999996</v>
      </c>
    </row>
    <row r="30" spans="1:14" x14ac:dyDescent="0.2">
      <c r="A30" t="s">
        <v>96</v>
      </c>
      <c r="B30" t="s">
        <v>50</v>
      </c>
      <c r="C30" s="44">
        <v>11153.779500000001</v>
      </c>
      <c r="D30" s="44">
        <v>10186.1</v>
      </c>
      <c r="E30" s="44">
        <v>3565.1350000000002</v>
      </c>
      <c r="F30" s="44">
        <v>0</v>
      </c>
      <c r="G30" s="44">
        <v>0</v>
      </c>
      <c r="H30" s="44">
        <v>4685.6059999999998</v>
      </c>
      <c r="I30" s="44">
        <v>365.2</v>
      </c>
      <c r="J30" s="44">
        <v>7835.461538461539</v>
      </c>
      <c r="K30" s="44">
        <v>11204.710000000001</v>
      </c>
      <c r="L30" s="44">
        <v>72209</v>
      </c>
      <c r="M30" s="44">
        <v>94993.5</v>
      </c>
      <c r="N30" s="44">
        <v>117778</v>
      </c>
    </row>
    <row r="31" spans="1:14" x14ac:dyDescent="0.2">
      <c r="A31" t="s">
        <v>96</v>
      </c>
      <c r="B31" t="s">
        <v>55</v>
      </c>
      <c r="C31" s="44">
        <v>32439.145050000003</v>
      </c>
      <c r="D31" s="44">
        <v>0</v>
      </c>
      <c r="E31" s="44">
        <v>10368.676500000001</v>
      </c>
      <c r="F31" s="44">
        <v>11849.916000000001</v>
      </c>
      <c r="G31" s="44">
        <v>75483.964920000013</v>
      </c>
      <c r="H31" s="44">
        <v>13627.403400000001</v>
      </c>
      <c r="I31" s="44">
        <v>28681.832000000002</v>
      </c>
      <c r="J31" s="44">
        <v>25067.130000000005</v>
      </c>
      <c r="K31" s="44">
        <v>31106.029499999997</v>
      </c>
      <c r="L31" s="44">
        <v>227466.6</v>
      </c>
      <c r="M31" s="44">
        <v>266292.27999999997</v>
      </c>
      <c r="N31" s="44">
        <v>305117.96000000002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801F-142C-CD4B-B334-48ACEE4614A9}">
  <dimension ref="A1"/>
  <sheetViews>
    <sheetView workbookViewId="0">
      <selection activeCell="G30" sqref="G30"/>
    </sheetView>
  </sheetViews>
  <sheetFormatPr baseColWidth="10" defaultColWidth="11" defaultRowHeight="16" x14ac:dyDescent="0.2"/>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49CE2-1FBD-374C-A8E7-C8C6A616D45E}">
  <dimension ref="A1:X26"/>
  <sheetViews>
    <sheetView workbookViewId="0">
      <selection activeCell="E30" sqref="E30"/>
    </sheetView>
  </sheetViews>
  <sheetFormatPr baseColWidth="10" defaultColWidth="10.6640625" defaultRowHeight="16" x14ac:dyDescent="0.2"/>
  <cols>
    <col min="1" max="1" width="10.6640625" style="4"/>
    <col min="2" max="2" width="19.1640625" style="19" customWidth="1"/>
    <col min="3" max="3" width="6.83203125" style="5" customWidth="1"/>
    <col min="4" max="4" width="11.33203125" style="6" customWidth="1"/>
    <col min="5" max="5" width="11.33203125" style="7" customWidth="1"/>
    <col min="6" max="8" width="14.1640625" style="8" customWidth="1"/>
    <col min="9" max="9" width="14.1640625" style="9" customWidth="1"/>
    <col min="10" max="11" width="14.1640625" style="8" customWidth="1"/>
    <col min="12" max="12" width="14.1640625" style="10" customWidth="1"/>
    <col min="13" max="13" width="14.1640625" style="9" customWidth="1"/>
    <col min="14" max="14" width="14.1640625" style="11" customWidth="1"/>
    <col min="15" max="15" width="14.1640625" style="9" customWidth="1"/>
    <col min="16" max="21" width="14.83203125" style="23" customWidth="1"/>
    <col min="22" max="24" width="12.83203125" style="23" customWidth="1"/>
    <col min="25" max="16384" width="10.6640625" style="4"/>
  </cols>
  <sheetData>
    <row r="1" spans="1:24" s="1" customFormat="1" ht="51" x14ac:dyDescent="0.2">
      <c r="A1" s="1" t="s">
        <v>357</v>
      </c>
      <c r="B1" s="1" t="s">
        <v>358</v>
      </c>
      <c r="C1" s="12" t="s">
        <v>16</v>
      </c>
      <c r="D1" s="13" t="s">
        <v>17</v>
      </c>
      <c r="E1" s="14" t="s">
        <v>18</v>
      </c>
      <c r="F1" s="15" t="s">
        <v>19</v>
      </c>
      <c r="G1" s="15" t="s">
        <v>20</v>
      </c>
      <c r="H1" s="15" t="s">
        <v>359</v>
      </c>
      <c r="I1" s="2" t="s">
        <v>190</v>
      </c>
      <c r="J1" s="15" t="s">
        <v>191</v>
      </c>
      <c r="K1" s="15" t="s">
        <v>360</v>
      </c>
      <c r="L1" s="16" t="s">
        <v>193</v>
      </c>
      <c r="M1" s="2" t="s">
        <v>26</v>
      </c>
      <c r="N1" s="17" t="s">
        <v>27</v>
      </c>
      <c r="O1" s="2" t="s">
        <v>28</v>
      </c>
      <c r="P1" s="18" t="s">
        <v>361</v>
      </c>
      <c r="Q1" s="18" t="s">
        <v>362</v>
      </c>
      <c r="R1" s="18" t="s">
        <v>363</v>
      </c>
      <c r="S1" s="18" t="s">
        <v>364</v>
      </c>
      <c r="T1" s="18" t="s">
        <v>365</v>
      </c>
      <c r="U1" s="18" t="s">
        <v>366</v>
      </c>
      <c r="V1" s="18" t="s">
        <v>367</v>
      </c>
      <c r="W1" s="18" t="s">
        <v>368</v>
      </c>
      <c r="X1" s="18" t="s">
        <v>369</v>
      </c>
    </row>
    <row r="2" spans="1:24" x14ac:dyDescent="0.2">
      <c r="A2" s="4" t="s">
        <v>32</v>
      </c>
      <c r="B2" s="19" t="s">
        <v>33</v>
      </c>
      <c r="C2" s="5">
        <v>2022</v>
      </c>
      <c r="D2" s="6">
        <v>0.105</v>
      </c>
      <c r="E2" s="7">
        <v>38</v>
      </c>
      <c r="F2" s="8">
        <v>1</v>
      </c>
      <c r="G2" s="8">
        <v>0.1</v>
      </c>
      <c r="H2" s="8">
        <v>3.5000000000000003E-2</v>
      </c>
      <c r="I2" s="9">
        <v>0</v>
      </c>
      <c r="J2" s="8">
        <v>0</v>
      </c>
      <c r="K2" s="8">
        <v>4.5999999999999999E-2</v>
      </c>
      <c r="L2" s="10">
        <v>0</v>
      </c>
      <c r="M2" s="9">
        <v>4</v>
      </c>
      <c r="N2" s="11">
        <v>0.17499999999999999</v>
      </c>
      <c r="O2" s="9">
        <v>1.5</v>
      </c>
      <c r="P2" s="23">
        <v>79624</v>
      </c>
      <c r="Q2" s="23">
        <f t="shared" ref="Q2:Q6" si="0">P2+((R2-P2)/2)</f>
        <v>94969</v>
      </c>
      <c r="R2" s="23">
        <v>110314</v>
      </c>
      <c r="S2" s="23">
        <f>(P2+(P2*$D2)+(P2*$G2)+(P2*$H2)+(P2*$I2)+(P2*$J2)+(P2*$K2)+($L2)+(P2*((52+$M2)/52))*(1+$N2))*1/$F2</f>
        <v>203151.44861538461</v>
      </c>
      <c r="T2" s="23">
        <f t="shared" ref="T2:U6" si="1">(Q2+(Q2*$D2)+(Q2*$G2)+(Q2*$H2)+(Q2*$I2)+(Q2*$J2)+(Q2*$K2)+($L2)+(Q2*((52+$M2)/52))*(1+$N2))*1/$F2</f>
        <v>242302.4455384615</v>
      </c>
      <c r="U2" s="23">
        <f t="shared" si="1"/>
        <v>281453.44246153842</v>
      </c>
      <c r="V2" s="23">
        <f t="shared" ref="V2:X6" si="2">S2/52/$E2</f>
        <v>102.80943755839301</v>
      </c>
      <c r="W2" s="23">
        <f t="shared" si="2"/>
        <v>122.62269511055743</v>
      </c>
      <c r="X2" s="23">
        <f t="shared" si="2"/>
        <v>142.43595266272186</v>
      </c>
    </row>
    <row r="3" spans="1:24" x14ac:dyDescent="0.2">
      <c r="A3" s="4" t="s">
        <v>32</v>
      </c>
      <c r="B3" s="19" t="s">
        <v>40</v>
      </c>
      <c r="C3" s="5">
        <v>2023</v>
      </c>
      <c r="D3" s="6">
        <v>0.105</v>
      </c>
      <c r="E3" s="7">
        <v>38</v>
      </c>
      <c r="F3" s="8">
        <v>1</v>
      </c>
      <c r="G3" s="8">
        <v>0.1</v>
      </c>
      <c r="H3" s="8">
        <v>3.5000000000000003E-2</v>
      </c>
      <c r="I3" s="9">
        <v>0</v>
      </c>
      <c r="J3" s="8">
        <v>0</v>
      </c>
      <c r="K3" s="8">
        <v>4.5999999999999999E-2</v>
      </c>
      <c r="L3" s="10">
        <v>0</v>
      </c>
      <c r="M3" s="9">
        <v>5</v>
      </c>
      <c r="N3" s="11">
        <v>0.17499999999999999</v>
      </c>
      <c r="O3" s="9">
        <v>1.5</v>
      </c>
      <c r="P3" s="23">
        <f>1177*52</f>
        <v>61204</v>
      </c>
      <c r="Q3" s="23">
        <f t="shared" si="0"/>
        <v>101878.40000000001</v>
      </c>
      <c r="R3" s="23">
        <f>2741.4*52</f>
        <v>142552.80000000002</v>
      </c>
      <c r="S3" s="23">
        <f t="shared" ref="S3:S6" si="3">(P3+(P3*$D3)+(P3*$G3)+(P3*$H3)+(P3*$I3)+(P3*$J3)+(P3*$K3)+($L3)+(P3*((52+$M3)/52))*(1+$N3))*1/$F3</f>
        <v>157537.91899999999</v>
      </c>
      <c r="T3" s="23">
        <f t="shared" si="1"/>
        <v>262233.04240000003</v>
      </c>
      <c r="U3" s="23">
        <f t="shared" si="1"/>
        <v>366928.16580000008</v>
      </c>
      <c r="V3" s="23">
        <f t="shared" si="2"/>
        <v>79.725667510121454</v>
      </c>
      <c r="W3" s="23">
        <f t="shared" si="2"/>
        <v>132.7090295546559</v>
      </c>
      <c r="X3" s="23">
        <f t="shared" si="2"/>
        <v>185.69239159919033</v>
      </c>
    </row>
    <row r="4" spans="1:24" x14ac:dyDescent="0.2">
      <c r="A4" s="4" t="s">
        <v>32</v>
      </c>
      <c r="B4" s="19" t="s">
        <v>47</v>
      </c>
      <c r="C4" s="5">
        <v>2022</v>
      </c>
      <c r="D4" s="6">
        <v>0.105</v>
      </c>
      <c r="E4" s="7">
        <v>38</v>
      </c>
      <c r="F4" s="8">
        <v>1</v>
      </c>
      <c r="G4" s="8">
        <v>0.1</v>
      </c>
      <c r="H4" s="8">
        <v>3.5000000000000003E-2</v>
      </c>
      <c r="I4" s="9">
        <v>0</v>
      </c>
      <c r="J4" s="8">
        <v>0</v>
      </c>
      <c r="K4" s="8">
        <v>4.5999999999999999E-2</v>
      </c>
      <c r="L4" s="10">
        <v>0</v>
      </c>
      <c r="M4" s="9">
        <v>4</v>
      </c>
      <c r="N4" s="11">
        <v>0.17499999999999999</v>
      </c>
      <c r="O4" s="9">
        <v>1.5</v>
      </c>
      <c r="P4" s="23">
        <v>63701</v>
      </c>
      <c r="Q4" s="23">
        <f t="shared" si="0"/>
        <v>77580.5</v>
      </c>
      <c r="R4" s="23">
        <v>91460</v>
      </c>
      <c r="S4" s="23">
        <f t="shared" si="3"/>
        <v>162525.75138461537</v>
      </c>
      <c r="T4" s="23">
        <f t="shared" si="1"/>
        <v>197937.69415384615</v>
      </c>
      <c r="U4" s="23">
        <f t="shared" si="1"/>
        <v>233349.63692307693</v>
      </c>
      <c r="V4" s="23">
        <f t="shared" si="2"/>
        <v>82.249874182497663</v>
      </c>
      <c r="W4" s="23">
        <f t="shared" si="2"/>
        <v>100.17089785113671</v>
      </c>
      <c r="X4" s="23">
        <f t="shared" si="2"/>
        <v>118.09192151977578</v>
      </c>
    </row>
    <row r="5" spans="1:24" x14ac:dyDescent="0.2">
      <c r="A5" s="4" t="s">
        <v>32</v>
      </c>
      <c r="B5" s="19" t="s">
        <v>50</v>
      </c>
      <c r="C5" s="5">
        <v>2022</v>
      </c>
      <c r="D5" s="6">
        <v>0.105</v>
      </c>
      <c r="E5" s="7">
        <v>38</v>
      </c>
      <c r="F5" s="8">
        <v>1</v>
      </c>
      <c r="G5" s="8">
        <v>0.1</v>
      </c>
      <c r="H5" s="8">
        <v>3.5000000000000003E-2</v>
      </c>
      <c r="I5" s="9">
        <v>0</v>
      </c>
      <c r="J5" s="8">
        <v>0</v>
      </c>
      <c r="K5" s="8">
        <v>4.5999999999999999E-2</v>
      </c>
      <c r="L5" s="10">
        <v>0</v>
      </c>
      <c r="M5" s="9">
        <v>4</v>
      </c>
      <c r="N5" s="11">
        <v>0.17499999999999999</v>
      </c>
      <c r="O5" s="9">
        <v>1.5</v>
      </c>
      <c r="P5" s="23">
        <v>79624</v>
      </c>
      <c r="Q5" s="23">
        <f t="shared" si="0"/>
        <v>101861</v>
      </c>
      <c r="R5" s="23">
        <v>124098</v>
      </c>
      <c r="S5" s="23">
        <f t="shared" si="3"/>
        <v>203151.44861538461</v>
      </c>
      <c r="T5" s="23">
        <f t="shared" si="1"/>
        <v>259886.58830769232</v>
      </c>
      <c r="U5" s="23">
        <f t="shared" si="1"/>
        <v>316621.728</v>
      </c>
      <c r="V5" s="23">
        <f t="shared" si="2"/>
        <v>102.80943755839301</v>
      </c>
      <c r="W5" s="23">
        <f t="shared" si="2"/>
        <v>131.5215527872937</v>
      </c>
      <c r="X5" s="23">
        <f t="shared" si="2"/>
        <v>160.23366801619434</v>
      </c>
    </row>
    <row r="6" spans="1:24" x14ac:dyDescent="0.2">
      <c r="A6" s="4" t="s">
        <v>32</v>
      </c>
      <c r="B6" s="19" t="s">
        <v>55</v>
      </c>
      <c r="C6" s="5">
        <v>2022</v>
      </c>
      <c r="D6" s="6">
        <v>0.105</v>
      </c>
      <c r="E6" s="7">
        <v>38</v>
      </c>
      <c r="F6" s="8">
        <v>1</v>
      </c>
      <c r="G6" s="8">
        <v>0</v>
      </c>
      <c r="H6" s="8">
        <v>3.5000000000000003E-2</v>
      </c>
      <c r="I6" s="9">
        <v>0</v>
      </c>
      <c r="J6" s="8">
        <v>0</v>
      </c>
      <c r="K6" s="8">
        <v>4.5999999999999999E-2</v>
      </c>
      <c r="L6" s="10">
        <v>29000.16</v>
      </c>
      <c r="M6" s="9">
        <v>4</v>
      </c>
      <c r="N6" s="11">
        <v>0.17499999999999999</v>
      </c>
      <c r="O6" s="9">
        <v>1.5</v>
      </c>
      <c r="P6" s="23">
        <f>4797.5*52</f>
        <v>249470</v>
      </c>
      <c r="Q6" s="23">
        <f t="shared" si="0"/>
        <v>296247.90000000002</v>
      </c>
      <c r="R6" s="23">
        <f>6596.65*52</f>
        <v>343025.8</v>
      </c>
      <c r="S6" s="23">
        <f t="shared" si="3"/>
        <v>640547.07999999996</v>
      </c>
      <c r="T6" s="23">
        <f t="shared" si="1"/>
        <v>755217.70440000005</v>
      </c>
      <c r="U6" s="23">
        <f t="shared" si="1"/>
        <v>869888.3287999999</v>
      </c>
      <c r="V6" s="23">
        <f t="shared" si="2"/>
        <v>324.16350202429146</v>
      </c>
      <c r="W6" s="23">
        <f t="shared" si="2"/>
        <v>382.19519453441296</v>
      </c>
      <c r="X6" s="23">
        <f t="shared" si="2"/>
        <v>440.22688704453435</v>
      </c>
    </row>
    <row r="7" spans="1:24" x14ac:dyDescent="0.2">
      <c r="A7" s="4" t="s">
        <v>62</v>
      </c>
      <c r="B7" s="19" t="s">
        <v>33</v>
      </c>
      <c r="C7" s="5">
        <v>2022</v>
      </c>
      <c r="D7" s="6">
        <v>0.105</v>
      </c>
      <c r="E7" s="7">
        <v>37.5</v>
      </c>
      <c r="F7" s="8">
        <v>1</v>
      </c>
      <c r="G7" s="8">
        <v>0.1</v>
      </c>
      <c r="H7" s="8">
        <v>3.5000000000000003E-2</v>
      </c>
      <c r="I7" s="9">
        <v>0</v>
      </c>
      <c r="J7" s="8">
        <v>0</v>
      </c>
      <c r="K7" s="8">
        <v>4.5999999999999999E-2</v>
      </c>
      <c r="L7" s="10">
        <v>0</v>
      </c>
      <c r="M7" s="9">
        <v>4</v>
      </c>
      <c r="N7" s="11">
        <v>0</v>
      </c>
      <c r="O7" s="9">
        <v>1.5</v>
      </c>
      <c r="P7" s="23">
        <v>54364</v>
      </c>
      <c r="Q7" s="23">
        <f>P7+((R7-P7)/2)</f>
        <v>77673</v>
      </c>
      <c r="R7" s="23">
        <v>100982</v>
      </c>
      <c r="S7" s="23">
        <f t="shared" ref="S7:U11" si="4">(P7+(P7*$D7)+(P7*$G7)+(P7*$H7)+(P7*$I7)+(P7*$J7)+(P7*$K7)+($L7)+(P7*((52+$M7)/52))*(1+$N7))*1/$F7</f>
        <v>128457.95015384615</v>
      </c>
      <c r="T7" s="23">
        <f t="shared" si="4"/>
        <v>183535.32415384613</v>
      </c>
      <c r="U7" s="23">
        <f t="shared" si="4"/>
        <v>238612.69815384614</v>
      </c>
      <c r="V7" s="23">
        <f>S7/52/$E7</f>
        <v>65.875871873767252</v>
      </c>
      <c r="W7" s="23">
        <f t="shared" ref="W7:X11" si="5">T7/52/$E7</f>
        <v>94.12067905325442</v>
      </c>
      <c r="X7" s="23">
        <f t="shared" si="5"/>
        <v>122.3654862327416</v>
      </c>
    </row>
    <row r="8" spans="1:24" x14ac:dyDescent="0.2">
      <c r="A8" s="4" t="s">
        <v>62</v>
      </c>
      <c r="B8" s="19" t="s">
        <v>40</v>
      </c>
      <c r="C8" s="5">
        <v>2022</v>
      </c>
      <c r="D8" s="6">
        <v>0.105</v>
      </c>
      <c r="E8" s="7">
        <v>37.5</v>
      </c>
      <c r="F8" s="8">
        <v>1</v>
      </c>
      <c r="G8" s="8">
        <v>0.1</v>
      </c>
      <c r="H8" s="8">
        <v>3.5000000000000003E-2</v>
      </c>
      <c r="I8" s="9">
        <v>0</v>
      </c>
      <c r="J8" s="8">
        <v>0</v>
      </c>
      <c r="K8" s="8">
        <v>4.5999999999999999E-2</v>
      </c>
      <c r="L8" s="10">
        <v>0</v>
      </c>
      <c r="M8" s="9">
        <v>5</v>
      </c>
      <c r="N8" s="11">
        <v>0</v>
      </c>
      <c r="O8" s="9">
        <v>1.5</v>
      </c>
      <c r="P8" s="23">
        <v>66386</v>
      </c>
      <c r="Q8" s="23">
        <f>P8+((R8-P8)/2)</f>
        <v>104238</v>
      </c>
      <c r="R8" s="23">
        <v>142090</v>
      </c>
      <c r="S8" s="23">
        <f t="shared" si="4"/>
        <v>158141.66523076923</v>
      </c>
      <c r="T8" s="23">
        <f t="shared" si="4"/>
        <v>248310.95261538462</v>
      </c>
      <c r="U8" s="23">
        <f t="shared" si="4"/>
        <v>338480.24000000005</v>
      </c>
      <c r="V8" s="23">
        <f t="shared" ref="V8:X21" si="6">S8/52/$E8</f>
        <v>81.09828986193294</v>
      </c>
      <c r="W8" s="23">
        <f t="shared" si="5"/>
        <v>127.33895005917159</v>
      </c>
      <c r="X8" s="23">
        <f t="shared" si="5"/>
        <v>173.57961025641029</v>
      </c>
    </row>
    <row r="9" spans="1:24" x14ac:dyDescent="0.2">
      <c r="A9" s="4" t="s">
        <v>62</v>
      </c>
      <c r="B9" s="19" t="s">
        <v>47</v>
      </c>
      <c r="C9" s="5">
        <v>2022</v>
      </c>
      <c r="D9" s="6">
        <v>0.105</v>
      </c>
      <c r="E9" s="7">
        <v>37.5</v>
      </c>
      <c r="F9" s="8">
        <v>1</v>
      </c>
      <c r="G9" s="8">
        <v>0.1</v>
      </c>
      <c r="H9" s="8">
        <v>3.5000000000000003E-2</v>
      </c>
      <c r="I9" s="9">
        <v>0</v>
      </c>
      <c r="J9" s="8">
        <v>0</v>
      </c>
      <c r="K9" s="8">
        <v>4.5999999999999999E-2</v>
      </c>
      <c r="L9" s="10">
        <v>0</v>
      </c>
      <c r="M9" s="9">
        <v>4</v>
      </c>
      <c r="N9" s="11">
        <v>0</v>
      </c>
      <c r="O9" s="9">
        <v>1.5</v>
      </c>
      <c r="P9" s="23">
        <v>56916</v>
      </c>
      <c r="Q9" s="23">
        <f>P9+((R9-P9)/2)</f>
        <v>63374</v>
      </c>
      <c r="R9" s="23">
        <v>69832</v>
      </c>
      <c r="S9" s="23">
        <f t="shared" si="4"/>
        <v>134488.12984615384</v>
      </c>
      <c r="T9" s="23">
        <f t="shared" si="4"/>
        <v>149747.88707692307</v>
      </c>
      <c r="U9" s="23">
        <f t="shared" si="4"/>
        <v>165007.6443076923</v>
      </c>
      <c r="V9" s="23">
        <f t="shared" si="6"/>
        <v>68.968271715976329</v>
      </c>
      <c r="W9" s="23">
        <f t="shared" si="5"/>
        <v>76.793788244575936</v>
      </c>
      <c r="X9" s="23">
        <f t="shared" si="5"/>
        <v>84.619304773175543</v>
      </c>
    </row>
    <row r="10" spans="1:24" x14ac:dyDescent="0.2">
      <c r="A10" s="4" t="s">
        <v>62</v>
      </c>
      <c r="B10" s="19" t="s">
        <v>50</v>
      </c>
      <c r="C10" s="5">
        <v>2022</v>
      </c>
      <c r="D10" s="6">
        <v>0.105</v>
      </c>
      <c r="E10" s="7">
        <v>37.5</v>
      </c>
      <c r="F10" s="8">
        <v>1</v>
      </c>
      <c r="G10" s="8">
        <v>0.1</v>
      </c>
      <c r="H10" s="8">
        <v>3.5000000000000003E-2</v>
      </c>
      <c r="I10" s="9">
        <v>0</v>
      </c>
      <c r="J10" s="8">
        <v>0</v>
      </c>
      <c r="K10" s="8">
        <v>4.5999999999999999E-2</v>
      </c>
      <c r="L10" s="10">
        <v>0</v>
      </c>
      <c r="M10" s="9">
        <v>4</v>
      </c>
      <c r="N10" s="11">
        <v>0</v>
      </c>
      <c r="O10" s="9">
        <v>1.5</v>
      </c>
      <c r="P10" s="23">
        <v>66386</v>
      </c>
      <c r="Q10" s="23">
        <f t="shared" ref="Q10:Q11" si="7">P10+((R10-P10)/2)</f>
        <v>91587.5</v>
      </c>
      <c r="R10" s="23">
        <v>116789</v>
      </c>
      <c r="S10" s="23">
        <f t="shared" si="4"/>
        <v>156865.01138461538</v>
      </c>
      <c r="T10" s="23">
        <f t="shared" si="4"/>
        <v>216414.21730769228</v>
      </c>
      <c r="U10" s="23">
        <f t="shared" si="4"/>
        <v>275963.42323076923</v>
      </c>
      <c r="V10" s="23">
        <f t="shared" si="6"/>
        <v>80.443595581854055</v>
      </c>
      <c r="W10" s="23">
        <f t="shared" si="5"/>
        <v>110.98164990138066</v>
      </c>
      <c r="X10" s="23">
        <f t="shared" si="5"/>
        <v>141.5197042209073</v>
      </c>
    </row>
    <row r="11" spans="1:24" x14ac:dyDescent="0.2">
      <c r="A11" s="4" t="s">
        <v>62</v>
      </c>
      <c r="B11" s="19" t="s">
        <v>55</v>
      </c>
      <c r="C11" s="5">
        <v>2022</v>
      </c>
      <c r="D11" s="6">
        <v>0.105</v>
      </c>
      <c r="E11" s="7">
        <v>38</v>
      </c>
      <c r="F11" s="8">
        <v>1</v>
      </c>
      <c r="G11" s="8">
        <v>0</v>
      </c>
      <c r="H11" s="8">
        <v>3.5000000000000003E-2</v>
      </c>
      <c r="I11" s="9">
        <v>0</v>
      </c>
      <c r="J11" s="8">
        <v>0.6</v>
      </c>
      <c r="K11" s="8">
        <v>4.5999999999999999E-2</v>
      </c>
      <c r="L11" s="10">
        <v>26000</v>
      </c>
      <c r="M11" s="9">
        <v>5</v>
      </c>
      <c r="N11" s="11">
        <v>0.17499999999999999</v>
      </c>
      <c r="O11" s="9">
        <v>1.5</v>
      </c>
      <c r="P11" s="23">
        <v>221622</v>
      </c>
      <c r="Q11" s="23">
        <f t="shared" si="7"/>
        <v>256820.5</v>
      </c>
      <c r="R11" s="23">
        <v>292019</v>
      </c>
      <c r="S11" s="23">
        <f t="shared" si="4"/>
        <v>707261.76603846159</v>
      </c>
      <c r="T11" s="23">
        <f t="shared" si="4"/>
        <v>815461.27814423083</v>
      </c>
      <c r="U11" s="23">
        <f t="shared" si="4"/>
        <v>923660.79024999996</v>
      </c>
      <c r="V11" s="23">
        <f t="shared" si="6"/>
        <v>357.92599495873566</v>
      </c>
      <c r="W11" s="23">
        <f t="shared" si="5"/>
        <v>412.68283306894273</v>
      </c>
      <c r="X11" s="23">
        <f t="shared" si="5"/>
        <v>467.4396711791498</v>
      </c>
    </row>
    <row r="12" spans="1:24" ht="15" customHeight="1" x14ac:dyDescent="0.2">
      <c r="A12" s="4" t="s">
        <v>74</v>
      </c>
      <c r="B12" s="19" t="s">
        <v>33</v>
      </c>
      <c r="C12" s="5">
        <v>2022</v>
      </c>
      <c r="D12" s="6">
        <v>0.105</v>
      </c>
      <c r="E12" s="7">
        <v>40</v>
      </c>
      <c r="F12" s="8">
        <v>1</v>
      </c>
      <c r="G12" s="8">
        <v>0.1</v>
      </c>
      <c r="H12" s="8">
        <v>3.5000000000000003E-2</v>
      </c>
      <c r="I12" s="9">
        <v>0</v>
      </c>
      <c r="J12" s="8">
        <v>0</v>
      </c>
      <c r="K12" s="8">
        <v>4.5999999999999999E-2</v>
      </c>
      <c r="L12" s="10">
        <v>0</v>
      </c>
      <c r="M12" s="9">
        <v>4</v>
      </c>
      <c r="N12" s="11">
        <v>0</v>
      </c>
      <c r="O12" s="9">
        <v>1.5</v>
      </c>
      <c r="P12" s="25">
        <f>1154.19*52</f>
        <v>60017.880000000005</v>
      </c>
      <c r="Q12" s="23">
        <f t="shared" ref="Q12:Q26" si="8">P12+((R12-P12)/2)</f>
        <v>77637.56</v>
      </c>
      <c r="R12" s="23">
        <f>1831.87*52</f>
        <v>95257.239999999991</v>
      </c>
      <c r="S12" s="23">
        <f t="shared" ref="S12:U16" si="9">(P12+(P12*$D12)+(P12*$G12)+(P12*$H12)+(P12*$I12)+(P12*$J12)+(P12*$K12)+($L12)+(P12*((52+$M12)/52))*(1+$N12))*1/$F12</f>
        <v>141817.63368</v>
      </c>
      <c r="T12" s="23">
        <f t="shared" si="9"/>
        <v>183451.58215999999</v>
      </c>
      <c r="U12" s="23">
        <f t="shared" si="9"/>
        <v>225085.53063999998</v>
      </c>
      <c r="V12" s="23">
        <f t="shared" si="6"/>
        <v>68.181554653846149</v>
      </c>
      <c r="W12" s="23">
        <f t="shared" si="6"/>
        <v>88.197876038461544</v>
      </c>
      <c r="X12" s="23">
        <f t="shared" si="6"/>
        <v>108.21419742307691</v>
      </c>
    </row>
    <row r="13" spans="1:24" x14ac:dyDescent="0.2">
      <c r="A13" s="4" t="s">
        <v>74</v>
      </c>
      <c r="B13" s="19" t="s">
        <v>40</v>
      </c>
      <c r="C13" s="5">
        <v>2022</v>
      </c>
      <c r="D13" s="6">
        <v>0.105</v>
      </c>
      <c r="E13" s="7">
        <v>38</v>
      </c>
      <c r="F13" s="8">
        <v>1</v>
      </c>
      <c r="G13" s="8">
        <v>0.1</v>
      </c>
      <c r="H13" s="8">
        <v>3.5000000000000003E-2</v>
      </c>
      <c r="I13" s="9">
        <v>0</v>
      </c>
      <c r="J13" s="8">
        <v>0</v>
      </c>
      <c r="K13" s="8">
        <v>4.5999999999999999E-2</v>
      </c>
      <c r="L13" s="10">
        <v>0</v>
      </c>
      <c r="M13" s="9">
        <v>4</v>
      </c>
      <c r="N13" s="11">
        <v>0.17499999999999999</v>
      </c>
      <c r="O13" s="9">
        <v>1.5</v>
      </c>
      <c r="P13" s="23">
        <f>1292.77*52</f>
        <v>67224.039999999994</v>
      </c>
      <c r="Q13" s="23">
        <f t="shared" si="8"/>
        <v>102899.68</v>
      </c>
      <c r="R13" s="23">
        <f>2664.91*52</f>
        <v>138575.32</v>
      </c>
      <c r="S13" s="23">
        <f t="shared" si="9"/>
        <v>171514.38144</v>
      </c>
      <c r="T13" s="23">
        <f t="shared" si="9"/>
        <v>262536.66047999996</v>
      </c>
      <c r="U13" s="23">
        <f t="shared" si="9"/>
        <v>353558.93952000001</v>
      </c>
      <c r="V13" s="23">
        <f t="shared" si="6"/>
        <v>86.798776032388673</v>
      </c>
      <c r="W13" s="23">
        <f t="shared" si="6"/>
        <v>132.8626824291498</v>
      </c>
      <c r="X13" s="23">
        <f t="shared" si="6"/>
        <v>178.92658882591095</v>
      </c>
    </row>
    <row r="14" spans="1:24" x14ac:dyDescent="0.2">
      <c r="A14" s="4" t="s">
        <v>74</v>
      </c>
      <c r="B14" s="19" t="s">
        <v>47</v>
      </c>
      <c r="C14" s="5">
        <v>2022</v>
      </c>
      <c r="D14" s="6">
        <v>0.105</v>
      </c>
      <c r="E14" s="7">
        <v>40</v>
      </c>
      <c r="F14" s="8">
        <v>1</v>
      </c>
      <c r="G14" s="8">
        <v>0.1</v>
      </c>
      <c r="H14" s="8">
        <v>3.5000000000000003E-2</v>
      </c>
      <c r="I14" s="9">
        <v>0</v>
      </c>
      <c r="J14" s="8">
        <v>0</v>
      </c>
      <c r="K14" s="8">
        <v>4.5999999999999999E-2</v>
      </c>
      <c r="L14" s="10">
        <v>0</v>
      </c>
      <c r="M14" s="9">
        <v>4</v>
      </c>
      <c r="N14" s="11">
        <v>0</v>
      </c>
      <c r="O14" s="9">
        <v>1.5</v>
      </c>
      <c r="P14" s="23">
        <f>926.56*52</f>
        <v>48181.119999999995</v>
      </c>
      <c r="Q14" s="23">
        <f t="shared" si="8"/>
        <v>57943.079999999994</v>
      </c>
      <c r="R14" s="23">
        <f>1302.02*52</f>
        <v>67705.039999999994</v>
      </c>
      <c r="S14" s="23">
        <f t="shared" si="9"/>
        <v>113848.28031999999</v>
      </c>
      <c r="T14" s="23">
        <f t="shared" si="9"/>
        <v>136915.04087999999</v>
      </c>
      <c r="U14" s="23">
        <f t="shared" si="9"/>
        <v>159981.80144000001</v>
      </c>
      <c r="V14" s="23">
        <f t="shared" si="6"/>
        <v>54.73475015384615</v>
      </c>
      <c r="W14" s="23">
        <f t="shared" si="6"/>
        <v>65.824538884615379</v>
      </c>
      <c r="X14" s="23">
        <f t="shared" si="6"/>
        <v>76.914327615384622</v>
      </c>
    </row>
    <row r="15" spans="1:24" x14ac:dyDescent="0.2">
      <c r="A15" s="4" t="s">
        <v>74</v>
      </c>
      <c r="B15" s="19" t="s">
        <v>50</v>
      </c>
      <c r="C15" s="5">
        <v>2022</v>
      </c>
      <c r="D15" s="6">
        <v>0.105</v>
      </c>
      <c r="E15" s="7">
        <v>40</v>
      </c>
      <c r="F15" s="8">
        <v>1</v>
      </c>
      <c r="G15" s="8">
        <v>0.1</v>
      </c>
      <c r="H15" s="8">
        <v>3.5000000000000003E-2</v>
      </c>
      <c r="I15" s="9">
        <v>0</v>
      </c>
      <c r="J15" s="8">
        <v>0</v>
      </c>
      <c r="K15" s="8">
        <v>4.5999999999999999E-2</v>
      </c>
      <c r="L15" s="10">
        <v>0</v>
      </c>
      <c r="M15" s="9">
        <v>4</v>
      </c>
      <c r="N15" s="11">
        <v>0.17499999999999999</v>
      </c>
      <c r="O15" s="9">
        <v>1.5</v>
      </c>
      <c r="P15" s="23">
        <v>66106</v>
      </c>
      <c r="Q15" s="23">
        <f t="shared" si="8"/>
        <v>90434.5</v>
      </c>
      <c r="R15" s="23">
        <v>114763</v>
      </c>
      <c r="S15" s="23">
        <f t="shared" si="9"/>
        <v>168661.83138461539</v>
      </c>
      <c r="T15" s="23">
        <f t="shared" si="9"/>
        <v>230733.19199999998</v>
      </c>
      <c r="U15" s="23">
        <f t="shared" si="9"/>
        <v>292804.55261538463</v>
      </c>
      <c r="V15" s="23">
        <f t="shared" si="6"/>
        <v>81.087418934911256</v>
      </c>
      <c r="W15" s="23">
        <f t="shared" si="6"/>
        <v>110.92941923076921</v>
      </c>
      <c r="X15" s="23">
        <f t="shared" si="6"/>
        <v>140.77141952662723</v>
      </c>
    </row>
    <row r="16" spans="1:24" x14ac:dyDescent="0.2">
      <c r="A16" s="4" t="s">
        <v>74</v>
      </c>
      <c r="B16" s="19" t="s">
        <v>55</v>
      </c>
      <c r="C16" s="5">
        <v>2022</v>
      </c>
      <c r="D16" s="6">
        <v>0.105</v>
      </c>
      <c r="E16" s="7">
        <v>40</v>
      </c>
      <c r="F16" s="8">
        <v>1</v>
      </c>
      <c r="G16" s="8">
        <v>0</v>
      </c>
      <c r="H16" s="8">
        <v>3.5000000000000003E-2</v>
      </c>
      <c r="I16" s="27">
        <v>0.2</v>
      </c>
      <c r="J16" s="8">
        <v>0.17399999999999999</v>
      </c>
      <c r="K16" s="8">
        <v>4.5999999999999999E-2</v>
      </c>
      <c r="L16" s="10">
        <v>38000</v>
      </c>
      <c r="M16" s="9">
        <v>5</v>
      </c>
      <c r="N16" s="11">
        <v>0.17499999999999999</v>
      </c>
      <c r="O16" s="9">
        <v>1.5</v>
      </c>
      <c r="P16" s="23">
        <v>179078</v>
      </c>
      <c r="Q16" s="23">
        <f t="shared" si="8"/>
        <v>210509</v>
      </c>
      <c r="R16" s="23">
        <v>241940</v>
      </c>
      <c r="S16" s="23">
        <f>(P16+(P16*$D16)+(P16*$G16)+(P16*$H16)+(P16*$I16)+(P16*$J16)+(P16*$K16)+($L16)+(P16*((52+$M16)/52))*(1+$N16))*1/$F16</f>
        <v>548010.7001923077</v>
      </c>
      <c r="T16" s="23">
        <f t="shared" si="9"/>
        <v>637525.58374999999</v>
      </c>
      <c r="U16" s="23">
        <f t="shared" si="9"/>
        <v>727040.46730769239</v>
      </c>
      <c r="V16" s="23">
        <f t="shared" si="6"/>
        <v>263.46668278476329</v>
      </c>
      <c r="W16" s="23">
        <f t="shared" si="6"/>
        <v>306.50268449519228</v>
      </c>
      <c r="X16" s="23">
        <f t="shared" si="6"/>
        <v>349.53868620562133</v>
      </c>
    </row>
    <row r="17" spans="1:24" x14ac:dyDescent="0.2">
      <c r="A17" s="4" t="s">
        <v>82</v>
      </c>
      <c r="B17" s="19" t="s">
        <v>33</v>
      </c>
      <c r="C17" s="5">
        <v>2022</v>
      </c>
      <c r="D17" s="6">
        <v>0.1275</v>
      </c>
      <c r="E17" s="7">
        <v>36.25</v>
      </c>
      <c r="F17" s="8">
        <v>1</v>
      </c>
      <c r="G17" s="8">
        <v>0.1</v>
      </c>
      <c r="H17" s="8">
        <v>3.5000000000000003E-2</v>
      </c>
      <c r="I17" s="9">
        <v>0</v>
      </c>
      <c r="J17" s="8">
        <v>0</v>
      </c>
      <c r="K17" s="8">
        <v>4.5999999999999999E-2</v>
      </c>
      <c r="L17" s="10">
        <v>1826</v>
      </c>
      <c r="M17" s="9">
        <v>4</v>
      </c>
      <c r="N17" s="11">
        <v>0</v>
      </c>
      <c r="O17" s="9">
        <v>1.5</v>
      </c>
      <c r="P17" s="23">
        <v>48552</v>
      </c>
      <c r="Q17" s="23">
        <f t="shared" si="8"/>
        <v>70196</v>
      </c>
      <c r="R17" s="23">
        <v>91840</v>
      </c>
      <c r="S17" s="23">
        <f t="shared" ref="S17:U21" si="10">(P17+(P17*$D17)+(P17*$G17)+(P17*$H17)+(P17*$I17)+(P17*$J17)+(P17*$K17)+($L17)+(P17*((52+$M17)/52))*(1+$N17))*1/$F17</f>
        <v>117643.06123076922</v>
      </c>
      <c r="T17" s="23">
        <f t="shared" si="10"/>
        <v>169273.15830769233</v>
      </c>
      <c r="U17" s="23">
        <f t="shared" si="10"/>
        <v>220903.25538461539</v>
      </c>
      <c r="V17" s="23">
        <f t="shared" si="6"/>
        <v>62.410112058763517</v>
      </c>
      <c r="W17" s="23">
        <f t="shared" si="6"/>
        <v>89.800083982860656</v>
      </c>
      <c r="X17" s="23">
        <f t="shared" si="6"/>
        <v>117.19005590695778</v>
      </c>
    </row>
    <row r="18" spans="1:24" x14ac:dyDescent="0.2">
      <c r="A18" s="4" t="s">
        <v>82</v>
      </c>
      <c r="B18" s="19" t="s">
        <v>40</v>
      </c>
      <c r="C18" s="5">
        <v>2022</v>
      </c>
      <c r="D18" s="6">
        <v>0.1275</v>
      </c>
      <c r="E18" s="7">
        <v>36.25</v>
      </c>
      <c r="F18" s="8">
        <v>1</v>
      </c>
      <c r="G18" s="8">
        <v>0.1</v>
      </c>
      <c r="H18" s="8">
        <v>3.5000000000000003E-2</v>
      </c>
      <c r="I18" s="9">
        <v>0</v>
      </c>
      <c r="J18" s="8">
        <v>0</v>
      </c>
      <c r="K18" s="8">
        <v>4.5999999999999999E-2</v>
      </c>
      <c r="L18" s="10">
        <v>1826</v>
      </c>
      <c r="M18" s="9">
        <v>4</v>
      </c>
      <c r="N18" s="11">
        <v>0</v>
      </c>
      <c r="O18" s="9">
        <v>1.5</v>
      </c>
      <c r="P18" s="23">
        <v>69031</v>
      </c>
      <c r="Q18" s="23">
        <f t="shared" si="8"/>
        <v>104303.5</v>
      </c>
      <c r="R18" s="23">
        <v>139576</v>
      </c>
      <c r="S18" s="23">
        <f t="shared" si="10"/>
        <v>166494.14042307693</v>
      </c>
      <c r="T18" s="23">
        <f t="shared" si="10"/>
        <v>250633.97590384615</v>
      </c>
      <c r="U18" s="23">
        <f t="shared" si="10"/>
        <v>334773.81138461537</v>
      </c>
      <c r="V18" s="23">
        <f t="shared" si="6"/>
        <v>88.325803937971841</v>
      </c>
      <c r="W18" s="23">
        <f t="shared" si="6"/>
        <v>132.96232143440113</v>
      </c>
      <c r="X18" s="23">
        <f t="shared" si="6"/>
        <v>177.59883893083045</v>
      </c>
    </row>
    <row r="19" spans="1:24" x14ac:dyDescent="0.2">
      <c r="A19" s="4" t="s">
        <v>82</v>
      </c>
      <c r="B19" s="19" t="s">
        <v>47</v>
      </c>
      <c r="C19" s="5">
        <v>2022</v>
      </c>
      <c r="D19" s="6">
        <v>0.1275</v>
      </c>
      <c r="E19" s="7">
        <v>36.25</v>
      </c>
      <c r="F19" s="8">
        <v>1</v>
      </c>
      <c r="G19" s="8">
        <v>0.1</v>
      </c>
      <c r="H19" s="8">
        <v>3.5000000000000003E-2</v>
      </c>
      <c r="I19" s="9">
        <v>0</v>
      </c>
      <c r="J19" s="8">
        <v>0</v>
      </c>
      <c r="K19" s="8">
        <v>4.5999999999999999E-2</v>
      </c>
      <c r="L19" s="10">
        <v>1826</v>
      </c>
      <c r="M19" s="9">
        <v>4</v>
      </c>
      <c r="N19" s="11">
        <v>0</v>
      </c>
      <c r="O19" s="9">
        <v>1.5</v>
      </c>
      <c r="P19" s="23">
        <v>47704</v>
      </c>
      <c r="Q19" s="23">
        <f t="shared" si="8"/>
        <v>63802.5</v>
      </c>
      <c r="R19" s="23">
        <v>79901</v>
      </c>
      <c r="S19" s="23">
        <f t="shared" si="10"/>
        <v>115620.22246153846</v>
      </c>
      <c r="T19" s="23">
        <f t="shared" si="10"/>
        <v>154021.9558653846</v>
      </c>
      <c r="U19" s="23">
        <f t="shared" si="10"/>
        <v>192423.68926923076</v>
      </c>
      <c r="V19" s="23">
        <f t="shared" si="6"/>
        <v>61.336988043256483</v>
      </c>
      <c r="W19" s="23">
        <f t="shared" si="6"/>
        <v>81.709260406039576</v>
      </c>
      <c r="X19" s="23">
        <f t="shared" si="6"/>
        <v>102.08153276882268</v>
      </c>
    </row>
    <row r="20" spans="1:24" x14ac:dyDescent="0.2">
      <c r="A20" s="4" t="s">
        <v>82</v>
      </c>
      <c r="B20" s="19" t="s">
        <v>50</v>
      </c>
      <c r="C20" s="5">
        <v>2022</v>
      </c>
      <c r="D20" s="6">
        <v>0.1275</v>
      </c>
      <c r="E20" s="7">
        <v>36.25</v>
      </c>
      <c r="F20" s="8">
        <v>1</v>
      </c>
      <c r="G20" s="8">
        <v>0.1</v>
      </c>
      <c r="H20" s="8">
        <v>3.5000000000000003E-2</v>
      </c>
      <c r="I20" s="9">
        <v>0</v>
      </c>
      <c r="J20" s="8">
        <v>0</v>
      </c>
      <c r="K20" s="8">
        <v>4.5999999999999999E-2</v>
      </c>
      <c r="L20" s="10">
        <v>1826</v>
      </c>
      <c r="M20" s="9">
        <v>4</v>
      </c>
      <c r="N20" s="11">
        <v>0</v>
      </c>
      <c r="O20" s="9">
        <v>1.5</v>
      </c>
      <c r="P20" s="23">
        <v>69031</v>
      </c>
      <c r="Q20" s="23">
        <f t="shared" si="8"/>
        <v>104303.5</v>
      </c>
      <c r="R20" s="23">
        <v>139576</v>
      </c>
      <c r="S20" s="23">
        <f t="shared" si="10"/>
        <v>166494.14042307693</v>
      </c>
      <c r="T20" s="23">
        <f t="shared" si="10"/>
        <v>250633.97590384615</v>
      </c>
      <c r="U20" s="23">
        <f t="shared" si="10"/>
        <v>334773.81138461537</v>
      </c>
      <c r="V20" s="23">
        <f t="shared" si="6"/>
        <v>88.325803937971841</v>
      </c>
      <c r="W20" s="23">
        <f t="shared" si="6"/>
        <v>132.96232143440113</v>
      </c>
      <c r="X20" s="23">
        <f t="shared" si="6"/>
        <v>177.59883893083045</v>
      </c>
    </row>
    <row r="21" spans="1:24" x14ac:dyDescent="0.2">
      <c r="A21" s="4" t="s">
        <v>82</v>
      </c>
      <c r="B21" s="19" t="s">
        <v>55</v>
      </c>
      <c r="C21" s="5">
        <v>2022</v>
      </c>
      <c r="D21" s="6">
        <v>0.1275</v>
      </c>
      <c r="E21" s="7">
        <v>38</v>
      </c>
      <c r="F21" s="8">
        <v>1</v>
      </c>
      <c r="G21" s="8">
        <v>0</v>
      </c>
      <c r="H21" s="8">
        <v>3.5000000000000003E-2</v>
      </c>
      <c r="I21" s="9">
        <v>0</v>
      </c>
      <c r="J21" s="8">
        <v>0.5</v>
      </c>
      <c r="K21" s="8">
        <v>4.5999999999999999E-2</v>
      </c>
      <c r="L21" s="10">
        <v>21500</v>
      </c>
      <c r="M21" s="9">
        <v>4</v>
      </c>
      <c r="N21" s="11">
        <v>0</v>
      </c>
      <c r="O21" s="9">
        <v>1.5</v>
      </c>
      <c r="P21" s="23">
        <v>189406</v>
      </c>
      <c r="Q21" s="23">
        <f t="shared" si="8"/>
        <v>225748</v>
      </c>
      <c r="R21" s="23">
        <v>262090</v>
      </c>
      <c r="S21" s="23">
        <f t="shared" si="10"/>
        <v>549075.84330769232</v>
      </c>
      <c r="T21" s="23">
        <f t="shared" si="10"/>
        <v>650303.68876923074</v>
      </c>
      <c r="U21" s="23">
        <f t="shared" si="10"/>
        <v>751531.53423076915</v>
      </c>
      <c r="V21" s="23">
        <f t="shared" si="6"/>
        <v>277.87239033790098</v>
      </c>
      <c r="W21" s="23">
        <f t="shared" si="6"/>
        <v>329.10105706944876</v>
      </c>
      <c r="X21" s="23">
        <f t="shared" si="6"/>
        <v>380.32972380099653</v>
      </c>
    </row>
    <row r="22" spans="1:24" x14ac:dyDescent="0.2">
      <c r="A22" s="4" t="s">
        <v>88</v>
      </c>
      <c r="B22" s="19" t="s">
        <v>33</v>
      </c>
      <c r="C22" s="5">
        <v>2022</v>
      </c>
      <c r="D22" s="6">
        <v>0.105</v>
      </c>
      <c r="E22" s="7">
        <v>38</v>
      </c>
      <c r="F22" s="8">
        <v>1</v>
      </c>
      <c r="G22" s="8">
        <v>0.1</v>
      </c>
      <c r="H22" s="8">
        <v>3.5000000000000003E-2</v>
      </c>
      <c r="I22" s="9">
        <v>0</v>
      </c>
      <c r="J22" s="8">
        <v>0</v>
      </c>
      <c r="K22" s="8">
        <v>4.5999999999999999E-2</v>
      </c>
      <c r="L22" s="10">
        <v>0</v>
      </c>
      <c r="M22" s="9">
        <v>4</v>
      </c>
      <c r="N22" s="11">
        <v>0.2</v>
      </c>
      <c r="O22" s="9">
        <v>1.5</v>
      </c>
      <c r="P22" s="23">
        <v>57579</v>
      </c>
      <c r="Q22" s="23">
        <f t="shared" si="8"/>
        <v>71368</v>
      </c>
      <c r="R22" s="23">
        <v>85157</v>
      </c>
      <c r="S22" s="23">
        <f t="shared" ref="S22:U26" si="11">(P22+(P22*$D22)+(P22*$G22)+(P22*$H22)+(P22*$I22)+(P22*$J22)+(P22*$K22)+($L22)+(P22*((52+$M22)/52))*(1+$N22))*1/$F22</f>
        <v>148456.3786153846</v>
      </c>
      <c r="T22" s="23">
        <f t="shared" si="11"/>
        <v>184008.66338461539</v>
      </c>
      <c r="U22" s="23">
        <f t="shared" si="11"/>
        <v>219560.94815384614</v>
      </c>
      <c r="V22" s="23">
        <f t="shared" ref="V22:X26" si="12">S22/52/$E22</f>
        <v>75.129746262846453</v>
      </c>
      <c r="W22" s="23">
        <f t="shared" si="12"/>
        <v>93.121793210837751</v>
      </c>
      <c r="X22" s="23">
        <f t="shared" si="12"/>
        <v>111.11384015882902</v>
      </c>
    </row>
    <row r="23" spans="1:24" x14ac:dyDescent="0.2">
      <c r="A23" s="4" t="s">
        <v>88</v>
      </c>
      <c r="B23" s="19" t="s">
        <v>40</v>
      </c>
      <c r="C23" s="5">
        <v>2022</v>
      </c>
      <c r="D23" s="6">
        <v>0.105</v>
      </c>
      <c r="E23" s="7">
        <v>38</v>
      </c>
      <c r="F23" s="8">
        <v>1</v>
      </c>
      <c r="G23" s="8">
        <v>0.1</v>
      </c>
      <c r="H23" s="8">
        <v>3.5000000000000003E-2</v>
      </c>
      <c r="I23" s="9">
        <v>0</v>
      </c>
      <c r="J23" s="8">
        <v>0</v>
      </c>
      <c r="K23" s="8">
        <v>4.5999999999999999E-2</v>
      </c>
      <c r="L23" s="10">
        <v>0</v>
      </c>
      <c r="M23" s="9">
        <v>4</v>
      </c>
      <c r="N23" s="11">
        <v>0.2</v>
      </c>
      <c r="O23" s="9">
        <v>1.5</v>
      </c>
      <c r="P23" s="23">
        <v>77833</v>
      </c>
      <c r="Q23" s="23">
        <f t="shared" si="8"/>
        <v>109041</v>
      </c>
      <c r="R23" s="23">
        <v>140249</v>
      </c>
      <c r="S23" s="23">
        <f t="shared" si="11"/>
        <v>200677.42261538462</v>
      </c>
      <c r="T23" s="23">
        <f t="shared" si="11"/>
        <v>281141.24907692306</v>
      </c>
      <c r="U23" s="23">
        <f t="shared" si="11"/>
        <v>361605.07553846145</v>
      </c>
      <c r="V23" s="23">
        <f t="shared" si="12"/>
        <v>101.55740010900031</v>
      </c>
      <c r="W23" s="23">
        <f t="shared" si="12"/>
        <v>142.27796005917159</v>
      </c>
      <c r="X23" s="23">
        <f t="shared" si="12"/>
        <v>182.99852000934283</v>
      </c>
    </row>
    <row r="24" spans="1:24" x14ac:dyDescent="0.2">
      <c r="A24" s="4" t="s">
        <v>88</v>
      </c>
      <c r="B24" s="19" t="s">
        <v>47</v>
      </c>
      <c r="C24" s="5">
        <v>2022</v>
      </c>
      <c r="D24" s="6">
        <v>0.105</v>
      </c>
      <c r="E24" s="7">
        <v>38</v>
      </c>
      <c r="F24" s="8">
        <v>1</v>
      </c>
      <c r="G24" s="8">
        <v>0.1</v>
      </c>
      <c r="H24" s="8">
        <v>3.5000000000000003E-2</v>
      </c>
      <c r="I24" s="9">
        <v>0</v>
      </c>
      <c r="J24" s="8">
        <v>0</v>
      </c>
      <c r="K24" s="8">
        <v>4.5999999999999999E-2</v>
      </c>
      <c r="L24" s="10">
        <v>0</v>
      </c>
      <c r="M24" s="9">
        <v>4</v>
      </c>
      <c r="N24" s="11">
        <v>0.2</v>
      </c>
      <c r="O24" s="9">
        <v>1.5</v>
      </c>
      <c r="P24" s="23">
        <v>57579</v>
      </c>
      <c r="Q24" s="23">
        <f t="shared" si="8"/>
        <v>63314</v>
      </c>
      <c r="R24" s="23">
        <v>69049</v>
      </c>
      <c r="S24" s="23">
        <f>(P24+(P24*$D24)+(P24*$G24)+(P24*$H24)+(P24*$I24)+(P24*$J24)+(P24*$K24)+($L24)+(P24*((52+$M24)/52))*(1+$N24))*1/$F24</f>
        <v>148456.3786153846</v>
      </c>
      <c r="T24" s="23">
        <f t="shared" si="11"/>
        <v>163242.97323076922</v>
      </c>
      <c r="U24" s="23">
        <f>(R24+(R24*$D24)+(R24*$G24)+(R24*$H24)+(R24*$I24)+(R24*$J24)+(R24*$K24)+($L24)+(R24*((52+$M24)/52))*(1+$N24))*1/$F24</f>
        <v>178029.56784615383</v>
      </c>
      <c r="V24" s="23">
        <f t="shared" si="12"/>
        <v>75.129746262846453</v>
      </c>
      <c r="W24" s="23">
        <f t="shared" si="12"/>
        <v>82.612840703830571</v>
      </c>
      <c r="X24" s="23">
        <f t="shared" si="12"/>
        <v>90.095935144814689</v>
      </c>
    </row>
    <row r="25" spans="1:24" x14ac:dyDescent="0.2">
      <c r="A25" s="4" t="s">
        <v>88</v>
      </c>
      <c r="B25" s="19" t="s">
        <v>50</v>
      </c>
      <c r="C25" s="5">
        <v>2022</v>
      </c>
      <c r="D25" s="6">
        <v>0.105</v>
      </c>
      <c r="E25" s="7">
        <v>38</v>
      </c>
      <c r="F25" s="8">
        <v>1</v>
      </c>
      <c r="G25" s="8">
        <v>0.1</v>
      </c>
      <c r="H25" s="8">
        <v>3.5000000000000003E-2</v>
      </c>
      <c r="I25" s="9">
        <v>0</v>
      </c>
      <c r="J25" s="8">
        <v>0</v>
      </c>
      <c r="K25" s="8">
        <v>4.5999999999999999E-2</v>
      </c>
      <c r="L25" s="10">
        <v>0</v>
      </c>
      <c r="M25" s="9">
        <v>4</v>
      </c>
      <c r="N25" s="11">
        <v>0.2</v>
      </c>
      <c r="O25" s="9">
        <v>1.5</v>
      </c>
      <c r="P25" s="23">
        <v>79898</v>
      </c>
      <c r="Q25" s="23">
        <f t="shared" si="8"/>
        <v>86781</v>
      </c>
      <c r="R25" s="23">
        <v>93664</v>
      </c>
      <c r="S25" s="23">
        <f>(P25+(P25*$D25)+(P25*$G25)+(P25*$H25)+(P25*$I25)+(P25*$J25)+(P25*$K25)+($L25)+(P25*((52+$M25)/52))*(1+$N25))*1/$F25</f>
        <v>206001.628</v>
      </c>
      <c r="T25" s="23">
        <f t="shared" si="11"/>
        <v>223748.11984615386</v>
      </c>
      <c r="U25" s="23">
        <f>(R25+(R25*$D25)+(R25*$G25)+(R25*$H25)+(R25*$I25)+(R25*$J25)+(R25*$K25)+($L25)+(R25*((52+$M25)/52))*(1+$N25))*1/$F25</f>
        <v>241494.61169230769</v>
      </c>
      <c r="V25" s="23">
        <f t="shared" si="12"/>
        <v>104.25183603238865</v>
      </c>
      <c r="W25" s="23">
        <f t="shared" si="12"/>
        <v>113.23285417315478</v>
      </c>
      <c r="X25" s="23">
        <f t="shared" si="12"/>
        <v>122.2138723139209</v>
      </c>
    </row>
    <row r="26" spans="1:24" x14ac:dyDescent="0.2">
      <c r="A26" s="4" t="s">
        <v>88</v>
      </c>
      <c r="B26" s="19" t="s">
        <v>55</v>
      </c>
      <c r="C26" s="5">
        <v>2022</v>
      </c>
      <c r="D26" s="6">
        <v>0.105</v>
      </c>
      <c r="E26" s="7">
        <v>40</v>
      </c>
      <c r="F26" s="8">
        <v>1</v>
      </c>
      <c r="G26" s="8">
        <v>0</v>
      </c>
      <c r="H26" s="8">
        <v>3.5000000000000003E-2</v>
      </c>
      <c r="I26" s="9">
        <v>0</v>
      </c>
      <c r="J26" s="8">
        <v>0</v>
      </c>
      <c r="K26" s="8">
        <v>4.5999999999999999E-2</v>
      </c>
      <c r="L26" s="10">
        <v>28909</v>
      </c>
      <c r="M26" s="9">
        <f>160/40</f>
        <v>4</v>
      </c>
      <c r="N26" s="11">
        <v>0</v>
      </c>
      <c r="O26" s="9">
        <v>1.5</v>
      </c>
      <c r="P26" s="23">
        <v>297757</v>
      </c>
      <c r="Q26" s="23">
        <f t="shared" si="8"/>
        <v>342136</v>
      </c>
      <c r="R26" s="23">
        <v>386515</v>
      </c>
      <c r="S26" s="23">
        <f t="shared" si="11"/>
        <v>702710.18661538465</v>
      </c>
      <c r="T26" s="23">
        <f t="shared" si="11"/>
        <v>803136.44984615385</v>
      </c>
      <c r="U26" s="23">
        <f t="shared" si="11"/>
        <v>903562.71307692304</v>
      </c>
      <c r="V26" s="23">
        <f t="shared" si="12"/>
        <v>337.84143587278106</v>
      </c>
      <c r="W26" s="23">
        <f t="shared" si="12"/>
        <v>386.12329319526623</v>
      </c>
      <c r="X26" s="23">
        <f t="shared" si="12"/>
        <v>434.40515051775145</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9579-D2B5-8147-A368-7B68C36BA3A9}">
  <dimension ref="A1:B6"/>
  <sheetViews>
    <sheetView workbookViewId="0">
      <selection activeCell="B19" sqref="B19"/>
    </sheetView>
  </sheetViews>
  <sheetFormatPr baseColWidth="10" defaultColWidth="11" defaultRowHeight="16" x14ac:dyDescent="0.2"/>
  <cols>
    <col min="1" max="1" width="17.83203125" customWidth="1"/>
    <col min="2" max="2" width="53.83203125" customWidth="1"/>
  </cols>
  <sheetData>
    <row r="1" spans="1:2" x14ac:dyDescent="0.2">
      <c r="A1" t="s">
        <v>370</v>
      </c>
      <c r="B1" t="s">
        <v>371</v>
      </c>
    </row>
    <row r="2" spans="1:2" x14ac:dyDescent="0.2">
      <c r="A2" t="s">
        <v>372</v>
      </c>
      <c r="B2" t="s">
        <v>373</v>
      </c>
    </row>
    <row r="3" spans="1:2" x14ac:dyDescent="0.2">
      <c r="A3" t="s">
        <v>374</v>
      </c>
      <c r="B3" t="s">
        <v>375</v>
      </c>
    </row>
    <row r="4" spans="1:2" x14ac:dyDescent="0.2">
      <c r="A4" t="s">
        <v>376</v>
      </c>
      <c r="B4" t="s">
        <v>377</v>
      </c>
    </row>
    <row r="5" spans="1:2" x14ac:dyDescent="0.2">
      <c r="A5" t="s">
        <v>378</v>
      </c>
      <c r="B5" t="s">
        <v>379</v>
      </c>
    </row>
    <row r="6" spans="1:2" x14ac:dyDescent="0.2">
      <c r="A6" t="s">
        <v>380</v>
      </c>
      <c r="B6" t="s">
        <v>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Labour - Prices</vt:lpstr>
      <vt:lpstr>Labour - Prices (WM)</vt:lpstr>
      <vt:lpstr>Medicare Enrolments</vt:lpstr>
      <vt:lpstr>Weightings</vt:lpstr>
      <vt:lpstr>Components $ and %</vt:lpstr>
      <vt:lpstr>Labour - Prices (DSA)</vt:lpstr>
      <vt:lpstr>Labour - Prices (DSA, Values)</vt:lpstr>
      <vt:lpstr>Labour - Prices (DSA,Val,Long)</vt:lpstr>
      <vt:lpstr>Labour - Prices (DSA,Val,Lo (2)</vt:lpstr>
      <vt:lpstr>Labour - Prices (DSA, Pub)</vt:lpstr>
      <vt:lpstr>Labour - Pr (PSA,Val,Long,Tot)</vt:lpstr>
      <vt:lpstr>Labour - Pr (PSA,Val,Hr)</vt:lpstr>
      <vt:lpstr>Sum Cost</vt:lpstr>
      <vt:lpstr>Sum Cost Jur</vt:lpstr>
      <vt:lpstr>Sum Cost Comp</vt:lpstr>
      <vt:lpstr>Labour - BY ($)</vt:lpstr>
      <vt:lpstr>Labour - BY (%)</vt:lpstr>
      <vt:lpstr>Labour - Prices (Fixed header)</vt:lpstr>
      <vt:lpstr>Assumptions</vt:lpstr>
      <vt:lpstr>'Medicare Enrolments'!IDX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Mordaunt</dc:creator>
  <cp:keywords/>
  <dc:description/>
  <cp:lastModifiedBy>Dylan Mordaunt</cp:lastModifiedBy>
  <cp:revision/>
  <dcterms:created xsi:type="dcterms:W3CDTF">2023-12-27T02:36:24Z</dcterms:created>
  <dcterms:modified xsi:type="dcterms:W3CDTF">2024-03-28T10:38:55Z</dcterms:modified>
  <cp:category/>
  <cp:contentStatus/>
</cp:coreProperties>
</file>