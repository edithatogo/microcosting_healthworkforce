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0" yWindow="860" windowWidth="30040" windowHeight="17100" tabRatio="600" firstSheet="5" activeTab="8" autoFilterDateGrouping="1"/>
  </bookViews>
  <sheets>
    <sheet xmlns:r="http://schemas.openxmlformats.org/officeDocument/2006/relationships" name="Labour - Prices" sheetId="1" state="visible" r:id="rId1"/>
    <sheet xmlns:r="http://schemas.openxmlformats.org/officeDocument/2006/relationships" name="Labour - Prices (WM)" sheetId="2" state="visible" r:id="rId2"/>
    <sheet xmlns:r="http://schemas.openxmlformats.org/officeDocument/2006/relationships" name="Medicare Enrolments" sheetId="3" state="visible" r:id="rId3"/>
    <sheet xmlns:r="http://schemas.openxmlformats.org/officeDocument/2006/relationships" name="Weightings" sheetId="4" state="visible" r:id="rId4"/>
    <sheet xmlns:r="http://schemas.openxmlformats.org/officeDocument/2006/relationships" name="Components $ and %" sheetId="5" state="visible" r:id="rId5"/>
    <sheet xmlns:r="http://schemas.openxmlformats.org/officeDocument/2006/relationships" name="Labour - Prices (DSA)" sheetId="6" state="visible" r:id="rId6"/>
    <sheet xmlns:r="http://schemas.openxmlformats.org/officeDocument/2006/relationships" name="Labour - Prices (DSA, Values)" sheetId="7" state="visible" r:id="rId7"/>
    <sheet xmlns:r="http://schemas.openxmlformats.org/officeDocument/2006/relationships" name="Labour - Prices (DSA,Val,Long)" sheetId="8" state="visible" r:id="rId8"/>
    <sheet xmlns:r="http://schemas.openxmlformats.org/officeDocument/2006/relationships" name="Labour - Prices (DSA,Val,Lo (2)" sheetId="9" state="visible" r:id="rId9"/>
    <sheet xmlns:r="http://schemas.openxmlformats.org/officeDocument/2006/relationships" name="Labour - Prices (DSA, Pub)" sheetId="10" state="visible" r:id="rId10"/>
    <sheet xmlns:r="http://schemas.openxmlformats.org/officeDocument/2006/relationships" name="Labour - Pr (PSA,Val,Long,Tot)" sheetId="11" state="visible" r:id="rId11"/>
    <sheet xmlns:r="http://schemas.openxmlformats.org/officeDocument/2006/relationships" name="Labour - Pr (PSA,Val,Hr)" sheetId="12" state="visible" r:id="rId12"/>
    <sheet xmlns:r="http://schemas.openxmlformats.org/officeDocument/2006/relationships" name="Sum Cost" sheetId="13" state="visible" r:id="rId13"/>
    <sheet xmlns:r="http://schemas.openxmlformats.org/officeDocument/2006/relationships" name="Sum Cost Jur" sheetId="14" state="visible" r:id="rId14"/>
    <sheet xmlns:r="http://schemas.openxmlformats.org/officeDocument/2006/relationships" name="Sum Cost Comp" sheetId="15" state="visible" r:id="rId15"/>
    <sheet xmlns:r="http://schemas.openxmlformats.org/officeDocument/2006/relationships" name="Labour - BY ($)" sheetId="16" state="visible" r:id="rId16"/>
    <sheet xmlns:r="http://schemas.openxmlformats.org/officeDocument/2006/relationships" name="Labour - BY (%)" sheetId="17" state="visible" r:id="rId17"/>
    <sheet xmlns:r="http://schemas.openxmlformats.org/officeDocument/2006/relationships" name="Labour - Prices (Fixed header)" sheetId="18" state="visible" r:id="rId18"/>
    <sheet xmlns:r="http://schemas.openxmlformats.org/officeDocument/2006/relationships" name="Assumptions" sheetId="19" state="visible" r:id="rId19"/>
    <sheet xmlns:r="http://schemas.openxmlformats.org/officeDocument/2006/relationships" name="PSA - Validation" sheetId="20" state="visible" r:id="rId20"/>
  </sheets>
  <definedNames>
    <definedName name="IDX" localSheetId="2">'Medicare Enrolments'!$A$3</definedName>
    <definedName name="_xlnm._FilterDatabase" localSheetId="9" hidden="1">'Labour - Prices (DSA, Pub)'!$A$1:$F$1</definedName>
  </definedNames>
  <calcPr calcId="191028" fullCalcOnLoad="1"/>
</workbook>
</file>

<file path=xl/styles.xml><?xml version="1.0" encoding="utf-8"?>
<styleSheet xmlns="http://schemas.openxmlformats.org/spreadsheetml/2006/main">
  <numFmts count="6">
    <numFmt numFmtId="164" formatCode="0.0"/>
    <numFmt numFmtId="165" formatCode="0.0%"/>
    <numFmt numFmtId="166" formatCode="&quot;$&quot;#,##0.00"/>
    <numFmt numFmtId="167" formatCode="&quot;$&quot;#,##0"/>
    <numFmt numFmtId="168" formatCode="#,##0.0"/>
    <numFmt numFmtId="169" formatCode="0.000"/>
  </numFmts>
  <fonts count="15">
    <font>
      <name val="Aptos Narrow"/>
      <family val="2"/>
      <color theme="1"/>
      <sz val="12"/>
      <scheme val="minor"/>
    </font>
    <font>
      <name val="Aptos Narrow"/>
      <family val="2"/>
      <color theme="1"/>
      <sz val="12"/>
      <scheme val="minor"/>
    </font>
    <font>
      <name val="Aptos Narrow"/>
      <family val="2"/>
      <b val="1"/>
      <sz val="12"/>
      <scheme val="minor"/>
    </font>
    <font>
      <name val="Aptos Narrow"/>
      <family val="2"/>
      <sz val="12"/>
      <scheme val="minor"/>
    </font>
    <font>
      <name val="Arial"/>
      <family val="2"/>
      <color rgb="FF46484B"/>
      <sz val="10.2"/>
    </font>
    <font>
      <name val="Arial"/>
      <family val="2"/>
      <color rgb="FF337AAA"/>
      <sz val="10.2"/>
      <u val="single"/>
    </font>
    <font>
      <name val="Arial"/>
      <family val="2"/>
      <color rgb="FF333333"/>
      <sz val="13"/>
    </font>
    <font>
      <name val="Arial"/>
      <family val="2"/>
      <b val="1"/>
      <color rgb="FF000000"/>
      <sz val="19.2"/>
    </font>
    <font>
      <name val="Arial"/>
      <family val="2"/>
      <b val="1"/>
      <color theme="1"/>
      <sz val="9"/>
    </font>
    <font>
      <name val="Arial"/>
      <family val="2"/>
      <color theme="1"/>
      <sz val="9"/>
    </font>
    <font>
      <name val="Arial"/>
      <family val="2"/>
      <b val="1"/>
      <color rgb="FF003D79"/>
      <sz val="15.6"/>
    </font>
    <font>
      <name val="Arial"/>
      <family val="2"/>
      <color rgb="FF46484B"/>
      <sz val="13"/>
    </font>
    <font>
      <name val="Arial"/>
      <family val="2"/>
      <b val="1"/>
      <color rgb="FF333333"/>
      <sz val="13"/>
    </font>
    <font>
      <name val="Aptos Narrow"/>
      <family val="2"/>
      <color theme="10"/>
      <sz val="12"/>
      <u val="single"/>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3">
    <xf numFmtId="0" fontId="1" fillId="0" borderId="0"/>
    <xf numFmtId="0" fontId="1" fillId="0" borderId="0"/>
    <xf numFmtId="0" fontId="13" fillId="0" borderId="0"/>
  </cellStyleXfs>
  <cellXfs count="105">
    <xf numFmtId="0" fontId="0" fillId="0" borderId="0" pivotButton="0" quotePrefix="0" xfId="0"/>
    <xf numFmtId="0" fontId="2" fillId="0" borderId="0" applyAlignment="1" pivotButton="0" quotePrefix="0" xfId="1">
      <alignment vertical="top" wrapText="1"/>
    </xf>
    <xf numFmtId="0" fontId="2" fillId="0" borderId="0" applyAlignment="1" pivotButton="0" quotePrefix="0" xfId="1">
      <alignment horizontal="center" vertical="top" wrapText="1"/>
    </xf>
    <xf numFmtId="49" fontId="2" fillId="0" borderId="0" applyAlignment="1" pivotButton="0" quotePrefix="0" xfId="1">
      <alignment horizontal="center" vertical="top" wrapText="1"/>
    </xf>
    <xf numFmtId="0" fontId="3" fillId="0" borderId="0" pivotButton="0" quotePrefix="0" xfId="1"/>
    <xf numFmtId="0" fontId="3" fillId="0" borderId="0" applyAlignment="1" pivotButton="0" quotePrefix="0" xfId="1">
      <alignment horizontal="right"/>
    </xf>
    <xf numFmtId="10" fontId="3" fillId="0" borderId="0" applyAlignment="1" pivotButton="0" quotePrefix="0" xfId="1">
      <alignment horizontal="right"/>
    </xf>
    <xf numFmtId="164" fontId="3" fillId="0" borderId="0" applyAlignment="1" pivotButton="0" quotePrefix="0" xfId="1">
      <alignment horizontal="right"/>
    </xf>
    <xf numFmtId="165" fontId="3" fillId="0" borderId="0" applyAlignment="1" pivotButton="0" quotePrefix="0" xfId="1">
      <alignment horizontal="center"/>
    </xf>
    <xf numFmtId="0" fontId="3" fillId="0" borderId="0" applyAlignment="1" pivotButton="0" quotePrefix="0" xfId="1">
      <alignment horizontal="center"/>
    </xf>
    <xf numFmtId="166" fontId="3" fillId="0" borderId="0" applyAlignment="1" pivotButton="0" quotePrefix="0" xfId="1">
      <alignment horizontal="center"/>
    </xf>
    <xf numFmtId="10" fontId="3" fillId="0" borderId="0" applyAlignment="1" pivotButton="0" quotePrefix="0" xfId="1">
      <alignment horizontal="center"/>
    </xf>
    <xf numFmtId="0" fontId="2" fillId="0" borderId="0" applyAlignment="1" pivotButton="0" quotePrefix="0" xfId="1">
      <alignment horizontal="right" vertical="top" wrapText="1"/>
    </xf>
    <xf numFmtId="10" fontId="2" fillId="0" borderId="0" applyAlignment="1" pivotButton="0" quotePrefix="0" xfId="1">
      <alignment horizontal="right" vertical="top" wrapText="1"/>
    </xf>
    <xf numFmtId="164" fontId="2" fillId="0" borderId="0" applyAlignment="1" pivotButton="0" quotePrefix="0" xfId="1">
      <alignment horizontal="right" vertical="top" wrapText="1"/>
    </xf>
    <xf numFmtId="165" fontId="2" fillId="0" borderId="0" applyAlignment="1" pivotButton="0" quotePrefix="0" xfId="1">
      <alignment horizontal="center" vertical="top" wrapText="1"/>
    </xf>
    <xf numFmtId="166" fontId="2" fillId="0" borderId="0" applyAlignment="1" pivotButton="0" quotePrefix="0" xfId="1">
      <alignment horizontal="center" vertical="top" wrapText="1"/>
    </xf>
    <xf numFmtId="10" fontId="2" fillId="0" borderId="0" applyAlignment="1" pivotButton="0" quotePrefix="0" xfId="1">
      <alignment horizontal="center" vertical="top" wrapText="1"/>
    </xf>
    <xf numFmtId="167" fontId="2" fillId="0" borderId="0" applyAlignment="1" pivotButton="0" quotePrefix="0" xfId="1">
      <alignment horizontal="center" vertical="top" wrapText="1"/>
    </xf>
    <xf numFmtId="0" fontId="2" fillId="0" borderId="0" pivotButton="0" quotePrefix="0" xfId="1"/>
    <xf numFmtId="0" fontId="2" fillId="0" borderId="0" applyAlignment="1" pivotButton="0" quotePrefix="0" xfId="1">
      <alignment horizontal="center"/>
    </xf>
    <xf numFmtId="49" fontId="3" fillId="0" borderId="0" applyAlignment="1" pivotButton="0" quotePrefix="0" xfId="1">
      <alignment horizontal="center"/>
    </xf>
    <xf numFmtId="16" fontId="3" fillId="0" borderId="0" pivotButton="0" quotePrefix="0" xfId="1"/>
    <xf numFmtId="167" fontId="3" fillId="0" borderId="0" applyAlignment="1" pivotButton="0" quotePrefix="0" xfId="1">
      <alignment horizontal="center"/>
    </xf>
    <xf numFmtId="0" fontId="3" fillId="0" borderId="0" applyAlignment="1" pivotButton="0" quotePrefix="0" xfId="1">
      <alignment horizontal="left"/>
    </xf>
    <xf numFmtId="167" fontId="3" fillId="0" borderId="0" applyAlignment="1" pivotButton="0" quotePrefix="0" xfId="1">
      <alignment horizontal="center" wrapText="1"/>
    </xf>
    <xf numFmtId="3" fontId="3" fillId="0" borderId="0" applyAlignment="1" pivotButton="0" quotePrefix="0" xfId="1">
      <alignment horizontal="right"/>
    </xf>
    <xf numFmtId="9" fontId="3" fillId="0" borderId="0" applyAlignment="1" pivotButton="0" quotePrefix="0" xfId="1">
      <alignment horizontal="center"/>
    </xf>
    <xf numFmtId="167" fontId="3" fillId="0" borderId="0" applyAlignment="1" pivotButton="0" quotePrefix="0" xfId="1">
      <alignment horizontal="left"/>
    </xf>
    <xf numFmtId="3" fontId="3" fillId="0" borderId="0" applyAlignment="1" pivotButton="0" quotePrefix="0" xfId="1">
      <alignment horizontal="center"/>
    </xf>
    <xf numFmtId="3" fontId="2" fillId="0" borderId="0" applyAlignment="1" pivotButton="0" quotePrefix="0" xfId="1">
      <alignment horizontal="center" vertical="top" wrapText="1"/>
    </xf>
    <xf numFmtId="9" fontId="2" fillId="0" borderId="0" applyAlignment="1" pivotButton="0" quotePrefix="0" xfId="1">
      <alignment horizontal="center" vertical="top" wrapText="1"/>
    </xf>
    <xf numFmtId="164" fontId="3" fillId="0" borderId="0" applyAlignment="1" pivotButton="0" quotePrefix="0" xfId="1">
      <alignment horizontal="center"/>
    </xf>
    <xf numFmtId="164" fontId="2" fillId="0" borderId="0" applyAlignment="1" pivotButton="0" quotePrefix="0" xfId="1">
      <alignment horizontal="center" vertical="top" wrapText="1"/>
    </xf>
    <xf numFmtId="167" fontId="3" fillId="0" borderId="0" applyAlignment="1" pivotButton="0" quotePrefix="0" xfId="0">
      <alignment horizontal="left"/>
    </xf>
    <xf numFmtId="10" fontId="3" fillId="0" borderId="0" applyAlignment="1" pivotButton="0" quotePrefix="0" xfId="1">
      <alignment horizontal="left"/>
    </xf>
    <xf numFmtId="167" fontId="3" fillId="0" borderId="0" applyAlignment="1" pivotButton="0" quotePrefix="0" xfId="1">
      <alignment horizontal="right"/>
    </xf>
    <xf numFmtId="165" fontId="3" fillId="0" borderId="0" applyAlignment="1" pivotButton="0" quotePrefix="0" xfId="1">
      <alignment horizontal="right"/>
    </xf>
    <xf numFmtId="9" fontId="3" fillId="0" borderId="0" applyAlignment="1" pivotButton="0" quotePrefix="0" xfId="1">
      <alignment horizontal="right"/>
    </xf>
    <xf numFmtId="167" fontId="3" fillId="0" borderId="0" applyAlignment="1" pivotButton="0" quotePrefix="0" xfId="1">
      <alignment horizontal="right" wrapText="1"/>
    </xf>
    <xf numFmtId="10" fontId="0" fillId="0" borderId="0" pivotButton="0" quotePrefix="0" xfId="0"/>
    <xf numFmtId="165" fontId="0" fillId="0" borderId="0" pivotButton="0" quotePrefix="0" xfId="0"/>
    <xf numFmtId="9" fontId="0" fillId="0" borderId="0" pivotButton="0" quotePrefix="0" xfId="0"/>
    <xf numFmtId="3" fontId="0" fillId="0" borderId="0" pivotButton="0" quotePrefix="0" xfId="0"/>
    <xf numFmtId="167" fontId="0" fillId="0" borderId="0" pivotButton="0" quotePrefix="0" xfId="0"/>
    <xf numFmtId="0" fontId="3" fillId="0" borderId="0" applyAlignment="1" pivotButton="0" quotePrefix="0" xfId="1">
      <alignment vertical="top"/>
    </xf>
    <xf numFmtId="0" fontId="2" fillId="0" borderId="0" applyAlignment="1" pivotButton="0" quotePrefix="0" xfId="1">
      <alignment vertical="top"/>
    </xf>
    <xf numFmtId="167" fontId="3" fillId="0" borderId="0" applyAlignment="1" pivotButton="0" quotePrefix="0" xfId="1">
      <alignment horizontal="left" vertical="top"/>
    </xf>
    <xf numFmtId="0" fontId="2" fillId="0" borderId="0" applyAlignment="1" pivotButton="0" quotePrefix="0" xfId="1">
      <alignment horizontal="left" vertical="top" wrapText="1"/>
    </xf>
    <xf numFmtId="167" fontId="2" fillId="0" borderId="0" applyAlignment="1" pivotButton="0" quotePrefix="0" xfId="1">
      <alignment horizontal="left" vertical="top"/>
    </xf>
    <xf numFmtId="0" fontId="3" fillId="0" borderId="0" applyAlignment="1" pivotButton="0" quotePrefix="0" xfId="1">
      <alignment horizontal="left" vertical="top"/>
    </xf>
    <xf numFmtId="0" fontId="2" fillId="0" borderId="0" applyAlignment="1" pivotButton="0" quotePrefix="0" xfId="1">
      <alignment horizontal="left" vertical="top"/>
    </xf>
    <xf numFmtId="0" fontId="0" fillId="0" borderId="0" applyAlignment="1" pivotButton="0" quotePrefix="0" xfId="0">
      <alignment horizontal="left" vertical="top"/>
    </xf>
    <xf numFmtId="164" fontId="0" fillId="0" borderId="0" pivotButton="0" quotePrefix="0" xfId="0"/>
    <xf numFmtId="0" fontId="2" fillId="0" borderId="0" applyAlignment="1" pivotButton="0" quotePrefix="0" xfId="1">
      <alignment horizontal="center" vertical="top"/>
    </xf>
    <xf numFmtId="49" fontId="3" fillId="0" borderId="0" applyAlignment="1" pivotButton="0" quotePrefix="0" xfId="1">
      <alignment horizontal="center" vertical="top"/>
    </xf>
    <xf numFmtId="0" fontId="3" fillId="0" borderId="0" applyAlignment="1" pivotButton="0" quotePrefix="0" xfId="1">
      <alignment horizontal="right" vertical="top"/>
    </xf>
    <xf numFmtId="10" fontId="3" fillId="0" borderId="0" applyAlignment="1" pivotButton="0" quotePrefix="0" xfId="1">
      <alignment horizontal="center" vertical="top"/>
    </xf>
    <xf numFmtId="164" fontId="3" fillId="0" borderId="0" applyAlignment="1" pivotButton="0" quotePrefix="0" xfId="1">
      <alignment horizontal="center" vertical="top"/>
    </xf>
    <xf numFmtId="165" fontId="3" fillId="0" borderId="0" applyAlignment="1" pivotButton="0" quotePrefix="0" xfId="1">
      <alignment horizontal="center" vertical="top"/>
    </xf>
    <xf numFmtId="9" fontId="3" fillId="0" borderId="0" applyAlignment="1" pivotButton="0" quotePrefix="0" xfId="1">
      <alignment horizontal="center" vertical="top"/>
    </xf>
    <xf numFmtId="3" fontId="3" fillId="0" borderId="0" applyAlignment="1" pivotButton="0" quotePrefix="0" xfId="1">
      <alignment horizontal="center" vertical="top"/>
    </xf>
    <xf numFmtId="0" fontId="3" fillId="0" borderId="0" applyAlignment="1" pivotButton="0" quotePrefix="0" xfId="1">
      <alignment horizontal="center" vertical="top"/>
    </xf>
    <xf numFmtId="16" fontId="3" fillId="0" borderId="0" applyAlignment="1" pivotButton="0" quotePrefix="0" xfId="1">
      <alignment vertical="top"/>
    </xf>
    <xf numFmtId="167" fontId="3" fillId="0" borderId="0" applyAlignment="1" pivotButton="0" quotePrefix="0" xfId="1">
      <alignment horizontal="center" vertical="top"/>
    </xf>
    <xf numFmtId="167" fontId="3" fillId="0" borderId="0" applyAlignment="1" pivotButton="0" quotePrefix="0" xfId="1">
      <alignment horizontal="right" vertical="top"/>
    </xf>
    <xf numFmtId="167" fontId="3" fillId="0" borderId="0" applyAlignment="1" pivotButton="0" quotePrefix="0" xfId="1">
      <alignment horizontal="right" vertical="top" wrapText="1"/>
    </xf>
    <xf numFmtId="3" fontId="3" fillId="0" borderId="0" applyAlignment="1" pivotButton="0" quotePrefix="0" xfId="1">
      <alignment horizontal="right" vertical="top"/>
    </xf>
    <xf numFmtId="164" fontId="3" fillId="0" borderId="0" applyAlignment="1" pivotButton="0" quotePrefix="0" xfId="1">
      <alignment horizontal="right" vertical="top"/>
    </xf>
    <xf numFmtId="165" fontId="3" fillId="0" borderId="0" applyAlignment="1" pivotButton="0" quotePrefix="0" xfId="1">
      <alignment horizontal="right" vertical="top"/>
    </xf>
    <xf numFmtId="10" fontId="3" fillId="0" borderId="0" applyAlignment="1" pivotButton="0" quotePrefix="0" xfId="1">
      <alignment horizontal="right" vertical="top"/>
    </xf>
    <xf numFmtId="9" fontId="3" fillId="0" borderId="0" applyAlignment="1" pivotButton="0" quotePrefix="0" xfId="1">
      <alignment horizontal="right" vertical="top"/>
    </xf>
    <xf numFmtId="10" fontId="3" fillId="0" borderId="0" applyAlignment="1" pivotButton="0" quotePrefix="0" xfId="1">
      <alignment horizontal="left" vertical="top"/>
    </xf>
    <xf numFmtId="2" fontId="3" fillId="0" borderId="0" applyAlignment="1" pivotButton="0" quotePrefix="0" xfId="1">
      <alignment horizontal="center" vertical="top"/>
    </xf>
    <xf numFmtId="1" fontId="3" fillId="0" borderId="0" applyAlignment="1" pivotButton="0" quotePrefix="0" xfId="1">
      <alignment horizontal="center" vertical="top"/>
    </xf>
    <xf numFmtId="1" fontId="2" fillId="0" borderId="0" applyAlignment="1" pivotButton="0" quotePrefix="0" xfId="1">
      <alignment horizontal="center" vertical="top" wrapText="1"/>
    </xf>
    <xf numFmtId="1" fontId="3" fillId="0" borderId="0" applyAlignment="1" pivotButton="0" quotePrefix="0" xfId="1">
      <alignment horizontal="left" vertical="top"/>
    </xf>
    <xf numFmtId="1" fontId="3" fillId="0" borderId="0" applyAlignment="1" pivotButton="0" quotePrefix="0" xfId="1">
      <alignment horizontal="right" vertical="top"/>
    </xf>
    <xf numFmtId="167" fontId="3" fillId="0" borderId="0" applyAlignment="1" pivotButton="0" quotePrefix="0" xfId="1">
      <alignment vertical="top"/>
    </xf>
    <xf numFmtId="2" fontId="0" fillId="0" borderId="0" pivotButton="0" quotePrefix="0" xfId="0"/>
    <xf numFmtId="0" fontId="0" fillId="0" borderId="0" applyAlignment="1" pivotButton="0" quotePrefix="0" xfId="0">
      <alignment vertical="top"/>
    </xf>
    <xf numFmtId="168" fontId="0" fillId="0" borderId="0" pivotButton="0" quotePrefix="0" xfId="0"/>
    <xf numFmtId="167" fontId="2" fillId="0" borderId="0" applyAlignment="1" pivotButton="0" quotePrefix="0" xfId="1">
      <alignment horizontal="center"/>
    </xf>
    <xf numFmtId="9" fontId="2" fillId="0" borderId="0" applyAlignment="1" pivotButton="0" quotePrefix="0" xfId="1">
      <alignment horizontal="center" vertical="top" wrapText="1"/>
    </xf>
    <xf numFmtId="0" fontId="2" fillId="0" borderId="0" applyAlignment="1" pivotButton="0" quotePrefix="0" xfId="1">
      <alignment horizontal="center" vertical="top" wrapText="1"/>
    </xf>
    <xf numFmtId="167" fontId="2" fillId="0" borderId="0" applyAlignment="1" pivotButton="0" quotePrefix="0" xfId="1">
      <alignment horizontal="center" vertical="top"/>
    </xf>
    <xf numFmtId="10" fontId="2" fillId="0" borderId="0" applyAlignment="1" pivotButton="0" quotePrefix="0" xfId="1">
      <alignment horizontal="center" vertical="top" wrapText="1"/>
    </xf>
    <xf numFmtId="165" fontId="2" fillId="0" borderId="0" applyAlignment="1" pivotButton="0" quotePrefix="0" xfId="1">
      <alignment horizontal="center" vertical="top" wrapText="1"/>
    </xf>
    <xf numFmtId="3" fontId="2" fillId="0" borderId="0" applyAlignment="1" pivotButton="0" quotePrefix="0" xfId="1">
      <alignment horizontal="center" vertical="top" wrapText="1"/>
    </xf>
    <xf numFmtId="164" fontId="2" fillId="0" borderId="0" applyAlignment="1" pivotButton="0" quotePrefix="0" xfId="1">
      <alignment horizontal="center" vertical="top" wrapText="1"/>
    </xf>
    <xf numFmtId="0" fontId="0" fillId="0" borderId="0" applyAlignment="1" pivotButton="0" quotePrefix="0" xfId="0">
      <alignment horizontal="center"/>
    </xf>
    <xf numFmtId="0" fontId="0" fillId="0" borderId="0" applyAlignment="1" pivotButton="0" quotePrefix="0" xfId="0">
      <alignment horizontal="left" vertical="top"/>
    </xf>
    <xf numFmtId="0" fontId="4" fillId="0" borderId="0" pivotButton="0" quotePrefix="0" xfId="0"/>
    <xf numFmtId="0" fontId="7" fillId="0" borderId="0" pivotButton="0" quotePrefix="0" xfId="0"/>
    <xf numFmtId="0" fontId="6" fillId="0" borderId="0" pivotButton="0" quotePrefix="0" xfId="0"/>
    <xf numFmtId="0" fontId="8" fillId="0" borderId="0" pivotButton="0" quotePrefix="0" xfId="0"/>
    <xf numFmtId="3" fontId="9"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2"/>
    <xf numFmtId="169" fontId="0" fillId="0" borderId="0" pivotButton="0" quotePrefix="0" xfId="0"/>
    <xf numFmtId="169" fontId="0" fillId="0" borderId="0" pivotButton="0" quotePrefix="0" xfId="0"/>
    <xf numFmtId="0" fontId="14" fillId="0" borderId="1" applyAlignment="1" pivotButton="0" quotePrefix="0" xfId="0">
      <alignment horizontal="center" vertical="top"/>
    </xf>
  </cellXfs>
  <cellStyles count="3">
    <cellStyle name="Normal" xfId="0" builtinId="0"/>
    <cellStyle name="Normal 2 2" xfId="1"/>
    <cellStyle name="Hyperlink" xfId="2"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hyperlink" Target="http://medicarestatistics.humanservices.gov.au/statistics/download.jsp" TargetMode="External" Id="rId1"/></Relationships>
</file>

<file path=xl/worksheets/sheet1.xml><?xml version="1.0" encoding="utf-8"?>
<worksheet xmlns="http://schemas.openxmlformats.org/spreadsheetml/2006/main">
  <sheetPr>
    <outlinePr summaryBelow="1" summaryRight="1"/>
    <pageSetUpPr/>
  </sheetPr>
  <dimension ref="A1:BN124"/>
  <sheetViews>
    <sheetView topLeftCell="A12" workbookViewId="0">
      <selection activeCell="J34" sqref="J34"/>
    </sheetView>
  </sheetViews>
  <sheetFormatPr baseColWidth="10" defaultColWidth="10.6640625" defaultRowHeight="16"/>
  <cols>
    <col width="10.6640625" customWidth="1" style="4" min="1" max="1"/>
    <col width="19.1640625" customWidth="1" style="19" min="2" max="2"/>
    <col hidden="1" width="9.5" customWidth="1" style="20" min="3" max="3"/>
    <col hidden="1" width="15.1640625" customWidth="1" style="4" min="4" max="4"/>
    <col hidden="1" width="19" customWidth="1" style="21" min="5" max="5"/>
    <col hidden="1" width="15.83203125" customWidth="1" style="4" min="6" max="6"/>
    <col hidden="1" width="14.1640625" customWidth="1" style="4" min="7" max="7"/>
    <col hidden="1" width="20" customWidth="1" style="5" min="8" max="8"/>
    <col width="6.83203125" customWidth="1" style="5" min="9" max="9"/>
    <col width="11.33203125" customWidth="1" style="11" min="10" max="10"/>
    <col width="11.33203125" customWidth="1" style="32" min="11" max="11"/>
    <col width="14.1640625" customWidth="1" style="8" min="12" max="14"/>
    <col width="14.1640625" customWidth="1" style="27" min="15" max="15"/>
    <col width="14.1640625" customWidth="1" style="8" min="16" max="17"/>
    <col width="14.1640625" customWidth="1" style="29" min="18" max="18"/>
    <col width="14.1640625" customWidth="1" style="9" min="19" max="19"/>
    <col width="14.1640625" customWidth="1" style="8" min="20" max="20"/>
    <col width="14.1640625" customWidth="1" style="9" min="21" max="21"/>
    <col width="14.83203125" customWidth="1" style="23" min="22" max="27"/>
    <col width="12.83203125" customWidth="1" style="23" min="28" max="30"/>
    <col width="10.6640625" customWidth="1" style="4" min="31" max="16384"/>
  </cols>
  <sheetData>
    <row r="1">
      <c r="V1" s="82" t="inlineStr">
        <is>
          <t>Year 0</t>
        </is>
      </c>
      <c r="AE1" s="82" t="inlineStr">
        <is>
          <t>Year 1</t>
        </is>
      </c>
      <c r="AN1" s="82" t="inlineStr">
        <is>
          <t>Year 2</t>
        </is>
      </c>
      <c r="AW1" s="82" t="inlineStr">
        <is>
          <t>Year 3</t>
        </is>
      </c>
      <c r="BF1" s="82" t="inlineStr">
        <is>
          <t>Year 4</t>
        </is>
      </c>
    </row>
    <row r="2" ht="17" customHeight="1">
      <c r="A2" s="1" t="inlineStr">
        <is>
          <t>Jurisdiction</t>
        </is>
      </c>
      <c r="B2" s="1" t="inlineStr">
        <is>
          <t>Personnel type</t>
        </is>
      </c>
      <c r="C2" s="84" t="inlineStr">
        <is>
          <t>Label</t>
        </is>
      </c>
      <c r="D2" s="1" t="inlineStr">
        <is>
          <t xml:space="preserve">Award </t>
        </is>
      </c>
      <c r="E2" s="3" t="inlineStr">
        <is>
          <t>Grade(s)</t>
        </is>
      </c>
      <c r="V2" s="82" t="inlineStr">
        <is>
          <t>Base Salary</t>
        </is>
      </c>
      <c r="Y2" s="82" t="inlineStr">
        <is>
          <t>Base Salary + Costs</t>
        </is>
      </c>
      <c r="AB2" s="82" t="inlineStr">
        <is>
          <t>Base Salary + Costs (hourly)</t>
        </is>
      </c>
      <c r="AE2" s="82" t="inlineStr">
        <is>
          <t>Base Salary</t>
        </is>
      </c>
      <c r="AH2" s="82" t="inlineStr">
        <is>
          <t>Base Salary + Costs</t>
        </is>
      </c>
      <c r="AK2" s="82" t="inlineStr">
        <is>
          <t>Base Salary + Costs (hourly)</t>
        </is>
      </c>
      <c r="AN2" s="82" t="inlineStr">
        <is>
          <t>Base Salary</t>
        </is>
      </c>
      <c r="AQ2" s="82" t="inlineStr">
        <is>
          <t>Base Salary + Costs</t>
        </is>
      </c>
      <c r="AT2" s="82" t="inlineStr">
        <is>
          <t>Base Salary + Costs (hourly)</t>
        </is>
      </c>
      <c r="AW2" s="82" t="inlineStr">
        <is>
          <t>Base Salary</t>
        </is>
      </c>
      <c r="AZ2" s="82" t="inlineStr">
        <is>
          <t>Base Salary + Costs</t>
        </is>
      </c>
      <c r="BC2" s="82" t="inlineStr">
        <is>
          <t>Base Salary + Costs (hourly)</t>
        </is>
      </c>
      <c r="BF2" s="82" t="inlineStr">
        <is>
          <t>Base Salary</t>
        </is>
      </c>
      <c r="BI2" s="82" t="inlineStr">
        <is>
          <t>Base Salary + Costs</t>
        </is>
      </c>
      <c r="BL2" s="82" t="inlineStr">
        <is>
          <t>Base Salary + Costs (hourly)</t>
        </is>
      </c>
    </row>
    <row r="3" ht="51" customFormat="1" customHeight="1" s="1">
      <c r="F3" s="1" t="inlineStr">
        <is>
          <t>Distribution desc</t>
        </is>
      </c>
      <c r="G3" s="1" t="inlineStr">
        <is>
          <t>References</t>
        </is>
      </c>
      <c r="H3" s="12" t="inlineStr">
        <is>
          <t>Rate of Pay (weekly, 38h) desc</t>
        </is>
      </c>
      <c r="I3" s="12" t="inlineStr">
        <is>
          <t>Year</t>
        </is>
      </c>
      <c r="J3" s="86" t="inlineStr">
        <is>
          <t>Superannuation Rate (%)</t>
        </is>
      </c>
      <c r="K3" s="89" t="inlineStr">
        <is>
          <t>Hours per week</t>
        </is>
      </c>
      <c r="L3" s="87" t="inlineStr">
        <is>
          <t>Average productive time (%)</t>
        </is>
      </c>
      <c r="M3" s="87" t="inlineStr">
        <is>
          <t>Average Penalties %</t>
        </is>
      </c>
      <c r="N3" s="87" t="inlineStr">
        <is>
          <t>Public Holiday Penalty %</t>
        </is>
      </c>
      <c r="O3" s="83" t="inlineStr">
        <is>
          <t>Private Practice Loading %</t>
        </is>
      </c>
      <c r="P3" s="87" t="inlineStr">
        <is>
          <t>Attraction and Retention Allowance %</t>
        </is>
      </c>
      <c r="Q3" s="87" t="inlineStr">
        <is>
          <t>Sick Leave %</t>
        </is>
      </c>
      <c r="R3" s="88" t="inlineStr">
        <is>
          <t>Professional Development Allowance ($)</t>
        </is>
      </c>
      <c r="S3" s="84" t="inlineStr">
        <is>
          <t>Annual Leave Entitlement (Weeks)</t>
        </is>
      </c>
      <c r="T3" s="87" t="inlineStr">
        <is>
          <t>Annual Leave Loading (%)</t>
        </is>
      </c>
      <c r="U3" s="84" t="inlineStr">
        <is>
          <t>Indexation per annum (%)</t>
        </is>
      </c>
      <c r="V3" s="18" t="inlineStr">
        <is>
          <t>LL</t>
        </is>
      </c>
      <c r="W3" s="18" t="inlineStr">
        <is>
          <t>Mid-point</t>
        </is>
      </c>
      <c r="X3" s="18" t="inlineStr">
        <is>
          <t>UL</t>
        </is>
      </c>
      <c r="Y3" s="18" t="inlineStr">
        <is>
          <t>LL</t>
        </is>
      </c>
      <c r="Z3" s="18" t="inlineStr">
        <is>
          <t>Mid-point</t>
        </is>
      </c>
      <c r="AA3" s="18" t="inlineStr">
        <is>
          <t>UL</t>
        </is>
      </c>
      <c r="AB3" s="18" t="inlineStr">
        <is>
          <t>LL</t>
        </is>
      </c>
      <c r="AC3" s="18" t="inlineStr">
        <is>
          <t>Mid-point</t>
        </is>
      </c>
      <c r="AD3" s="18" t="inlineStr">
        <is>
          <t>UL</t>
        </is>
      </c>
      <c r="AE3" s="18" t="inlineStr">
        <is>
          <t>LL</t>
        </is>
      </c>
      <c r="AF3" s="18" t="inlineStr">
        <is>
          <t>Mid-point</t>
        </is>
      </c>
      <c r="AG3" s="18" t="inlineStr">
        <is>
          <t>UL</t>
        </is>
      </c>
      <c r="AH3" s="18" t="inlineStr">
        <is>
          <t>LL</t>
        </is>
      </c>
      <c r="AI3" s="18" t="inlineStr">
        <is>
          <t>Mid-point</t>
        </is>
      </c>
      <c r="AJ3" s="18" t="inlineStr">
        <is>
          <t>UL</t>
        </is>
      </c>
      <c r="AK3" s="18" t="inlineStr">
        <is>
          <t>LL</t>
        </is>
      </c>
      <c r="AL3" s="18" t="inlineStr">
        <is>
          <t>Mid-point</t>
        </is>
      </c>
      <c r="AM3" s="18" t="inlineStr">
        <is>
          <t>UL</t>
        </is>
      </c>
      <c r="AN3" s="18" t="inlineStr">
        <is>
          <t>LL</t>
        </is>
      </c>
      <c r="AO3" s="18" t="inlineStr">
        <is>
          <t>Mid-point</t>
        </is>
      </c>
      <c r="AP3" s="18" t="inlineStr">
        <is>
          <t>UL</t>
        </is>
      </c>
      <c r="AQ3" s="18" t="inlineStr">
        <is>
          <t>LL</t>
        </is>
      </c>
      <c r="AR3" s="18" t="inlineStr">
        <is>
          <t>Mid-point</t>
        </is>
      </c>
      <c r="AS3" s="18" t="inlineStr">
        <is>
          <t>UL</t>
        </is>
      </c>
      <c r="AT3" s="18" t="inlineStr">
        <is>
          <t>LL</t>
        </is>
      </c>
      <c r="AU3" s="18" t="inlineStr">
        <is>
          <t>Mid-point</t>
        </is>
      </c>
      <c r="AV3" s="18" t="inlineStr">
        <is>
          <t>UL</t>
        </is>
      </c>
      <c r="AW3" s="18" t="inlineStr">
        <is>
          <t>LL</t>
        </is>
      </c>
      <c r="AX3" s="18" t="inlineStr">
        <is>
          <t>Mid-point</t>
        </is>
      </c>
      <c r="AY3" s="18" t="inlineStr">
        <is>
          <t>UL</t>
        </is>
      </c>
      <c r="AZ3" s="18" t="inlineStr">
        <is>
          <t>LL</t>
        </is>
      </c>
      <c r="BA3" s="18" t="inlineStr">
        <is>
          <t>Mid-point</t>
        </is>
      </c>
      <c r="BB3" s="18" t="inlineStr">
        <is>
          <t>UL</t>
        </is>
      </c>
      <c r="BC3" s="18" t="inlineStr">
        <is>
          <t>LL</t>
        </is>
      </c>
      <c r="BD3" s="18" t="inlineStr">
        <is>
          <t>Mid-point</t>
        </is>
      </c>
      <c r="BE3" s="18" t="inlineStr">
        <is>
          <t>UL</t>
        </is>
      </c>
      <c r="BF3" s="18" t="inlineStr">
        <is>
          <t>LL</t>
        </is>
      </c>
      <c r="BG3" s="18" t="inlineStr">
        <is>
          <t>Mid-point</t>
        </is>
      </c>
      <c r="BH3" s="18" t="inlineStr">
        <is>
          <t>UL</t>
        </is>
      </c>
      <c r="BI3" s="18" t="inlineStr">
        <is>
          <t>LL</t>
        </is>
      </c>
      <c r="BJ3" s="18" t="inlineStr">
        <is>
          <t>Mid-point</t>
        </is>
      </c>
      <c r="BK3" s="18" t="inlineStr">
        <is>
          <t>UL</t>
        </is>
      </c>
      <c r="BL3" s="18" t="inlineStr">
        <is>
          <t>LL</t>
        </is>
      </c>
      <c r="BM3" s="18" t="inlineStr">
        <is>
          <t>Mid-point</t>
        </is>
      </c>
      <c r="BN3" s="18" t="inlineStr">
        <is>
          <t>UL</t>
        </is>
      </c>
    </row>
    <row r="4">
      <c r="A4" s="4" t="inlineStr">
        <is>
          <t>VIC</t>
        </is>
      </c>
      <c r="B4" s="19" t="inlineStr">
        <is>
          <t>Lab technician</t>
        </is>
      </c>
      <c r="C4" s="20" t="inlineStr">
        <is>
          <t>LT</t>
        </is>
      </c>
      <c r="D4" s="4" t="inlineStr">
        <is>
          <t>HPA</t>
        </is>
      </c>
      <c r="E4" s="21" t="inlineStr">
        <is>
          <t>5-7</t>
        </is>
      </c>
      <c r="F4" s="22" t="inlineStr">
        <is>
          <t>normal distro</t>
        </is>
      </c>
      <c r="G4" s="4" t="inlineStr">
        <is>
          <t>pp247 HS5-HS7 (July 22)</t>
        </is>
      </c>
      <c r="H4" s="5" t="inlineStr">
        <is>
          <t>1785.7-2257.10</t>
        </is>
      </c>
      <c r="I4" s="5" t="n">
        <v>2022</v>
      </c>
      <c r="J4" s="11" t="n">
        <v>0.105</v>
      </c>
      <c r="K4" s="32" t="n">
        <v>38</v>
      </c>
      <c r="L4" s="8" t="n">
        <v>1</v>
      </c>
      <c r="M4" s="8" t="n">
        <v>0.1</v>
      </c>
      <c r="N4" s="8" t="n">
        <v>0.035</v>
      </c>
      <c r="O4" s="27" t="n">
        <v>0</v>
      </c>
      <c r="P4" s="8" t="n">
        <v>0</v>
      </c>
      <c r="Q4" s="8" t="n">
        <v>0.046</v>
      </c>
      <c r="R4" s="23" t="n">
        <v>0</v>
      </c>
      <c r="S4" s="9" t="n">
        <v>4</v>
      </c>
      <c r="T4" s="8" t="n">
        <v>0.175</v>
      </c>
      <c r="U4" s="8" t="n">
        <v>0.015</v>
      </c>
      <c r="V4" s="36" t="n">
        <v>79624</v>
      </c>
      <c r="W4" s="36">
        <f>V4+((X4-V4)/2)</f>
        <v/>
      </c>
      <c r="X4" s="36" t="n">
        <v>110314</v>
      </c>
      <c r="Y4" s="36">
        <f>(V4+(V4*$J4)+(V4*$M4)+(V4*$N4)+(V4*$O4)+(V4*$P4)+(V4*$Q4)+($R4)+(V4*((52+$S4)/52))*(1+$T4))*1/$L4</f>
        <v/>
      </c>
      <c r="Z4" s="36">
        <f>(W4+(W4*$J4)+(W4*$M4)+(W4*$N4)+(W4*$O4)+(W4*$P4)+(W4*$Q4)+($R4)+(W4*((52+$S4)/52))*(1+$T4))*1/$L4</f>
        <v/>
      </c>
      <c r="AA4" s="36">
        <f>(X4+(X4*$J4)+(X4*$M4)+(X4*$N4)+(X4*$O4)+(X4*$P4)+(X4*$Q4)+($R4)+(X4*((52+$S4)/52))*(1+$T4))*1/$L4</f>
        <v/>
      </c>
      <c r="AB4" s="36">
        <f>Y4/52/$K4</f>
        <v/>
      </c>
      <c r="AC4" s="36">
        <f>Z4/52/$K4</f>
        <v/>
      </c>
      <c r="AD4" s="36">
        <f>AA4/52/$K4</f>
        <v/>
      </c>
      <c r="AE4" s="36">
        <f>($V4*(1+(($U4/100)*1)))</f>
        <v/>
      </c>
      <c r="AF4" s="36">
        <f>($W4*(1+(($U4/100)*1)))</f>
        <v/>
      </c>
      <c r="AG4" s="36">
        <f>($X4*(1+(($U4/100)*1)))</f>
        <v/>
      </c>
      <c r="AH4" s="36">
        <f>(AE4+(AE4*$J4)+(AE4*$M4)+(AE4*$N4)+(AE4*$O4)+(AE4*$P4)+(AE4*$Q4)+($R4)+(AE4*((52+$S4)/52))*(1+$T4))*1/$L4</f>
        <v/>
      </c>
      <c r="AI4" s="36">
        <f>(AF4+(AF4*$J4)+(AF4*$M4)+(AF4*$N4)+(AF4*$O4)+(AF4*$P4)+(AF4*$Q4)+($R4)+(AF4*((52+$S4)/52))*(1+$T4))*1/$L4</f>
        <v/>
      </c>
      <c r="AJ4" s="36">
        <f>(AG4+(AG4*$J4)+(AG4*$M4)+(AG4*$N4)+(AG4*$O4)+(AG4*$P4)+(AG4*$Q4)+($R4)+(AG4*((52+$S4)/52))*(1+$T4))*1/$L4</f>
        <v/>
      </c>
      <c r="AK4" s="36">
        <f>AH4/52/$K4</f>
        <v/>
      </c>
      <c r="AL4" s="36">
        <f>AI4/52/$K4</f>
        <v/>
      </c>
      <c r="AM4" s="36">
        <f>AJ4/52/$K4</f>
        <v/>
      </c>
      <c r="AN4" s="36">
        <f>($V4*(1+(($U4/100)*2)))</f>
        <v/>
      </c>
      <c r="AO4" s="36">
        <f>($W4*(1+(($U4/100)*2)))</f>
        <v/>
      </c>
      <c r="AP4" s="36">
        <f>($X4*(1+(($U4/100)*2)))</f>
        <v/>
      </c>
      <c r="AQ4" s="36">
        <f>(AN4+(AN4*$J4)+(AN4*$M4)+(AN4*$N4)+(AN4*$O4)+(AN4*$P4)+(AN4*$Q4)+($R4)+(AN4*((52+$S4)/52))*(1+$T4))*1/$L4</f>
        <v/>
      </c>
      <c r="AR4" s="36">
        <f>(AO4+(AO4*$J4)+(AO4*$M4)+(AO4*$N4)+(AO4*$O4)+(AO4*$P4)+(AO4*$Q4)+($R4)+(AO4*((52+$S4)/52))*(1+$T4))*1/$L4</f>
        <v/>
      </c>
      <c r="AS4" s="36">
        <f>(AP4+(AP4*$J4)+(AP4*$M4)+(AP4*$N4)+(AP4*$O4)+(AP4*$P4)+(AP4*$Q4)+($R4)+(AP4*((52+$S4)/52))*(1+$T4))*1/$L4</f>
        <v/>
      </c>
      <c r="AT4" s="36">
        <f>AQ4/52/$K4</f>
        <v/>
      </c>
      <c r="AU4" s="36">
        <f>AR4/52/$K4</f>
        <v/>
      </c>
      <c r="AV4" s="36">
        <f>AS4/52/$K4</f>
        <v/>
      </c>
      <c r="AW4" s="36">
        <f>($V4*(1+(($U4/100)*3)))</f>
        <v/>
      </c>
      <c r="AX4" s="36">
        <f>($W4*(1+(($U4/100)*3)))</f>
        <v/>
      </c>
      <c r="AY4" s="36">
        <f>($X4*(1+(($U4/100)*3)))</f>
        <v/>
      </c>
      <c r="AZ4" s="36">
        <f>(AW4+(AW4*$J4)+(AW4*$M4)+(AW4*$N4)+(AW4*$O4)+(AW4*$P4)+(AW4*$Q4)+($R4)+(AW4*((52+$S4)/52))*(1+$T4))*1/$L4</f>
        <v/>
      </c>
      <c r="BA4" s="36">
        <f>(AX4+(AX4*$J4)+(AX4*$M4)+(AX4*$N4)+(AX4*$O4)+(AX4*$P4)+(AX4*$Q4)+($R4)+(AX4*((52+$S4)/52))*(1+$T4))*1/$L4</f>
        <v/>
      </c>
      <c r="BB4" s="36">
        <f>(AY4+(AY4*$J4)+(AY4*$M4)+(AY4*$N4)+(AY4*$O4)+(AY4*$P4)+(AY4*$Q4)+($R4)+(AY4*((52+$S4)/52))*(1+$T4))*1/$L4</f>
        <v/>
      </c>
      <c r="BC4" s="36">
        <f>AZ4/52/$K4</f>
        <v/>
      </c>
      <c r="BD4" s="36">
        <f>BA4/52/$K4</f>
        <v/>
      </c>
      <c r="BE4" s="36">
        <f>BB4/52/$K4</f>
        <v/>
      </c>
      <c r="BF4" s="36">
        <f>($V4*(1+(($U4/100)*4)))</f>
        <v/>
      </c>
      <c r="BG4" s="36">
        <f>($W4*(1+(($U4/100)*4)))</f>
        <v/>
      </c>
      <c r="BH4" s="36">
        <f>($X4*(1+(($U4/100)*4)))</f>
        <v/>
      </c>
      <c r="BI4" s="36">
        <f>(BF4+(BF4*$J4)+(BF4*$M4)+(BF4*$N4)+(BF4*$O4)+(BF4*$P4)+(BF4*$Q4)+($R4)+(BF4*((52+$S4)/52))*(1+$T4))*1/$L4</f>
        <v/>
      </c>
      <c r="BJ4" s="36">
        <f>(BG4+(BG4*$J4)+(BG4*$M4)+(BG4*$N4)+(BG4*$O4)+(BG4*$P4)+(BG4*$Q4)+($R4)+(BG4*((52+$S4)/52))*(1+$T4))*1/$L4</f>
        <v/>
      </c>
      <c r="BK4" s="36">
        <f>(BH4+(BH4*$J4)+(BH4*$M4)+(BH4*$N4)+(BH4*$O4)+(BH4*$P4)+(BH4*$Q4)+($R4)+(BH4*((52+$S4)/52))*(1+$T4))*1/$L4</f>
        <v/>
      </c>
      <c r="BL4" s="36">
        <f>BI4/52/$K4</f>
        <v/>
      </c>
      <c r="BM4" s="36">
        <f>BJ4/52/$K4</f>
        <v/>
      </c>
      <c r="BN4" s="36">
        <f>BK4/52/$K4</f>
        <v/>
      </c>
    </row>
    <row r="5">
      <c r="A5" s="4" t="inlineStr">
        <is>
          <t>VIC</t>
        </is>
      </c>
      <c r="B5" s="19" t="inlineStr">
        <is>
          <t>Medical scientist</t>
        </is>
      </c>
      <c r="C5" s="20" t="inlineStr">
        <is>
          <t>MS</t>
        </is>
      </c>
      <c r="D5" s="4" t="inlineStr">
        <is>
          <t>MSEBA</t>
        </is>
      </c>
      <c r="E5" s="21" t="inlineStr">
        <is>
          <t>MS1-4(RX4)-MS4-5(RZ7)</t>
        </is>
      </c>
      <c r="F5" s="4" t="inlineStr">
        <is>
          <t>skewed normal</t>
        </is>
      </c>
      <c r="G5" s="22" t="inlineStr">
        <is>
          <t>pp111 VPHS 2017-21 RX1-RZ7</t>
        </is>
      </c>
      <c r="H5" s="5" t="inlineStr">
        <is>
          <t>1131.30-2622.00</t>
        </is>
      </c>
      <c r="I5" s="5" t="n">
        <v>2023</v>
      </c>
      <c r="J5" s="11" t="n">
        <v>0.105</v>
      </c>
      <c r="K5" s="32" t="n">
        <v>38</v>
      </c>
      <c r="L5" s="8" t="n">
        <v>1</v>
      </c>
      <c r="M5" s="8" t="n">
        <v>0.1</v>
      </c>
      <c r="N5" s="8" t="n">
        <v>0.035</v>
      </c>
      <c r="O5" s="27" t="n">
        <v>0</v>
      </c>
      <c r="P5" s="8" t="n">
        <v>0</v>
      </c>
      <c r="Q5" s="8" t="n">
        <v>0.046</v>
      </c>
      <c r="R5" s="23" t="n">
        <v>0</v>
      </c>
      <c r="S5" s="9" t="n">
        <v>5</v>
      </c>
      <c r="T5" s="8" t="n">
        <v>0.175</v>
      </c>
      <c r="U5" s="8" t="n">
        <v>0.015</v>
      </c>
      <c r="V5" s="36">
        <f>1177*52</f>
        <v/>
      </c>
      <c r="W5" s="36">
        <f>V5+((X5-V5)/2)</f>
        <v/>
      </c>
      <c r="X5" s="36">
        <f>2741.4*52</f>
        <v/>
      </c>
      <c r="Y5" s="36">
        <f>(V5+(V5*$J5)+(V5*$M5)+(V5*$N5)+(V5*$O5)+(V5*$P5)+(V5*$Q5)+($R5)+(V5*((52+$S5)/52))*(1+$T5))*1/$L5</f>
        <v/>
      </c>
      <c r="Z5" s="36">
        <f>(W5+(W5*$J5)+(W5*$M5)+(W5*$N5)+(W5*$O5)+(W5*$P5)+(W5*$Q5)+($R5)+(W5*((52+$S5)/52))*(1+$T5))*1/$L5</f>
        <v/>
      </c>
      <c r="AA5" s="36">
        <f>(X5+(X5*$J5)+(X5*$M5)+(X5*$N5)+(X5*$O5)+(X5*$P5)+(X5*$Q5)+($R5)+(X5*((52+$S5)/52))*(1+$T5))*1/$L5</f>
        <v/>
      </c>
      <c r="AB5" s="36">
        <f>Y5/52/$K5</f>
        <v/>
      </c>
      <c r="AC5" s="36">
        <f>Z5/52/$K5</f>
        <v/>
      </c>
      <c r="AD5" s="36">
        <f>AA5/52/$K5</f>
        <v/>
      </c>
      <c r="AE5" s="36">
        <f>($V5*(1+(($U5/100)*1)))</f>
        <v/>
      </c>
      <c r="AF5" s="36">
        <f>($W5*(1+(($U5/100)*1)))</f>
        <v/>
      </c>
      <c r="AG5" s="36">
        <f>($X5*(1+(($U5/100)*1)))</f>
        <v/>
      </c>
      <c r="AH5" s="36">
        <f>(AE5+(AE5*$J5)+(AE5*$M5)+(AE5*$N5)+(AE5*$O5)+(AE5*$P5)+(AE5*$Q5)+($R5)+(AE5*((52+$S5)/52))*(1+$T5))*1/$L5</f>
        <v/>
      </c>
      <c r="AI5" s="36">
        <f>(AF5+(AF5*$J5)+(AF5*$M5)+(AF5*$N5)+(AF5*$O5)+(AF5*$P5)+(AF5*$Q5)+($R5)+(AF5*((52+$S5)/52))*(1+$T5))*1/$L5</f>
        <v/>
      </c>
      <c r="AJ5" s="36">
        <f>(AG5+(AG5*$J5)+(AG5*$M5)+(AG5*$N5)+(AG5*$O5)+(AG5*$P5)+(AG5*$Q5)+($R5)+(AG5*((52+$S5)/52))*(1+$T5))*1/$L5</f>
        <v/>
      </c>
      <c r="AK5" s="36">
        <f>AH5/52/$K5</f>
        <v/>
      </c>
      <c r="AL5" s="36">
        <f>AI5/52/$K5</f>
        <v/>
      </c>
      <c r="AM5" s="36">
        <f>AJ5/52/$K5</f>
        <v/>
      </c>
      <c r="AN5" s="36">
        <f>($V5*(1+(($U5/100)*2)))</f>
        <v/>
      </c>
      <c r="AO5" s="36">
        <f>($W5*(1+(($U5/100)*2)))</f>
        <v/>
      </c>
      <c r="AP5" s="36">
        <f>($X5*(1+(($U5/100)*2)))</f>
        <v/>
      </c>
      <c r="AQ5" s="36">
        <f>(AN5+(AN5*$J5)+(AN5*$M5)+(AN5*$N5)+(AN5*$O5)+(AN5*$P5)+(AN5*$Q5)+($R5)+(AN5*((52+$S5)/52))*(1+$T5))*1/$L5</f>
        <v/>
      </c>
      <c r="AR5" s="36">
        <f>(AO5+(AO5*$J5)+(AO5*$M5)+(AO5*$N5)+(AO5*$O5)+(AO5*$P5)+(AO5*$Q5)+($R5)+(AO5*((52+$S5)/52))*(1+$T5))*1/$L5</f>
        <v/>
      </c>
      <c r="AS5" s="36">
        <f>(AP5+(AP5*$J5)+(AP5*$M5)+(AP5*$N5)+(AP5*$O5)+(AP5*$P5)+(AP5*$Q5)+($R5)+(AP5*((52+$S5)/52))*(1+$T5))*1/$L5</f>
        <v/>
      </c>
      <c r="AT5" s="36">
        <f>AQ5/52/$K5</f>
        <v/>
      </c>
      <c r="AU5" s="36">
        <f>AR5/52/$K5</f>
        <v/>
      </c>
      <c r="AV5" s="36">
        <f>AS5/52/$K5</f>
        <v/>
      </c>
      <c r="AW5" s="36">
        <f>($V5*(1+(($U5/100)*3)))</f>
        <v/>
      </c>
      <c r="AX5" s="36">
        <f>($W5*(1+(($U5/100)*3)))</f>
        <v/>
      </c>
      <c r="AY5" s="36">
        <f>($X5*(1+(($U5/100)*3)))</f>
        <v/>
      </c>
      <c r="AZ5" s="36">
        <f>(AW5+(AW5*$J5)+(AW5*$M5)+(AW5*$N5)+(AW5*$O5)+(AW5*$P5)+(AW5*$Q5)+($R5)+(AW5*((52+$S5)/52))*(1+$T5))*1/$L5</f>
        <v/>
      </c>
      <c r="BA5" s="36">
        <f>(AX5+(AX5*$J5)+(AX5*$M5)+(AX5*$N5)+(AX5*$O5)+(AX5*$P5)+(AX5*$Q5)+($R5)+(AX5*((52+$S5)/52))*(1+$T5))*1/$L5</f>
        <v/>
      </c>
      <c r="BB5" s="36">
        <f>(AY5+(AY5*$J5)+(AY5*$M5)+(AY5*$N5)+(AY5*$O5)+(AY5*$P5)+(AY5*$Q5)+($R5)+(AY5*((52+$S5)/52))*(1+$T5))*1/$L5</f>
        <v/>
      </c>
      <c r="BC5" s="36">
        <f>AZ5/52/$K5</f>
        <v/>
      </c>
      <c r="BD5" s="36">
        <f>BA5/52/$K5</f>
        <v/>
      </c>
      <c r="BE5" s="36">
        <f>BB5/52/$K5</f>
        <v/>
      </c>
      <c r="BF5" s="36">
        <f>($V5*(1+(($U5/100)*4)))</f>
        <v/>
      </c>
      <c r="BG5" s="36">
        <f>($W5*(1+(($U5/100)*4)))</f>
        <v/>
      </c>
      <c r="BH5" s="36">
        <f>($X5*(1+(($U5/100)*4)))</f>
        <v/>
      </c>
      <c r="BI5" s="36">
        <f>(BF5+(BF5*$J5)+(BF5*$M5)+(BF5*$N5)+(BF5*$O5)+(BF5*$P5)+(BF5*$Q5)+($R5)+(BF5*((52+$S5)/52))*(1+$T5))*1/$L5</f>
        <v/>
      </c>
      <c r="BJ5" s="36">
        <f>(BG5+(BG5*$J5)+(BG5*$M5)+(BG5*$N5)+(BG5*$O5)+(BG5*$P5)+(BG5*$Q5)+($R5)+(BG5*((52+$S5)/52))*(1+$T5))*1/$L5</f>
        <v/>
      </c>
      <c r="BK5" s="36">
        <f>(BH5+(BH5*$J5)+(BH5*$M5)+(BH5*$N5)+(BH5*$O5)+(BH5*$P5)+(BH5*$Q5)+($R5)+(BH5*((52+$S5)/52))*(1+$T5))*1/$L5</f>
        <v/>
      </c>
      <c r="BL5" s="36">
        <f>BI5/52/$K5</f>
        <v/>
      </c>
      <c r="BM5" s="36">
        <f>BJ5/52/$K5</f>
        <v/>
      </c>
      <c r="BN5" s="36">
        <f>BK5/52/$K5</f>
        <v/>
      </c>
    </row>
    <row r="6">
      <c r="A6" s="4" t="inlineStr">
        <is>
          <t>VIC</t>
        </is>
      </c>
      <c r="B6" s="19" t="inlineStr">
        <is>
          <t>Admin staff</t>
        </is>
      </c>
      <c r="C6" s="20" t="inlineStr">
        <is>
          <t>AS</t>
        </is>
      </c>
      <c r="D6" s="4" t="inlineStr">
        <is>
          <t>HPA</t>
        </is>
      </c>
      <c r="E6" s="21" t="inlineStr">
        <is>
          <t>3-5</t>
        </is>
      </c>
      <c r="G6" s="4" t="inlineStr">
        <is>
          <t>pp247 HS5-HS7 (July 22)</t>
        </is>
      </c>
      <c r="H6" s="5" t="inlineStr">
        <is>
          <t>1785.7-2257.10</t>
        </is>
      </c>
      <c r="I6" s="5" t="n">
        <v>2022</v>
      </c>
      <c r="J6" s="11" t="n">
        <v>0.105</v>
      </c>
      <c r="K6" s="32" t="n">
        <v>38</v>
      </c>
      <c r="L6" s="8" t="n">
        <v>1</v>
      </c>
      <c r="M6" s="8" t="n">
        <v>0.1</v>
      </c>
      <c r="N6" s="8" t="n">
        <v>0.035</v>
      </c>
      <c r="O6" s="27" t="n">
        <v>0</v>
      </c>
      <c r="P6" s="8" t="n">
        <v>0</v>
      </c>
      <c r="Q6" s="8" t="n">
        <v>0.046</v>
      </c>
      <c r="R6" s="23" t="n">
        <v>0</v>
      </c>
      <c r="S6" s="9" t="n">
        <v>4</v>
      </c>
      <c r="T6" s="8" t="n">
        <v>0.175</v>
      </c>
      <c r="U6" s="8" t="n">
        <v>0.015</v>
      </c>
      <c r="V6" s="36" t="n">
        <v>63701</v>
      </c>
      <c r="W6" s="36">
        <f>V6+((X6-V6)/2)</f>
        <v/>
      </c>
      <c r="X6" s="36" t="n">
        <v>91460</v>
      </c>
      <c r="Y6" s="36">
        <f>(V6+(V6*$J6)+(V6*$M6)+(V6*$N6)+(V6*$O6)+(V6*$P6)+(V6*$Q6)+($R6)+(V6*((52+$S6)/52))*(1+$T6))*1/$L6</f>
        <v/>
      </c>
      <c r="Z6" s="36">
        <f>(W6+(W6*$J6)+(W6*$M6)+(W6*$N6)+(W6*$O6)+(W6*$P6)+(W6*$Q6)+($R6)+(W6*((52+$S6)/52))*(1+$T6))*1/$L6</f>
        <v/>
      </c>
      <c r="AA6" s="36">
        <f>(X6+(X6*$J6)+(X6*$M6)+(X6*$N6)+(X6*$O6)+(X6*$P6)+(X6*$Q6)+($R6)+(X6*((52+$S6)/52))*(1+$T6))*1/$L6</f>
        <v/>
      </c>
      <c r="AB6" s="36">
        <f>Y6/52/$K6</f>
        <v/>
      </c>
      <c r="AC6" s="36">
        <f>Z6/52/$K6</f>
        <v/>
      </c>
      <c r="AD6" s="36">
        <f>AA6/52/$K6</f>
        <v/>
      </c>
      <c r="AE6" s="36">
        <f>($V6*(1+(($U6/100)*1)))</f>
        <v/>
      </c>
      <c r="AF6" s="36">
        <f>($W6*(1+(($U6/100)*1)))</f>
        <v/>
      </c>
      <c r="AG6" s="36">
        <f>($X6*(1+(($U6/100)*1)))</f>
        <v/>
      </c>
      <c r="AH6" s="36">
        <f>(AE6+(AE6*$J6)+(AE6*$M6)+(AE6*$N6)+(AE6*$O6)+(AE6*$P6)+(AE6*$Q6)+($R6)+(AE6*((52+$S6)/52))*(1+$T6))*1/$L6</f>
        <v/>
      </c>
      <c r="AI6" s="36">
        <f>(AF6+(AF6*$J6)+(AF6*$M6)+(AF6*$N6)+(AF6*$O6)+(AF6*$P6)+(AF6*$Q6)+($R6)+(AF6*((52+$S6)/52))*(1+$T6))*1/$L6</f>
        <v/>
      </c>
      <c r="AJ6" s="36">
        <f>(AG6+(AG6*$J6)+(AG6*$M6)+(AG6*$N6)+(AG6*$O6)+(AG6*$P6)+(AG6*$Q6)+($R6)+(AG6*((52+$S6)/52))*(1+$T6))*1/$L6</f>
        <v/>
      </c>
      <c r="AK6" s="36">
        <f>AH6/52/$K6</f>
        <v/>
      </c>
      <c r="AL6" s="36">
        <f>AI6/52/$K6</f>
        <v/>
      </c>
      <c r="AM6" s="36">
        <f>AJ6/52/$K6</f>
        <v/>
      </c>
      <c r="AN6" s="36">
        <f>($V6*(1+(($U6/100)*2)))</f>
        <v/>
      </c>
      <c r="AO6" s="36">
        <f>($W6*(1+(($U6/100)*2)))</f>
        <v/>
      </c>
      <c r="AP6" s="36">
        <f>($X6*(1+(($U6/100)*2)))</f>
        <v/>
      </c>
      <c r="AQ6" s="36">
        <f>(AN6+(AN6*$J6)+(AN6*$M6)+(AN6*$N6)+(AN6*$O6)+(AN6*$P6)+(AN6*$Q6)+($R6)+(AN6*((52+$S6)/52))*(1+$T6))*1/$L6</f>
        <v/>
      </c>
      <c r="AR6" s="36">
        <f>(AO6+(AO6*$J6)+(AO6*$M6)+(AO6*$N6)+(AO6*$O6)+(AO6*$P6)+(AO6*$Q6)+($R6)+(AO6*((52+$S6)/52))*(1+$T6))*1/$L6</f>
        <v/>
      </c>
      <c r="AS6" s="36">
        <f>(AP6+(AP6*$J6)+(AP6*$M6)+(AP6*$N6)+(AP6*$O6)+(AP6*$P6)+(AP6*$Q6)+($R6)+(AP6*((52+$S6)/52))*(1+$T6))*1/$L6</f>
        <v/>
      </c>
      <c r="AT6" s="36">
        <f>AQ6/52/$K6</f>
        <v/>
      </c>
      <c r="AU6" s="36">
        <f>AR6/52/$K6</f>
        <v/>
      </c>
      <c r="AV6" s="36">
        <f>AS6/52/$K6</f>
        <v/>
      </c>
      <c r="AW6" s="36">
        <f>($V6*(1+(($U6/100)*3)))</f>
        <v/>
      </c>
      <c r="AX6" s="36">
        <f>($W6*(1+(($U6/100)*3)))</f>
        <v/>
      </c>
      <c r="AY6" s="36">
        <f>($X6*(1+(($U6/100)*3)))</f>
        <v/>
      </c>
      <c r="AZ6" s="36">
        <f>(AW6+(AW6*$J6)+(AW6*$M6)+(AW6*$N6)+(AW6*$O6)+(AW6*$P6)+(AW6*$Q6)+($R6)+(AW6*((52+$S6)/52))*(1+$T6))*1/$L6</f>
        <v/>
      </c>
      <c r="BA6" s="36">
        <f>(AX6+(AX6*$J6)+(AX6*$M6)+(AX6*$N6)+(AX6*$O6)+(AX6*$P6)+(AX6*$Q6)+($R6)+(AX6*((52+$S6)/52))*(1+$T6))*1/$L6</f>
        <v/>
      </c>
      <c r="BB6" s="36">
        <f>(AY6+(AY6*$J6)+(AY6*$M6)+(AY6*$N6)+(AY6*$O6)+(AY6*$P6)+(AY6*$Q6)+($R6)+(AY6*((52+$S6)/52))*(1+$T6))*1/$L6</f>
        <v/>
      </c>
      <c r="BC6" s="36">
        <f>AZ6/52/$K6</f>
        <v/>
      </c>
      <c r="BD6" s="36">
        <f>BA6/52/$K6</f>
        <v/>
      </c>
      <c r="BE6" s="36">
        <f>BB6/52/$K6</f>
        <v/>
      </c>
      <c r="BF6" s="36">
        <f>($V6*(1+(($U6/100)*4)))</f>
        <v/>
      </c>
      <c r="BG6" s="36">
        <f>($W6*(1+(($U6/100)*4)))</f>
        <v/>
      </c>
      <c r="BH6" s="36">
        <f>($X6*(1+(($U6/100)*4)))</f>
        <v/>
      </c>
      <c r="BI6" s="36">
        <f>(BF6+(BF6*$J6)+(BF6*$M6)+(BF6*$N6)+(BF6*$O6)+(BF6*$P6)+(BF6*$Q6)+($R6)+(BF6*((52+$S6)/52))*(1+$T6))*1/$L6</f>
        <v/>
      </c>
      <c r="BJ6" s="36">
        <f>(BG6+(BG6*$J6)+(BG6*$M6)+(BG6*$N6)+(BG6*$O6)+(BG6*$P6)+(BG6*$Q6)+($R6)+(BG6*((52+$S6)/52))*(1+$T6))*1/$L6</f>
        <v/>
      </c>
      <c r="BK6" s="36">
        <f>(BH6+(BH6*$J6)+(BH6*$M6)+(BH6*$N6)+(BH6*$O6)+(BH6*$P6)+(BH6*$Q6)+($R6)+(BH6*((52+$S6)/52))*(1+$T6))*1/$L6</f>
        <v/>
      </c>
      <c r="BL6" s="36">
        <f>BI6/52/$K6</f>
        <v/>
      </c>
      <c r="BM6" s="36">
        <f>BJ6/52/$K6</f>
        <v/>
      </c>
      <c r="BN6" s="36">
        <f>BK6/52/$K6</f>
        <v/>
      </c>
    </row>
    <row r="7">
      <c r="A7" s="4" t="inlineStr">
        <is>
          <t>VIC</t>
        </is>
      </c>
      <c r="B7" s="19" t="inlineStr">
        <is>
          <t>Bioinformatics staff</t>
        </is>
      </c>
      <c r="C7" s="20" t="inlineStr">
        <is>
          <t>BI</t>
        </is>
      </c>
      <c r="D7" s="4" t="inlineStr">
        <is>
          <t>MCRI Professional and Administrative Salaries</t>
        </is>
      </c>
      <c r="E7" s="21" t="inlineStr">
        <is>
          <t>5-8</t>
        </is>
      </c>
      <c r="F7" s="22" t="n"/>
      <c r="G7" s="4" t="inlineStr">
        <is>
          <t>pp247 HS5-HS7 (July 22)</t>
        </is>
      </c>
      <c r="H7" s="5" t="inlineStr">
        <is>
          <t>1785.7-2525.90</t>
        </is>
      </c>
      <c r="I7" s="5" t="n">
        <v>2022</v>
      </c>
      <c r="J7" s="11" t="n">
        <v>0.105</v>
      </c>
      <c r="K7" s="32" t="n">
        <v>38</v>
      </c>
      <c r="L7" s="8" t="n">
        <v>1</v>
      </c>
      <c r="M7" s="8" t="n">
        <v>0.1</v>
      </c>
      <c r="N7" s="8" t="n">
        <v>0.035</v>
      </c>
      <c r="O7" s="27" t="n">
        <v>0</v>
      </c>
      <c r="P7" s="8" t="n">
        <v>0</v>
      </c>
      <c r="Q7" s="8" t="n">
        <v>0.046</v>
      </c>
      <c r="R7" s="23" t="n">
        <v>0</v>
      </c>
      <c r="S7" s="9" t="n">
        <v>4</v>
      </c>
      <c r="T7" s="8" t="n">
        <v>0.175</v>
      </c>
      <c r="U7" s="8" t="n">
        <v>0.015</v>
      </c>
      <c r="V7" s="36" t="n">
        <v>79624</v>
      </c>
      <c r="W7" s="36">
        <f>V7+((X7-V7)/2)</f>
        <v/>
      </c>
      <c r="X7" s="36" t="n">
        <v>124098</v>
      </c>
      <c r="Y7" s="36">
        <f>(V7+(V7*$J7)+(V7*$M7)+(V7*$N7)+(V7*$O7)+(V7*$P7)+(V7*$Q7)+($R7)+(V7*((52+$S7)/52))*(1+$T7))*1/$L7</f>
        <v/>
      </c>
      <c r="Z7" s="36">
        <f>(W7+(W7*$J7)+(W7*$M7)+(W7*$N7)+(W7*$O7)+(W7*$P7)+(W7*$Q7)+($R7)+(W7*((52+$S7)/52))*(1+$T7))*1/$L7</f>
        <v/>
      </c>
      <c r="AA7" s="36">
        <f>(X7+(X7*$J7)+(X7*$M7)+(X7*$N7)+(X7*$O7)+(X7*$P7)+(X7*$Q7)+($R7)+(X7*((52+$S7)/52))*(1+$T7))*1/$L7</f>
        <v/>
      </c>
      <c r="AB7" s="36">
        <f>Y7/52/$K7</f>
        <v/>
      </c>
      <c r="AC7" s="36">
        <f>Z7/52/$K7</f>
        <v/>
      </c>
      <c r="AD7" s="36">
        <f>AA7/52/$K7</f>
        <v/>
      </c>
      <c r="AE7" s="36">
        <f>($V7*(1+(($U7/100)*1)))</f>
        <v/>
      </c>
      <c r="AF7" s="36">
        <f>($W7*(1+(($U7/100)*1)))</f>
        <v/>
      </c>
      <c r="AG7" s="36">
        <f>($X7*(1+(($U7/100)*1)))</f>
        <v/>
      </c>
      <c r="AH7" s="36">
        <f>(AE7+(AE7*$J7)+(AE7*$M7)+(AE7*$N7)+(AE7*$O7)+(AE7*$P7)+(AE7*$Q7)+($R7)+(AE7*((52+$S7)/52))*(1+$T7))*1/$L7</f>
        <v/>
      </c>
      <c r="AI7" s="36">
        <f>(AF7+(AF7*$J7)+(AF7*$M7)+(AF7*$N7)+(AF7*$O7)+(AF7*$P7)+(AF7*$Q7)+($R7)+(AF7*((52+$S7)/52))*(1+$T7))*1/$L7</f>
        <v/>
      </c>
      <c r="AJ7" s="36">
        <f>(AG7+(AG7*$J7)+(AG7*$M7)+(AG7*$N7)+(AG7*$O7)+(AG7*$P7)+(AG7*$Q7)+($R7)+(AG7*((52+$S7)/52))*(1+$T7))*1/$L7</f>
        <v/>
      </c>
      <c r="AK7" s="36">
        <f>AH7/52/$K7</f>
        <v/>
      </c>
      <c r="AL7" s="36">
        <f>AI7/52/$K7</f>
        <v/>
      </c>
      <c r="AM7" s="36">
        <f>AJ7/52/$K7</f>
        <v/>
      </c>
      <c r="AN7" s="36">
        <f>($V7*(1+(($U7/100)*2)))</f>
        <v/>
      </c>
      <c r="AO7" s="36">
        <f>($W7*(1+(($U7/100)*2)))</f>
        <v/>
      </c>
      <c r="AP7" s="36">
        <f>($X7*(1+(($U7/100)*2)))</f>
        <v/>
      </c>
      <c r="AQ7" s="36">
        <f>(AN7+(AN7*$J7)+(AN7*$M7)+(AN7*$N7)+(AN7*$O7)+(AN7*$P7)+(AN7*$Q7)+($R7)+(AN7*((52+$S7)/52))*(1+$T7))*1/$L7</f>
        <v/>
      </c>
      <c r="AR7" s="36">
        <f>(AO7+(AO7*$J7)+(AO7*$M7)+(AO7*$N7)+(AO7*$O7)+(AO7*$P7)+(AO7*$Q7)+($R7)+(AO7*((52+$S7)/52))*(1+$T7))*1/$L7</f>
        <v/>
      </c>
      <c r="AS7" s="36">
        <f>(AP7+(AP7*$J7)+(AP7*$M7)+(AP7*$N7)+(AP7*$O7)+(AP7*$P7)+(AP7*$Q7)+($R7)+(AP7*((52+$S7)/52))*(1+$T7))*1/$L7</f>
        <v/>
      </c>
      <c r="AT7" s="36">
        <f>AQ7/52/$K7</f>
        <v/>
      </c>
      <c r="AU7" s="36">
        <f>AR7/52/$K7</f>
        <v/>
      </c>
      <c r="AV7" s="36">
        <f>AS7/52/$K7</f>
        <v/>
      </c>
      <c r="AW7" s="36">
        <f>($V7*(1+(($U7/100)*3)))</f>
        <v/>
      </c>
      <c r="AX7" s="36">
        <f>($W7*(1+(($U7/100)*3)))</f>
        <v/>
      </c>
      <c r="AY7" s="36">
        <f>($X7*(1+(($U7/100)*3)))</f>
        <v/>
      </c>
      <c r="AZ7" s="36">
        <f>(AW7+(AW7*$J7)+(AW7*$M7)+(AW7*$N7)+(AW7*$O7)+(AW7*$P7)+(AW7*$Q7)+($R7)+(AW7*((52+$S7)/52))*(1+$T7))*1/$L7</f>
        <v/>
      </c>
      <c r="BA7" s="36">
        <f>(AX7+(AX7*$J7)+(AX7*$M7)+(AX7*$N7)+(AX7*$O7)+(AX7*$P7)+(AX7*$Q7)+($R7)+(AX7*((52+$S7)/52))*(1+$T7))*1/$L7</f>
        <v/>
      </c>
      <c r="BB7" s="36">
        <f>(AY7+(AY7*$J7)+(AY7*$M7)+(AY7*$N7)+(AY7*$O7)+(AY7*$P7)+(AY7*$Q7)+($R7)+(AY7*((52+$S7)/52))*(1+$T7))*1/$L7</f>
        <v/>
      </c>
      <c r="BC7" s="36">
        <f>AZ7/52/$K7</f>
        <v/>
      </c>
      <c r="BD7" s="36">
        <f>BA7/52/$K7</f>
        <v/>
      </c>
      <c r="BE7" s="36">
        <f>BB7/52/$K7</f>
        <v/>
      </c>
      <c r="BF7" s="36">
        <f>($V7*(1+(($U7/100)*4)))</f>
        <v/>
      </c>
      <c r="BG7" s="36">
        <f>($W7*(1+(($U7/100)*4)))</f>
        <v/>
      </c>
      <c r="BH7" s="36">
        <f>($X7*(1+(($U7/100)*4)))</f>
        <v/>
      </c>
      <c r="BI7" s="36">
        <f>(BF7+(BF7*$J7)+(BF7*$M7)+(BF7*$N7)+(BF7*$O7)+(BF7*$P7)+(BF7*$Q7)+($R7)+(BF7*((52+$S7)/52))*(1+$T7))*1/$L7</f>
        <v/>
      </c>
      <c r="BJ7" s="36">
        <f>(BG7+(BG7*$J7)+(BG7*$M7)+(BG7*$N7)+(BG7*$O7)+(BG7*$P7)+(BG7*$Q7)+($R7)+(BG7*((52+$S7)/52))*(1+$T7))*1/$L7</f>
        <v/>
      </c>
      <c r="BK7" s="36">
        <f>(BH7+(BH7*$J7)+(BH7*$M7)+(BH7*$N7)+(BH7*$O7)+(BH7*$P7)+(BH7*$Q7)+($R7)+(BH7*((52+$S7)/52))*(1+$T7))*1/$L7</f>
        <v/>
      </c>
      <c r="BL7" s="36">
        <f>BI7/52/$K7</f>
        <v/>
      </c>
      <c r="BM7" s="36">
        <f>BJ7/52/$K7</f>
        <v/>
      </c>
      <c r="BN7" s="36">
        <f>BK7/52/$K7</f>
        <v/>
      </c>
    </row>
    <row r="8">
      <c r="A8" s="4" t="inlineStr">
        <is>
          <t>VIC</t>
        </is>
      </c>
      <c r="B8" s="19" t="inlineStr">
        <is>
          <t>Pathologists</t>
        </is>
      </c>
      <c r="C8" s="20" t="inlineStr">
        <is>
          <t>MP</t>
        </is>
      </c>
      <c r="D8" s="4" t="inlineStr">
        <is>
          <t>MEDICAL SPECIALISTS (VICTORIAN PUBLIC HEALTH SECTOR) (AMA VICTORIA/ASMOF) (SINGLE INTEREST EMPLOYERS) ENTERPRISE AGREEMENT 2022 – 2026</t>
        </is>
      </c>
      <c r="E8" s="21" t="inlineStr">
        <is>
          <t>Assume year 9, full time</t>
        </is>
      </c>
      <c r="F8" s="4" t="inlineStr">
        <is>
          <t>rightward skewed</t>
        </is>
      </c>
      <c r="G8" s="4" t="inlineStr">
        <is>
          <t>-</t>
        </is>
      </c>
      <c r="H8" s="5" t="inlineStr">
        <is>
          <t>6420.1-7383.20</t>
        </is>
      </c>
      <c r="I8" s="5" t="n">
        <v>2022</v>
      </c>
      <c r="J8" s="11" t="n">
        <v>0.105</v>
      </c>
      <c r="K8" s="32" t="n">
        <v>38</v>
      </c>
      <c r="L8" s="8" t="n">
        <v>1</v>
      </c>
      <c r="M8" s="8" t="n">
        <v>0</v>
      </c>
      <c r="N8" s="8" t="n">
        <v>0.035</v>
      </c>
      <c r="O8" s="27" t="n">
        <v>0</v>
      </c>
      <c r="P8" s="8" t="n">
        <v>0</v>
      </c>
      <c r="Q8" s="8" t="n">
        <v>0.046</v>
      </c>
      <c r="R8" s="23" t="n">
        <v>29000.16</v>
      </c>
      <c r="S8" s="9" t="n">
        <v>4</v>
      </c>
      <c r="T8" s="8" t="n">
        <v>0.175</v>
      </c>
      <c r="U8" s="8" t="n">
        <v>0.015</v>
      </c>
      <c r="V8" s="36">
        <f>4797.5*52</f>
        <v/>
      </c>
      <c r="W8" s="36">
        <f>V8+((X8-V8)/2)</f>
        <v/>
      </c>
      <c r="X8" s="36">
        <f>6596.65*52</f>
        <v/>
      </c>
      <c r="Y8" s="36">
        <f>(V8+(V8*$J8)+(V8*$M8)+(V8*$N8)+(V8*$O8)+(V8*$P8)+(V8*$Q8)+($R8)+(V8*((52+$S8)/52))*(1+$T8))*1/$L8</f>
        <v/>
      </c>
      <c r="Z8" s="36">
        <f>(W8+(W8*$J8)+(W8*$M8)+(W8*$N8)+(W8*$O8)+(W8*$P8)+(W8*$Q8)+($R8)+(W8*((52+$S8)/52))*(1+$T8))*1/$L8</f>
        <v/>
      </c>
      <c r="AA8" s="36">
        <f>(X8+(X8*$J8)+(X8*$M8)+(X8*$N8)+(X8*$O8)+(X8*$P8)+(X8*$Q8)+($R8)+(X8*((52+$S8)/52))*(1+$T8))*1/$L8</f>
        <v/>
      </c>
      <c r="AB8" s="36">
        <f>Y8/52/$K8</f>
        <v/>
      </c>
      <c r="AC8" s="36">
        <f>Z8/52/$K8</f>
        <v/>
      </c>
      <c r="AD8" s="36">
        <f>AA8/52/$K8</f>
        <v/>
      </c>
      <c r="AE8" s="36">
        <f>($V8*(1+(($U8/100)*1)))</f>
        <v/>
      </c>
      <c r="AF8" s="36">
        <f>($W8*(1+(($U8/100)*1)))</f>
        <v/>
      </c>
      <c r="AG8" s="36">
        <f>($X8*(1+(($U8/100)*1)))</f>
        <v/>
      </c>
      <c r="AH8" s="36">
        <f>(AE8+(AE8*$J8)+(AE8*$M8)+(AE8*$N8)+(AE8*$O8)+(AE8*$P8)+(AE8*$Q8)+($R8)+(AE8*((52+$S8)/52))*(1+$T8))*1/$L8</f>
        <v/>
      </c>
      <c r="AI8" s="36">
        <f>(AF8+(AF8*$J8)+(AF8*$M8)+(AF8*$N8)+(AF8*$O8)+(AF8*$P8)+(AF8*$Q8)+($R8)+(AF8*((52+$S8)/52))*(1+$T8))*1/$L8</f>
        <v/>
      </c>
      <c r="AJ8" s="36">
        <f>(AG8+(AG8*$J8)+(AG8*$M8)+(AG8*$N8)+(AG8*$O8)+(AG8*$P8)+(AG8*$Q8)+($R8)+(AG8*((52+$S8)/52))*(1+$T8))*1/$L8</f>
        <v/>
      </c>
      <c r="AK8" s="36">
        <f>AH8/52/$K8</f>
        <v/>
      </c>
      <c r="AL8" s="36">
        <f>AI8/52/$K8</f>
        <v/>
      </c>
      <c r="AM8" s="36">
        <f>AJ8/52/$K8</f>
        <v/>
      </c>
      <c r="AN8" s="36">
        <f>($V8*(1+(($U8/100)*2)))</f>
        <v/>
      </c>
      <c r="AO8" s="36">
        <f>($W8*(1+(($U8/100)*2)))</f>
        <v/>
      </c>
      <c r="AP8" s="36">
        <f>($X8*(1+(($U8/100)*2)))</f>
        <v/>
      </c>
      <c r="AQ8" s="36">
        <f>(AN8+(AN8*$J8)+(AN8*$M8)+(AN8*$N8)+(AN8*$O8)+(AN8*$P8)+(AN8*$Q8)+($R8)+(AN8*((52+$S8)/52))*(1+$T8))*1/$L8</f>
        <v/>
      </c>
      <c r="AR8" s="36">
        <f>(AO8+(AO8*$J8)+(AO8*$M8)+(AO8*$N8)+(AO8*$O8)+(AO8*$P8)+(AO8*$Q8)+($R8)+(AO8*((52+$S8)/52))*(1+$T8))*1/$L8</f>
        <v/>
      </c>
      <c r="AS8" s="36">
        <f>(AP8+(AP8*$J8)+(AP8*$M8)+(AP8*$N8)+(AP8*$O8)+(AP8*$P8)+(AP8*$Q8)+($R8)+(AP8*((52+$S8)/52))*(1+$T8))*1/$L8</f>
        <v/>
      </c>
      <c r="AT8" s="36">
        <f>AQ8/52/$K8</f>
        <v/>
      </c>
      <c r="AU8" s="36">
        <f>AR8/52/$K8</f>
        <v/>
      </c>
      <c r="AV8" s="36">
        <f>AS8/52/$K8</f>
        <v/>
      </c>
      <c r="AW8" s="36">
        <f>($V8*(1+(($U8/100)*3)))</f>
        <v/>
      </c>
      <c r="AX8" s="36">
        <f>($W8*(1+(($U8/100)*3)))</f>
        <v/>
      </c>
      <c r="AY8" s="36">
        <f>($X8*(1+(($U8/100)*3)))</f>
        <v/>
      </c>
      <c r="AZ8" s="36">
        <f>(AW8+(AW8*$J8)+(AW8*$M8)+(AW8*$N8)+(AW8*$O8)+(AW8*$P8)+(AW8*$Q8)+($R8)+(AW8*((52+$S8)/52))*(1+$T8))*1/$L8</f>
        <v/>
      </c>
      <c r="BA8" s="36">
        <f>(AX8+(AX8*$J8)+(AX8*$M8)+(AX8*$N8)+(AX8*$O8)+(AX8*$P8)+(AX8*$Q8)+($R8)+(AX8*((52+$S8)/52))*(1+$T8))*1/$L8</f>
        <v/>
      </c>
      <c r="BB8" s="36">
        <f>(AY8+(AY8*$J8)+(AY8*$M8)+(AY8*$N8)+(AY8*$O8)+(AY8*$P8)+(AY8*$Q8)+($R8)+(AY8*((52+$S8)/52))*(1+$T8))*1/$L8</f>
        <v/>
      </c>
      <c r="BC8" s="36">
        <f>AZ8/52/$K8</f>
        <v/>
      </c>
      <c r="BD8" s="36">
        <f>BA8/52/$K8</f>
        <v/>
      </c>
      <c r="BE8" s="36">
        <f>BB8/52/$K8</f>
        <v/>
      </c>
      <c r="BF8" s="36">
        <f>($V8*(1+(($U8/100)*4)))</f>
        <v/>
      </c>
      <c r="BG8" s="36">
        <f>($W8*(1+(($U8/100)*4)))</f>
        <v/>
      </c>
      <c r="BH8" s="36">
        <f>($X8*(1+(($U8/100)*4)))</f>
        <v/>
      </c>
      <c r="BI8" s="36">
        <f>(BF8+(BF8*$J8)+(BF8*$M8)+(BF8*$N8)+(BF8*$O8)+(BF8*$P8)+(BF8*$Q8)+($R8)+(BF8*((52+$S8)/52))*(1+$T8))*1/$L8</f>
        <v/>
      </c>
      <c r="BJ8" s="36">
        <f>(BG8+(BG8*$J8)+(BG8*$M8)+(BG8*$N8)+(BG8*$O8)+(BG8*$P8)+(BG8*$Q8)+($R8)+(BG8*((52+$S8)/52))*(1+$T8))*1/$L8</f>
        <v/>
      </c>
      <c r="BK8" s="36">
        <f>(BH8+(BH8*$J8)+(BH8*$M8)+(BH8*$N8)+(BH8*$O8)+(BH8*$P8)+(BH8*$Q8)+($R8)+(BH8*((52+$S8)/52))*(1+$T8))*1/$L8</f>
        <v/>
      </c>
      <c r="BL8" s="36">
        <f>BI8/52/$K8</f>
        <v/>
      </c>
      <c r="BM8" s="36">
        <f>BJ8/52/$K8</f>
        <v/>
      </c>
      <c r="BN8" s="36">
        <f>BK8/52/$K8</f>
        <v/>
      </c>
    </row>
    <row r="9">
      <c r="R9" s="23" t="n"/>
      <c r="U9" s="8" t="n"/>
      <c r="V9" s="36" t="n"/>
      <c r="W9" s="36" t="n"/>
      <c r="X9" s="36" t="n"/>
      <c r="Y9" s="36" t="n"/>
      <c r="Z9" s="36" t="n"/>
      <c r="AA9" s="36" t="n"/>
      <c r="AB9" s="36" t="n"/>
      <c r="AC9" s="36" t="n"/>
      <c r="AD9" s="36" t="n"/>
      <c r="AE9" s="5" t="n"/>
      <c r="AF9" s="36" t="n"/>
      <c r="AG9" s="5" t="n"/>
      <c r="AH9" s="5" t="n"/>
      <c r="AI9" s="5" t="n"/>
      <c r="AJ9" s="5" t="n"/>
      <c r="AK9" s="5" t="n"/>
      <c r="AL9" s="5" t="n"/>
      <c r="AM9" s="5" t="n"/>
      <c r="AN9" s="5" t="n"/>
      <c r="AO9" s="5" t="n"/>
      <c r="AP9" s="5" t="n"/>
      <c r="AQ9" s="5" t="n"/>
      <c r="AR9" s="5" t="n"/>
      <c r="AS9" s="5" t="n"/>
      <c r="AT9" s="5" t="n"/>
      <c r="AU9" s="5" t="n"/>
      <c r="AV9" s="5" t="n"/>
      <c r="AW9" s="5" t="n"/>
      <c r="AX9" s="5" t="n"/>
      <c r="AY9" s="5" t="n"/>
      <c r="AZ9" s="5" t="n"/>
      <c r="BA9" s="5" t="n"/>
      <c r="BB9" s="5" t="n"/>
      <c r="BC9" s="5" t="n"/>
      <c r="BD9" s="5" t="n"/>
      <c r="BE9" s="5" t="n"/>
      <c r="BF9" s="5" t="n"/>
      <c r="BG9" s="5" t="n"/>
      <c r="BH9" s="5" t="n"/>
      <c r="BI9" s="5" t="n"/>
      <c r="BJ9" s="5" t="n"/>
      <c r="BK9" s="5" t="n"/>
      <c r="BL9" s="5" t="n"/>
      <c r="BM9" s="5" t="n"/>
      <c r="BN9" s="5" t="n"/>
    </row>
    <row r="10">
      <c r="A10" s="4" t="inlineStr">
        <is>
          <t>SA</t>
        </is>
      </c>
      <c r="B10" s="19" t="inlineStr">
        <is>
          <t>Lab technician</t>
        </is>
      </c>
      <c r="C10" s="20" t="inlineStr">
        <is>
          <t>LT</t>
        </is>
      </c>
      <c r="D10" s="4" t="inlineStr">
        <is>
          <t>S.A. PUBLIC SECTOR SALARIED EMPLOYEES INTERIM AWARD</t>
        </is>
      </c>
      <c r="E10" s="21" t="inlineStr">
        <is>
          <t>TG0-1 - TGO-3</t>
        </is>
      </c>
      <c r="G10" s="24" t="inlineStr">
        <is>
          <t>SA Health Costing Table</t>
        </is>
      </c>
      <c r="I10" s="5" t="n">
        <v>2022</v>
      </c>
      <c r="J10" s="11" t="n">
        <v>0.105</v>
      </c>
      <c r="K10" s="32" t="n">
        <v>37.5</v>
      </c>
      <c r="L10" s="8" t="n">
        <v>1</v>
      </c>
      <c r="M10" s="8" t="n">
        <v>0.1</v>
      </c>
      <c r="N10" s="8" t="n">
        <v>0.035</v>
      </c>
      <c r="O10" s="27" t="n">
        <v>0</v>
      </c>
      <c r="P10" s="8" t="n">
        <v>0</v>
      </c>
      <c r="Q10" s="8" t="n">
        <v>0.046</v>
      </c>
      <c r="R10" s="23" t="n">
        <v>0</v>
      </c>
      <c r="S10" s="9" t="n">
        <v>4</v>
      </c>
      <c r="T10" s="8" t="n">
        <v>0</v>
      </c>
      <c r="U10" s="8" t="n">
        <v>0.015</v>
      </c>
      <c r="V10" s="36" t="n">
        <v>54364</v>
      </c>
      <c r="W10" s="36">
        <f>V10+((X10-V10)/2)</f>
        <v/>
      </c>
      <c r="X10" s="36" t="n">
        <v>100982</v>
      </c>
      <c r="Y10" s="36">
        <f>(V10+(V10*$J10)+(V10*$M10)+(V10*$N10)+(V10*$O10)+(V10*$P10)+(V10*$Q10)+($R10)+(V10*((52+$S10)/52))*(1+$T10))*1/$L10</f>
        <v/>
      </c>
      <c r="Z10" s="36">
        <f>(W10+(W10*$J10)+(W10*$M10)+(W10*$N10)+(W10*$O10)+(W10*$P10)+(W10*$Q10)+($R10)+(W10*((52+$S10)/52))*(1+$T10))*1/$L10</f>
        <v/>
      </c>
      <c r="AA10" s="36">
        <f>(X10+(X10*$J10)+(X10*$M10)+(X10*$N10)+(X10*$O10)+(X10*$P10)+(X10*$Q10)+($R10)+(X10*((52+$S10)/52))*(1+$T10))*1/$L10</f>
        <v/>
      </c>
      <c r="AB10" s="36">
        <f>Y10/52/$K10</f>
        <v/>
      </c>
      <c r="AC10" s="36">
        <f>Z10/52/$K10</f>
        <v/>
      </c>
      <c r="AD10" s="36">
        <f>AA10/52/$K10</f>
        <v/>
      </c>
      <c r="AE10" s="36">
        <f>($V10*(1+(($U10/100)*1)))</f>
        <v/>
      </c>
      <c r="AF10" s="36">
        <f>($W10*(1+(($U10/100)*1)))</f>
        <v/>
      </c>
      <c r="AG10" s="36">
        <f>($X10*(1+(($U10/100)*1)))</f>
        <v/>
      </c>
      <c r="AH10" s="36">
        <f>(AE10+(AE10*$J10)+(AE10*$M10)+(AE10*$N10)+(AE10*$O10)+(AE10*$P10)+(AE10*$Q10)+($R10)+(AE10*((52+$S10)/52))*(1+$T10))*1/$L10</f>
        <v/>
      </c>
      <c r="AI10" s="36">
        <f>(AF10+(AF10*$J10)+(AF10*$M10)+(AF10*$N10)+(AF10*$O10)+(AF10*$P10)+(AF10*$Q10)+($R10)+(AF10*((52+$S10)/52))*(1+$T10))*1/$L10</f>
        <v/>
      </c>
      <c r="AJ10" s="36">
        <f>(AG10+(AG10*$J10)+(AG10*$M10)+(AG10*$N10)+(AG10*$O10)+(AG10*$P10)+(AG10*$Q10)+($R10)+(AG10*((52+$S10)/52))*(1+$T10))*1/$L10</f>
        <v/>
      </c>
      <c r="AK10" s="36">
        <f>AH10/52/$K10</f>
        <v/>
      </c>
      <c r="AL10" s="36">
        <f>AI10/52/$K10</f>
        <v/>
      </c>
      <c r="AM10" s="36">
        <f>AJ10/52/$K10</f>
        <v/>
      </c>
      <c r="AN10" s="36">
        <f>($V10*(1+(($U10/100)*2)))</f>
        <v/>
      </c>
      <c r="AO10" s="36">
        <f>($W10*(1+(($U10/100)*2)))</f>
        <v/>
      </c>
      <c r="AP10" s="36">
        <f>($X10*(1+(($U10/100)*2)))</f>
        <v/>
      </c>
      <c r="AQ10" s="36">
        <f>(AN10+(AN10*$J10)+(AN10*$M10)+(AN10*$N10)+(AN10*$O10)+(AN10*$P10)+(AN10*$Q10)+($R10)+(AN10*((52+$S10)/52))*(1+$T10))*1/$L10</f>
        <v/>
      </c>
      <c r="AR10" s="36">
        <f>(AO10+(AO10*$J10)+(AO10*$M10)+(AO10*$N10)+(AO10*$O10)+(AO10*$P10)+(AO10*$Q10)+($R10)+(AO10*((52+$S10)/52))*(1+$T10))*1/$L10</f>
        <v/>
      </c>
      <c r="AS10" s="36">
        <f>(AP10+(AP10*$J10)+(AP10*$M10)+(AP10*$N10)+(AP10*$O10)+(AP10*$P10)+(AP10*$Q10)+($R10)+(AP10*((52+$S10)/52))*(1+$T10))*1/$L10</f>
        <v/>
      </c>
      <c r="AT10" s="36">
        <f>AQ10/52/$K10</f>
        <v/>
      </c>
      <c r="AU10" s="36">
        <f>AR10/52/$K10</f>
        <v/>
      </c>
      <c r="AV10" s="36">
        <f>AS10/52/$K10</f>
        <v/>
      </c>
      <c r="AW10" s="36">
        <f>($V10*(1+(($U10/100)*3)))</f>
        <v/>
      </c>
      <c r="AX10" s="36">
        <f>($W10*(1+(($U10/100)*3)))</f>
        <v/>
      </c>
      <c r="AY10" s="36">
        <f>($X10*(1+(($U10/100)*3)))</f>
        <v/>
      </c>
      <c r="AZ10" s="36">
        <f>(AW10+(AW10*$J10)+(AW10*$M10)+(AW10*$N10)+(AW10*$O10)+(AW10*$P10)+(AW10*$Q10)+($R10)+(AW10*((52+$S10)/52))*(1+$T10))*1/$L10</f>
        <v/>
      </c>
      <c r="BA10" s="36">
        <f>(AX10+(AX10*$J10)+(AX10*$M10)+(AX10*$N10)+(AX10*$O10)+(AX10*$P10)+(AX10*$Q10)+($R10)+(AX10*((52+$S10)/52))*(1+$T10))*1/$L10</f>
        <v/>
      </c>
      <c r="BB10" s="36">
        <f>(AY10+(AY10*$J10)+(AY10*$M10)+(AY10*$N10)+(AY10*$O10)+(AY10*$P10)+(AY10*$Q10)+($R10)+(AY10*((52+$S10)/52))*(1+$T10))*1/$L10</f>
        <v/>
      </c>
      <c r="BC10" s="36">
        <f>AZ10/52/$K10</f>
        <v/>
      </c>
      <c r="BD10" s="36">
        <f>BA10/52/$K10</f>
        <v/>
      </c>
      <c r="BE10" s="36">
        <f>BB10/52/$K10</f>
        <v/>
      </c>
      <c r="BF10" s="36">
        <f>($V10*(1+(($U10/100)*4)))</f>
        <v/>
      </c>
      <c r="BG10" s="36">
        <f>($W10*(1+(($U10/100)*4)))</f>
        <v/>
      </c>
      <c r="BH10" s="36">
        <f>($X10*(1+(($U10/100)*4)))</f>
        <v/>
      </c>
      <c r="BI10" s="36">
        <f>(BF10+(BF10*$J10)+(BF10*$M10)+(BF10*$N10)+(BF10*$O10)+(BF10*$P10)+(BF10*$Q10)+($R10)+(BF10*((52+$S10)/52))*(1+$T10))*1/$L10</f>
        <v/>
      </c>
      <c r="BJ10" s="36">
        <f>(BG10+(BG10*$J10)+(BG10*$M10)+(BG10*$N10)+(BG10*$O10)+(BG10*$P10)+(BG10*$Q10)+($R10)+(BG10*((52+$S10)/52))*(1+$T10))*1/$L10</f>
        <v/>
      </c>
      <c r="BK10" s="36">
        <f>(BH10+(BH10*$J10)+(BH10*$M10)+(BH10*$N10)+(BH10*$O10)+(BH10*$P10)+(BH10*$Q10)+($R10)+(BH10*((52+$S10)/52))*(1+$T10))*1/$L10</f>
        <v/>
      </c>
      <c r="BL10" s="36">
        <f>BI10/52/$K10</f>
        <v/>
      </c>
      <c r="BM10" s="36">
        <f>BJ10/52/$K10</f>
        <v/>
      </c>
      <c r="BN10" s="36">
        <f>BK10/52/$K10</f>
        <v/>
      </c>
    </row>
    <row r="11">
      <c r="A11" s="4" t="inlineStr">
        <is>
          <t>SA</t>
        </is>
      </c>
      <c r="B11" s="19" t="inlineStr">
        <is>
          <t>Medical scientist</t>
        </is>
      </c>
      <c r="C11" s="20" t="inlineStr">
        <is>
          <t>MS</t>
        </is>
      </c>
      <c r="D11" s="4" t="inlineStr">
        <is>
          <t>MEDICAL SCIENTISTS (SOUTH AUSTRALIAN PUBLIC SECTOR) AWARD</t>
        </is>
      </c>
      <c r="E11" s="21" t="inlineStr">
        <is>
          <t>MS1 - MS4</t>
        </is>
      </c>
      <c r="F11" s="4" t="inlineStr">
        <is>
          <t>-</t>
        </is>
      </c>
      <c r="G11" s="4" t="inlineStr">
        <is>
          <t>pp38 (Schedule 4, pg 1)</t>
        </is>
      </c>
      <c r="H11" s="5" t="inlineStr">
        <is>
          <t>1145.45-2310.89</t>
        </is>
      </c>
      <c r="I11" s="5" t="n">
        <v>2022</v>
      </c>
      <c r="J11" s="11" t="n">
        <v>0.105</v>
      </c>
      <c r="K11" s="32" t="n">
        <v>37.5</v>
      </c>
      <c r="L11" s="8" t="n">
        <v>1</v>
      </c>
      <c r="M11" s="8" t="n">
        <v>0.1</v>
      </c>
      <c r="N11" s="8" t="n">
        <v>0.035</v>
      </c>
      <c r="O11" s="27" t="n">
        <v>0</v>
      </c>
      <c r="P11" s="8" t="n">
        <v>0</v>
      </c>
      <c r="Q11" s="8" t="n">
        <v>0.046</v>
      </c>
      <c r="R11" s="23" t="n">
        <v>0</v>
      </c>
      <c r="S11" s="9" t="n">
        <v>5</v>
      </c>
      <c r="T11" s="8" t="n">
        <v>0</v>
      </c>
      <c r="U11" s="8" t="n">
        <v>0.015</v>
      </c>
      <c r="V11" s="36" t="n">
        <v>66386</v>
      </c>
      <c r="W11" s="36">
        <f>V11+((X11-V11)/2)</f>
        <v/>
      </c>
      <c r="X11" s="36" t="n">
        <v>142090</v>
      </c>
      <c r="Y11" s="36">
        <f>(V11+(V11*$J11)+(V11*$M11)+(V11*$N11)+(V11*$O11)+(V11*$P11)+(V11*$Q11)+($R11)+(V11*((52+$S11)/52))*(1+$T11))*1/$L11</f>
        <v/>
      </c>
      <c r="Z11" s="36">
        <f>(W11+(W11*$J11)+(W11*$M11)+(W11*$N11)+(W11*$O11)+(W11*$P11)+(W11*$Q11)+($R11)+(W11*((52+$S11)/52))*(1+$T11))*1/$L11</f>
        <v/>
      </c>
      <c r="AA11" s="36">
        <f>(X11+(X11*$J11)+(X11*$M11)+(X11*$N11)+(X11*$O11)+(X11*$P11)+(X11*$Q11)+($R11)+(X11*((52+$S11)/52))*(1+$T11))*1/$L11</f>
        <v/>
      </c>
      <c r="AB11" s="36">
        <f>Y11/52/$K11</f>
        <v/>
      </c>
      <c r="AC11" s="36">
        <f>Z11/52/$K11</f>
        <v/>
      </c>
      <c r="AD11" s="36">
        <f>AA11/52/$K11</f>
        <v/>
      </c>
      <c r="AE11" s="36">
        <f>($V11*(1+(($U11/100)*1)))</f>
        <v/>
      </c>
      <c r="AF11" s="36">
        <f>($W11*(1+(($U11/100)*1)))</f>
        <v/>
      </c>
      <c r="AG11" s="36">
        <f>($X11*(1+(($U11/100)*1)))</f>
        <v/>
      </c>
      <c r="AH11" s="36">
        <f>(AE11+(AE11*$J11)+(AE11*$M11)+(AE11*$N11)+(AE11*$O11)+(AE11*$P11)+(AE11*$Q11)+($R11)+(AE11*((52+$S11)/52))*(1+$T11))*1/$L11</f>
        <v/>
      </c>
      <c r="AI11" s="36">
        <f>(AF11+(AF11*$J11)+(AF11*$M11)+(AF11*$N11)+(AF11*$O11)+(AF11*$P11)+(AF11*$Q11)+($R11)+(AF11*((52+$S11)/52))*(1+$T11))*1/$L11</f>
        <v/>
      </c>
      <c r="AJ11" s="36">
        <f>(AG11+(AG11*$J11)+(AG11*$M11)+(AG11*$N11)+(AG11*$O11)+(AG11*$P11)+(AG11*$Q11)+($R11)+(AG11*((52+$S11)/52))*(1+$T11))*1/$L11</f>
        <v/>
      </c>
      <c r="AK11" s="36">
        <f>AH11/52/$K11</f>
        <v/>
      </c>
      <c r="AL11" s="36">
        <f>AI11/52/$K11</f>
        <v/>
      </c>
      <c r="AM11" s="36">
        <f>AJ11/52/$K11</f>
        <v/>
      </c>
      <c r="AN11" s="36">
        <f>($V11*(1+(($U11/100)*2)))</f>
        <v/>
      </c>
      <c r="AO11" s="36">
        <f>($W11*(1+(($U11/100)*2)))</f>
        <v/>
      </c>
      <c r="AP11" s="36">
        <f>($X11*(1+(($U11/100)*2)))</f>
        <v/>
      </c>
      <c r="AQ11" s="36">
        <f>(AN11+(AN11*$J11)+(AN11*$M11)+(AN11*$N11)+(AN11*$O11)+(AN11*$P11)+(AN11*$Q11)+($R11)+(AN11*((52+$S11)/52))*(1+$T11))*1/$L11</f>
        <v/>
      </c>
      <c r="AR11" s="36">
        <f>(AO11+(AO11*$J11)+(AO11*$M11)+(AO11*$N11)+(AO11*$O11)+(AO11*$P11)+(AO11*$Q11)+($R11)+(AO11*((52+$S11)/52))*(1+$T11))*1/$L11</f>
        <v/>
      </c>
      <c r="AS11" s="36">
        <f>(AP11+(AP11*$J11)+(AP11*$M11)+(AP11*$N11)+(AP11*$O11)+(AP11*$P11)+(AP11*$Q11)+($R11)+(AP11*((52+$S11)/52))*(1+$T11))*1/$L11</f>
        <v/>
      </c>
      <c r="AT11" s="36">
        <f>AQ11/52/$K11</f>
        <v/>
      </c>
      <c r="AU11" s="36">
        <f>AR11/52/$K11</f>
        <v/>
      </c>
      <c r="AV11" s="36">
        <f>AS11/52/$K11</f>
        <v/>
      </c>
      <c r="AW11" s="36">
        <f>($V11*(1+(($U11/100)*3)))</f>
        <v/>
      </c>
      <c r="AX11" s="36">
        <f>($W11*(1+(($U11/100)*3)))</f>
        <v/>
      </c>
      <c r="AY11" s="36">
        <f>($X11*(1+(($U11/100)*3)))</f>
        <v/>
      </c>
      <c r="AZ11" s="36">
        <f>(AW11+(AW11*$J11)+(AW11*$M11)+(AW11*$N11)+(AW11*$O11)+(AW11*$P11)+(AW11*$Q11)+($R11)+(AW11*((52+$S11)/52))*(1+$T11))*1/$L11</f>
        <v/>
      </c>
      <c r="BA11" s="36">
        <f>(AX11+(AX11*$J11)+(AX11*$M11)+(AX11*$N11)+(AX11*$O11)+(AX11*$P11)+(AX11*$Q11)+($R11)+(AX11*((52+$S11)/52))*(1+$T11))*1/$L11</f>
        <v/>
      </c>
      <c r="BB11" s="36">
        <f>(AY11+(AY11*$J11)+(AY11*$M11)+(AY11*$N11)+(AY11*$O11)+(AY11*$P11)+(AY11*$Q11)+($R11)+(AY11*((52+$S11)/52))*(1+$T11))*1/$L11</f>
        <v/>
      </c>
      <c r="BC11" s="36">
        <f>AZ11/52/$K11</f>
        <v/>
      </c>
      <c r="BD11" s="36">
        <f>BA11/52/$K11</f>
        <v/>
      </c>
      <c r="BE11" s="36">
        <f>BB11/52/$K11</f>
        <v/>
      </c>
      <c r="BF11" s="36">
        <f>($V11*(1+(($U11/100)*4)))</f>
        <v/>
      </c>
      <c r="BG11" s="36">
        <f>($W11*(1+(($U11/100)*4)))</f>
        <v/>
      </c>
      <c r="BH11" s="36">
        <f>($X11*(1+(($U11/100)*4)))</f>
        <v/>
      </c>
      <c r="BI11" s="36">
        <f>(BF11+(BF11*$J11)+(BF11*$M11)+(BF11*$N11)+(BF11*$O11)+(BF11*$P11)+(BF11*$Q11)+($R11)+(BF11*((52+$S11)/52))*(1+$T11))*1/$L11</f>
        <v/>
      </c>
      <c r="BJ11" s="36">
        <f>(BG11+(BG11*$J11)+(BG11*$M11)+(BG11*$N11)+(BG11*$O11)+(BG11*$P11)+(BG11*$Q11)+($R11)+(BG11*((52+$S11)/52))*(1+$T11))*1/$L11</f>
        <v/>
      </c>
      <c r="BK11" s="36">
        <f>(BH11+(BH11*$J11)+(BH11*$M11)+(BH11*$N11)+(BH11*$O11)+(BH11*$P11)+(BH11*$Q11)+($R11)+(BH11*((52+$S11)/52))*(1+$T11))*1/$L11</f>
        <v/>
      </c>
      <c r="BL11" s="36">
        <f>BI11/52/$K11</f>
        <v/>
      </c>
      <c r="BM11" s="36">
        <f>BJ11/52/$K11</f>
        <v/>
      </c>
      <c r="BN11" s="36">
        <f>BK11/52/$K11</f>
        <v/>
      </c>
    </row>
    <row r="12">
      <c r="A12" s="4" t="inlineStr">
        <is>
          <t>SA</t>
        </is>
      </c>
      <c r="B12" s="19" t="inlineStr">
        <is>
          <t>Admin staff</t>
        </is>
      </c>
      <c r="C12" s="20" t="inlineStr">
        <is>
          <t>AS</t>
        </is>
      </c>
      <c r="D12" s="4" t="inlineStr">
        <is>
          <t>S.A. PUBLIC SECTOR SALARIED EMPLOYEES INTERIM AWARD</t>
        </is>
      </c>
      <c r="E12" s="21" t="inlineStr">
        <is>
          <t>ASO2-1 - ASO3-3</t>
        </is>
      </c>
      <c r="I12" s="5" t="n">
        <v>2022</v>
      </c>
      <c r="J12" s="11" t="n">
        <v>0.105</v>
      </c>
      <c r="K12" s="32" t="n">
        <v>37.5</v>
      </c>
      <c r="L12" s="8" t="n">
        <v>1</v>
      </c>
      <c r="M12" s="8" t="n">
        <v>0.1</v>
      </c>
      <c r="N12" s="8" t="n">
        <v>0.035</v>
      </c>
      <c r="O12" s="27" t="n">
        <v>0</v>
      </c>
      <c r="P12" s="8" t="n">
        <v>0</v>
      </c>
      <c r="Q12" s="8" t="n">
        <v>0.046</v>
      </c>
      <c r="R12" s="23" t="n">
        <v>0</v>
      </c>
      <c r="S12" s="9" t="n">
        <v>4</v>
      </c>
      <c r="T12" s="8" t="n">
        <v>0</v>
      </c>
      <c r="U12" s="8" t="n">
        <v>0.015</v>
      </c>
      <c r="V12" s="36" t="n">
        <v>56916</v>
      </c>
      <c r="W12" s="36">
        <f>V12+((X12-V12)/2)</f>
        <v/>
      </c>
      <c r="X12" s="36" t="n">
        <v>69832</v>
      </c>
      <c r="Y12" s="36">
        <f>(V12+(V12*$J12)+(V12*$M12)+(V12*$N12)+(V12*$O12)+(V12*$P12)+(V12*$Q12)+($R12)+(V12*((52+$S12)/52))*(1+$T12))*1/$L12</f>
        <v/>
      </c>
      <c r="Z12" s="36">
        <f>(W12+(W12*$J12)+(W12*$M12)+(W12*$N12)+(W12*$O12)+(W12*$P12)+(W12*$Q12)+($R12)+(W12*((52+$S12)/52))*(1+$T12))*1/$L12</f>
        <v/>
      </c>
      <c r="AA12" s="36">
        <f>(X12+(X12*$J12)+(X12*$M12)+(X12*$N12)+(X12*$O12)+(X12*$P12)+(X12*$Q12)+($R12)+(X12*((52+$S12)/52))*(1+$T12))*1/$L12</f>
        <v/>
      </c>
      <c r="AB12" s="36">
        <f>Y12/52/$K12</f>
        <v/>
      </c>
      <c r="AC12" s="36">
        <f>Z12/52/$K12</f>
        <v/>
      </c>
      <c r="AD12" s="36">
        <f>AA12/52/$K12</f>
        <v/>
      </c>
      <c r="AE12" s="36">
        <f>($V12*(1+(($U12/100)*1)))</f>
        <v/>
      </c>
      <c r="AF12" s="36">
        <f>($W12*(1+(($U12/100)*1)))</f>
        <v/>
      </c>
      <c r="AG12" s="36">
        <f>($X12*(1+(($U12/100)*1)))</f>
        <v/>
      </c>
      <c r="AH12" s="36">
        <f>(AE12+(AE12*$J12)+(AE12*$M12)+(AE12*$N12)+(AE12*$O12)+(AE12*$P12)+(AE12*$Q12)+($R12)+(AE12*((52+$S12)/52))*(1+$T12))*1/$L12</f>
        <v/>
      </c>
      <c r="AI12" s="36">
        <f>(AF12+(AF12*$J12)+(AF12*$M12)+(AF12*$N12)+(AF12*$O12)+(AF12*$P12)+(AF12*$Q12)+($R12)+(AF12*((52+$S12)/52))*(1+$T12))*1/$L12</f>
        <v/>
      </c>
      <c r="AJ12" s="36">
        <f>(AG12+(AG12*$J12)+(AG12*$M12)+(AG12*$N12)+(AG12*$O12)+(AG12*$P12)+(AG12*$Q12)+($R12)+(AG12*((52+$S12)/52))*(1+$T12))*1/$L12</f>
        <v/>
      </c>
      <c r="AK12" s="36">
        <f>AH12/52/$K12</f>
        <v/>
      </c>
      <c r="AL12" s="36">
        <f>AI12/52/$K12</f>
        <v/>
      </c>
      <c r="AM12" s="36">
        <f>AJ12/52/$K12</f>
        <v/>
      </c>
      <c r="AN12" s="36">
        <f>($V12*(1+(($U12/100)*2)))</f>
        <v/>
      </c>
      <c r="AO12" s="36">
        <f>($W12*(1+(($U12/100)*2)))</f>
        <v/>
      </c>
      <c r="AP12" s="36">
        <f>($X12*(1+(($U12/100)*2)))</f>
        <v/>
      </c>
      <c r="AQ12" s="36">
        <f>(AN12+(AN12*$J12)+(AN12*$M12)+(AN12*$N12)+(AN12*$O12)+(AN12*$P12)+(AN12*$Q12)+($R12)+(AN12*((52+$S12)/52))*(1+$T12))*1/$L12</f>
        <v/>
      </c>
      <c r="AR12" s="36">
        <f>(AO12+(AO12*$J12)+(AO12*$M12)+(AO12*$N12)+(AO12*$O12)+(AO12*$P12)+(AO12*$Q12)+($R12)+(AO12*((52+$S12)/52))*(1+$T12))*1/$L12</f>
        <v/>
      </c>
      <c r="AS12" s="36">
        <f>(AP12+(AP12*$J12)+(AP12*$M12)+(AP12*$N12)+(AP12*$O12)+(AP12*$P12)+(AP12*$Q12)+($R12)+(AP12*((52+$S12)/52))*(1+$T12))*1/$L12</f>
        <v/>
      </c>
      <c r="AT12" s="36">
        <f>AQ12/52/$K12</f>
        <v/>
      </c>
      <c r="AU12" s="36">
        <f>AR12/52/$K12</f>
        <v/>
      </c>
      <c r="AV12" s="36">
        <f>AS12/52/$K12</f>
        <v/>
      </c>
      <c r="AW12" s="36">
        <f>($V12*(1+(($U12/100)*3)))</f>
        <v/>
      </c>
      <c r="AX12" s="36">
        <f>($W12*(1+(($U12/100)*3)))</f>
        <v/>
      </c>
      <c r="AY12" s="36">
        <f>($X12*(1+(($U12/100)*3)))</f>
        <v/>
      </c>
      <c r="AZ12" s="36">
        <f>(AW12+(AW12*$J12)+(AW12*$M12)+(AW12*$N12)+(AW12*$O12)+(AW12*$P12)+(AW12*$Q12)+($R12)+(AW12*((52+$S12)/52))*(1+$T12))*1/$L12</f>
        <v/>
      </c>
      <c r="BA12" s="36">
        <f>(AX12+(AX12*$J12)+(AX12*$M12)+(AX12*$N12)+(AX12*$O12)+(AX12*$P12)+(AX12*$Q12)+($R12)+(AX12*((52+$S12)/52))*(1+$T12))*1/$L12</f>
        <v/>
      </c>
      <c r="BB12" s="36">
        <f>(AY12+(AY12*$J12)+(AY12*$M12)+(AY12*$N12)+(AY12*$O12)+(AY12*$P12)+(AY12*$Q12)+($R12)+(AY12*((52+$S12)/52))*(1+$T12))*1/$L12</f>
        <v/>
      </c>
      <c r="BC12" s="36">
        <f>AZ12/52/$K12</f>
        <v/>
      </c>
      <c r="BD12" s="36">
        <f>BA12/52/$K12</f>
        <v/>
      </c>
      <c r="BE12" s="36">
        <f>BB12/52/$K12</f>
        <v/>
      </c>
      <c r="BF12" s="36">
        <f>($V12*(1+(($U12/100)*4)))</f>
        <v/>
      </c>
      <c r="BG12" s="36">
        <f>($W12*(1+(($U12/100)*4)))</f>
        <v/>
      </c>
      <c r="BH12" s="36">
        <f>($X12*(1+(($U12/100)*4)))</f>
        <v/>
      </c>
      <c r="BI12" s="36">
        <f>(BF12+(BF12*$J12)+(BF12*$M12)+(BF12*$N12)+(BF12*$O12)+(BF12*$P12)+(BF12*$Q12)+($R12)+(BF12*((52+$S12)/52))*(1+$T12))*1/$L12</f>
        <v/>
      </c>
      <c r="BJ12" s="36">
        <f>(BG12+(BG12*$J12)+(BG12*$M12)+(BG12*$N12)+(BG12*$O12)+(BG12*$P12)+(BG12*$Q12)+($R12)+(BG12*((52+$S12)/52))*(1+$T12))*1/$L12</f>
        <v/>
      </c>
      <c r="BK12" s="36">
        <f>(BH12+(BH12*$J12)+(BH12*$M12)+(BH12*$N12)+(BH12*$O12)+(BH12*$P12)+(BH12*$Q12)+($R12)+(BH12*((52+$S12)/52))*(1+$T12))*1/$L12</f>
        <v/>
      </c>
      <c r="BL12" s="36">
        <f>BI12/52/$K12</f>
        <v/>
      </c>
      <c r="BM12" s="36">
        <f>BJ12/52/$K12</f>
        <v/>
      </c>
      <c r="BN12" s="36">
        <f>BK12/52/$K12</f>
        <v/>
      </c>
    </row>
    <row r="13">
      <c r="A13" s="4" t="inlineStr">
        <is>
          <t>SA</t>
        </is>
      </c>
      <c r="B13" s="19" t="inlineStr">
        <is>
          <t>Bioinformatics staff</t>
        </is>
      </c>
      <c r="C13" s="20" t="inlineStr">
        <is>
          <t>BI</t>
        </is>
      </c>
      <c r="D13" s="4" t="inlineStr">
        <is>
          <t>S.A. PUBLIC SECTOR SALARIED EMPLOYEES INTERIM AWARD</t>
        </is>
      </c>
      <c r="E13" s="21" t="inlineStr">
        <is>
          <t>PO-1 - PO-4</t>
        </is>
      </c>
      <c r="I13" s="5" t="n">
        <v>2022</v>
      </c>
      <c r="J13" s="11" t="n">
        <v>0.105</v>
      </c>
      <c r="K13" s="32" t="n">
        <v>37.5</v>
      </c>
      <c r="L13" s="8" t="n">
        <v>1</v>
      </c>
      <c r="M13" s="8" t="n">
        <v>0.1</v>
      </c>
      <c r="N13" s="8" t="n">
        <v>0.035</v>
      </c>
      <c r="O13" s="27" t="n">
        <v>0</v>
      </c>
      <c r="P13" s="8" t="n">
        <v>0</v>
      </c>
      <c r="Q13" s="8" t="n">
        <v>0.046</v>
      </c>
      <c r="R13" s="23" t="n">
        <v>0</v>
      </c>
      <c r="S13" s="9" t="n">
        <v>4</v>
      </c>
      <c r="T13" s="8" t="n">
        <v>0</v>
      </c>
      <c r="U13" s="8" t="n">
        <v>0.015</v>
      </c>
      <c r="V13" s="36" t="n">
        <v>66386</v>
      </c>
      <c r="W13" s="36">
        <f>V13+((X13-V13)/2)</f>
        <v/>
      </c>
      <c r="X13" s="36" t="n">
        <v>116789</v>
      </c>
      <c r="Y13" s="36">
        <f>(V13+(V13*$J13)+(V13*$M13)+(V13*$N13)+(V13*$O13)+(V13*$P13)+(V13*$Q13)+($R13)+(V13*((52+$S13)/52))*(1+$T13))*1/$L13</f>
        <v/>
      </c>
      <c r="Z13" s="36">
        <f>(W13+(W13*$J13)+(W13*$M13)+(W13*$N13)+(W13*$O13)+(W13*$P13)+(W13*$Q13)+($R13)+(W13*((52+$S13)/52))*(1+$T13))*1/$L13</f>
        <v/>
      </c>
      <c r="AA13" s="36">
        <f>(X13+(X13*$J13)+(X13*$M13)+(X13*$N13)+(X13*$O13)+(X13*$P13)+(X13*$Q13)+($R13)+(X13*((52+$S13)/52))*(1+$T13))*1/$L13</f>
        <v/>
      </c>
      <c r="AB13" s="36">
        <f>Y13/52/$K13</f>
        <v/>
      </c>
      <c r="AC13" s="36">
        <f>Z13/52/$K13</f>
        <v/>
      </c>
      <c r="AD13" s="36">
        <f>AA13/52/$K13</f>
        <v/>
      </c>
      <c r="AE13" s="36">
        <f>($V13*(1+(($U13/100)*1)))</f>
        <v/>
      </c>
      <c r="AF13" s="36">
        <f>($W13*(1+(($U13/100)*1)))</f>
        <v/>
      </c>
      <c r="AG13" s="36">
        <f>($X13*(1+(($U13/100)*1)))</f>
        <v/>
      </c>
      <c r="AH13" s="36">
        <f>(AE13+(AE13*$J13)+(AE13*$M13)+(AE13*$N13)+(AE13*$O13)+(AE13*$P13)+(AE13*$Q13)+($R13)+(AE13*((52+$S13)/52))*(1+$T13))*1/$L13</f>
        <v/>
      </c>
      <c r="AI13" s="36">
        <f>(AF13+(AF13*$J13)+(AF13*$M13)+(AF13*$N13)+(AF13*$O13)+(AF13*$P13)+(AF13*$Q13)+($R13)+(AF13*((52+$S13)/52))*(1+$T13))*1/$L13</f>
        <v/>
      </c>
      <c r="AJ13" s="36">
        <f>(AG13+(AG13*$J13)+(AG13*$M13)+(AG13*$N13)+(AG13*$O13)+(AG13*$P13)+(AG13*$Q13)+($R13)+(AG13*((52+$S13)/52))*(1+$T13))*1/$L13</f>
        <v/>
      </c>
      <c r="AK13" s="36">
        <f>AH13/52/$K13</f>
        <v/>
      </c>
      <c r="AL13" s="36">
        <f>AI13/52/$K13</f>
        <v/>
      </c>
      <c r="AM13" s="36">
        <f>AJ13/52/$K13</f>
        <v/>
      </c>
      <c r="AN13" s="36">
        <f>($V13*(1+(($U13/100)*2)))</f>
        <v/>
      </c>
      <c r="AO13" s="36">
        <f>($W13*(1+(($U13/100)*2)))</f>
        <v/>
      </c>
      <c r="AP13" s="36">
        <f>($X13*(1+(($U13/100)*2)))</f>
        <v/>
      </c>
      <c r="AQ13" s="36">
        <f>(AN13+(AN13*$J13)+(AN13*$M13)+(AN13*$N13)+(AN13*$O13)+(AN13*$P13)+(AN13*$Q13)+($R13)+(AN13*((52+$S13)/52))*(1+$T13))*1/$L13</f>
        <v/>
      </c>
      <c r="AR13" s="36">
        <f>(AO13+(AO13*$J13)+(AO13*$M13)+(AO13*$N13)+(AO13*$O13)+(AO13*$P13)+(AO13*$Q13)+($R13)+(AO13*((52+$S13)/52))*(1+$T13))*1/$L13</f>
        <v/>
      </c>
      <c r="AS13" s="36">
        <f>(AP13+(AP13*$J13)+(AP13*$M13)+(AP13*$N13)+(AP13*$O13)+(AP13*$P13)+(AP13*$Q13)+($R13)+(AP13*((52+$S13)/52))*(1+$T13))*1/$L13</f>
        <v/>
      </c>
      <c r="AT13" s="36">
        <f>AQ13/52/$K13</f>
        <v/>
      </c>
      <c r="AU13" s="36">
        <f>AR13/52/$K13</f>
        <v/>
      </c>
      <c r="AV13" s="36">
        <f>AS13/52/$K13</f>
        <v/>
      </c>
      <c r="AW13" s="36">
        <f>($V13*(1+(($U13/100)*3)))</f>
        <v/>
      </c>
      <c r="AX13" s="36">
        <f>($W13*(1+(($U13/100)*3)))</f>
        <v/>
      </c>
      <c r="AY13" s="36">
        <f>($X13*(1+(($U13/100)*3)))</f>
        <v/>
      </c>
      <c r="AZ13" s="36">
        <f>(AW13+(AW13*$J13)+(AW13*$M13)+(AW13*$N13)+(AW13*$O13)+(AW13*$P13)+(AW13*$Q13)+($R13)+(AW13*((52+$S13)/52))*(1+$T13))*1/$L13</f>
        <v/>
      </c>
      <c r="BA13" s="36">
        <f>(AX13+(AX13*$J13)+(AX13*$M13)+(AX13*$N13)+(AX13*$O13)+(AX13*$P13)+(AX13*$Q13)+($R13)+(AX13*((52+$S13)/52))*(1+$T13))*1/$L13</f>
        <v/>
      </c>
      <c r="BB13" s="36">
        <f>(AY13+(AY13*$J13)+(AY13*$M13)+(AY13*$N13)+(AY13*$O13)+(AY13*$P13)+(AY13*$Q13)+($R13)+(AY13*((52+$S13)/52))*(1+$T13))*1/$L13</f>
        <v/>
      </c>
      <c r="BC13" s="36">
        <f>AZ13/52/$K13</f>
        <v/>
      </c>
      <c r="BD13" s="36">
        <f>BA13/52/$K13</f>
        <v/>
      </c>
      <c r="BE13" s="36">
        <f>BB13/52/$K13</f>
        <v/>
      </c>
      <c r="BF13" s="36">
        <f>($V13*(1+(($U13/100)*4)))</f>
        <v/>
      </c>
      <c r="BG13" s="36">
        <f>($W13*(1+(($U13/100)*4)))</f>
        <v/>
      </c>
      <c r="BH13" s="36">
        <f>($X13*(1+(($U13/100)*4)))</f>
        <v/>
      </c>
      <c r="BI13" s="36">
        <f>(BF13+(BF13*$J13)+(BF13*$M13)+(BF13*$N13)+(BF13*$O13)+(BF13*$P13)+(BF13*$Q13)+($R13)+(BF13*((52+$S13)/52))*(1+$T13))*1/$L13</f>
        <v/>
      </c>
      <c r="BJ13" s="36">
        <f>(BG13+(BG13*$J13)+(BG13*$M13)+(BG13*$N13)+(BG13*$O13)+(BG13*$P13)+(BG13*$Q13)+($R13)+(BG13*((52+$S13)/52))*(1+$T13))*1/$L13</f>
        <v/>
      </c>
      <c r="BK13" s="36">
        <f>(BH13+(BH13*$J13)+(BH13*$M13)+(BH13*$N13)+(BH13*$O13)+(BH13*$P13)+(BH13*$Q13)+($R13)+(BH13*((52+$S13)/52))*(1+$T13))*1/$L13</f>
        <v/>
      </c>
      <c r="BL13" s="36">
        <f>BI13/52/$K13</f>
        <v/>
      </c>
      <c r="BM13" s="36">
        <f>BJ13/52/$K13</f>
        <v/>
      </c>
      <c r="BN13" s="36">
        <f>BK13/52/$K13</f>
        <v/>
      </c>
    </row>
    <row r="14">
      <c r="A14" s="4" t="inlineStr">
        <is>
          <t>SA</t>
        </is>
      </c>
      <c r="B14" s="19" t="inlineStr">
        <is>
          <t>Pathologists</t>
        </is>
      </c>
      <c r="C14" s="20" t="inlineStr">
        <is>
          <t>MP</t>
        </is>
      </c>
      <c r="D14" s="4" t="inlineStr">
        <is>
          <t>SA Health Salaried Medical Officers Enterprise Agreement 2022</t>
        </is>
      </c>
      <c r="E14" s="21" t="inlineStr">
        <is>
          <t>MD0201 - MD029G</t>
        </is>
      </c>
      <c r="I14" s="5" t="n">
        <v>2022</v>
      </c>
      <c r="J14" s="11" t="n">
        <v>0.105</v>
      </c>
      <c r="K14" s="32" t="n">
        <v>38</v>
      </c>
      <c r="L14" s="8" t="n">
        <v>1</v>
      </c>
      <c r="M14" s="8" t="n">
        <v>0</v>
      </c>
      <c r="N14" s="8" t="n">
        <v>0.035</v>
      </c>
      <c r="O14" s="27" t="n">
        <v>0</v>
      </c>
      <c r="P14" s="8" t="n">
        <v>0.6</v>
      </c>
      <c r="Q14" s="8" t="n">
        <v>0.046</v>
      </c>
      <c r="R14" s="23" t="n">
        <v>26000</v>
      </c>
      <c r="S14" s="9" t="n">
        <v>5</v>
      </c>
      <c r="T14" s="8" t="n">
        <v>0.175</v>
      </c>
      <c r="U14" s="8" t="n">
        <v>0.015</v>
      </c>
      <c r="V14" s="36" t="n">
        <v>221622</v>
      </c>
      <c r="W14" s="36">
        <f>V14+((X14-V14)/2)</f>
        <v/>
      </c>
      <c r="X14" s="36" t="n">
        <v>292019</v>
      </c>
      <c r="Y14" s="36">
        <f>(V14+(V14*$J14)+(V14*$M14)+(V14*$N14)+(V14*$O14)+(V14*$P14)+(V14*$Q14)+($R14)+(V14*((52+$S14)/52))*(1+$T14))*1/$L14</f>
        <v/>
      </c>
      <c r="Z14" s="36">
        <f>(W14+(W14*$J14)+(W14*$M14)+(W14*$N14)+(W14*$O14)+(W14*$P14)+(W14*$Q14)+($R14)+(W14*((52+$S14)/52))*(1+$T14))*1/$L14</f>
        <v/>
      </c>
      <c r="AA14" s="36">
        <f>(X14+(X14*$J14)+(X14*$M14)+(X14*$N14)+(X14*$O14)+(X14*$P14)+(X14*$Q14)+($R14)+(X14*((52+$S14)/52))*(1+$T14))*1/$L14</f>
        <v/>
      </c>
      <c r="AB14" s="36">
        <f>Y14/52/$K14</f>
        <v/>
      </c>
      <c r="AC14" s="36">
        <f>Z14/52/$K14</f>
        <v/>
      </c>
      <c r="AD14" s="36">
        <f>AA14/52/$K14</f>
        <v/>
      </c>
      <c r="AE14" s="36">
        <f>($V14*(1+(($U14/100)*1)))</f>
        <v/>
      </c>
      <c r="AF14" s="36">
        <f>($W14*(1+(($U14/100)*1)))</f>
        <v/>
      </c>
      <c r="AG14" s="36">
        <f>($X14*(1+(($U14/100)*1)))</f>
        <v/>
      </c>
      <c r="AH14" s="36">
        <f>(AE14+(AE14*$J14)+(AE14*$M14)+(AE14*$N14)+(AE14*$O14)+(AE14*$P14)+(AE14*$Q14)+($R14)+(AE14*((52+$S14)/52))*(1+$T14))*1/$L14</f>
        <v/>
      </c>
      <c r="AI14" s="36">
        <f>(AF14+(AF14*$J14)+(AF14*$M14)+(AF14*$N14)+(AF14*$O14)+(AF14*$P14)+(AF14*$Q14)+($R14)+(AF14*((52+$S14)/52))*(1+$T14))*1/$L14</f>
        <v/>
      </c>
      <c r="AJ14" s="36">
        <f>(AG14+(AG14*$J14)+(AG14*$M14)+(AG14*$N14)+(AG14*$O14)+(AG14*$P14)+(AG14*$Q14)+($R14)+(AG14*((52+$S14)/52))*(1+$T14))*1/$L14</f>
        <v/>
      </c>
      <c r="AK14" s="36">
        <f>AH14/52/$K14</f>
        <v/>
      </c>
      <c r="AL14" s="36">
        <f>AI14/52/$K14</f>
        <v/>
      </c>
      <c r="AM14" s="36">
        <f>AJ14/52/$K14</f>
        <v/>
      </c>
      <c r="AN14" s="36">
        <f>($V14*(1+(($U14/100)*2)))</f>
        <v/>
      </c>
      <c r="AO14" s="36">
        <f>($W14*(1+(($U14/100)*2)))</f>
        <v/>
      </c>
      <c r="AP14" s="36">
        <f>($X14*(1+(($U14/100)*2)))</f>
        <v/>
      </c>
      <c r="AQ14" s="36">
        <f>(AN14+(AN14*$J14)+(AN14*$M14)+(AN14*$N14)+(AN14*$O14)+(AN14*$P14)+(AN14*$Q14)+($R14)+(AN14*((52+$S14)/52))*(1+$T14))*1/$L14</f>
        <v/>
      </c>
      <c r="AR14" s="36">
        <f>(AO14+(AO14*$J14)+(AO14*$M14)+(AO14*$N14)+(AO14*$O14)+(AO14*$P14)+(AO14*$Q14)+($R14)+(AO14*((52+$S14)/52))*(1+$T14))*1/$L14</f>
        <v/>
      </c>
      <c r="AS14" s="36">
        <f>(AP14+(AP14*$J14)+(AP14*$M14)+(AP14*$N14)+(AP14*$O14)+(AP14*$P14)+(AP14*$Q14)+($R14)+(AP14*((52+$S14)/52))*(1+$T14))*1/$L14</f>
        <v/>
      </c>
      <c r="AT14" s="36">
        <f>AQ14/52/$K14</f>
        <v/>
      </c>
      <c r="AU14" s="36">
        <f>AR14/52/$K14</f>
        <v/>
      </c>
      <c r="AV14" s="36">
        <f>AS14/52/$K14</f>
        <v/>
      </c>
      <c r="AW14" s="36">
        <f>($V14*(1+(($U14/100)*3)))</f>
        <v/>
      </c>
      <c r="AX14" s="36">
        <f>($W14*(1+(($U14/100)*3)))</f>
        <v/>
      </c>
      <c r="AY14" s="36">
        <f>($X14*(1+(($U14/100)*3)))</f>
        <v/>
      </c>
      <c r="AZ14" s="36">
        <f>(AW14+(AW14*$J14)+(AW14*$M14)+(AW14*$N14)+(AW14*$O14)+(AW14*$P14)+(AW14*$Q14)+($R14)+(AW14*((52+$S14)/52))*(1+$T14))*1/$L14</f>
        <v/>
      </c>
      <c r="BA14" s="36">
        <f>(AX14+(AX14*$J14)+(AX14*$M14)+(AX14*$N14)+(AX14*$O14)+(AX14*$P14)+(AX14*$Q14)+($R14)+(AX14*((52+$S14)/52))*(1+$T14))*1/$L14</f>
        <v/>
      </c>
      <c r="BB14" s="36">
        <f>(AY14+(AY14*$J14)+(AY14*$M14)+(AY14*$N14)+(AY14*$O14)+(AY14*$P14)+(AY14*$Q14)+($R14)+(AY14*((52+$S14)/52))*(1+$T14))*1/$L14</f>
        <v/>
      </c>
      <c r="BC14" s="36">
        <f>AZ14/52/$K14</f>
        <v/>
      </c>
      <c r="BD14" s="36">
        <f>BA14/52/$K14</f>
        <v/>
      </c>
      <c r="BE14" s="36">
        <f>BB14/52/$K14</f>
        <v/>
      </c>
      <c r="BF14" s="36">
        <f>($V14*(1+(($U14/100)*4)))</f>
        <v/>
      </c>
      <c r="BG14" s="36">
        <f>($W14*(1+(($U14/100)*4)))</f>
        <v/>
      </c>
      <c r="BH14" s="36">
        <f>($X14*(1+(($U14/100)*4)))</f>
        <v/>
      </c>
      <c r="BI14" s="36">
        <f>(BF14+(BF14*$J14)+(BF14*$M14)+(BF14*$N14)+(BF14*$O14)+(BF14*$P14)+(BF14*$Q14)+($R14)+(BF14*((52+$S14)/52))*(1+$T14))*1/$L14</f>
        <v/>
      </c>
      <c r="BJ14" s="36">
        <f>(BG14+(BG14*$J14)+(BG14*$M14)+(BG14*$N14)+(BG14*$O14)+(BG14*$P14)+(BG14*$Q14)+($R14)+(BG14*((52+$S14)/52))*(1+$T14))*1/$L14</f>
        <v/>
      </c>
      <c r="BK14" s="36">
        <f>(BH14+(BH14*$J14)+(BH14*$M14)+(BH14*$N14)+(BH14*$O14)+(BH14*$P14)+(BH14*$Q14)+($R14)+(BH14*((52+$S14)/52))*(1+$T14))*1/$L14</f>
        <v/>
      </c>
      <c r="BL14" s="36">
        <f>BI14/52/$K14</f>
        <v/>
      </c>
      <c r="BM14" s="36">
        <f>BJ14/52/$K14</f>
        <v/>
      </c>
      <c r="BN14" s="36">
        <f>BK14/52/$K14</f>
        <v/>
      </c>
    </row>
    <row r="15">
      <c r="R15" s="23" t="n"/>
      <c r="U15" s="8" t="n"/>
      <c r="V15" s="36" t="n"/>
      <c r="W15" s="36" t="n"/>
      <c r="X15" s="36" t="n"/>
      <c r="Y15" s="36" t="n"/>
      <c r="Z15" s="36" t="n"/>
      <c r="AA15" s="36" t="n"/>
      <c r="AB15" s="36" t="n"/>
      <c r="AC15" s="36" t="n"/>
      <c r="AD15" s="36"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row>
    <row r="16" ht="15" customHeight="1">
      <c r="A16" s="4" t="inlineStr">
        <is>
          <t>NSW</t>
        </is>
      </c>
      <c r="B16" s="19" t="inlineStr">
        <is>
          <t>Lab technician</t>
        </is>
      </c>
      <c r="C16" s="20" t="inlineStr">
        <is>
          <t>LT</t>
        </is>
      </c>
      <c r="D16" s="4" t="inlineStr">
        <is>
          <t>Health Employees (State) Award</t>
        </is>
      </c>
      <c r="E16" s="21" t="inlineStr">
        <is>
          <t>Tech Assistant G1-3</t>
        </is>
      </c>
      <c r="I16" s="5" t="n">
        <v>2022</v>
      </c>
      <c r="J16" s="11" t="n">
        <v>0.105</v>
      </c>
      <c r="K16" s="32" t="n">
        <v>40</v>
      </c>
      <c r="L16" s="8" t="n">
        <v>1</v>
      </c>
      <c r="M16" s="8" t="n">
        <v>0.1</v>
      </c>
      <c r="N16" s="8" t="n">
        <v>0.035</v>
      </c>
      <c r="O16" s="27" t="n">
        <v>0</v>
      </c>
      <c r="P16" s="8" t="n">
        <v>0</v>
      </c>
      <c r="Q16" s="8" t="n">
        <v>0.046</v>
      </c>
      <c r="R16" s="23" t="n">
        <v>0</v>
      </c>
      <c r="S16" s="9" t="n">
        <v>4</v>
      </c>
      <c r="T16" s="8" t="n">
        <v>0</v>
      </c>
      <c r="U16" s="8" t="n">
        <v>0.015</v>
      </c>
      <c r="V16" s="39">
        <f>1154.19*52</f>
        <v/>
      </c>
      <c r="W16" s="36">
        <f>V16+((X16-V16)/2)</f>
        <v/>
      </c>
      <c r="X16" s="36">
        <f>1831.87*52</f>
        <v/>
      </c>
      <c r="Y16" s="36">
        <f>(V16+(V16*$J16)+(V16*$M16)+(V16*$N16)+(V16*$O16)+(V16*$P16)+(V16*$Q16)+($R16)+(V16*((52+$S16)/52))*(1+$T16))*1/$L16</f>
        <v/>
      </c>
      <c r="Z16" s="36">
        <f>(W16+(W16*$J16)+(W16*$M16)+(W16*$N16)+(W16*$O16)+(W16*$P16)+(W16*$Q16)+($R16)+(W16*((52+$S16)/52))*(1+$T16))*1/$L16</f>
        <v/>
      </c>
      <c r="AA16" s="36">
        <f>(X16+(X16*$J16)+(X16*$M16)+(X16*$N16)+(X16*$O16)+(X16*$P16)+(X16*$Q16)+($R16)+(X16*((52+$S16)/52))*(1+$T16))*1/$L16</f>
        <v/>
      </c>
      <c r="AB16" s="36">
        <f>Y16/52/$K16</f>
        <v/>
      </c>
      <c r="AC16" s="36">
        <f>Z16/52/$K16</f>
        <v/>
      </c>
      <c r="AD16" s="36">
        <f>AA16/52/$K16</f>
        <v/>
      </c>
      <c r="AE16" s="36">
        <f>($V16*(1+(($U16/100)*1)))</f>
        <v/>
      </c>
      <c r="AF16" s="36">
        <f>($W16*(1+(($U16/100)*1)))</f>
        <v/>
      </c>
      <c r="AG16" s="36">
        <f>($X16*(1+(($U16/100)*1)))</f>
        <v/>
      </c>
      <c r="AH16" s="36">
        <f>(AE16+(AE16*$J16)+(AE16*$M16)+(AE16*$N16)+(AE16*$O16)+(AE16*$P16)+(AE16*$Q16)+($R16)+(AE16*((52+$S16)/52))*(1+$T16))*1/$L16</f>
        <v/>
      </c>
      <c r="AI16" s="36">
        <f>(AF16+(AF16*$J16)+(AF16*$M16)+(AF16*$N16)+(AF16*$O16)+(AF16*$P16)+(AF16*$Q16)+($R16)+(AF16*((52+$S16)/52))*(1+$T16))*1/$L16</f>
        <v/>
      </c>
      <c r="AJ16" s="36">
        <f>(AG16+(AG16*$J16)+(AG16*$M16)+(AG16*$N16)+(AG16*$O16)+(AG16*$P16)+(AG16*$Q16)+($R16)+(AG16*((52+$S16)/52))*(1+$T16))*1/$L16</f>
        <v/>
      </c>
      <c r="AK16" s="36">
        <f>AH16/52/$K16</f>
        <v/>
      </c>
      <c r="AL16" s="36">
        <f>AI16/52/$K16</f>
        <v/>
      </c>
      <c r="AM16" s="36">
        <f>AJ16/52/$K16</f>
        <v/>
      </c>
      <c r="AN16" s="36">
        <f>($V16*(1+(($U16/100)*2)))</f>
        <v/>
      </c>
      <c r="AO16" s="36">
        <f>($W16*(1+(($U16/100)*2)))</f>
        <v/>
      </c>
      <c r="AP16" s="36">
        <f>($X16*(1+(($U16/100)*2)))</f>
        <v/>
      </c>
      <c r="AQ16" s="36">
        <f>(AN16+(AN16*$J16)+(AN16*$M16)+(AN16*$N16)+(AN16*$O16)+(AN16*$P16)+(AN16*$Q16)+($R16)+(AN16*((52+$S16)/52))*(1+$T16))*1/$L16</f>
        <v/>
      </c>
      <c r="AR16" s="36">
        <f>(AO16+(AO16*$J16)+(AO16*$M16)+(AO16*$N16)+(AO16*$O16)+(AO16*$P16)+(AO16*$Q16)+($R16)+(AO16*((52+$S16)/52))*(1+$T16))*1/$L16</f>
        <v/>
      </c>
      <c r="AS16" s="36">
        <f>(AP16+(AP16*$J16)+(AP16*$M16)+(AP16*$N16)+(AP16*$O16)+(AP16*$P16)+(AP16*$Q16)+($R16)+(AP16*((52+$S16)/52))*(1+$T16))*1/$L16</f>
        <v/>
      </c>
      <c r="AT16" s="36">
        <f>AQ16/52/$K16</f>
        <v/>
      </c>
      <c r="AU16" s="36">
        <f>AR16/52/$K16</f>
        <v/>
      </c>
      <c r="AV16" s="36">
        <f>AS16/52/$K16</f>
        <v/>
      </c>
      <c r="AW16" s="36">
        <f>($V16*(1+(($U16/100)*3)))</f>
        <v/>
      </c>
      <c r="AX16" s="36">
        <f>($W16*(1+(($U16/100)*3)))</f>
        <v/>
      </c>
      <c r="AY16" s="36">
        <f>($X16*(1+(($U16/100)*3)))</f>
        <v/>
      </c>
      <c r="AZ16" s="36">
        <f>(AW16+(AW16*$J16)+(AW16*$M16)+(AW16*$N16)+(AW16*$O16)+(AW16*$P16)+(AW16*$Q16)+($R16)+(AW16*((52+$S16)/52))*(1+$T16))*1/$L16</f>
        <v/>
      </c>
      <c r="BA16" s="36">
        <f>(AX16+(AX16*$J16)+(AX16*$M16)+(AX16*$N16)+(AX16*$O16)+(AX16*$P16)+(AX16*$Q16)+($R16)+(AX16*((52+$S16)/52))*(1+$T16))*1/$L16</f>
        <v/>
      </c>
      <c r="BB16" s="36">
        <f>(AY16+(AY16*$J16)+(AY16*$M16)+(AY16*$N16)+(AY16*$O16)+(AY16*$P16)+(AY16*$Q16)+($R16)+(AY16*((52+$S16)/52))*(1+$T16))*1/$L16</f>
        <v/>
      </c>
      <c r="BC16" s="36">
        <f>AZ16/52/$K16</f>
        <v/>
      </c>
      <c r="BD16" s="36">
        <f>BA16/52/$K16</f>
        <v/>
      </c>
      <c r="BE16" s="36">
        <f>BB16/52/$K16</f>
        <v/>
      </c>
      <c r="BF16" s="36">
        <f>($V16*(1+(($U16/100)*4)))</f>
        <v/>
      </c>
      <c r="BG16" s="36">
        <f>($W16*(1+(($U16/100)*4)))</f>
        <v/>
      </c>
      <c r="BH16" s="36">
        <f>($X16*(1+(($U16/100)*4)))</f>
        <v/>
      </c>
      <c r="BI16" s="36">
        <f>(BF16+(BF16*$J16)+(BF16*$M16)+(BF16*$N16)+(BF16*$O16)+(BF16*$P16)+(BF16*$Q16)+($R16)+(BF16*((52+$S16)/52))*(1+$T16))*1/$L16</f>
        <v/>
      </c>
      <c r="BJ16" s="36">
        <f>(BG16+(BG16*$J16)+(BG16*$M16)+(BG16*$N16)+(BG16*$O16)+(BG16*$P16)+(BG16*$Q16)+($R16)+(BG16*((52+$S16)/52))*(1+$T16))*1/$L16</f>
        <v/>
      </c>
      <c r="BK16" s="36">
        <f>(BH16+(BH16*$J16)+(BH16*$M16)+(BH16*$N16)+(BH16*$O16)+(BH16*$P16)+(BH16*$Q16)+($R16)+(BH16*((52+$S16)/52))*(1+$T16))*1/$L16</f>
        <v/>
      </c>
      <c r="BL16" s="36">
        <f>BI16/52/$K16</f>
        <v/>
      </c>
      <c r="BM16" s="36">
        <f>BJ16/52/$K16</f>
        <v/>
      </c>
      <c r="BN16" s="36">
        <f>BK16/52/$K16</f>
        <v/>
      </c>
    </row>
    <row r="17">
      <c r="A17" s="4" t="inlineStr">
        <is>
          <t>NSW</t>
        </is>
      </c>
      <c r="B17" s="19" t="inlineStr">
        <is>
          <t>Medical scientist</t>
        </is>
      </c>
      <c r="C17" s="20" t="inlineStr">
        <is>
          <t>MS</t>
        </is>
      </c>
      <c r="D17" s="4" t="inlineStr">
        <is>
          <t>Hospital Scientists (State) Award</t>
        </is>
      </c>
      <c r="E17" s="21" t="inlineStr">
        <is>
          <t>1-3</t>
        </is>
      </c>
      <c r="I17" s="5" t="n">
        <v>2022</v>
      </c>
      <c r="J17" s="11" t="n">
        <v>0.105</v>
      </c>
      <c r="K17" s="32" t="n">
        <v>38</v>
      </c>
      <c r="L17" s="8" t="n">
        <v>1</v>
      </c>
      <c r="M17" s="8" t="n">
        <v>0.1</v>
      </c>
      <c r="N17" s="8" t="n">
        <v>0.035</v>
      </c>
      <c r="O17" s="27" t="n">
        <v>0</v>
      </c>
      <c r="P17" s="8" t="n">
        <v>0</v>
      </c>
      <c r="Q17" s="8" t="n">
        <v>0.046</v>
      </c>
      <c r="R17" s="23" t="n">
        <v>0</v>
      </c>
      <c r="S17" s="9" t="n">
        <v>4</v>
      </c>
      <c r="T17" s="8" t="n">
        <v>0.175</v>
      </c>
      <c r="U17" s="8" t="n">
        <v>0.015</v>
      </c>
      <c r="V17" s="36">
        <f>1292.77*52</f>
        <v/>
      </c>
      <c r="W17" s="36">
        <f>V17+((X17-V17)/2)</f>
        <v/>
      </c>
      <c r="X17" s="36">
        <f>2664.91*52</f>
        <v/>
      </c>
      <c r="Y17" s="36">
        <f>(V17+(V17*$J17)+(V17*$M17)+(V17*$N17)+(V17*$O17)+(V17*$P17)+(V17*$Q17)+($R17)+(V17*((52+$S17)/52))*(1+$T17))*1/$L17</f>
        <v/>
      </c>
      <c r="Z17" s="36">
        <f>(W17+(W17*$J17)+(W17*$M17)+(W17*$N17)+(W17*$O17)+(W17*$P17)+(W17*$Q17)+($R17)+(W17*((52+$S17)/52))*(1+$T17))*1/$L17</f>
        <v/>
      </c>
      <c r="AA17" s="36">
        <f>(X17+(X17*$J17)+(X17*$M17)+(X17*$N17)+(X17*$O17)+(X17*$P17)+(X17*$Q17)+($R17)+(X17*((52+$S17)/52))*(1+$T17))*1/$L17</f>
        <v/>
      </c>
      <c r="AB17" s="36">
        <f>Y17/52/$K17</f>
        <v/>
      </c>
      <c r="AC17" s="36">
        <f>Z17/52/$K17</f>
        <v/>
      </c>
      <c r="AD17" s="36">
        <f>AA17/52/$K17</f>
        <v/>
      </c>
      <c r="AE17" s="36">
        <f>($V17*(1+(($U17/100)*1)))</f>
        <v/>
      </c>
      <c r="AF17" s="36">
        <f>($W17*(1+(($U17/100)*1)))</f>
        <v/>
      </c>
      <c r="AG17" s="36">
        <f>($X17*(1+(($U17/100)*1)))</f>
        <v/>
      </c>
      <c r="AH17" s="36">
        <f>(AE17+(AE17*$J17)+(AE17*$M17)+(AE17*$N17)+(AE17*$O17)+(AE17*$P17)+(AE17*$Q17)+($R17)+(AE17*((52+$S17)/52))*(1+$T17))*1/$L17</f>
        <v/>
      </c>
      <c r="AI17" s="36">
        <f>(AF17+(AF17*$J17)+(AF17*$M17)+(AF17*$N17)+(AF17*$O17)+(AF17*$P17)+(AF17*$Q17)+($R17)+(AF17*((52+$S17)/52))*(1+$T17))*1/$L17</f>
        <v/>
      </c>
      <c r="AJ17" s="36">
        <f>(AG17+(AG17*$J17)+(AG17*$M17)+(AG17*$N17)+(AG17*$O17)+(AG17*$P17)+(AG17*$Q17)+($R17)+(AG17*((52+$S17)/52))*(1+$T17))*1/$L17</f>
        <v/>
      </c>
      <c r="AK17" s="36">
        <f>AH17/52/$K17</f>
        <v/>
      </c>
      <c r="AL17" s="36">
        <f>AI17/52/$K17</f>
        <v/>
      </c>
      <c r="AM17" s="36">
        <f>AJ17/52/$K17</f>
        <v/>
      </c>
      <c r="AN17" s="36">
        <f>($V17*(1+(($U17/100)*2)))</f>
        <v/>
      </c>
      <c r="AO17" s="36">
        <f>($W17*(1+(($U17/100)*2)))</f>
        <v/>
      </c>
      <c r="AP17" s="36">
        <f>($X17*(1+(($U17/100)*2)))</f>
        <v/>
      </c>
      <c r="AQ17" s="36">
        <f>(AN17+(AN17*$J17)+(AN17*$M17)+(AN17*$N17)+(AN17*$O17)+(AN17*$P17)+(AN17*$Q17)+($R17)+(AN17*((52+$S17)/52))*(1+$T17))*1/$L17</f>
        <v/>
      </c>
      <c r="AR17" s="36">
        <f>(AO17+(AO17*$J17)+(AO17*$M17)+(AO17*$N17)+(AO17*$O17)+(AO17*$P17)+(AO17*$Q17)+($R17)+(AO17*((52+$S17)/52))*(1+$T17))*1/$L17</f>
        <v/>
      </c>
      <c r="AS17" s="36">
        <f>(AP17+(AP17*$J17)+(AP17*$M17)+(AP17*$N17)+(AP17*$O17)+(AP17*$P17)+(AP17*$Q17)+($R17)+(AP17*((52+$S17)/52))*(1+$T17))*1/$L17</f>
        <v/>
      </c>
      <c r="AT17" s="36">
        <f>AQ17/52/$K17</f>
        <v/>
      </c>
      <c r="AU17" s="36">
        <f>AR17/52/$K17</f>
        <v/>
      </c>
      <c r="AV17" s="36">
        <f>AS17/52/$K17</f>
        <v/>
      </c>
      <c r="AW17" s="36">
        <f>($V17*(1+(($U17/100)*3)))</f>
        <v/>
      </c>
      <c r="AX17" s="36">
        <f>($W17*(1+(($U17/100)*3)))</f>
        <v/>
      </c>
      <c r="AY17" s="36">
        <f>($X17*(1+(($U17/100)*3)))</f>
        <v/>
      </c>
      <c r="AZ17" s="36">
        <f>(AW17+(AW17*$J17)+(AW17*$M17)+(AW17*$N17)+(AW17*$O17)+(AW17*$P17)+(AW17*$Q17)+($R17)+(AW17*((52+$S17)/52))*(1+$T17))*1/$L17</f>
        <v/>
      </c>
      <c r="BA17" s="36">
        <f>(AX17+(AX17*$J17)+(AX17*$M17)+(AX17*$N17)+(AX17*$O17)+(AX17*$P17)+(AX17*$Q17)+($R17)+(AX17*((52+$S17)/52))*(1+$T17))*1/$L17</f>
        <v/>
      </c>
      <c r="BB17" s="36">
        <f>(AY17+(AY17*$J17)+(AY17*$M17)+(AY17*$N17)+(AY17*$O17)+(AY17*$P17)+(AY17*$Q17)+($R17)+(AY17*((52+$S17)/52))*(1+$T17))*1/$L17</f>
        <v/>
      </c>
      <c r="BC17" s="36">
        <f>AZ17/52/$K17</f>
        <v/>
      </c>
      <c r="BD17" s="36">
        <f>BA17/52/$K17</f>
        <v/>
      </c>
      <c r="BE17" s="36">
        <f>BB17/52/$K17</f>
        <v/>
      </c>
      <c r="BF17" s="36">
        <f>($V17*(1+(($U17/100)*4)))</f>
        <v/>
      </c>
      <c r="BG17" s="36">
        <f>($W17*(1+(($U17/100)*4)))</f>
        <v/>
      </c>
      <c r="BH17" s="36">
        <f>($X17*(1+(($U17/100)*4)))</f>
        <v/>
      </c>
      <c r="BI17" s="36">
        <f>(BF17+(BF17*$J17)+(BF17*$M17)+(BF17*$N17)+(BF17*$O17)+(BF17*$P17)+(BF17*$Q17)+($R17)+(BF17*((52+$S17)/52))*(1+$T17))*1/$L17</f>
        <v/>
      </c>
      <c r="BJ17" s="36">
        <f>(BG17+(BG17*$J17)+(BG17*$M17)+(BG17*$N17)+(BG17*$O17)+(BG17*$P17)+(BG17*$Q17)+($R17)+(BG17*((52+$S17)/52))*(1+$T17))*1/$L17</f>
        <v/>
      </c>
      <c r="BK17" s="36">
        <f>(BH17+(BH17*$J17)+(BH17*$M17)+(BH17*$N17)+(BH17*$O17)+(BH17*$P17)+(BH17*$Q17)+($R17)+(BH17*((52+$S17)/52))*(1+$T17))*1/$L17</f>
        <v/>
      </c>
      <c r="BL17" s="36">
        <f>BI17/52/$K17</f>
        <v/>
      </c>
      <c r="BM17" s="36">
        <f>BJ17/52/$K17</f>
        <v/>
      </c>
      <c r="BN17" s="36">
        <f>BK17/52/$K17</f>
        <v/>
      </c>
    </row>
    <row r="18">
      <c r="A18" s="4" t="inlineStr">
        <is>
          <t>NSW</t>
        </is>
      </c>
      <c r="B18" s="19" t="inlineStr">
        <is>
          <t>Admin staff</t>
        </is>
      </c>
      <c r="C18" s="20" t="inlineStr">
        <is>
          <t>AS</t>
        </is>
      </c>
      <c r="I18" s="5" t="n">
        <v>2022</v>
      </c>
      <c r="J18" s="11" t="n">
        <v>0.105</v>
      </c>
      <c r="K18" s="32" t="n">
        <v>40</v>
      </c>
      <c r="L18" s="8" t="n">
        <v>1</v>
      </c>
      <c r="M18" s="8" t="n">
        <v>0.1</v>
      </c>
      <c r="N18" s="8" t="n">
        <v>0.035</v>
      </c>
      <c r="O18" s="27" t="n">
        <v>0</v>
      </c>
      <c r="P18" s="8" t="n">
        <v>0</v>
      </c>
      <c r="Q18" s="8" t="n">
        <v>0.046</v>
      </c>
      <c r="R18" s="23" t="n">
        <v>0</v>
      </c>
      <c r="S18" s="9" t="n">
        <v>4</v>
      </c>
      <c r="T18" s="8" t="n">
        <v>0</v>
      </c>
      <c r="U18" s="8" t="n">
        <v>0.015</v>
      </c>
      <c r="V18" s="36">
        <f>926.56*52</f>
        <v/>
      </c>
      <c r="W18" s="36">
        <f>V18+((X18-V18)/2)</f>
        <v/>
      </c>
      <c r="X18" s="36">
        <f>1302.02*52</f>
        <v/>
      </c>
      <c r="Y18" s="36">
        <f>(V18+(V18*$J18)+(V18*$M18)+(V18*$N18)+(V18*$O18)+(V18*$P18)+(V18*$Q18)+($R18)+(V18*((52+$S18)/52))*(1+$T18))*1/$L18</f>
        <v/>
      </c>
      <c r="Z18" s="36">
        <f>(W18+(W18*$J18)+(W18*$M18)+(W18*$N18)+(W18*$O18)+(W18*$P18)+(W18*$Q18)+($R18)+(W18*((52+$S18)/52))*(1+$T18))*1/$L18</f>
        <v/>
      </c>
      <c r="AA18" s="36">
        <f>(X18+(X18*$J18)+(X18*$M18)+(X18*$N18)+(X18*$O18)+(X18*$P18)+(X18*$Q18)+($R18)+(X18*((52+$S18)/52))*(1+$T18))*1/$L18</f>
        <v/>
      </c>
      <c r="AB18" s="36">
        <f>Y18/52/$K18</f>
        <v/>
      </c>
      <c r="AC18" s="36">
        <f>Z18/52/$K18</f>
        <v/>
      </c>
      <c r="AD18" s="36">
        <f>AA18/52/$K18</f>
        <v/>
      </c>
      <c r="AE18" s="36">
        <f>($V18*(1+(($U18/100)*1)))</f>
        <v/>
      </c>
      <c r="AF18" s="36">
        <f>($W18*(1+(($U18/100)*1)))</f>
        <v/>
      </c>
      <c r="AG18" s="36">
        <f>($X18*(1+(($U18/100)*1)))</f>
        <v/>
      </c>
      <c r="AH18" s="36">
        <f>(AE18+(AE18*$J18)+(AE18*$M18)+(AE18*$N18)+(AE18*$O18)+(AE18*$P18)+(AE18*$Q18)+($R18)+(AE18*((52+$S18)/52))*(1+$T18))*1/$L18</f>
        <v/>
      </c>
      <c r="AI18" s="36">
        <f>(AF18+(AF18*$J18)+(AF18*$M18)+(AF18*$N18)+(AF18*$O18)+(AF18*$P18)+(AF18*$Q18)+($R18)+(AF18*((52+$S18)/52))*(1+$T18))*1/$L18</f>
        <v/>
      </c>
      <c r="AJ18" s="36">
        <f>(AG18+(AG18*$J18)+(AG18*$M18)+(AG18*$N18)+(AG18*$O18)+(AG18*$P18)+(AG18*$Q18)+($R18)+(AG18*((52+$S18)/52))*(1+$T18))*1/$L18</f>
        <v/>
      </c>
      <c r="AK18" s="36">
        <f>AH18/52/$K18</f>
        <v/>
      </c>
      <c r="AL18" s="36">
        <f>AI18/52/$K18</f>
        <v/>
      </c>
      <c r="AM18" s="36">
        <f>AJ18/52/$K18</f>
        <v/>
      </c>
      <c r="AN18" s="36">
        <f>($V18*(1+(($U18/100)*2)))</f>
        <v/>
      </c>
      <c r="AO18" s="36">
        <f>($W18*(1+(($U18/100)*2)))</f>
        <v/>
      </c>
      <c r="AP18" s="36">
        <f>($X18*(1+(($U18/100)*2)))</f>
        <v/>
      </c>
      <c r="AQ18" s="36">
        <f>(AN18+(AN18*$J18)+(AN18*$M18)+(AN18*$N18)+(AN18*$O18)+(AN18*$P18)+(AN18*$Q18)+($R18)+(AN18*((52+$S18)/52))*(1+$T18))*1/$L18</f>
        <v/>
      </c>
      <c r="AR18" s="36">
        <f>(AO18+(AO18*$J18)+(AO18*$M18)+(AO18*$N18)+(AO18*$O18)+(AO18*$P18)+(AO18*$Q18)+($R18)+(AO18*((52+$S18)/52))*(1+$T18))*1/$L18</f>
        <v/>
      </c>
      <c r="AS18" s="36">
        <f>(AP18+(AP18*$J18)+(AP18*$M18)+(AP18*$N18)+(AP18*$O18)+(AP18*$P18)+(AP18*$Q18)+($R18)+(AP18*((52+$S18)/52))*(1+$T18))*1/$L18</f>
        <v/>
      </c>
      <c r="AT18" s="36">
        <f>AQ18/52/$K18</f>
        <v/>
      </c>
      <c r="AU18" s="36">
        <f>AR18/52/$K18</f>
        <v/>
      </c>
      <c r="AV18" s="36">
        <f>AS18/52/$K18</f>
        <v/>
      </c>
      <c r="AW18" s="36">
        <f>($V18*(1+(($U18/100)*3)))</f>
        <v/>
      </c>
      <c r="AX18" s="36">
        <f>($W18*(1+(($U18/100)*3)))</f>
        <v/>
      </c>
      <c r="AY18" s="36">
        <f>($X18*(1+(($U18/100)*3)))</f>
        <v/>
      </c>
      <c r="AZ18" s="36">
        <f>(AW18+(AW18*$J18)+(AW18*$M18)+(AW18*$N18)+(AW18*$O18)+(AW18*$P18)+(AW18*$Q18)+($R18)+(AW18*((52+$S18)/52))*(1+$T18))*1/$L18</f>
        <v/>
      </c>
      <c r="BA18" s="36">
        <f>(AX18+(AX18*$J18)+(AX18*$M18)+(AX18*$N18)+(AX18*$O18)+(AX18*$P18)+(AX18*$Q18)+($R18)+(AX18*((52+$S18)/52))*(1+$T18))*1/$L18</f>
        <v/>
      </c>
      <c r="BB18" s="36">
        <f>(AY18+(AY18*$J18)+(AY18*$M18)+(AY18*$N18)+(AY18*$O18)+(AY18*$P18)+(AY18*$Q18)+($R18)+(AY18*((52+$S18)/52))*(1+$T18))*1/$L18</f>
        <v/>
      </c>
      <c r="BC18" s="36">
        <f>AZ18/52/$K18</f>
        <v/>
      </c>
      <c r="BD18" s="36">
        <f>BA18/52/$K18</f>
        <v/>
      </c>
      <c r="BE18" s="36">
        <f>BB18/52/$K18</f>
        <v/>
      </c>
      <c r="BF18" s="36">
        <f>($V18*(1+(($U18/100)*4)))</f>
        <v/>
      </c>
      <c r="BG18" s="36">
        <f>($W18*(1+(($U18/100)*4)))</f>
        <v/>
      </c>
      <c r="BH18" s="36">
        <f>($X18*(1+(($U18/100)*4)))</f>
        <v/>
      </c>
      <c r="BI18" s="36">
        <f>(BF18+(BF18*$J18)+(BF18*$M18)+(BF18*$N18)+(BF18*$O18)+(BF18*$P18)+(BF18*$Q18)+($R18)+(BF18*((52+$S18)/52))*(1+$T18))*1/$L18</f>
        <v/>
      </c>
      <c r="BJ18" s="36">
        <f>(BG18+(BG18*$J18)+(BG18*$M18)+(BG18*$N18)+(BG18*$O18)+(BG18*$P18)+(BG18*$Q18)+($R18)+(BG18*((52+$S18)/52))*(1+$T18))*1/$L18</f>
        <v/>
      </c>
      <c r="BK18" s="36">
        <f>(BH18+(BH18*$J18)+(BH18*$M18)+(BH18*$N18)+(BH18*$O18)+(BH18*$P18)+(BH18*$Q18)+($R18)+(BH18*((52+$S18)/52))*(1+$T18))*1/$L18</f>
        <v/>
      </c>
      <c r="BL18" s="36">
        <f>BI18/52/$K18</f>
        <v/>
      </c>
      <c r="BM18" s="36">
        <f>BJ18/52/$K18</f>
        <v/>
      </c>
      <c r="BN18" s="36">
        <f>BK18/52/$K18</f>
        <v/>
      </c>
    </row>
    <row r="19">
      <c r="A19" s="4" t="inlineStr">
        <is>
          <t>NSW</t>
        </is>
      </c>
      <c r="B19" s="19" t="inlineStr">
        <is>
          <t>Bioinformatics staff</t>
        </is>
      </c>
      <c r="C19" s="20" t="inlineStr">
        <is>
          <t>BI</t>
        </is>
      </c>
      <c r="D19" s="4" t="inlineStr">
        <is>
          <t>Hospital Scientists (State) Award</t>
        </is>
      </c>
      <c r="E19" s="21" t="inlineStr">
        <is>
          <t>1-3</t>
        </is>
      </c>
      <c r="I19" s="5" t="n">
        <v>2022</v>
      </c>
      <c r="J19" s="11" t="n">
        <v>0.105</v>
      </c>
      <c r="K19" s="32" t="n">
        <v>40</v>
      </c>
      <c r="L19" s="8" t="n">
        <v>1</v>
      </c>
      <c r="M19" s="8" t="n">
        <v>0.1</v>
      </c>
      <c r="N19" s="8" t="n">
        <v>0.035</v>
      </c>
      <c r="O19" s="27" t="n">
        <v>0</v>
      </c>
      <c r="P19" s="8" t="n">
        <v>0</v>
      </c>
      <c r="Q19" s="8" t="n">
        <v>0.046</v>
      </c>
      <c r="R19" s="23" t="n">
        <v>0</v>
      </c>
      <c r="S19" s="9" t="n">
        <v>4</v>
      </c>
      <c r="T19" s="8" t="n">
        <v>0.175</v>
      </c>
      <c r="U19" s="8" t="n">
        <v>0.015</v>
      </c>
      <c r="V19" s="36" t="n">
        <v>66106</v>
      </c>
      <c r="W19" s="36">
        <f>V19+((X19-V19)/2)</f>
        <v/>
      </c>
      <c r="X19" s="36" t="n">
        <v>114763</v>
      </c>
      <c r="Y19" s="36">
        <f>(V19+(V19*$J19)+(V19*$M19)+(V19*$N19)+(V19*$O19)+(V19*$P19)+(V19*$Q19)+($R19)+(V19*((52+$S19)/52))*(1+$T19))*1/$L19</f>
        <v/>
      </c>
      <c r="Z19" s="36">
        <f>(W19+(W19*$J19)+(W19*$M19)+(W19*$N19)+(W19*$O19)+(W19*$P19)+(W19*$Q19)+($R19)+(W19*((52+$S19)/52))*(1+$T19))*1/$L19</f>
        <v/>
      </c>
      <c r="AA19" s="36">
        <f>(X19+(X19*$J19)+(X19*$M19)+(X19*$N19)+(X19*$O19)+(X19*$P19)+(X19*$Q19)+($R19)+(X19*((52+$S19)/52))*(1+$T19))*1/$L19</f>
        <v/>
      </c>
      <c r="AB19" s="36">
        <f>Y19/52/$K19</f>
        <v/>
      </c>
      <c r="AC19" s="36">
        <f>Z19/52/$K19</f>
        <v/>
      </c>
      <c r="AD19" s="36">
        <f>AA19/52/$K19</f>
        <v/>
      </c>
      <c r="AE19" s="36">
        <f>($V19*(1+(($U19/100)*1)))</f>
        <v/>
      </c>
      <c r="AF19" s="36">
        <f>($W19*(1+(($U19/100)*1)))</f>
        <v/>
      </c>
      <c r="AG19" s="36">
        <f>($X19*(1+(($U19/100)*1)))</f>
        <v/>
      </c>
      <c r="AH19" s="36">
        <f>(AE19+(AE19*$J19)+(AE19*$M19)+(AE19*$N19)+(AE19*$O19)+(AE19*$P19)+(AE19*$Q19)+($R19)+(AE19*((52+$S19)/52))*(1+$T19))*1/$L19</f>
        <v/>
      </c>
      <c r="AI19" s="36">
        <f>(AF19+(AF19*$J19)+(AF19*$M19)+(AF19*$N19)+(AF19*$O19)+(AF19*$P19)+(AF19*$Q19)+($R19)+(AF19*((52+$S19)/52))*(1+$T19))*1/$L19</f>
        <v/>
      </c>
      <c r="AJ19" s="36">
        <f>(AG19+(AG19*$J19)+(AG19*$M19)+(AG19*$N19)+(AG19*$O19)+(AG19*$P19)+(AG19*$Q19)+($R19)+(AG19*((52+$S19)/52))*(1+$T19))*1/$L19</f>
        <v/>
      </c>
      <c r="AK19" s="36">
        <f>AH19/52/$K19</f>
        <v/>
      </c>
      <c r="AL19" s="36">
        <f>AI19/52/$K19</f>
        <v/>
      </c>
      <c r="AM19" s="36">
        <f>AJ19/52/$K19</f>
        <v/>
      </c>
      <c r="AN19" s="36">
        <f>($V19*(1+(($U19/100)*2)))</f>
        <v/>
      </c>
      <c r="AO19" s="36">
        <f>($W19*(1+(($U19/100)*2)))</f>
        <v/>
      </c>
      <c r="AP19" s="36">
        <f>($X19*(1+(($U19/100)*2)))</f>
        <v/>
      </c>
      <c r="AQ19" s="36">
        <f>(AN19+(AN19*$J19)+(AN19*$M19)+(AN19*$N19)+(AN19*$O19)+(AN19*$P19)+(AN19*$Q19)+($R19)+(AN19*((52+$S19)/52))*(1+$T19))*1/$L19</f>
        <v/>
      </c>
      <c r="AR19" s="36">
        <f>(AO19+(AO19*$J19)+(AO19*$M19)+(AO19*$N19)+(AO19*$O19)+(AO19*$P19)+(AO19*$Q19)+($R19)+(AO19*((52+$S19)/52))*(1+$T19))*1/$L19</f>
        <v/>
      </c>
      <c r="AS19" s="36">
        <f>(AP19+(AP19*$J19)+(AP19*$M19)+(AP19*$N19)+(AP19*$O19)+(AP19*$P19)+(AP19*$Q19)+($R19)+(AP19*((52+$S19)/52))*(1+$T19))*1/$L19</f>
        <v/>
      </c>
      <c r="AT19" s="36">
        <f>AQ19/52/$K19</f>
        <v/>
      </c>
      <c r="AU19" s="36">
        <f>AR19/52/$K19</f>
        <v/>
      </c>
      <c r="AV19" s="36">
        <f>AS19/52/$K19</f>
        <v/>
      </c>
      <c r="AW19" s="36">
        <f>($V19*(1+(($U19/100)*3)))</f>
        <v/>
      </c>
      <c r="AX19" s="36">
        <f>($W19*(1+(($U19/100)*3)))</f>
        <v/>
      </c>
      <c r="AY19" s="36">
        <f>($X19*(1+(($U19/100)*3)))</f>
        <v/>
      </c>
      <c r="AZ19" s="36">
        <f>(AW19+(AW19*$J19)+(AW19*$M19)+(AW19*$N19)+(AW19*$O19)+(AW19*$P19)+(AW19*$Q19)+($R19)+(AW19*((52+$S19)/52))*(1+$T19))*1/$L19</f>
        <v/>
      </c>
      <c r="BA19" s="36">
        <f>(AX19+(AX19*$J19)+(AX19*$M19)+(AX19*$N19)+(AX19*$O19)+(AX19*$P19)+(AX19*$Q19)+($R19)+(AX19*((52+$S19)/52))*(1+$T19))*1/$L19</f>
        <v/>
      </c>
      <c r="BB19" s="36">
        <f>(AY19+(AY19*$J19)+(AY19*$M19)+(AY19*$N19)+(AY19*$O19)+(AY19*$P19)+(AY19*$Q19)+($R19)+(AY19*((52+$S19)/52))*(1+$T19))*1/$L19</f>
        <v/>
      </c>
      <c r="BC19" s="36">
        <f>AZ19/52/$K19</f>
        <v/>
      </c>
      <c r="BD19" s="36">
        <f>BA19/52/$K19</f>
        <v/>
      </c>
      <c r="BE19" s="36">
        <f>BB19/52/$K19</f>
        <v/>
      </c>
      <c r="BF19" s="36">
        <f>($V19*(1+(($U19/100)*4)))</f>
        <v/>
      </c>
      <c r="BG19" s="36">
        <f>($W19*(1+(($U19/100)*4)))</f>
        <v/>
      </c>
      <c r="BH19" s="36">
        <f>($X19*(1+(($U19/100)*4)))</f>
        <v/>
      </c>
      <c r="BI19" s="36">
        <f>(BF19+(BF19*$J19)+(BF19*$M19)+(BF19*$N19)+(BF19*$O19)+(BF19*$P19)+(BF19*$Q19)+($R19)+(BF19*((52+$S19)/52))*(1+$T19))*1/$L19</f>
        <v/>
      </c>
      <c r="BJ19" s="36">
        <f>(BG19+(BG19*$J19)+(BG19*$M19)+(BG19*$N19)+(BG19*$O19)+(BG19*$P19)+(BG19*$Q19)+($R19)+(BG19*((52+$S19)/52))*(1+$T19))*1/$L19</f>
        <v/>
      </c>
      <c r="BK19" s="36">
        <f>(BH19+(BH19*$J19)+(BH19*$M19)+(BH19*$N19)+(BH19*$O19)+(BH19*$P19)+(BH19*$Q19)+($R19)+(BH19*((52+$S19)/52))*(1+$T19))*1/$L19</f>
        <v/>
      </c>
      <c r="BL19" s="36">
        <f>BI19/52/$K19</f>
        <v/>
      </c>
      <c r="BM19" s="36">
        <f>BJ19/52/$K19</f>
        <v/>
      </c>
      <c r="BN19" s="36">
        <f>BK19/52/$K19</f>
        <v/>
      </c>
    </row>
    <row r="20">
      <c r="A20" s="4" t="inlineStr">
        <is>
          <t>NSW</t>
        </is>
      </c>
      <c r="B20" s="19" t="inlineStr">
        <is>
          <t>Pathologists</t>
        </is>
      </c>
      <c r="C20" s="20" t="inlineStr">
        <is>
          <t>MP</t>
        </is>
      </c>
      <c r="D20" s="4" t="inlineStr">
        <is>
          <t>STAFF SPECIALISTS (STATE) AWARD 2022</t>
        </is>
      </c>
      <c r="E20" s="21" t="inlineStr">
        <is>
          <t>SS1-SS5</t>
        </is>
      </c>
      <c r="F20" s="4" t="inlineStr">
        <is>
          <t>-</t>
        </is>
      </c>
      <c r="G20" s="4" t="inlineStr">
        <is>
          <t>-</t>
        </is>
      </c>
      <c r="H20" s="26" t="inlineStr">
        <is>
          <t>179078-241940</t>
        </is>
      </c>
      <c r="I20" s="5" t="n">
        <v>2022</v>
      </c>
      <c r="J20" s="11" t="n">
        <v>0.105</v>
      </c>
      <c r="K20" s="32" t="n">
        <v>40</v>
      </c>
      <c r="L20" s="8" t="n">
        <v>1</v>
      </c>
      <c r="M20" s="8" t="n">
        <v>0</v>
      </c>
      <c r="N20" s="8" t="n">
        <v>0.035</v>
      </c>
      <c r="O20" s="27" t="n">
        <v>0.2</v>
      </c>
      <c r="P20" s="8" t="n">
        <v>0.174</v>
      </c>
      <c r="Q20" s="8" t="n">
        <v>0.046</v>
      </c>
      <c r="R20" s="23" t="n">
        <v>38000</v>
      </c>
      <c r="S20" s="9" t="n">
        <v>5</v>
      </c>
      <c r="T20" s="8" t="n">
        <v>0.175</v>
      </c>
      <c r="U20" s="8" t="n">
        <v>0.015</v>
      </c>
      <c r="V20" s="36" t="n">
        <v>179078</v>
      </c>
      <c r="W20" s="36">
        <f>V20+((X20-V20)/2)</f>
        <v/>
      </c>
      <c r="X20" s="36" t="n">
        <v>241940</v>
      </c>
      <c r="Y20" s="36">
        <f>(V20+(V20*$J20)+(V20*$M20)+(V20*$N20)+(V20*$O20)+(V20*$P20)+(V20*$Q20)+($R20)+(V20*((52+$S20)/52))*(1+$T20))*1/$L20</f>
        <v/>
      </c>
      <c r="Z20" s="36">
        <f>(W20+(W20*$J20)+(W20*$M20)+(W20*$N20)+(W20*$O20)+(W20*$P20)+(W20*$Q20)+($R20)+(W20*((52+$S20)/52))*(1+$T20))*1/$L20</f>
        <v/>
      </c>
      <c r="AA20" s="36">
        <f>(X20+(X20*$J20)+(X20*$M20)+(X20*$N20)+(X20*$O20)+(X20*$P20)+(X20*$Q20)+($R20)+(X20*((52+$S20)/52))*(1+$T20))*1/$L20</f>
        <v/>
      </c>
      <c r="AB20" s="36">
        <f>Y20/52/$K20</f>
        <v/>
      </c>
      <c r="AC20" s="36">
        <f>Z20/52/$K20</f>
        <v/>
      </c>
      <c r="AD20" s="36">
        <f>AA20/52/$K20</f>
        <v/>
      </c>
      <c r="AE20" s="36">
        <f>($V20*(1+(($U20/100)*1)))</f>
        <v/>
      </c>
      <c r="AF20" s="36">
        <f>($W20*(1+(($U20/100)*1)))</f>
        <v/>
      </c>
      <c r="AG20" s="36">
        <f>($X20*(1+(($U20/100)*1)))</f>
        <v/>
      </c>
      <c r="AH20" s="36">
        <f>(AE20+(AE20*$J20)+(AE20*$M20)+(AE20*$N20)+(AE20*$O20)+(AE20*$P20)+(AE20*$Q20)+($R20)+(AE20*((52+$S20)/52))*(1+$T20))*1/$L20</f>
        <v/>
      </c>
      <c r="AI20" s="36">
        <f>(AF20+(AF20*$J20)+(AF20*$M20)+(AF20*$N20)+(AF20*$O20)+(AF20*$P20)+(AF20*$Q20)+($R20)+(AF20*((52+$S20)/52))*(1+$T20))*1/$L20</f>
        <v/>
      </c>
      <c r="AJ20" s="36">
        <f>(AG20+(AG20*$J20)+(AG20*$M20)+(AG20*$N20)+(AG20*$O20)+(AG20*$P20)+(AG20*$Q20)+($R20)+(AG20*((52+$S20)/52))*(1+$T20))*1/$L20</f>
        <v/>
      </c>
      <c r="AK20" s="36">
        <f>AH20/52/$K20</f>
        <v/>
      </c>
      <c r="AL20" s="36">
        <f>AI20/52/$K20</f>
        <v/>
      </c>
      <c r="AM20" s="36">
        <f>AJ20/52/$K20</f>
        <v/>
      </c>
      <c r="AN20" s="36">
        <f>($V20*(1+(($U20/100)*2)))</f>
        <v/>
      </c>
      <c r="AO20" s="36">
        <f>($W20*(1+(($U20/100)*2)))</f>
        <v/>
      </c>
      <c r="AP20" s="36">
        <f>($X20*(1+(($U20/100)*2)))</f>
        <v/>
      </c>
      <c r="AQ20" s="36">
        <f>(AN20+(AN20*$J20)+(AN20*$M20)+(AN20*$N20)+(AN20*$O20)+(AN20*$P20)+(AN20*$Q20)+($R20)+(AN20*((52+$S20)/52))*(1+$T20))*1/$L20</f>
        <v/>
      </c>
      <c r="AR20" s="36">
        <f>(AO20+(AO20*$J20)+(AO20*$M20)+(AO20*$N20)+(AO20*$O20)+(AO20*$P20)+(AO20*$Q20)+($R20)+(AO20*((52+$S20)/52))*(1+$T20))*1/$L20</f>
        <v/>
      </c>
      <c r="AS20" s="36">
        <f>(AP20+(AP20*$J20)+(AP20*$M20)+(AP20*$N20)+(AP20*$O20)+(AP20*$P20)+(AP20*$Q20)+($R20)+(AP20*((52+$S20)/52))*(1+$T20))*1/$L20</f>
        <v/>
      </c>
      <c r="AT20" s="36">
        <f>AQ20/52/$K20</f>
        <v/>
      </c>
      <c r="AU20" s="36">
        <f>AR20/52/$K20</f>
        <v/>
      </c>
      <c r="AV20" s="36">
        <f>AS20/52/$K20</f>
        <v/>
      </c>
      <c r="AW20" s="36">
        <f>($V20*(1+(($U20/100)*3)))</f>
        <v/>
      </c>
      <c r="AX20" s="36">
        <f>($W20*(1+(($U20/100)*3)))</f>
        <v/>
      </c>
      <c r="AY20" s="36">
        <f>($X20*(1+(($U20/100)*3)))</f>
        <v/>
      </c>
      <c r="AZ20" s="36">
        <f>(AW20+(AW20*$J20)+(AW20*$M20)+(AW20*$N20)+(AW20*$O20)+(AW20*$P20)+(AW20*$Q20)+($R20)+(AW20*((52+$S20)/52))*(1+$T20))*1/$L20</f>
        <v/>
      </c>
      <c r="BA20" s="36">
        <f>(AX20+(AX20*$J20)+(AX20*$M20)+(AX20*$N20)+(AX20*$O20)+(AX20*$P20)+(AX20*$Q20)+($R20)+(AX20*((52+$S20)/52))*(1+$T20))*1/$L20</f>
        <v/>
      </c>
      <c r="BB20" s="36">
        <f>(AY20+(AY20*$J20)+(AY20*$M20)+(AY20*$N20)+(AY20*$O20)+(AY20*$P20)+(AY20*$Q20)+($R20)+(AY20*((52+$S20)/52))*(1+$T20))*1/$L20</f>
        <v/>
      </c>
      <c r="BC20" s="36">
        <f>AZ20/52/$K20</f>
        <v/>
      </c>
      <c r="BD20" s="36">
        <f>BA20/52/$K20</f>
        <v/>
      </c>
      <c r="BE20" s="36">
        <f>BB20/52/$K20</f>
        <v/>
      </c>
      <c r="BF20" s="36">
        <f>($V20*(1+(($U20/100)*4)))</f>
        <v/>
      </c>
      <c r="BG20" s="36">
        <f>($W20*(1+(($U20/100)*4)))</f>
        <v/>
      </c>
      <c r="BH20" s="36">
        <f>($X20*(1+(($U20/100)*4)))</f>
        <v/>
      </c>
      <c r="BI20" s="36">
        <f>(BF20+(BF20*$J20)+(BF20*$M20)+(BF20*$N20)+(BF20*$O20)+(BF20*$P20)+(BF20*$Q20)+($R20)+(BF20*((52+$S20)/52))*(1+$T20))*1/$L20</f>
        <v/>
      </c>
      <c r="BJ20" s="36">
        <f>(BG20+(BG20*$J20)+(BG20*$M20)+(BG20*$N20)+(BG20*$O20)+(BG20*$P20)+(BG20*$Q20)+($R20)+(BG20*((52+$S20)/52))*(1+$T20))*1/$L20</f>
        <v/>
      </c>
      <c r="BK20" s="36">
        <f>(BH20+(BH20*$J20)+(BH20*$M20)+(BH20*$N20)+(BH20*$O20)+(BH20*$P20)+(BH20*$Q20)+($R20)+(BH20*((52+$S20)/52))*(1+$T20))*1/$L20</f>
        <v/>
      </c>
      <c r="BL20" s="36">
        <f>BI20/52/$K20</f>
        <v/>
      </c>
      <c r="BM20" s="36">
        <f>BJ20/52/$K20</f>
        <v/>
      </c>
      <c r="BN20" s="36">
        <f>BK20/52/$K20</f>
        <v/>
      </c>
    </row>
    <row r="21">
      <c r="R21" s="23" t="n"/>
      <c r="U21" s="8" t="n"/>
      <c r="V21" s="36" t="n"/>
      <c r="W21" s="36" t="n"/>
      <c r="X21" s="36" t="n"/>
      <c r="Y21" s="36" t="n"/>
      <c r="Z21" s="36" t="n"/>
      <c r="AA21" s="36" t="n"/>
      <c r="AB21" s="36" t="n"/>
      <c r="AC21" s="36" t="n"/>
      <c r="AD21" s="36"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row>
    <row r="22">
      <c r="A22" s="4" t="inlineStr">
        <is>
          <t>QLD</t>
        </is>
      </c>
      <c r="B22" s="19" t="inlineStr">
        <is>
          <t>Lab technician</t>
        </is>
      </c>
      <c r="C22" s="20" t="inlineStr">
        <is>
          <t>LT</t>
        </is>
      </c>
      <c r="D22" s="4" t="inlineStr">
        <is>
          <t>Hospital and Health Service General Employees (Queensland Health) Award - State 2015</t>
        </is>
      </c>
      <c r="I22" s="5" t="n">
        <v>2022</v>
      </c>
      <c r="J22" s="11" t="n">
        <v>0.1275</v>
      </c>
      <c r="K22" s="32" t="n">
        <v>36.25</v>
      </c>
      <c r="L22" s="8" t="n">
        <v>1</v>
      </c>
      <c r="M22" s="8" t="n">
        <v>0.1</v>
      </c>
      <c r="N22" s="8" t="n">
        <v>0.035</v>
      </c>
      <c r="O22" s="27" t="n">
        <v>0</v>
      </c>
      <c r="P22" s="8" t="n">
        <v>0</v>
      </c>
      <c r="Q22" s="8" t="n">
        <v>0.046</v>
      </c>
      <c r="R22" s="23" t="n">
        <v>1826</v>
      </c>
      <c r="S22" s="9" t="n">
        <v>4</v>
      </c>
      <c r="T22" s="8" t="n">
        <v>0</v>
      </c>
      <c r="U22" s="8" t="n">
        <v>0.015</v>
      </c>
      <c r="V22" s="36" t="n">
        <v>48552</v>
      </c>
      <c r="W22" s="36">
        <f>V22+((X22-V22)/2)</f>
        <v/>
      </c>
      <c r="X22" s="36" t="n">
        <v>91840</v>
      </c>
      <c r="Y22" s="36">
        <f>(V22+(V22*$J22)+(V22*$M22)+(V22*$N22)+(V22*$O22)+(V22*$P22)+(V22*$Q22)+($R22)+(V22*((52+$S22)/52))*(1+$T22))*1/$L22</f>
        <v/>
      </c>
      <c r="Z22" s="36">
        <f>(W22+(W22*$J22)+(W22*$M22)+(W22*$N22)+(W22*$O22)+(W22*$P22)+(W22*$Q22)+($R22)+(W22*((52+$S22)/52))*(1+$T22))*1/$L22</f>
        <v/>
      </c>
      <c r="AA22" s="36">
        <f>(X22+(X22*$J22)+(X22*$M22)+(X22*$N22)+(X22*$O22)+(X22*$P22)+(X22*$Q22)+($R22)+(X22*((52+$S22)/52))*(1+$T22))*1/$L22</f>
        <v/>
      </c>
      <c r="AB22" s="36">
        <f>Y22/52/$K22</f>
        <v/>
      </c>
      <c r="AC22" s="36">
        <f>Z22/52/$K22</f>
        <v/>
      </c>
      <c r="AD22" s="36">
        <f>AA22/52/$K22</f>
        <v/>
      </c>
      <c r="AE22" s="36">
        <f>($V22*(1+(($U22/100)*1)))</f>
        <v/>
      </c>
      <c r="AF22" s="36">
        <f>($W22*(1+(($U22/100)*1)))</f>
        <v/>
      </c>
      <c r="AG22" s="36">
        <f>($X22*(1+(($U22/100)*1)))</f>
        <v/>
      </c>
      <c r="AH22" s="36">
        <f>(AE22+(AE22*$J22)+(AE22*$M22)+(AE22*$N22)+(AE22*$O22)+(AE22*$P22)+(AE22*$Q22)+($R22)+(AE22*((52+$S22)/52))*(1+$T22))*1/$L22</f>
        <v/>
      </c>
      <c r="AI22" s="36">
        <f>(AF22+(AF22*$J22)+(AF22*$M22)+(AF22*$N22)+(AF22*$O22)+(AF22*$P22)+(AF22*$Q22)+($R22)+(AF22*((52+$S22)/52))*(1+$T22))*1/$L22</f>
        <v/>
      </c>
      <c r="AJ22" s="36">
        <f>(AG22+(AG22*$J22)+(AG22*$M22)+(AG22*$N22)+(AG22*$O22)+(AG22*$P22)+(AG22*$Q22)+($R22)+(AG22*((52+$S22)/52))*(1+$T22))*1/$L22</f>
        <v/>
      </c>
      <c r="AK22" s="36">
        <f>AH22/52/$K22</f>
        <v/>
      </c>
      <c r="AL22" s="36">
        <f>AI22/52/$K22</f>
        <v/>
      </c>
      <c r="AM22" s="36">
        <f>AJ22/52/$K22</f>
        <v/>
      </c>
      <c r="AN22" s="36">
        <f>($V22*(1+(($U22/100)*2)))</f>
        <v/>
      </c>
      <c r="AO22" s="36">
        <f>($W22*(1+(($U22/100)*2)))</f>
        <v/>
      </c>
      <c r="AP22" s="36">
        <f>($X22*(1+(($U22/100)*2)))</f>
        <v/>
      </c>
      <c r="AQ22" s="36">
        <f>(AN22+(AN22*$J22)+(AN22*$M22)+(AN22*$N22)+(AN22*$O22)+(AN22*$P22)+(AN22*$Q22)+($R22)+(AN22*((52+$S22)/52))*(1+$T22))*1/$L22</f>
        <v/>
      </c>
      <c r="AR22" s="36">
        <f>(AO22+(AO22*$J22)+(AO22*$M22)+(AO22*$N22)+(AO22*$O22)+(AO22*$P22)+(AO22*$Q22)+($R22)+(AO22*((52+$S22)/52))*(1+$T22))*1/$L22</f>
        <v/>
      </c>
      <c r="AS22" s="36">
        <f>(AP22+(AP22*$J22)+(AP22*$M22)+(AP22*$N22)+(AP22*$O22)+(AP22*$P22)+(AP22*$Q22)+($R22)+(AP22*((52+$S22)/52))*(1+$T22))*1/$L22</f>
        <v/>
      </c>
      <c r="AT22" s="36">
        <f>AQ22/52/$K22</f>
        <v/>
      </c>
      <c r="AU22" s="36">
        <f>AR22/52/$K22</f>
        <v/>
      </c>
      <c r="AV22" s="36">
        <f>AS22/52/$K22</f>
        <v/>
      </c>
      <c r="AW22" s="36">
        <f>($V22*(1+(($U22/100)*3)))</f>
        <v/>
      </c>
      <c r="AX22" s="36">
        <f>($W22*(1+(($U22/100)*3)))</f>
        <v/>
      </c>
      <c r="AY22" s="36">
        <f>($X22*(1+(($U22/100)*3)))</f>
        <v/>
      </c>
      <c r="AZ22" s="36">
        <f>(AW22+(AW22*$J22)+(AW22*$M22)+(AW22*$N22)+(AW22*$O22)+(AW22*$P22)+(AW22*$Q22)+($R22)+(AW22*((52+$S22)/52))*(1+$T22))*1/$L22</f>
        <v/>
      </c>
      <c r="BA22" s="36">
        <f>(AX22+(AX22*$J22)+(AX22*$M22)+(AX22*$N22)+(AX22*$O22)+(AX22*$P22)+(AX22*$Q22)+($R22)+(AX22*((52+$S22)/52))*(1+$T22))*1/$L22</f>
        <v/>
      </c>
      <c r="BB22" s="36">
        <f>(AY22+(AY22*$J22)+(AY22*$M22)+(AY22*$N22)+(AY22*$O22)+(AY22*$P22)+(AY22*$Q22)+($R22)+(AY22*((52+$S22)/52))*(1+$T22))*1/$L22</f>
        <v/>
      </c>
      <c r="BC22" s="36">
        <f>AZ22/52/$K22</f>
        <v/>
      </c>
      <c r="BD22" s="36">
        <f>BA22/52/$K22</f>
        <v/>
      </c>
      <c r="BE22" s="36">
        <f>BB22/52/$K22</f>
        <v/>
      </c>
      <c r="BF22" s="36">
        <f>($V22*(1+(($U22/100)*4)))</f>
        <v/>
      </c>
      <c r="BG22" s="36">
        <f>($W22*(1+(($U22/100)*4)))</f>
        <v/>
      </c>
      <c r="BH22" s="36">
        <f>($X22*(1+(($U22/100)*4)))</f>
        <v/>
      </c>
      <c r="BI22" s="36">
        <f>(BF22+(BF22*$J22)+(BF22*$M22)+(BF22*$N22)+(BF22*$O22)+(BF22*$P22)+(BF22*$Q22)+($R22)+(BF22*((52+$S22)/52))*(1+$T22))*1/$L22</f>
        <v/>
      </c>
      <c r="BJ22" s="36">
        <f>(BG22+(BG22*$J22)+(BG22*$M22)+(BG22*$N22)+(BG22*$O22)+(BG22*$P22)+(BG22*$Q22)+($R22)+(BG22*((52+$S22)/52))*(1+$T22))*1/$L22</f>
        <v/>
      </c>
      <c r="BK22" s="36">
        <f>(BH22+(BH22*$J22)+(BH22*$M22)+(BH22*$N22)+(BH22*$O22)+(BH22*$P22)+(BH22*$Q22)+($R22)+(BH22*((52+$S22)/52))*(1+$T22))*1/$L22</f>
        <v/>
      </c>
      <c r="BL22" s="36">
        <f>BI22/52/$K22</f>
        <v/>
      </c>
      <c r="BM22" s="36">
        <f>BJ22/52/$K22</f>
        <v/>
      </c>
      <c r="BN22" s="36">
        <f>BK22/52/$K22</f>
        <v/>
      </c>
    </row>
    <row r="23">
      <c r="A23" s="4" t="inlineStr">
        <is>
          <t>QLD</t>
        </is>
      </c>
      <c r="B23" s="19" t="inlineStr">
        <is>
          <t>Medical scientist</t>
        </is>
      </c>
      <c r="C23" s="20" t="inlineStr">
        <is>
          <t>MS</t>
        </is>
      </c>
      <c r="D23" s="4" t="inlineStr">
        <is>
          <t>Hospital and Health Service General Employees (Queensland Health) Award - State 2015</t>
        </is>
      </c>
      <c r="E23" s="21" t="inlineStr">
        <is>
          <t>HP2-3</t>
        </is>
      </c>
      <c r="I23" s="5" t="n">
        <v>2022</v>
      </c>
      <c r="J23" s="11" t="n">
        <v>0.1275</v>
      </c>
      <c r="K23" s="32" t="n">
        <v>36.25</v>
      </c>
      <c r="L23" s="8" t="n">
        <v>1</v>
      </c>
      <c r="M23" s="8" t="n">
        <v>0.1</v>
      </c>
      <c r="N23" s="8" t="n">
        <v>0.035</v>
      </c>
      <c r="O23" s="27" t="n">
        <v>0</v>
      </c>
      <c r="P23" s="8" t="n">
        <v>0</v>
      </c>
      <c r="Q23" s="8" t="n">
        <v>0.046</v>
      </c>
      <c r="R23" s="23" t="n">
        <v>1826</v>
      </c>
      <c r="S23" s="9" t="n">
        <v>4</v>
      </c>
      <c r="T23" s="8" t="n">
        <v>0</v>
      </c>
      <c r="U23" s="8" t="n">
        <v>0.015</v>
      </c>
      <c r="V23" s="36" t="n">
        <v>69031</v>
      </c>
      <c r="W23" s="36">
        <f>V23+((X23-V23)/2)</f>
        <v/>
      </c>
      <c r="X23" s="36" t="n">
        <v>139576</v>
      </c>
      <c r="Y23" s="36">
        <f>(V23+(V23*$J23)+(V23*$M23)+(V23*$N23)+(V23*$O23)+(V23*$P23)+(V23*$Q23)+($R23)+(V23*((52+$S23)/52))*(1+$T23))*1/$L23</f>
        <v/>
      </c>
      <c r="Z23" s="36">
        <f>(W23+(W23*$J23)+(W23*$M23)+(W23*$N23)+(W23*$O23)+(W23*$P23)+(W23*$Q23)+($R23)+(W23*((52+$S23)/52))*(1+$T23))*1/$L23</f>
        <v/>
      </c>
      <c r="AA23" s="36">
        <f>(X23+(X23*$J23)+(X23*$M23)+(X23*$N23)+(X23*$O23)+(X23*$P23)+(X23*$Q23)+($R23)+(X23*((52+$S23)/52))*(1+$T23))*1/$L23</f>
        <v/>
      </c>
      <c r="AB23" s="36">
        <f>Y23/52/$K23</f>
        <v/>
      </c>
      <c r="AC23" s="36">
        <f>Z23/52/$K23</f>
        <v/>
      </c>
      <c r="AD23" s="36">
        <f>AA23/52/$K23</f>
        <v/>
      </c>
      <c r="AE23" s="36">
        <f>($V23*(1+(($U23/100)*1)))</f>
        <v/>
      </c>
      <c r="AF23" s="36">
        <f>($W23*(1+(($U23/100)*1)))</f>
        <v/>
      </c>
      <c r="AG23" s="36">
        <f>($X23*(1+(($U23/100)*1)))</f>
        <v/>
      </c>
      <c r="AH23" s="36">
        <f>(AE23+(AE23*$J23)+(AE23*$M23)+(AE23*$N23)+(AE23*$O23)+(AE23*$P23)+(AE23*$Q23)+($R23)+(AE23*((52+$S23)/52))*(1+$T23))*1/$L23</f>
        <v/>
      </c>
      <c r="AI23" s="36">
        <f>(AF23+(AF23*$J23)+(AF23*$M23)+(AF23*$N23)+(AF23*$O23)+(AF23*$P23)+(AF23*$Q23)+($R23)+(AF23*((52+$S23)/52))*(1+$T23))*1/$L23</f>
        <v/>
      </c>
      <c r="AJ23" s="36">
        <f>(AG23+(AG23*$J23)+(AG23*$M23)+(AG23*$N23)+(AG23*$O23)+(AG23*$P23)+(AG23*$Q23)+($R23)+(AG23*((52+$S23)/52))*(1+$T23))*1/$L23</f>
        <v/>
      </c>
      <c r="AK23" s="36">
        <f>AH23/52/$K23</f>
        <v/>
      </c>
      <c r="AL23" s="36">
        <f>AI23/52/$K23</f>
        <v/>
      </c>
      <c r="AM23" s="36">
        <f>AJ23/52/$K23</f>
        <v/>
      </c>
      <c r="AN23" s="36">
        <f>($V23*(1+(($U23/100)*2)))</f>
        <v/>
      </c>
      <c r="AO23" s="36">
        <f>($W23*(1+(($U23/100)*2)))</f>
        <v/>
      </c>
      <c r="AP23" s="36">
        <f>($X23*(1+(($U23/100)*2)))</f>
        <v/>
      </c>
      <c r="AQ23" s="36">
        <f>(AN23+(AN23*$J23)+(AN23*$M23)+(AN23*$N23)+(AN23*$O23)+(AN23*$P23)+(AN23*$Q23)+($R23)+(AN23*((52+$S23)/52))*(1+$T23))*1/$L23</f>
        <v/>
      </c>
      <c r="AR23" s="36">
        <f>(AO23+(AO23*$J23)+(AO23*$M23)+(AO23*$N23)+(AO23*$O23)+(AO23*$P23)+(AO23*$Q23)+($R23)+(AO23*((52+$S23)/52))*(1+$T23))*1/$L23</f>
        <v/>
      </c>
      <c r="AS23" s="36">
        <f>(AP23+(AP23*$J23)+(AP23*$M23)+(AP23*$N23)+(AP23*$O23)+(AP23*$P23)+(AP23*$Q23)+($R23)+(AP23*((52+$S23)/52))*(1+$T23))*1/$L23</f>
        <v/>
      </c>
      <c r="AT23" s="36">
        <f>AQ23/52/$K23</f>
        <v/>
      </c>
      <c r="AU23" s="36">
        <f>AR23/52/$K23</f>
        <v/>
      </c>
      <c r="AV23" s="36">
        <f>AS23/52/$K23</f>
        <v/>
      </c>
      <c r="AW23" s="36">
        <f>($V23*(1+(($U23/100)*3)))</f>
        <v/>
      </c>
      <c r="AX23" s="36">
        <f>($W23*(1+(($U23/100)*3)))</f>
        <v/>
      </c>
      <c r="AY23" s="36">
        <f>($X23*(1+(($U23/100)*3)))</f>
        <v/>
      </c>
      <c r="AZ23" s="36">
        <f>(AW23+(AW23*$J23)+(AW23*$M23)+(AW23*$N23)+(AW23*$O23)+(AW23*$P23)+(AW23*$Q23)+($R23)+(AW23*((52+$S23)/52))*(1+$T23))*1/$L23</f>
        <v/>
      </c>
      <c r="BA23" s="36">
        <f>(AX23+(AX23*$J23)+(AX23*$M23)+(AX23*$N23)+(AX23*$O23)+(AX23*$P23)+(AX23*$Q23)+($R23)+(AX23*((52+$S23)/52))*(1+$T23))*1/$L23</f>
        <v/>
      </c>
      <c r="BB23" s="36">
        <f>(AY23+(AY23*$J23)+(AY23*$M23)+(AY23*$N23)+(AY23*$O23)+(AY23*$P23)+(AY23*$Q23)+($R23)+(AY23*((52+$S23)/52))*(1+$T23))*1/$L23</f>
        <v/>
      </c>
      <c r="BC23" s="36">
        <f>AZ23/52/$K23</f>
        <v/>
      </c>
      <c r="BD23" s="36">
        <f>BA23/52/$K23</f>
        <v/>
      </c>
      <c r="BE23" s="36">
        <f>BB23/52/$K23</f>
        <v/>
      </c>
      <c r="BF23" s="36">
        <f>($V23*(1+(($U23/100)*4)))</f>
        <v/>
      </c>
      <c r="BG23" s="36">
        <f>($W23*(1+(($U23/100)*4)))</f>
        <v/>
      </c>
      <c r="BH23" s="36">
        <f>($X23*(1+(($U23/100)*4)))</f>
        <v/>
      </c>
      <c r="BI23" s="36">
        <f>(BF23+(BF23*$J23)+(BF23*$M23)+(BF23*$N23)+(BF23*$O23)+(BF23*$P23)+(BF23*$Q23)+($R23)+(BF23*((52+$S23)/52))*(1+$T23))*1/$L23</f>
        <v/>
      </c>
      <c r="BJ23" s="36">
        <f>(BG23+(BG23*$J23)+(BG23*$M23)+(BG23*$N23)+(BG23*$O23)+(BG23*$P23)+(BG23*$Q23)+($R23)+(BG23*((52+$S23)/52))*(1+$T23))*1/$L23</f>
        <v/>
      </c>
      <c r="BK23" s="36">
        <f>(BH23+(BH23*$J23)+(BH23*$M23)+(BH23*$N23)+(BH23*$O23)+(BH23*$P23)+(BH23*$Q23)+($R23)+(BH23*((52+$S23)/52))*(1+$T23))*1/$L23</f>
        <v/>
      </c>
      <c r="BL23" s="36">
        <f>BI23/52/$K23</f>
        <v/>
      </c>
      <c r="BM23" s="36">
        <f>BJ23/52/$K23</f>
        <v/>
      </c>
      <c r="BN23" s="36">
        <f>BK23/52/$K23</f>
        <v/>
      </c>
    </row>
    <row r="24">
      <c r="A24" s="4" t="inlineStr">
        <is>
          <t>QLD</t>
        </is>
      </c>
      <c r="B24" s="19" t="inlineStr">
        <is>
          <t>Admin staff</t>
        </is>
      </c>
      <c r="C24" s="20" t="inlineStr">
        <is>
          <t>AS</t>
        </is>
      </c>
      <c r="D24" s="4" t="inlineStr">
        <is>
          <t>Hospital and Health Service General Employees (Queensland Health) Award - State 2015</t>
        </is>
      </c>
      <c r="I24" s="5" t="n">
        <v>2022</v>
      </c>
      <c r="J24" s="11" t="n">
        <v>0.1275</v>
      </c>
      <c r="K24" s="32" t="n">
        <v>36.25</v>
      </c>
      <c r="L24" s="8" t="n">
        <v>1</v>
      </c>
      <c r="M24" s="8" t="n">
        <v>0.1</v>
      </c>
      <c r="N24" s="8" t="n">
        <v>0.035</v>
      </c>
      <c r="O24" s="27" t="n">
        <v>0</v>
      </c>
      <c r="P24" s="8" t="n">
        <v>0</v>
      </c>
      <c r="Q24" s="8" t="n">
        <v>0.046</v>
      </c>
      <c r="R24" s="23" t="n">
        <v>1826</v>
      </c>
      <c r="S24" s="9" t="n">
        <v>4</v>
      </c>
      <c r="T24" s="8" t="n">
        <v>0</v>
      </c>
      <c r="U24" s="8" t="n">
        <v>0.015</v>
      </c>
      <c r="V24" s="36" t="n">
        <v>47704</v>
      </c>
      <c r="W24" s="36">
        <f>V24+((X24-V24)/2)</f>
        <v/>
      </c>
      <c r="X24" s="36" t="n">
        <v>79901</v>
      </c>
      <c r="Y24" s="36">
        <f>(V24+(V24*$J24)+(V24*$M24)+(V24*$N24)+(V24*$O24)+(V24*$P24)+(V24*$Q24)+($R24)+(V24*((52+$S24)/52))*(1+$T24))*1/$L24</f>
        <v/>
      </c>
      <c r="Z24" s="36">
        <f>(W24+(W24*$J24)+(W24*$M24)+(W24*$N24)+(W24*$O24)+(W24*$P24)+(W24*$Q24)+($R24)+(W24*((52+$S24)/52))*(1+$T24))*1/$L24</f>
        <v/>
      </c>
      <c r="AA24" s="36">
        <f>(X24+(X24*$J24)+(X24*$M24)+(X24*$N24)+(X24*$O24)+(X24*$P24)+(X24*$Q24)+($R24)+(X24*((52+$S24)/52))*(1+$T24))*1/$L24</f>
        <v/>
      </c>
      <c r="AB24" s="36">
        <f>Y24/52/$K24</f>
        <v/>
      </c>
      <c r="AC24" s="36">
        <f>Z24/52/$K24</f>
        <v/>
      </c>
      <c r="AD24" s="36">
        <f>AA24/52/$K24</f>
        <v/>
      </c>
      <c r="AE24" s="36">
        <f>($V24*(1+(($U24/100)*1)))</f>
        <v/>
      </c>
      <c r="AF24" s="36">
        <f>($W24*(1+(($U24/100)*1)))</f>
        <v/>
      </c>
      <c r="AG24" s="36">
        <f>($X24*(1+(($U24/100)*1)))</f>
        <v/>
      </c>
      <c r="AH24" s="36">
        <f>(AE24+(AE24*$J24)+(AE24*$M24)+(AE24*$N24)+(AE24*$O24)+(AE24*$P24)+(AE24*$Q24)+($R24)+(AE24*((52+$S24)/52))*(1+$T24))*1/$L24</f>
        <v/>
      </c>
      <c r="AI24" s="36">
        <f>(AF24+(AF24*$J24)+(AF24*$M24)+(AF24*$N24)+(AF24*$O24)+(AF24*$P24)+(AF24*$Q24)+($R24)+(AF24*((52+$S24)/52))*(1+$T24))*1/$L24</f>
        <v/>
      </c>
      <c r="AJ24" s="36">
        <f>(AG24+(AG24*$J24)+(AG24*$M24)+(AG24*$N24)+(AG24*$O24)+(AG24*$P24)+(AG24*$Q24)+($R24)+(AG24*((52+$S24)/52))*(1+$T24))*1/$L24</f>
        <v/>
      </c>
      <c r="AK24" s="36">
        <f>AH24/52/$K24</f>
        <v/>
      </c>
      <c r="AL24" s="36">
        <f>AI24/52/$K24</f>
        <v/>
      </c>
      <c r="AM24" s="36">
        <f>AJ24/52/$K24</f>
        <v/>
      </c>
      <c r="AN24" s="36">
        <f>($V24*(1+(($U24/100)*2)))</f>
        <v/>
      </c>
      <c r="AO24" s="36">
        <f>($W24*(1+(($U24/100)*2)))</f>
        <v/>
      </c>
      <c r="AP24" s="36">
        <f>($X24*(1+(($U24/100)*2)))</f>
        <v/>
      </c>
      <c r="AQ24" s="36">
        <f>(AN24+(AN24*$J24)+(AN24*$M24)+(AN24*$N24)+(AN24*$O24)+(AN24*$P24)+(AN24*$Q24)+($R24)+(AN24*((52+$S24)/52))*(1+$T24))*1/$L24</f>
        <v/>
      </c>
      <c r="AR24" s="36">
        <f>(AO24+(AO24*$J24)+(AO24*$M24)+(AO24*$N24)+(AO24*$O24)+(AO24*$P24)+(AO24*$Q24)+($R24)+(AO24*((52+$S24)/52))*(1+$T24))*1/$L24</f>
        <v/>
      </c>
      <c r="AS24" s="36">
        <f>(AP24+(AP24*$J24)+(AP24*$M24)+(AP24*$N24)+(AP24*$O24)+(AP24*$P24)+(AP24*$Q24)+($R24)+(AP24*((52+$S24)/52))*(1+$T24))*1/$L24</f>
        <v/>
      </c>
      <c r="AT24" s="36">
        <f>AQ24/52/$K24</f>
        <v/>
      </c>
      <c r="AU24" s="36">
        <f>AR24/52/$K24</f>
        <v/>
      </c>
      <c r="AV24" s="36">
        <f>AS24/52/$K24</f>
        <v/>
      </c>
      <c r="AW24" s="36">
        <f>($V24*(1+(($U24/100)*3)))</f>
        <v/>
      </c>
      <c r="AX24" s="36">
        <f>($W24*(1+(($U24/100)*3)))</f>
        <v/>
      </c>
      <c r="AY24" s="36">
        <f>($X24*(1+(($U24/100)*3)))</f>
        <v/>
      </c>
      <c r="AZ24" s="36">
        <f>(AW24+(AW24*$J24)+(AW24*$M24)+(AW24*$N24)+(AW24*$O24)+(AW24*$P24)+(AW24*$Q24)+($R24)+(AW24*((52+$S24)/52))*(1+$T24))*1/$L24</f>
        <v/>
      </c>
      <c r="BA24" s="36">
        <f>(AX24+(AX24*$J24)+(AX24*$M24)+(AX24*$N24)+(AX24*$O24)+(AX24*$P24)+(AX24*$Q24)+($R24)+(AX24*((52+$S24)/52))*(1+$T24))*1/$L24</f>
        <v/>
      </c>
      <c r="BB24" s="36">
        <f>(AY24+(AY24*$J24)+(AY24*$M24)+(AY24*$N24)+(AY24*$O24)+(AY24*$P24)+(AY24*$Q24)+($R24)+(AY24*((52+$S24)/52))*(1+$T24))*1/$L24</f>
        <v/>
      </c>
      <c r="BC24" s="36">
        <f>AZ24/52/$K24</f>
        <v/>
      </c>
      <c r="BD24" s="36">
        <f>BA24/52/$K24</f>
        <v/>
      </c>
      <c r="BE24" s="36">
        <f>BB24/52/$K24</f>
        <v/>
      </c>
      <c r="BF24" s="36">
        <f>($V24*(1+(($U24/100)*4)))</f>
        <v/>
      </c>
      <c r="BG24" s="36">
        <f>($W24*(1+(($U24/100)*4)))</f>
        <v/>
      </c>
      <c r="BH24" s="36">
        <f>($X24*(1+(($U24/100)*4)))</f>
        <v/>
      </c>
      <c r="BI24" s="36">
        <f>(BF24+(BF24*$J24)+(BF24*$M24)+(BF24*$N24)+(BF24*$O24)+(BF24*$P24)+(BF24*$Q24)+($R24)+(BF24*((52+$S24)/52))*(1+$T24))*1/$L24</f>
        <v/>
      </c>
      <c r="BJ24" s="36">
        <f>(BG24+(BG24*$J24)+(BG24*$M24)+(BG24*$N24)+(BG24*$O24)+(BG24*$P24)+(BG24*$Q24)+($R24)+(BG24*((52+$S24)/52))*(1+$T24))*1/$L24</f>
        <v/>
      </c>
      <c r="BK24" s="36">
        <f>(BH24+(BH24*$J24)+(BH24*$M24)+(BH24*$N24)+(BH24*$O24)+(BH24*$P24)+(BH24*$Q24)+($R24)+(BH24*((52+$S24)/52))*(1+$T24))*1/$L24</f>
        <v/>
      </c>
      <c r="BL24" s="36">
        <f>BI24/52/$K24</f>
        <v/>
      </c>
      <c r="BM24" s="36">
        <f>BJ24/52/$K24</f>
        <v/>
      </c>
      <c r="BN24" s="36">
        <f>BK24/52/$K24</f>
        <v/>
      </c>
    </row>
    <row r="25">
      <c r="A25" s="4" t="inlineStr">
        <is>
          <t>QLD</t>
        </is>
      </c>
      <c r="B25" s="19" t="inlineStr">
        <is>
          <t>Bioinformatics staff</t>
        </is>
      </c>
      <c r="C25" s="20" t="inlineStr">
        <is>
          <t>BI</t>
        </is>
      </c>
      <c r="D25" s="4" t="inlineStr">
        <is>
          <t>Hospital and Health Service General Employees (Queensland Health) Award - State 2015</t>
        </is>
      </c>
      <c r="I25" s="5" t="n">
        <v>2022</v>
      </c>
      <c r="J25" s="11" t="n">
        <v>0.1275</v>
      </c>
      <c r="K25" s="32" t="n">
        <v>36.25</v>
      </c>
      <c r="L25" s="8" t="n">
        <v>1</v>
      </c>
      <c r="M25" s="8" t="n">
        <v>0.1</v>
      </c>
      <c r="N25" s="8" t="n">
        <v>0.035</v>
      </c>
      <c r="O25" s="27" t="n">
        <v>0</v>
      </c>
      <c r="P25" s="8" t="n">
        <v>0</v>
      </c>
      <c r="Q25" s="8" t="n">
        <v>0.046</v>
      </c>
      <c r="R25" s="23" t="n">
        <v>1826</v>
      </c>
      <c r="S25" s="9" t="n">
        <v>4</v>
      </c>
      <c r="T25" s="8" t="n">
        <v>0</v>
      </c>
      <c r="U25" s="8" t="n">
        <v>0.015</v>
      </c>
      <c r="V25" s="36" t="n">
        <v>69031</v>
      </c>
      <c r="W25" s="36">
        <f>V25+((X25-V25)/2)</f>
        <v/>
      </c>
      <c r="X25" s="36" t="n">
        <v>139576</v>
      </c>
      <c r="Y25" s="36">
        <f>(V25+(V25*$J25)+(V25*$M25)+(V25*$N25)+(V25*$O25)+(V25*$P25)+(V25*$Q25)+($R25)+(V25*((52+$S25)/52))*(1+$T25))*1/$L25</f>
        <v/>
      </c>
      <c r="Z25" s="36">
        <f>(W25+(W25*$J25)+(W25*$M25)+(W25*$N25)+(W25*$O25)+(W25*$P25)+(W25*$Q25)+($R25)+(W25*((52+$S25)/52))*(1+$T25))*1/$L25</f>
        <v/>
      </c>
      <c r="AA25" s="36">
        <f>(X25+(X25*$J25)+(X25*$M25)+(X25*$N25)+(X25*$O25)+(X25*$P25)+(X25*$Q25)+($R25)+(X25*((52+$S25)/52))*(1+$T25))*1/$L25</f>
        <v/>
      </c>
      <c r="AB25" s="36">
        <f>Y25/52/$K25</f>
        <v/>
      </c>
      <c r="AC25" s="36">
        <f>Z25/52/$K25</f>
        <v/>
      </c>
      <c r="AD25" s="36">
        <f>AA25/52/$K25</f>
        <v/>
      </c>
      <c r="AE25" s="36">
        <f>($V25*(1+(($U25/100)*1)))</f>
        <v/>
      </c>
      <c r="AF25" s="36">
        <f>($W25*(1+(($U25/100)*1)))</f>
        <v/>
      </c>
      <c r="AG25" s="36">
        <f>($X25*(1+(($U25/100)*1)))</f>
        <v/>
      </c>
      <c r="AH25" s="36">
        <f>(AE25+(AE25*$J25)+(AE25*$M25)+(AE25*$N25)+(AE25*$O25)+(AE25*$P25)+(AE25*$Q25)+($R25)+(AE25*((52+$S25)/52))*(1+$T25))*1/$L25</f>
        <v/>
      </c>
      <c r="AI25" s="36">
        <f>(AF25+(AF25*$J25)+(AF25*$M25)+(AF25*$N25)+(AF25*$O25)+(AF25*$P25)+(AF25*$Q25)+($R25)+(AF25*((52+$S25)/52))*(1+$T25))*1/$L25</f>
        <v/>
      </c>
      <c r="AJ25" s="36">
        <f>(AG25+(AG25*$J25)+(AG25*$M25)+(AG25*$N25)+(AG25*$O25)+(AG25*$P25)+(AG25*$Q25)+($R25)+(AG25*((52+$S25)/52))*(1+$T25))*1/$L25</f>
        <v/>
      </c>
      <c r="AK25" s="36">
        <f>AH25/52/$K25</f>
        <v/>
      </c>
      <c r="AL25" s="36">
        <f>AI25/52/$K25</f>
        <v/>
      </c>
      <c r="AM25" s="36">
        <f>AJ25/52/$K25</f>
        <v/>
      </c>
      <c r="AN25" s="36">
        <f>($V25*(1+(($U25/100)*2)))</f>
        <v/>
      </c>
      <c r="AO25" s="36">
        <f>($W25*(1+(($U25/100)*2)))</f>
        <v/>
      </c>
      <c r="AP25" s="36">
        <f>($X25*(1+(($U25/100)*2)))</f>
        <v/>
      </c>
      <c r="AQ25" s="36">
        <f>(AN25+(AN25*$J25)+(AN25*$M25)+(AN25*$N25)+(AN25*$O25)+(AN25*$P25)+(AN25*$Q25)+($R25)+(AN25*((52+$S25)/52))*(1+$T25))*1/$L25</f>
        <v/>
      </c>
      <c r="AR25" s="36">
        <f>(AO25+(AO25*$J25)+(AO25*$M25)+(AO25*$N25)+(AO25*$O25)+(AO25*$P25)+(AO25*$Q25)+($R25)+(AO25*((52+$S25)/52))*(1+$T25))*1/$L25</f>
        <v/>
      </c>
      <c r="AS25" s="36">
        <f>(AP25+(AP25*$J25)+(AP25*$M25)+(AP25*$N25)+(AP25*$O25)+(AP25*$P25)+(AP25*$Q25)+($R25)+(AP25*((52+$S25)/52))*(1+$T25))*1/$L25</f>
        <v/>
      </c>
      <c r="AT25" s="36">
        <f>AQ25/52/$K25</f>
        <v/>
      </c>
      <c r="AU25" s="36">
        <f>AR25/52/$K25</f>
        <v/>
      </c>
      <c r="AV25" s="36">
        <f>AS25/52/$K25</f>
        <v/>
      </c>
      <c r="AW25" s="36">
        <f>($V25*(1+(($U25/100)*3)))</f>
        <v/>
      </c>
      <c r="AX25" s="36">
        <f>($W25*(1+(($U25/100)*3)))</f>
        <v/>
      </c>
      <c r="AY25" s="36">
        <f>($X25*(1+(($U25/100)*3)))</f>
        <v/>
      </c>
      <c r="AZ25" s="36">
        <f>(AW25+(AW25*$J25)+(AW25*$M25)+(AW25*$N25)+(AW25*$O25)+(AW25*$P25)+(AW25*$Q25)+($R25)+(AW25*((52+$S25)/52))*(1+$T25))*1/$L25</f>
        <v/>
      </c>
      <c r="BA25" s="36">
        <f>(AX25+(AX25*$J25)+(AX25*$M25)+(AX25*$N25)+(AX25*$O25)+(AX25*$P25)+(AX25*$Q25)+($R25)+(AX25*((52+$S25)/52))*(1+$T25))*1/$L25</f>
        <v/>
      </c>
      <c r="BB25" s="36">
        <f>(AY25+(AY25*$J25)+(AY25*$M25)+(AY25*$N25)+(AY25*$O25)+(AY25*$P25)+(AY25*$Q25)+($R25)+(AY25*((52+$S25)/52))*(1+$T25))*1/$L25</f>
        <v/>
      </c>
      <c r="BC25" s="36">
        <f>AZ25/52/$K25</f>
        <v/>
      </c>
      <c r="BD25" s="36">
        <f>BA25/52/$K25</f>
        <v/>
      </c>
      <c r="BE25" s="36">
        <f>BB25/52/$K25</f>
        <v/>
      </c>
      <c r="BF25" s="36">
        <f>($V25*(1+(($U25/100)*4)))</f>
        <v/>
      </c>
      <c r="BG25" s="36">
        <f>($W25*(1+(($U25/100)*4)))</f>
        <v/>
      </c>
      <c r="BH25" s="36">
        <f>($X25*(1+(($U25/100)*4)))</f>
        <v/>
      </c>
      <c r="BI25" s="36">
        <f>(BF25+(BF25*$J25)+(BF25*$M25)+(BF25*$N25)+(BF25*$O25)+(BF25*$P25)+(BF25*$Q25)+($R25)+(BF25*((52+$S25)/52))*(1+$T25))*1/$L25</f>
        <v/>
      </c>
      <c r="BJ25" s="36">
        <f>(BG25+(BG25*$J25)+(BG25*$M25)+(BG25*$N25)+(BG25*$O25)+(BG25*$P25)+(BG25*$Q25)+($R25)+(BG25*((52+$S25)/52))*(1+$T25))*1/$L25</f>
        <v/>
      </c>
      <c r="BK25" s="36">
        <f>(BH25+(BH25*$J25)+(BH25*$M25)+(BH25*$N25)+(BH25*$O25)+(BH25*$P25)+(BH25*$Q25)+($R25)+(BH25*((52+$S25)/52))*(1+$T25))*1/$L25</f>
        <v/>
      </c>
      <c r="BL25" s="36">
        <f>BI25/52/$K25</f>
        <v/>
      </c>
      <c r="BM25" s="36">
        <f>BJ25/52/$K25</f>
        <v/>
      </c>
      <c r="BN25" s="36">
        <f>BK25/52/$K25</f>
        <v/>
      </c>
    </row>
    <row r="26">
      <c r="A26" s="4" t="inlineStr">
        <is>
          <t>QLD</t>
        </is>
      </c>
      <c r="B26" s="19" t="inlineStr">
        <is>
          <t>Pathologists</t>
        </is>
      </c>
      <c r="C26" s="20" t="inlineStr">
        <is>
          <t>MP</t>
        </is>
      </c>
      <c r="D26" s="4" t="inlineStr">
        <is>
          <t>MEDICAL OFFICERS (QUEENSLAND HEALTH) AWARD – STATE 2015</t>
        </is>
      </c>
      <c r="E26" s="21" t="inlineStr">
        <is>
          <t>L18-L27</t>
        </is>
      </c>
      <c r="H26" s="5" t="inlineStr">
        <is>
          <t>189406-262090</t>
        </is>
      </c>
      <c r="I26" s="5" t="n">
        <v>2022</v>
      </c>
      <c r="J26" s="11" t="n">
        <v>0.1275</v>
      </c>
      <c r="K26" s="32" t="n">
        <v>38</v>
      </c>
      <c r="L26" s="8" t="n">
        <v>1</v>
      </c>
      <c r="M26" s="8" t="n">
        <v>0</v>
      </c>
      <c r="N26" s="8" t="n">
        <v>0.035</v>
      </c>
      <c r="O26" s="27" t="n">
        <v>0</v>
      </c>
      <c r="P26" s="8" t="n">
        <v>0.5</v>
      </c>
      <c r="Q26" s="8" t="n">
        <v>0.046</v>
      </c>
      <c r="R26" s="23" t="n">
        <v>21500</v>
      </c>
      <c r="S26" s="9" t="n">
        <v>4</v>
      </c>
      <c r="T26" s="8" t="n">
        <v>0</v>
      </c>
      <c r="U26" s="8" t="n">
        <v>0.015</v>
      </c>
      <c r="V26" s="36" t="n">
        <v>189406</v>
      </c>
      <c r="W26" s="36">
        <f>V26+((X26-V26)/2)</f>
        <v/>
      </c>
      <c r="X26" s="36" t="n">
        <v>262090</v>
      </c>
      <c r="Y26" s="36">
        <f>(V26+(V26*$J26)+(V26*$M26)+(V26*$N26)+(V26*$O26)+(V26*$P26)+(V26*$Q26)+($R26)+(V26*((52+$S26)/52))*(1+$T26))*1/$L26</f>
        <v/>
      </c>
      <c r="Z26" s="36">
        <f>(W26+(W26*$J26)+(W26*$M26)+(W26*$N26)+(W26*$O26)+(W26*$P26)+(W26*$Q26)+($R26)+(W26*((52+$S26)/52))*(1+$T26))*1/$L26</f>
        <v/>
      </c>
      <c r="AA26" s="36">
        <f>(X26+(X26*$J26)+(X26*$M26)+(X26*$N26)+(X26*$O26)+(X26*$P26)+(X26*$Q26)+($R26)+(X26*((52+$S26)/52))*(1+$T26))*1/$L26</f>
        <v/>
      </c>
      <c r="AB26" s="36">
        <f>Y26/52/$K26</f>
        <v/>
      </c>
      <c r="AC26" s="36">
        <f>Z26/52/$K26</f>
        <v/>
      </c>
      <c r="AD26" s="36">
        <f>AA26/52/$K26</f>
        <v/>
      </c>
      <c r="AE26" s="36">
        <f>($V26*(1+(($U26/100)*1)))</f>
        <v/>
      </c>
      <c r="AF26" s="36">
        <f>($W26*(1+(($U26/100)*1)))</f>
        <v/>
      </c>
      <c r="AG26" s="36">
        <f>($X26*(1+(($U26/100)*1)))</f>
        <v/>
      </c>
      <c r="AH26" s="36">
        <f>(AE26+(AE26*$J26)+(AE26*$M26)+(AE26*$N26)+(AE26*$O26)+(AE26*$P26)+(AE26*$Q26)+($R26)+(AE26*((52+$S26)/52))*(1+$T26))*1/$L26</f>
        <v/>
      </c>
      <c r="AI26" s="36">
        <f>(AF26+(AF26*$J26)+(AF26*$M26)+(AF26*$N26)+(AF26*$O26)+(AF26*$P26)+(AF26*$Q26)+($R26)+(AF26*((52+$S26)/52))*(1+$T26))*1/$L26</f>
        <v/>
      </c>
      <c r="AJ26" s="36">
        <f>(AG26+(AG26*$J26)+(AG26*$M26)+(AG26*$N26)+(AG26*$O26)+(AG26*$P26)+(AG26*$Q26)+($R26)+(AG26*((52+$S26)/52))*(1+$T26))*1/$L26</f>
        <v/>
      </c>
      <c r="AK26" s="36">
        <f>AH26/52/$K26</f>
        <v/>
      </c>
      <c r="AL26" s="36">
        <f>AI26/52/$K26</f>
        <v/>
      </c>
      <c r="AM26" s="36">
        <f>AJ26/52/$K26</f>
        <v/>
      </c>
      <c r="AN26" s="36">
        <f>($V26*(1+(($U26/100)*2)))</f>
        <v/>
      </c>
      <c r="AO26" s="36">
        <f>($W26*(1+(($U26/100)*2)))</f>
        <v/>
      </c>
      <c r="AP26" s="36">
        <f>($X26*(1+(($U26/100)*2)))</f>
        <v/>
      </c>
      <c r="AQ26" s="36">
        <f>(AN26+(AN26*$J26)+(AN26*$M26)+(AN26*$N26)+(AN26*$O26)+(AN26*$P26)+(AN26*$Q26)+($R26)+(AN26*((52+$S26)/52))*(1+$T26))*1/$L26</f>
        <v/>
      </c>
      <c r="AR26" s="36">
        <f>(AO26+(AO26*$J26)+(AO26*$M26)+(AO26*$N26)+(AO26*$O26)+(AO26*$P26)+(AO26*$Q26)+($R26)+(AO26*((52+$S26)/52))*(1+$T26))*1/$L26</f>
        <v/>
      </c>
      <c r="AS26" s="36">
        <f>(AP26+(AP26*$J26)+(AP26*$M26)+(AP26*$N26)+(AP26*$O26)+(AP26*$P26)+(AP26*$Q26)+($R26)+(AP26*((52+$S26)/52))*(1+$T26))*1/$L26</f>
        <v/>
      </c>
      <c r="AT26" s="36">
        <f>AQ26/52/$K26</f>
        <v/>
      </c>
      <c r="AU26" s="36">
        <f>AR26/52/$K26</f>
        <v/>
      </c>
      <c r="AV26" s="36">
        <f>AS26/52/$K26</f>
        <v/>
      </c>
      <c r="AW26" s="36">
        <f>($V26*(1+(($U26/100)*3)))</f>
        <v/>
      </c>
      <c r="AX26" s="36">
        <f>($W26*(1+(($U26/100)*3)))</f>
        <v/>
      </c>
      <c r="AY26" s="36">
        <f>($X26*(1+(($U26/100)*3)))</f>
        <v/>
      </c>
      <c r="AZ26" s="36">
        <f>(AW26+(AW26*$J26)+(AW26*$M26)+(AW26*$N26)+(AW26*$O26)+(AW26*$P26)+(AW26*$Q26)+($R26)+(AW26*((52+$S26)/52))*(1+$T26))*1/$L26</f>
        <v/>
      </c>
      <c r="BA26" s="36">
        <f>(AX26+(AX26*$J26)+(AX26*$M26)+(AX26*$N26)+(AX26*$O26)+(AX26*$P26)+(AX26*$Q26)+($R26)+(AX26*((52+$S26)/52))*(1+$T26))*1/$L26</f>
        <v/>
      </c>
      <c r="BB26" s="36">
        <f>(AY26+(AY26*$J26)+(AY26*$M26)+(AY26*$N26)+(AY26*$O26)+(AY26*$P26)+(AY26*$Q26)+($R26)+(AY26*((52+$S26)/52))*(1+$T26))*1/$L26</f>
        <v/>
      </c>
      <c r="BC26" s="36">
        <f>AZ26/52/$K26</f>
        <v/>
      </c>
      <c r="BD26" s="36">
        <f>BA26/52/$K26</f>
        <v/>
      </c>
      <c r="BE26" s="36">
        <f>BB26/52/$K26</f>
        <v/>
      </c>
      <c r="BF26" s="36">
        <f>($V26*(1+(($U26/100)*4)))</f>
        <v/>
      </c>
      <c r="BG26" s="36">
        <f>($W26*(1+(($U26/100)*4)))</f>
        <v/>
      </c>
      <c r="BH26" s="36">
        <f>($X26*(1+(($U26/100)*4)))</f>
        <v/>
      </c>
      <c r="BI26" s="36">
        <f>(BF26+(BF26*$J26)+(BF26*$M26)+(BF26*$N26)+(BF26*$O26)+(BF26*$P26)+(BF26*$Q26)+($R26)+(BF26*((52+$S26)/52))*(1+$T26))*1/$L26</f>
        <v/>
      </c>
      <c r="BJ26" s="36">
        <f>(BG26+(BG26*$J26)+(BG26*$M26)+(BG26*$N26)+(BG26*$O26)+(BG26*$P26)+(BG26*$Q26)+($R26)+(BG26*((52+$S26)/52))*(1+$T26))*1/$L26</f>
        <v/>
      </c>
      <c r="BK26" s="36">
        <f>(BH26+(BH26*$J26)+(BH26*$M26)+(BH26*$N26)+(BH26*$O26)+(BH26*$P26)+(BH26*$Q26)+($R26)+(BH26*((52+$S26)/52))*(1+$T26))*1/$L26</f>
        <v/>
      </c>
      <c r="BL26" s="36">
        <f>BI26/52/$K26</f>
        <v/>
      </c>
      <c r="BM26" s="36">
        <f>BJ26/52/$K26</f>
        <v/>
      </c>
      <c r="BN26" s="36">
        <f>BK26/52/$K26</f>
        <v/>
      </c>
    </row>
    <row r="27">
      <c r="R27" s="23" t="n"/>
      <c r="U27" s="8" t="n"/>
      <c r="V27" s="36" t="n"/>
      <c r="W27" s="36" t="n"/>
      <c r="X27" s="36" t="n"/>
      <c r="Y27" s="36" t="n"/>
      <c r="Z27" s="36" t="n"/>
      <c r="AA27" s="36" t="n"/>
      <c r="AB27" s="36" t="n"/>
      <c r="AC27" s="36" t="n"/>
      <c r="AD27" s="36"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row>
    <row r="28">
      <c r="A28" s="4" t="inlineStr">
        <is>
          <t>WA</t>
        </is>
      </c>
      <c r="B28" s="19" t="inlineStr">
        <is>
          <t>Lab technician</t>
        </is>
      </c>
      <c r="C28" s="20" t="inlineStr">
        <is>
          <t>LT</t>
        </is>
      </c>
      <c r="D28" s="4" t="inlineStr">
        <is>
          <t xml:space="preserve">Health Salaried Officers Agreement </t>
        </is>
      </c>
      <c r="E28" s="21" t="inlineStr">
        <is>
          <t>G1-3</t>
        </is>
      </c>
      <c r="I28" s="5" t="n">
        <v>2022</v>
      </c>
      <c r="J28" s="11" t="n">
        <v>0.105</v>
      </c>
      <c r="K28" s="32" t="n">
        <v>38</v>
      </c>
      <c r="L28" s="8" t="n">
        <v>1</v>
      </c>
      <c r="M28" s="8" t="n">
        <v>0.1</v>
      </c>
      <c r="N28" s="8" t="n">
        <v>0.035</v>
      </c>
      <c r="O28" s="27" t="n">
        <v>0</v>
      </c>
      <c r="P28" s="8" t="n">
        <v>0</v>
      </c>
      <c r="Q28" s="8" t="n">
        <v>0.046</v>
      </c>
      <c r="R28" s="23" t="n">
        <v>0</v>
      </c>
      <c r="S28" s="9" t="n">
        <v>4</v>
      </c>
      <c r="T28" s="8" t="n">
        <v>0.2</v>
      </c>
      <c r="U28" s="8" t="n">
        <v>0.015</v>
      </c>
      <c r="V28" s="36" t="n">
        <v>57579</v>
      </c>
      <c r="W28" s="36">
        <f>V28+((X28-V28)/2)</f>
        <v/>
      </c>
      <c r="X28" s="36" t="n">
        <v>85157</v>
      </c>
      <c r="Y28" s="36">
        <f>(V28+(V28*$J28)+(V28*$M28)+(V28*$N28)+(V28*$O28)+(V28*$P28)+(V28*$Q28)+($R28)+(V28*((52+$S28)/52))*(1+$T28))*1/$L28</f>
        <v/>
      </c>
      <c r="Z28" s="36">
        <f>(W28+(W28*$J28)+(W28*$M28)+(W28*$N28)+(W28*$O28)+(W28*$P28)+(W28*$Q28)+($R28)+(W28*((52+$S28)/52))*(1+$T28))*1/$L28</f>
        <v/>
      </c>
      <c r="AA28" s="36">
        <f>(X28+(X28*$J28)+(X28*$M28)+(X28*$N28)+(X28*$O28)+(X28*$P28)+(X28*$Q28)+($R28)+(X28*((52+$S28)/52))*(1+$T28))*1/$L28</f>
        <v/>
      </c>
      <c r="AB28" s="36">
        <f>Y28/52/$K28</f>
        <v/>
      </c>
      <c r="AC28" s="36">
        <f>Z28/52/$K28</f>
        <v/>
      </c>
      <c r="AD28" s="36">
        <f>AA28/52/$K28</f>
        <v/>
      </c>
      <c r="AE28" s="36">
        <f>($V28*(1+(($U28/100)*1)))</f>
        <v/>
      </c>
      <c r="AF28" s="36">
        <f>($W28*(1+(($U28/100)*1)))</f>
        <v/>
      </c>
      <c r="AG28" s="36">
        <f>($X28*(1+(($U28/100)*1)))</f>
        <v/>
      </c>
      <c r="AH28" s="36">
        <f>(AE28+(AE28*$J28)+(AE28*$M28)+(AE28*$N28)+(AE28*$O28)+(AE28*$P28)+(AE28*$Q28)+($R28)+(AE28*((52+$S28)/52))*(1+$T28))*1/$L28</f>
        <v/>
      </c>
      <c r="AI28" s="36">
        <f>(AF28+(AF28*$J28)+(AF28*$M28)+(AF28*$N28)+(AF28*$O28)+(AF28*$P28)+(AF28*$Q28)+($R28)+(AF28*((52+$S28)/52))*(1+$T28))*1/$L28</f>
        <v/>
      </c>
      <c r="AJ28" s="36">
        <f>(AG28+(AG28*$J28)+(AG28*$M28)+(AG28*$N28)+(AG28*$O28)+(AG28*$P28)+(AG28*$Q28)+($R28)+(AG28*((52+$S28)/52))*(1+$T28))*1/$L28</f>
        <v/>
      </c>
      <c r="AK28" s="36">
        <f>AH28/52/$K28</f>
        <v/>
      </c>
      <c r="AL28" s="36">
        <f>AI28/52/$K28</f>
        <v/>
      </c>
      <c r="AM28" s="36">
        <f>AJ28/52/$K28</f>
        <v/>
      </c>
      <c r="AN28" s="36">
        <f>($V28*(1+(($U28/100)*2)))</f>
        <v/>
      </c>
      <c r="AO28" s="36">
        <f>($W28*(1+(($U28/100)*2)))</f>
        <v/>
      </c>
      <c r="AP28" s="36">
        <f>($X28*(1+(($U28/100)*2)))</f>
        <v/>
      </c>
      <c r="AQ28" s="36">
        <f>(AN28+(AN28*$J28)+(AN28*$M28)+(AN28*$N28)+(AN28*$O28)+(AN28*$P28)+(AN28*$Q28)+($R28)+(AN28*((52+$S28)/52))*(1+$T28))*1/$L28</f>
        <v/>
      </c>
      <c r="AR28" s="36">
        <f>(AO28+(AO28*$J28)+(AO28*$M28)+(AO28*$N28)+(AO28*$O28)+(AO28*$P28)+(AO28*$Q28)+($R28)+(AO28*((52+$S28)/52))*(1+$T28))*1/$L28</f>
        <v/>
      </c>
      <c r="AS28" s="36">
        <f>(AP28+(AP28*$J28)+(AP28*$M28)+(AP28*$N28)+(AP28*$O28)+(AP28*$P28)+(AP28*$Q28)+($R28)+(AP28*((52+$S28)/52))*(1+$T28))*1/$L28</f>
        <v/>
      </c>
      <c r="AT28" s="36">
        <f>AQ28/52/$K28</f>
        <v/>
      </c>
      <c r="AU28" s="36">
        <f>AR28/52/$K28</f>
        <v/>
      </c>
      <c r="AV28" s="36">
        <f>AS28/52/$K28</f>
        <v/>
      </c>
      <c r="AW28" s="36">
        <f>($V28*(1+(($U28/100)*3)))</f>
        <v/>
      </c>
      <c r="AX28" s="36">
        <f>($W28*(1+(($U28/100)*3)))</f>
        <v/>
      </c>
      <c r="AY28" s="36">
        <f>($X28*(1+(($U28/100)*3)))</f>
        <v/>
      </c>
      <c r="AZ28" s="36">
        <f>(AW28+(AW28*$J28)+(AW28*$M28)+(AW28*$N28)+(AW28*$O28)+(AW28*$P28)+(AW28*$Q28)+($R28)+(AW28*((52+$S28)/52))*(1+$T28))*1/$L28</f>
        <v/>
      </c>
      <c r="BA28" s="36">
        <f>(AX28+(AX28*$J28)+(AX28*$M28)+(AX28*$N28)+(AX28*$O28)+(AX28*$P28)+(AX28*$Q28)+($R28)+(AX28*((52+$S28)/52))*(1+$T28))*1/$L28</f>
        <v/>
      </c>
      <c r="BB28" s="36">
        <f>(AY28+(AY28*$J28)+(AY28*$M28)+(AY28*$N28)+(AY28*$O28)+(AY28*$P28)+(AY28*$Q28)+($R28)+(AY28*((52+$S28)/52))*(1+$T28))*1/$L28</f>
        <v/>
      </c>
      <c r="BC28" s="36">
        <f>AZ28/52/$K28</f>
        <v/>
      </c>
      <c r="BD28" s="36">
        <f>BA28/52/$K28</f>
        <v/>
      </c>
      <c r="BE28" s="36">
        <f>BB28/52/$K28</f>
        <v/>
      </c>
      <c r="BF28" s="36">
        <f>($V28*(1+(($U28/100)*4)))</f>
        <v/>
      </c>
      <c r="BG28" s="36">
        <f>($W28*(1+(($U28/100)*4)))</f>
        <v/>
      </c>
      <c r="BH28" s="36">
        <f>($X28*(1+(($U28/100)*4)))</f>
        <v/>
      </c>
      <c r="BI28" s="36">
        <f>(BF28+(BF28*$J28)+(BF28*$M28)+(BF28*$N28)+(BF28*$O28)+(BF28*$P28)+(BF28*$Q28)+($R28)+(BF28*((52+$S28)/52))*(1+$T28))*1/$L28</f>
        <v/>
      </c>
      <c r="BJ28" s="36">
        <f>(BG28+(BG28*$J28)+(BG28*$M28)+(BG28*$N28)+(BG28*$O28)+(BG28*$P28)+(BG28*$Q28)+($R28)+(BG28*((52+$S28)/52))*(1+$T28))*1/$L28</f>
        <v/>
      </c>
      <c r="BK28" s="36">
        <f>(BH28+(BH28*$J28)+(BH28*$M28)+(BH28*$N28)+(BH28*$O28)+(BH28*$P28)+(BH28*$Q28)+($R28)+(BH28*((52+$S28)/52))*(1+$T28))*1/$L28</f>
        <v/>
      </c>
      <c r="BL28" s="36">
        <f>BI28/52/$K28</f>
        <v/>
      </c>
      <c r="BM28" s="36">
        <f>BJ28/52/$K28</f>
        <v/>
      </c>
      <c r="BN28" s="36">
        <f>BK28/52/$K28</f>
        <v/>
      </c>
    </row>
    <row r="29">
      <c r="A29" s="4" t="inlineStr">
        <is>
          <t>WA</t>
        </is>
      </c>
      <c r="B29" s="19" t="inlineStr">
        <is>
          <t>Medical scientist</t>
        </is>
      </c>
      <c r="C29" s="20" t="inlineStr">
        <is>
          <t>MS</t>
        </is>
      </c>
      <c r="D29" s="4" t="inlineStr">
        <is>
          <t xml:space="preserve">Health Salaried Officers Agreement </t>
        </is>
      </c>
      <c r="E29" s="21" t="inlineStr">
        <is>
          <t>P1-5</t>
        </is>
      </c>
      <c r="I29" s="5" t="n">
        <v>2022</v>
      </c>
      <c r="J29" s="11" t="n">
        <v>0.105</v>
      </c>
      <c r="K29" s="32" t="n">
        <v>38</v>
      </c>
      <c r="L29" s="8" t="n">
        <v>1</v>
      </c>
      <c r="M29" s="8" t="n">
        <v>0.1</v>
      </c>
      <c r="N29" s="8" t="n">
        <v>0.035</v>
      </c>
      <c r="O29" s="27" t="n">
        <v>0</v>
      </c>
      <c r="P29" s="8" t="n">
        <v>0</v>
      </c>
      <c r="Q29" s="8" t="n">
        <v>0.046</v>
      </c>
      <c r="R29" s="23" t="n">
        <v>0</v>
      </c>
      <c r="S29" s="9" t="n">
        <v>4</v>
      </c>
      <c r="T29" s="8" t="n">
        <v>0.2</v>
      </c>
      <c r="U29" s="8" t="n">
        <v>0.015</v>
      </c>
      <c r="V29" s="36" t="n">
        <v>77833</v>
      </c>
      <c r="W29" s="36">
        <f>V29+((X29-V29)/2)</f>
        <v/>
      </c>
      <c r="X29" s="36" t="n">
        <v>140249</v>
      </c>
      <c r="Y29" s="36">
        <f>(V29+(V29*$J29)+(V29*$M29)+(V29*$N29)+(V29*$O29)+(V29*$P29)+(V29*$Q29)+($R29)+(V29*((52+$S29)/52))*(1+$T29))*1/$L29</f>
        <v/>
      </c>
      <c r="Z29" s="36">
        <f>(W29+(W29*$J29)+(W29*$M29)+(W29*$N29)+(W29*$O29)+(W29*$P29)+(W29*$Q29)+($R29)+(W29*((52+$S29)/52))*(1+$T29))*1/$L29</f>
        <v/>
      </c>
      <c r="AA29" s="36">
        <f>(X29+(X29*$J29)+(X29*$M29)+(X29*$N29)+(X29*$O29)+(X29*$P29)+(X29*$Q29)+($R29)+(X29*((52+$S29)/52))*(1+$T29))*1/$L29</f>
        <v/>
      </c>
      <c r="AB29" s="36">
        <f>Y29/52/$K29</f>
        <v/>
      </c>
      <c r="AC29" s="36">
        <f>Z29/52/$K29</f>
        <v/>
      </c>
      <c r="AD29" s="36">
        <f>AA29/52/$K29</f>
        <v/>
      </c>
      <c r="AE29" s="36">
        <f>($V29*(1+(($U29/100)*1)))</f>
        <v/>
      </c>
      <c r="AF29" s="36">
        <f>($W29*(1+(($U29/100)*1)))</f>
        <v/>
      </c>
      <c r="AG29" s="36">
        <f>($X29*(1+(($U29/100)*1)))</f>
        <v/>
      </c>
      <c r="AH29" s="36">
        <f>(AE29+(AE29*$J29)+(AE29*$M29)+(AE29*$N29)+(AE29*$O29)+(AE29*$P29)+(AE29*$Q29)+($R29)+(AE29*((52+$S29)/52))*(1+$T29))*1/$L29</f>
        <v/>
      </c>
      <c r="AI29" s="36">
        <f>(AF29+(AF29*$J29)+(AF29*$M29)+(AF29*$N29)+(AF29*$O29)+(AF29*$P29)+(AF29*$Q29)+($R29)+(AF29*((52+$S29)/52))*(1+$T29))*1/$L29</f>
        <v/>
      </c>
      <c r="AJ29" s="36">
        <f>(AG29+(AG29*$J29)+(AG29*$M29)+(AG29*$N29)+(AG29*$O29)+(AG29*$P29)+(AG29*$Q29)+($R29)+(AG29*((52+$S29)/52))*(1+$T29))*1/$L29</f>
        <v/>
      </c>
      <c r="AK29" s="36">
        <f>AH29/52/$K29</f>
        <v/>
      </c>
      <c r="AL29" s="36">
        <f>AI29/52/$K29</f>
        <v/>
      </c>
      <c r="AM29" s="36">
        <f>AJ29/52/$K29</f>
        <v/>
      </c>
      <c r="AN29" s="36">
        <f>($V29*(1+(($U29/100)*2)))</f>
        <v/>
      </c>
      <c r="AO29" s="36">
        <f>($W29*(1+(($U29/100)*2)))</f>
        <v/>
      </c>
      <c r="AP29" s="36">
        <f>($X29*(1+(($U29/100)*2)))</f>
        <v/>
      </c>
      <c r="AQ29" s="36">
        <f>(AN29+(AN29*$J29)+(AN29*$M29)+(AN29*$N29)+(AN29*$O29)+(AN29*$P29)+(AN29*$Q29)+($R29)+(AN29*((52+$S29)/52))*(1+$T29))*1/$L29</f>
        <v/>
      </c>
      <c r="AR29" s="36">
        <f>(AO29+(AO29*$J29)+(AO29*$M29)+(AO29*$N29)+(AO29*$O29)+(AO29*$P29)+(AO29*$Q29)+($R29)+(AO29*((52+$S29)/52))*(1+$T29))*1/$L29</f>
        <v/>
      </c>
      <c r="AS29" s="36">
        <f>(AP29+(AP29*$J29)+(AP29*$M29)+(AP29*$N29)+(AP29*$O29)+(AP29*$P29)+(AP29*$Q29)+($R29)+(AP29*((52+$S29)/52))*(1+$T29))*1/$L29</f>
        <v/>
      </c>
      <c r="AT29" s="36">
        <f>AQ29/52/$K29</f>
        <v/>
      </c>
      <c r="AU29" s="36">
        <f>AR29/52/$K29</f>
        <v/>
      </c>
      <c r="AV29" s="36">
        <f>AS29/52/$K29</f>
        <v/>
      </c>
      <c r="AW29" s="36">
        <f>($V29*(1+(($U29/100)*3)))</f>
        <v/>
      </c>
      <c r="AX29" s="36">
        <f>($W29*(1+(($U29/100)*3)))</f>
        <v/>
      </c>
      <c r="AY29" s="36">
        <f>($X29*(1+(($U29/100)*3)))</f>
        <v/>
      </c>
      <c r="AZ29" s="36">
        <f>(AW29+(AW29*$J29)+(AW29*$M29)+(AW29*$N29)+(AW29*$O29)+(AW29*$P29)+(AW29*$Q29)+($R29)+(AW29*((52+$S29)/52))*(1+$T29))*1/$L29</f>
        <v/>
      </c>
      <c r="BA29" s="36">
        <f>(AX29+(AX29*$J29)+(AX29*$M29)+(AX29*$N29)+(AX29*$O29)+(AX29*$P29)+(AX29*$Q29)+($R29)+(AX29*((52+$S29)/52))*(1+$T29))*1/$L29</f>
        <v/>
      </c>
      <c r="BB29" s="36">
        <f>(AY29+(AY29*$J29)+(AY29*$M29)+(AY29*$N29)+(AY29*$O29)+(AY29*$P29)+(AY29*$Q29)+($R29)+(AY29*((52+$S29)/52))*(1+$T29))*1/$L29</f>
        <v/>
      </c>
      <c r="BC29" s="36">
        <f>AZ29/52/$K29</f>
        <v/>
      </c>
      <c r="BD29" s="36">
        <f>BA29/52/$K29</f>
        <v/>
      </c>
      <c r="BE29" s="36">
        <f>BB29/52/$K29</f>
        <v/>
      </c>
      <c r="BF29" s="36">
        <f>($V29*(1+(($U29/100)*4)))</f>
        <v/>
      </c>
      <c r="BG29" s="36">
        <f>($W29*(1+(($U29/100)*4)))</f>
        <v/>
      </c>
      <c r="BH29" s="36">
        <f>($X29*(1+(($U29/100)*4)))</f>
        <v/>
      </c>
      <c r="BI29" s="36">
        <f>(BF29+(BF29*$J29)+(BF29*$M29)+(BF29*$N29)+(BF29*$O29)+(BF29*$P29)+(BF29*$Q29)+($R29)+(BF29*((52+$S29)/52))*(1+$T29))*1/$L29</f>
        <v/>
      </c>
      <c r="BJ29" s="36">
        <f>(BG29+(BG29*$J29)+(BG29*$M29)+(BG29*$N29)+(BG29*$O29)+(BG29*$P29)+(BG29*$Q29)+($R29)+(BG29*((52+$S29)/52))*(1+$T29))*1/$L29</f>
        <v/>
      </c>
      <c r="BK29" s="36">
        <f>(BH29+(BH29*$J29)+(BH29*$M29)+(BH29*$N29)+(BH29*$O29)+(BH29*$P29)+(BH29*$Q29)+($R29)+(BH29*((52+$S29)/52))*(1+$T29))*1/$L29</f>
        <v/>
      </c>
      <c r="BL29" s="36">
        <f>BI29/52/$K29</f>
        <v/>
      </c>
      <c r="BM29" s="36">
        <f>BJ29/52/$K29</f>
        <v/>
      </c>
      <c r="BN29" s="36">
        <f>BK29/52/$K29</f>
        <v/>
      </c>
    </row>
    <row r="30">
      <c r="A30" s="4" t="inlineStr">
        <is>
          <t>WA</t>
        </is>
      </c>
      <c r="B30" s="19" t="inlineStr">
        <is>
          <t>Admin staff</t>
        </is>
      </c>
      <c r="C30" s="20" t="inlineStr">
        <is>
          <t>AS</t>
        </is>
      </c>
      <c r="D30" s="4" t="inlineStr">
        <is>
          <t xml:space="preserve">Health Salaried Officers Agreement </t>
        </is>
      </c>
      <c r="E30" s="21" t="inlineStr">
        <is>
          <t>G1-2</t>
        </is>
      </c>
      <c r="I30" s="5" t="n">
        <v>2022</v>
      </c>
      <c r="J30" s="11" t="n">
        <v>0.105</v>
      </c>
      <c r="K30" s="32" t="n">
        <v>38</v>
      </c>
      <c r="L30" s="8" t="n">
        <v>1</v>
      </c>
      <c r="M30" s="8" t="n">
        <v>0.1</v>
      </c>
      <c r="N30" s="8" t="n">
        <v>0.035</v>
      </c>
      <c r="O30" s="27" t="n">
        <v>0</v>
      </c>
      <c r="P30" s="8" t="n">
        <v>0</v>
      </c>
      <c r="Q30" s="8" t="n">
        <v>0.046</v>
      </c>
      <c r="R30" s="23" t="n">
        <v>0</v>
      </c>
      <c r="S30" s="9" t="n">
        <v>4</v>
      </c>
      <c r="T30" s="8" t="n">
        <v>0.2</v>
      </c>
      <c r="U30" s="8" t="n">
        <v>0.015</v>
      </c>
      <c r="V30" s="36" t="n">
        <v>57579</v>
      </c>
      <c r="W30" s="36">
        <f>V30+((X30-V30)/2)</f>
        <v/>
      </c>
      <c r="X30" s="36" t="n">
        <v>69049</v>
      </c>
      <c r="Y30" s="36">
        <f>(V30+(V30*$J30)+(V30*$M30)+(V30*$N30)+(V30*$O30)+(V30*$P30)+(V30*$Q30)+($R30)+(V30*((52+$S30)/52))*(1+$T30))*1/$L30</f>
        <v/>
      </c>
      <c r="Z30" s="36">
        <f>(W30+(W30*$J30)+(W30*$M30)+(W30*$N30)+(W30*$O30)+(W30*$P30)+(W30*$Q30)+($R30)+(W30*((52+$S30)/52))*(1+$T30))*1/$L30</f>
        <v/>
      </c>
      <c r="AA30" s="36">
        <f>(X30+(X30*$J30)+(X30*$M30)+(X30*$N30)+(X30*$O30)+(X30*$P30)+(X30*$Q30)+($R30)+(X30*((52+$S30)/52))*(1+$T30))*1/$L30</f>
        <v/>
      </c>
      <c r="AB30" s="36">
        <f>Y30/52/$K30</f>
        <v/>
      </c>
      <c r="AC30" s="36">
        <f>Z30/52/$K30</f>
        <v/>
      </c>
      <c r="AD30" s="36">
        <f>AA30/52/$K30</f>
        <v/>
      </c>
      <c r="AE30" s="36">
        <f>($V30*(1+(($U30/100)*1)))</f>
        <v/>
      </c>
      <c r="AF30" s="36">
        <f>($W30*(1+(($U30/100)*1)))</f>
        <v/>
      </c>
      <c r="AG30" s="36">
        <f>($X30*(1+(($U30/100)*1)))</f>
        <v/>
      </c>
      <c r="AH30" s="36">
        <f>(AE30+(AE30*$J30)+(AE30*$M30)+(AE30*$N30)+(AE30*$O30)+(AE30*$P30)+(AE30*$Q30)+($R30)+(AE30*((52+$S30)/52))*(1+$T30))*1/$L30</f>
        <v/>
      </c>
      <c r="AI30" s="36">
        <f>(AF30+(AF30*$J30)+(AF30*$M30)+(AF30*$N30)+(AF30*$O30)+(AF30*$P30)+(AF30*$Q30)+($R30)+(AF30*((52+$S30)/52))*(1+$T30))*1/$L30</f>
        <v/>
      </c>
      <c r="AJ30" s="36">
        <f>(AG30+(AG30*$J30)+(AG30*$M30)+(AG30*$N30)+(AG30*$O30)+(AG30*$P30)+(AG30*$Q30)+($R30)+(AG30*((52+$S30)/52))*(1+$T30))*1/$L30</f>
        <v/>
      </c>
      <c r="AK30" s="36">
        <f>AH30/52/$K30</f>
        <v/>
      </c>
      <c r="AL30" s="36">
        <f>AI30/52/$K30</f>
        <v/>
      </c>
      <c r="AM30" s="36">
        <f>AJ30/52/$K30</f>
        <v/>
      </c>
      <c r="AN30" s="36">
        <f>($V30*(1+(($U30/100)*2)))</f>
        <v/>
      </c>
      <c r="AO30" s="36">
        <f>($W30*(1+(($U30/100)*2)))</f>
        <v/>
      </c>
      <c r="AP30" s="36">
        <f>($X30*(1+(($U30/100)*2)))</f>
        <v/>
      </c>
      <c r="AQ30" s="36">
        <f>(AN30+(AN30*$J30)+(AN30*$M30)+(AN30*$N30)+(AN30*$O30)+(AN30*$P30)+(AN30*$Q30)+($R30)+(AN30*((52+$S30)/52))*(1+$T30))*1/$L30</f>
        <v/>
      </c>
      <c r="AR30" s="36">
        <f>(AO30+(AO30*$J30)+(AO30*$M30)+(AO30*$N30)+(AO30*$O30)+(AO30*$P30)+(AO30*$Q30)+($R30)+(AO30*((52+$S30)/52))*(1+$T30))*1/$L30</f>
        <v/>
      </c>
      <c r="AS30" s="36">
        <f>(AP30+(AP30*$J30)+(AP30*$M30)+(AP30*$N30)+(AP30*$O30)+(AP30*$P30)+(AP30*$Q30)+($R30)+(AP30*((52+$S30)/52))*(1+$T30))*1/$L30</f>
        <v/>
      </c>
      <c r="AT30" s="36">
        <f>AQ30/52/$K30</f>
        <v/>
      </c>
      <c r="AU30" s="36">
        <f>AR30/52/$K30</f>
        <v/>
      </c>
      <c r="AV30" s="36">
        <f>AS30/52/$K30</f>
        <v/>
      </c>
      <c r="AW30" s="36">
        <f>($V30*(1+(($U30/100)*3)))</f>
        <v/>
      </c>
      <c r="AX30" s="36">
        <f>($W30*(1+(($U30/100)*3)))</f>
        <v/>
      </c>
      <c r="AY30" s="36">
        <f>($X30*(1+(($U30/100)*3)))</f>
        <v/>
      </c>
      <c r="AZ30" s="36">
        <f>(AW30+(AW30*$J30)+(AW30*$M30)+(AW30*$N30)+(AW30*$O30)+(AW30*$P30)+(AW30*$Q30)+($R30)+(AW30*((52+$S30)/52))*(1+$T30))*1/$L30</f>
        <v/>
      </c>
      <c r="BA30" s="36">
        <f>(AX30+(AX30*$J30)+(AX30*$M30)+(AX30*$N30)+(AX30*$O30)+(AX30*$P30)+(AX30*$Q30)+($R30)+(AX30*((52+$S30)/52))*(1+$T30))*1/$L30</f>
        <v/>
      </c>
      <c r="BB30" s="36">
        <f>(AY30+(AY30*$J30)+(AY30*$M30)+(AY30*$N30)+(AY30*$O30)+(AY30*$P30)+(AY30*$Q30)+($R30)+(AY30*((52+$S30)/52))*(1+$T30))*1/$L30</f>
        <v/>
      </c>
      <c r="BC30" s="36">
        <f>AZ30/52/$K30</f>
        <v/>
      </c>
      <c r="BD30" s="36">
        <f>BA30/52/$K30</f>
        <v/>
      </c>
      <c r="BE30" s="36">
        <f>BB30/52/$K30</f>
        <v/>
      </c>
      <c r="BF30" s="36">
        <f>($V30*(1+(($U30/100)*4)))</f>
        <v/>
      </c>
      <c r="BG30" s="36">
        <f>($W30*(1+(($U30/100)*4)))</f>
        <v/>
      </c>
      <c r="BH30" s="36">
        <f>($X30*(1+(($U30/100)*4)))</f>
        <v/>
      </c>
      <c r="BI30" s="36">
        <f>(BF30+(BF30*$J30)+(BF30*$M30)+(BF30*$N30)+(BF30*$O30)+(BF30*$P30)+(BF30*$Q30)+($R30)+(BF30*((52+$S30)/52))*(1+$T30))*1/$L30</f>
        <v/>
      </c>
      <c r="BJ30" s="36">
        <f>(BG30+(BG30*$J30)+(BG30*$M30)+(BG30*$N30)+(BG30*$O30)+(BG30*$P30)+(BG30*$Q30)+($R30)+(BG30*((52+$S30)/52))*(1+$T30))*1/$L30</f>
        <v/>
      </c>
      <c r="BK30" s="36">
        <f>(BH30+(BH30*$J30)+(BH30*$M30)+(BH30*$N30)+(BH30*$O30)+(BH30*$P30)+(BH30*$Q30)+($R30)+(BH30*((52+$S30)/52))*(1+$T30))*1/$L30</f>
        <v/>
      </c>
      <c r="BL30" s="36">
        <f>BI30/52/$K30</f>
        <v/>
      </c>
      <c r="BM30" s="36">
        <f>BJ30/52/$K30</f>
        <v/>
      </c>
      <c r="BN30" s="36">
        <f>BK30/52/$K30</f>
        <v/>
      </c>
    </row>
    <row r="31">
      <c r="A31" s="4" t="inlineStr">
        <is>
          <t>WA</t>
        </is>
      </c>
      <c r="B31" s="19" t="inlineStr">
        <is>
          <t>Bioinformatics staff</t>
        </is>
      </c>
      <c r="C31" s="20" t="inlineStr">
        <is>
          <t>BI</t>
        </is>
      </c>
      <c r="D31" s="4" t="inlineStr">
        <is>
          <t xml:space="preserve">Health Salaried Officers Agreement </t>
        </is>
      </c>
      <c r="E31" s="21" t="inlineStr">
        <is>
          <t>G4-5</t>
        </is>
      </c>
      <c r="I31" s="5" t="n">
        <v>2022</v>
      </c>
      <c r="J31" s="11" t="n">
        <v>0.105</v>
      </c>
      <c r="K31" s="32" t="n">
        <v>38</v>
      </c>
      <c r="L31" s="8" t="n">
        <v>1</v>
      </c>
      <c r="M31" s="8" t="n">
        <v>0.1</v>
      </c>
      <c r="N31" s="8" t="n">
        <v>0.035</v>
      </c>
      <c r="O31" s="27" t="n">
        <v>0</v>
      </c>
      <c r="P31" s="8" t="n">
        <v>0</v>
      </c>
      <c r="Q31" s="8" t="n">
        <v>0.046</v>
      </c>
      <c r="R31" s="23" t="n">
        <v>0</v>
      </c>
      <c r="S31" s="9" t="n">
        <v>4</v>
      </c>
      <c r="T31" s="8" t="n">
        <v>0.2</v>
      </c>
      <c r="U31" s="8" t="n">
        <v>0.015</v>
      </c>
      <c r="V31" s="36" t="n">
        <v>79898</v>
      </c>
      <c r="W31" s="36">
        <f>V31+((X31-V31)/2)</f>
        <v/>
      </c>
      <c r="X31" s="36" t="n">
        <v>93664</v>
      </c>
      <c r="Y31" s="36">
        <f>(V31+(V31*$J31)+(V31*$M31)+(V31*$N31)+(V31*$O31)+(V31*$P31)+(V31*$Q31)+($R31)+(V31*((52+$S31)/52))*(1+$T31))*1/$L31</f>
        <v/>
      </c>
      <c r="Z31" s="36">
        <f>(W31+(W31*$J31)+(W31*$M31)+(W31*$N31)+(W31*$O31)+(W31*$P31)+(W31*$Q31)+($R31)+(W31*((52+$S31)/52))*(1+$T31))*1/$L31</f>
        <v/>
      </c>
      <c r="AA31" s="36">
        <f>(X31+(X31*$J31)+(X31*$M31)+(X31*$N31)+(X31*$O31)+(X31*$P31)+(X31*$Q31)+($R31)+(X31*((52+$S31)/52))*(1+$T31))*1/$L31</f>
        <v/>
      </c>
      <c r="AB31" s="36">
        <f>Y31/52/$K31</f>
        <v/>
      </c>
      <c r="AC31" s="36">
        <f>Z31/52/$K31</f>
        <v/>
      </c>
      <c r="AD31" s="36">
        <f>AA31/52/$K31</f>
        <v/>
      </c>
      <c r="AE31" s="36">
        <f>($V31*(1+(($U31/100)*1)))</f>
        <v/>
      </c>
      <c r="AF31" s="36">
        <f>($W31*(1+(($U31/100)*1)))</f>
        <v/>
      </c>
      <c r="AG31" s="36">
        <f>($X31*(1+(($U31/100)*1)))</f>
        <v/>
      </c>
      <c r="AH31" s="36">
        <f>(AE31+(AE31*$J31)+(AE31*$M31)+(AE31*$N31)+(AE31*$O31)+(AE31*$P31)+(AE31*$Q31)+($R31)+(AE31*((52+$S31)/52))*(1+$T31))*1/$L31</f>
        <v/>
      </c>
      <c r="AI31" s="36">
        <f>(AF31+(AF31*$J31)+(AF31*$M31)+(AF31*$N31)+(AF31*$O31)+(AF31*$P31)+(AF31*$Q31)+($R31)+(AF31*((52+$S31)/52))*(1+$T31))*1/$L31</f>
        <v/>
      </c>
      <c r="AJ31" s="36">
        <f>(AG31+(AG31*$J31)+(AG31*$M31)+(AG31*$N31)+(AG31*$O31)+(AG31*$P31)+(AG31*$Q31)+($R31)+(AG31*((52+$S31)/52))*(1+$T31))*1/$L31</f>
        <v/>
      </c>
      <c r="AK31" s="36">
        <f>AH31/52/$K31</f>
        <v/>
      </c>
      <c r="AL31" s="36">
        <f>AI31/52/$K31</f>
        <v/>
      </c>
      <c r="AM31" s="36">
        <f>AJ31/52/$K31</f>
        <v/>
      </c>
      <c r="AN31" s="36">
        <f>($V31*(1+(($U31/100)*2)))</f>
        <v/>
      </c>
      <c r="AO31" s="36">
        <f>($W31*(1+(($U31/100)*2)))</f>
        <v/>
      </c>
      <c r="AP31" s="36">
        <f>($X31*(1+(($U31/100)*2)))</f>
        <v/>
      </c>
      <c r="AQ31" s="36">
        <f>(AN31+(AN31*$J31)+(AN31*$M31)+(AN31*$N31)+(AN31*$O31)+(AN31*$P31)+(AN31*$Q31)+($R31)+(AN31*((52+$S31)/52))*(1+$T31))*1/$L31</f>
        <v/>
      </c>
      <c r="AR31" s="36">
        <f>(AO31+(AO31*$J31)+(AO31*$M31)+(AO31*$N31)+(AO31*$O31)+(AO31*$P31)+(AO31*$Q31)+($R31)+(AO31*((52+$S31)/52))*(1+$T31))*1/$L31</f>
        <v/>
      </c>
      <c r="AS31" s="36">
        <f>(AP31+(AP31*$J31)+(AP31*$M31)+(AP31*$N31)+(AP31*$O31)+(AP31*$P31)+(AP31*$Q31)+($R31)+(AP31*((52+$S31)/52))*(1+$T31))*1/$L31</f>
        <v/>
      </c>
      <c r="AT31" s="36">
        <f>AQ31/52/$K31</f>
        <v/>
      </c>
      <c r="AU31" s="36">
        <f>AR31/52/$K31</f>
        <v/>
      </c>
      <c r="AV31" s="36">
        <f>AS31/52/$K31</f>
        <v/>
      </c>
      <c r="AW31" s="36">
        <f>($V31*(1+(($U31/100)*3)))</f>
        <v/>
      </c>
      <c r="AX31" s="36">
        <f>($W31*(1+(($U31/100)*3)))</f>
        <v/>
      </c>
      <c r="AY31" s="36">
        <f>($X31*(1+(($U31/100)*3)))</f>
        <v/>
      </c>
      <c r="AZ31" s="36">
        <f>(AW31+(AW31*$J31)+(AW31*$M31)+(AW31*$N31)+(AW31*$O31)+(AW31*$P31)+(AW31*$Q31)+($R31)+(AW31*((52+$S31)/52))*(1+$T31))*1/$L31</f>
        <v/>
      </c>
      <c r="BA31" s="36">
        <f>(AX31+(AX31*$J31)+(AX31*$M31)+(AX31*$N31)+(AX31*$O31)+(AX31*$P31)+(AX31*$Q31)+($R31)+(AX31*((52+$S31)/52))*(1+$T31))*1/$L31</f>
        <v/>
      </c>
      <c r="BB31" s="36">
        <f>(AY31+(AY31*$J31)+(AY31*$M31)+(AY31*$N31)+(AY31*$O31)+(AY31*$P31)+(AY31*$Q31)+($R31)+(AY31*((52+$S31)/52))*(1+$T31))*1/$L31</f>
        <v/>
      </c>
      <c r="BC31" s="36">
        <f>AZ31/52/$K31</f>
        <v/>
      </c>
      <c r="BD31" s="36">
        <f>BA31/52/$K31</f>
        <v/>
      </c>
      <c r="BE31" s="36">
        <f>BB31/52/$K31</f>
        <v/>
      </c>
      <c r="BF31" s="36">
        <f>($V31*(1+(($U31/100)*4)))</f>
        <v/>
      </c>
      <c r="BG31" s="36">
        <f>($W31*(1+(($U31/100)*4)))</f>
        <v/>
      </c>
      <c r="BH31" s="36">
        <f>($X31*(1+(($U31/100)*4)))</f>
        <v/>
      </c>
      <c r="BI31" s="36">
        <f>(BF31+(BF31*$J31)+(BF31*$M31)+(BF31*$N31)+(BF31*$O31)+(BF31*$P31)+(BF31*$Q31)+($R31)+(BF31*((52+$S31)/52))*(1+$T31))*1/$L31</f>
        <v/>
      </c>
      <c r="BJ31" s="36">
        <f>(BG31+(BG31*$J31)+(BG31*$M31)+(BG31*$N31)+(BG31*$O31)+(BG31*$P31)+(BG31*$Q31)+($R31)+(BG31*((52+$S31)/52))*(1+$T31))*1/$L31</f>
        <v/>
      </c>
      <c r="BK31" s="36">
        <f>(BH31+(BH31*$J31)+(BH31*$M31)+(BH31*$N31)+(BH31*$O31)+(BH31*$P31)+(BH31*$Q31)+($R31)+(BH31*((52+$S31)/52))*(1+$T31))*1/$L31</f>
        <v/>
      </c>
      <c r="BL31" s="36">
        <f>BI31/52/$K31</f>
        <v/>
      </c>
      <c r="BM31" s="36">
        <f>BJ31/52/$K31</f>
        <v/>
      </c>
      <c r="BN31" s="36">
        <f>BK31/52/$K31</f>
        <v/>
      </c>
    </row>
    <row r="32">
      <c r="A32" s="4" t="inlineStr">
        <is>
          <t>WA</t>
        </is>
      </c>
      <c r="B32" s="19" t="inlineStr">
        <is>
          <t>Pathologists</t>
        </is>
      </c>
      <c r="C32" s="20" t="inlineStr">
        <is>
          <t>MP</t>
        </is>
      </c>
      <c r="D32" s="4" t="inlineStr">
        <is>
          <t>WA HEALTH SYSTEM – MEDICAL PRACTITIONERS – AMA INDUSTRIAL AGREEMENT 2022</t>
        </is>
      </c>
      <c r="E32" s="21" t="inlineStr">
        <is>
          <t>Consultant Year 1-9</t>
        </is>
      </c>
      <c r="I32" s="5" t="n">
        <v>2022</v>
      </c>
      <c r="J32" s="11" t="n">
        <v>0.105</v>
      </c>
      <c r="K32" s="32" t="n">
        <v>40</v>
      </c>
      <c r="L32" s="8" t="n">
        <v>1</v>
      </c>
      <c r="M32" s="8" t="n">
        <v>0</v>
      </c>
      <c r="N32" s="8" t="n">
        <v>0.035</v>
      </c>
      <c r="O32" s="27" t="n">
        <v>0</v>
      </c>
      <c r="P32" s="8" t="n">
        <v>0</v>
      </c>
      <c r="Q32" s="8" t="n">
        <v>0.046</v>
      </c>
      <c r="R32" s="23" t="n">
        <v>28909</v>
      </c>
      <c r="S32" s="9">
        <f>160/40</f>
        <v/>
      </c>
      <c r="T32" s="8" t="n">
        <v>0</v>
      </c>
      <c r="U32" s="8" t="n">
        <v>0.015</v>
      </c>
      <c r="V32" s="36" t="n">
        <v>297757</v>
      </c>
      <c r="W32" s="36">
        <f>V32+((X32-V32)/2)</f>
        <v/>
      </c>
      <c r="X32" s="36" t="n">
        <v>386515</v>
      </c>
      <c r="Y32" s="36">
        <f>(V32+(V32*$J32)+(V32*$M32)+(V32*$N32)+(V32*$O32)+(V32*$P32)+(V32*$Q32)+($R32)+(V32*((52+$S32)/52))*(1+$T32))*1/$L32</f>
        <v/>
      </c>
      <c r="Z32" s="36">
        <f>(W32+(W32*$J32)+(W32*$M32)+(W32*$N32)+(W32*$O32)+(W32*$P32)+(W32*$Q32)+($R32)+(W32*((52+$S32)/52))*(1+$T32))*1/$L32</f>
        <v/>
      </c>
      <c r="AA32" s="36">
        <f>(X32+(X32*$J32)+(X32*$M32)+(X32*$N32)+(X32*$O32)+(X32*$P32)+(X32*$Q32)+($R32)+(X32*((52+$S32)/52))*(1+$T32))*1/$L32</f>
        <v/>
      </c>
      <c r="AB32" s="36">
        <f>Y32/52/$K32</f>
        <v/>
      </c>
      <c r="AC32" s="36">
        <f>Z32/52/$K32</f>
        <v/>
      </c>
      <c r="AD32" s="36">
        <f>AA32/52/$K32</f>
        <v/>
      </c>
      <c r="AE32" s="36">
        <f>($V32*(1+(($U32/100)*1)))</f>
        <v/>
      </c>
      <c r="AF32" s="36">
        <f>($W32*(1+(($U32/100)*1)))</f>
        <v/>
      </c>
      <c r="AG32" s="36">
        <f>($X32*(1+(($U32/100)*1)))</f>
        <v/>
      </c>
      <c r="AH32" s="36">
        <f>(AE32+(AE32*$J32)+(AE32*$M32)+(AE32*$N32)+(AE32*$O32)+(AE32*$P32)+(AE32*$Q32)+($R32)+(AE32*((52+$S32)/52))*(1+$T32))*1/$L32</f>
        <v/>
      </c>
      <c r="AI32" s="36">
        <f>(AF32+(AF32*$J32)+(AF32*$M32)+(AF32*$N32)+(AF32*$O32)+(AF32*$P32)+(AF32*$Q32)+($R32)+(AF32*((52+$S32)/52))*(1+$T32))*1/$L32</f>
        <v/>
      </c>
      <c r="AJ32" s="36">
        <f>(AG32+(AG32*$J32)+(AG32*$M32)+(AG32*$N32)+(AG32*$O32)+(AG32*$P32)+(AG32*$Q32)+($R32)+(AG32*((52+$S32)/52))*(1+$T32))*1/$L32</f>
        <v/>
      </c>
      <c r="AK32" s="36">
        <f>AH32/52/$K32</f>
        <v/>
      </c>
      <c r="AL32" s="36">
        <f>AI32/52/$K32</f>
        <v/>
      </c>
      <c r="AM32" s="36">
        <f>AJ32/52/$K32</f>
        <v/>
      </c>
      <c r="AN32" s="36">
        <f>($V32*(1+(($U32/100)*2)))</f>
        <v/>
      </c>
      <c r="AO32" s="36">
        <f>($W32*(1+(($U32/100)*2)))</f>
        <v/>
      </c>
      <c r="AP32" s="36">
        <f>($X32*(1+(($U32/100)*2)))</f>
        <v/>
      </c>
      <c r="AQ32" s="36">
        <f>(AN32+(AN32*$J32)+(AN32*$M32)+(AN32*$N32)+(AN32*$O32)+(AN32*$P32)+(AN32*$Q32)+($R32)+(AN32*((52+$S32)/52))*(1+$T32))*1/$L32</f>
        <v/>
      </c>
      <c r="AR32" s="36">
        <f>(AO32+(AO32*$J32)+(AO32*$M32)+(AO32*$N32)+(AO32*$O32)+(AO32*$P32)+(AO32*$Q32)+($R32)+(AO32*((52+$S32)/52))*(1+$T32))*1/$L32</f>
        <v/>
      </c>
      <c r="AS32" s="36">
        <f>(AP32+(AP32*$J32)+(AP32*$M32)+(AP32*$N32)+(AP32*$O32)+(AP32*$P32)+(AP32*$Q32)+($R32)+(AP32*((52+$S32)/52))*(1+$T32))*1/$L32</f>
        <v/>
      </c>
      <c r="AT32" s="36">
        <f>AQ32/52/$K32</f>
        <v/>
      </c>
      <c r="AU32" s="36">
        <f>AR32/52/$K32</f>
        <v/>
      </c>
      <c r="AV32" s="36">
        <f>AS32/52/$K32</f>
        <v/>
      </c>
      <c r="AW32" s="36">
        <f>($V32*(1+(($U32/100)*3)))</f>
        <v/>
      </c>
      <c r="AX32" s="36">
        <f>($W32*(1+(($U32/100)*3)))</f>
        <v/>
      </c>
      <c r="AY32" s="36">
        <f>($X32*(1+(($U32/100)*3)))</f>
        <v/>
      </c>
      <c r="AZ32" s="36">
        <f>(AW32+(AW32*$J32)+(AW32*$M32)+(AW32*$N32)+(AW32*$O32)+(AW32*$P32)+(AW32*$Q32)+($R32)+(AW32*((52+$S32)/52))*(1+$T32))*1/$L32</f>
        <v/>
      </c>
      <c r="BA32" s="36">
        <f>(AX32+(AX32*$J32)+(AX32*$M32)+(AX32*$N32)+(AX32*$O32)+(AX32*$P32)+(AX32*$Q32)+($R32)+(AX32*((52+$S32)/52))*(1+$T32))*1/$L32</f>
        <v/>
      </c>
      <c r="BB32" s="36">
        <f>(AY32+(AY32*$J32)+(AY32*$M32)+(AY32*$N32)+(AY32*$O32)+(AY32*$P32)+(AY32*$Q32)+($R32)+(AY32*((52+$S32)/52))*(1+$T32))*1/$L32</f>
        <v/>
      </c>
      <c r="BC32" s="36">
        <f>AZ32/52/$K32</f>
        <v/>
      </c>
      <c r="BD32" s="36">
        <f>BA32/52/$K32</f>
        <v/>
      </c>
      <c r="BE32" s="36">
        <f>BB32/52/$K32</f>
        <v/>
      </c>
      <c r="BF32" s="36">
        <f>($V32*(1+(($U32/100)*4)))</f>
        <v/>
      </c>
      <c r="BG32" s="36">
        <f>($W32*(1+(($U32/100)*4)))</f>
        <v/>
      </c>
      <c r="BH32" s="36">
        <f>($X32*(1+(($U32/100)*4)))</f>
        <v/>
      </c>
      <c r="BI32" s="36">
        <f>(BF32+(BF32*$J32)+(BF32*$M32)+(BF32*$N32)+(BF32*$O32)+(BF32*$P32)+(BF32*$Q32)+($R32)+(BF32*((52+$S32)/52))*(1+$T32))*1/$L32</f>
        <v/>
      </c>
      <c r="BJ32" s="36">
        <f>(BG32+(BG32*$J32)+(BG32*$M32)+(BG32*$N32)+(BG32*$O32)+(BG32*$P32)+(BG32*$Q32)+($R32)+(BG32*((52+$S32)/52))*(1+$T32))*1/$L32</f>
        <v/>
      </c>
      <c r="BK32" s="36">
        <f>(BH32+(BH32*$J32)+(BH32*$M32)+(BH32*$N32)+(BH32*$O32)+(BH32*$P32)+(BH32*$Q32)+($R32)+(BH32*((52+$S32)/52))*(1+$T32))*1/$L32</f>
        <v/>
      </c>
      <c r="BL32" s="36">
        <f>BI32/52/$K32</f>
        <v/>
      </c>
      <c r="BM32" s="36">
        <f>BJ32/52/$K32</f>
        <v/>
      </c>
      <c r="BN32" s="36">
        <f>BK32/52/$K32</f>
        <v/>
      </c>
    </row>
    <row r="33">
      <c r="R33" s="23" t="n"/>
      <c r="U33" s="8" t="n"/>
      <c r="V33" s="36" t="n"/>
      <c r="W33" s="36" t="n"/>
      <c r="X33" s="36" t="n"/>
      <c r="Y33" s="36" t="n"/>
      <c r="Z33" s="36" t="n"/>
      <c r="AA33" s="36" t="n"/>
      <c r="AB33" s="36" t="n"/>
      <c r="AC33" s="36" t="n"/>
      <c r="AD33" s="36" t="n"/>
      <c r="AE33" s="5" t="n"/>
      <c r="AF33" s="5" t="n"/>
      <c r="AG33" s="5" t="n"/>
      <c r="AH33" s="5" t="n"/>
      <c r="AI33" s="5" t="n"/>
      <c r="AJ33" s="5" t="n"/>
      <c r="AK33" s="5" t="n"/>
      <c r="AL33" s="5" t="n"/>
      <c r="AM33" s="5" t="n"/>
      <c r="AN33" s="5" t="n"/>
      <c r="AO33" s="5" t="n"/>
      <c r="AP33" s="5" t="n"/>
      <c r="AQ33" s="5" t="n"/>
      <c r="AR33" s="5" t="n"/>
      <c r="AS33" s="5" t="n"/>
      <c r="AT33" s="5" t="n"/>
      <c r="AU33" s="5" t="n"/>
      <c r="AV33" s="5" t="n"/>
      <c r="AW33" s="5" t="n"/>
      <c r="AX33" s="5" t="n"/>
      <c r="AY33" s="5" t="n"/>
      <c r="AZ33" s="5" t="n"/>
      <c r="BA33" s="5" t="n"/>
      <c r="BB33" s="5" t="n"/>
      <c r="BC33" s="5" t="n"/>
      <c r="BD33" s="5" t="n"/>
      <c r="BE33" s="5" t="n"/>
      <c r="BF33" s="5" t="n"/>
      <c r="BG33" s="5" t="n"/>
      <c r="BH33" s="5" t="n"/>
      <c r="BI33" s="5" t="n"/>
      <c r="BJ33" s="5" t="n"/>
      <c r="BK33" s="5" t="n"/>
      <c r="BL33" s="5" t="n"/>
      <c r="BM33" s="5" t="n"/>
      <c r="BN33" s="5" t="n"/>
    </row>
    <row r="34">
      <c r="A34" s="4" t="inlineStr">
        <is>
          <t>ALL</t>
        </is>
      </c>
      <c r="B34" s="19" t="inlineStr">
        <is>
          <t>Lab technician</t>
        </is>
      </c>
      <c r="J34" s="8">
        <f>AVERAGE(J28,J22,J16,J10,J4)</f>
        <v/>
      </c>
      <c r="K34" s="32">
        <f>AVERAGE(K28,K22,K16,K10,K4)</f>
        <v/>
      </c>
      <c r="L34" s="8">
        <f>AVERAGE(L28,L22,L16,L10,L4)</f>
        <v/>
      </c>
      <c r="M34" s="8">
        <f>AVERAGE(M28,M22,M16,M10,M4)</f>
        <v/>
      </c>
      <c r="N34" s="8">
        <f>AVERAGE(N28,N22,N16,N10,N4)</f>
        <v/>
      </c>
      <c r="O34" s="27">
        <f>AVERAGE(O28,O22,O16,O10,O4)</f>
        <v/>
      </c>
      <c r="P34" s="8">
        <f>AVERAGE(P28,P22,P16,P10,P4)</f>
        <v/>
      </c>
      <c r="Q34" s="8">
        <f>AVERAGE(Q28,Q22,Q16,Q10,Q4)</f>
        <v/>
      </c>
      <c r="R34" s="23">
        <f>AVERAGE(R28,R22,R16,R10,R4)</f>
        <v/>
      </c>
      <c r="S34" s="32">
        <f>AVERAGE(S28,S22,S16,S10,S4)</f>
        <v/>
      </c>
      <c r="T34" s="8">
        <f>AVERAGE(T28,T22,T16,T10,T4)</f>
        <v/>
      </c>
      <c r="U34" s="8">
        <f>AVERAGE(U28,U22,U16,U10,U4)</f>
        <v/>
      </c>
      <c r="V34" s="36">
        <f>MIN(V28,V22,V16,V10,V4)</f>
        <v/>
      </c>
      <c r="W34" s="36">
        <f>AVERAGE(W28,W22,W16,W10,W4)</f>
        <v/>
      </c>
      <c r="X34" s="36">
        <f>MAX(X28,X22,X16,X10,X4)</f>
        <v/>
      </c>
      <c r="Y34" s="36">
        <f>MIN(Y28,Y22,Y16,Y10,Y4)</f>
        <v/>
      </c>
      <c r="Z34" s="36">
        <f>AVERAGE(Z28,Z22,Z16,Z10,Z4)</f>
        <v/>
      </c>
      <c r="AA34" s="36">
        <f>MAX(AA28,AA22,AA16,AA10,AA4)</f>
        <v/>
      </c>
      <c r="AB34" s="36">
        <f>MIN(AB28,AB22,AB16,AB10,AB4)</f>
        <v/>
      </c>
      <c r="AC34" s="36">
        <f>AVERAGE(AC28,AC22,AC16,AC10,AC4)</f>
        <v/>
      </c>
      <c r="AD34" s="36">
        <f>MAX(AD28,AD22,AD16,AD10,AD4)</f>
        <v/>
      </c>
      <c r="AE34" s="36">
        <f>MIN(AE28,AE22,AE16,AE10,AE4)</f>
        <v/>
      </c>
      <c r="AF34" s="36">
        <f>AVERAGE(AF28,AF22,AF16,AF10,AF4)</f>
        <v/>
      </c>
      <c r="AG34" s="36">
        <f>MAX(AG28,AG22,AG16,AG10,AG4)</f>
        <v/>
      </c>
      <c r="AH34" s="36">
        <f>MIN(AH28,AH22,AH16,AH10,AH4)</f>
        <v/>
      </c>
      <c r="AI34" s="36">
        <f>AVERAGE(AI28,AI22,AI16,AI10,AI4)</f>
        <v/>
      </c>
      <c r="AJ34" s="36">
        <f>MAX(AJ28,AJ22,AJ16,AJ10,AJ4)</f>
        <v/>
      </c>
      <c r="AK34" s="36">
        <f>MIN(AK28,AK22,AK16,AK10,AK4)</f>
        <v/>
      </c>
      <c r="AL34" s="36">
        <f>AVERAGE(AL28,AL22,AL16,AL10,AL4)</f>
        <v/>
      </c>
      <c r="AM34" s="36">
        <f>MAX(AM28,AM22,AM16,AM10,AM4)</f>
        <v/>
      </c>
      <c r="AN34" s="36">
        <f>MIN(AN28,AN22,AN16,AN10,AN4)</f>
        <v/>
      </c>
      <c r="AO34" s="36">
        <f>AVERAGE(AO28,AO22,AO16,AO10,AO4)</f>
        <v/>
      </c>
      <c r="AP34" s="36">
        <f>MAX(AP28,AP22,AP16,AP10,AP4)</f>
        <v/>
      </c>
      <c r="AQ34" s="36">
        <f>MIN(AQ28,AQ22,AQ16,AQ10,AQ4)</f>
        <v/>
      </c>
      <c r="AR34" s="36">
        <f>AVERAGE(AR28,AR22,AR16,AR10,AR4)</f>
        <v/>
      </c>
      <c r="AS34" s="36">
        <f>MAX(AS28,AS22,AS16,AS10,AS4)</f>
        <v/>
      </c>
      <c r="AT34" s="36">
        <f>MIN(AT28,AT22,AT16,AT10,AT4)</f>
        <v/>
      </c>
      <c r="AU34" s="36">
        <f>AVERAGE(AU28,AU22,AU16,AU10,AU4)</f>
        <v/>
      </c>
      <c r="AV34" s="36">
        <f>MAX(AV28,AV22,AV16,AV10,AV4)</f>
        <v/>
      </c>
      <c r="AW34" s="36">
        <f>MIN(AW28,AW22,AW16,AW10,AW4)</f>
        <v/>
      </c>
      <c r="AX34" s="36">
        <f>AVERAGE(AX28,AX22,AX16,AX10,AX4)</f>
        <v/>
      </c>
      <c r="AY34" s="36">
        <f>MAX(AY28,AY22,AY16,AY10,AY4)</f>
        <v/>
      </c>
      <c r="AZ34" s="36">
        <f>MIN(AZ28,AZ22,AZ16,AZ10,AZ4)</f>
        <v/>
      </c>
      <c r="BA34" s="36">
        <f>AVERAGE(BA28,BA22,BA16,BA10,BA4)</f>
        <v/>
      </c>
      <c r="BB34" s="36">
        <f>MAX(BB28,BB22,BB16,BB10,BB4)</f>
        <v/>
      </c>
      <c r="BC34" s="36">
        <f>MIN(BC28,BC22,BC16,BC10,BC4)</f>
        <v/>
      </c>
      <c r="BD34" s="36">
        <f>AVERAGE(BD28,BD22,BD16,BD10,BD4)</f>
        <v/>
      </c>
      <c r="BE34" s="36">
        <f>MAX(BE28,BE22,BE16,BE10,BE4)</f>
        <v/>
      </c>
      <c r="BF34" s="36">
        <f>MIN(BF28,BF22,BF16,BF10,BF4)</f>
        <v/>
      </c>
      <c r="BG34" s="36">
        <f>AVERAGE(BG28,BG22,BG16,BG10,BG4)</f>
        <v/>
      </c>
      <c r="BH34" s="36">
        <f>MAX(BH28,BH22,BH16,BH10,BH4)</f>
        <v/>
      </c>
      <c r="BI34" s="36">
        <f>MIN(BI28,BI22,BI16,BI10,BI4)</f>
        <v/>
      </c>
      <c r="BJ34" s="36">
        <f>AVERAGE(BJ28,BJ22,BJ16,BJ10,BJ4)</f>
        <v/>
      </c>
      <c r="BK34" s="36">
        <f>MAX(BK28,BK22,BK16,BK10,BK4)</f>
        <v/>
      </c>
      <c r="BL34" s="36">
        <f>MIN(BL28,BL22,BL16,BL10,BL4)</f>
        <v/>
      </c>
      <c r="BM34" s="36">
        <f>AVERAGE(BM28,BM22,BM16,BM10,BM4)</f>
        <v/>
      </c>
      <c r="BN34" s="36">
        <f>MAX(BN28,BN22,BN16,BN10,BN4)</f>
        <v/>
      </c>
    </row>
    <row r="35">
      <c r="A35" s="4" t="inlineStr">
        <is>
          <t>ALL</t>
        </is>
      </c>
      <c r="B35" s="19" t="inlineStr">
        <is>
          <t>Medical scientist</t>
        </is>
      </c>
      <c r="J35" s="8">
        <f>AVERAGE(J29,J23,J17,J11,J5)</f>
        <v/>
      </c>
      <c r="K35" s="32">
        <f>AVERAGE(K29,K23,K17,K11,K5)</f>
        <v/>
      </c>
      <c r="L35" s="8">
        <f>AVERAGE(L29,L23,L17,L11,L5)</f>
        <v/>
      </c>
      <c r="M35" s="8">
        <f>AVERAGE(M29,M23,M17,M11,M5)</f>
        <v/>
      </c>
      <c r="N35" s="8">
        <f>AVERAGE(N29,N23,N17,N11,N5)</f>
        <v/>
      </c>
      <c r="O35" s="27">
        <f>AVERAGE(O29,O23,O17,O11,O5)</f>
        <v/>
      </c>
      <c r="P35" s="8">
        <f>AVERAGE(P29,P23,P17,P11,P5)</f>
        <v/>
      </c>
      <c r="Q35" s="8">
        <f>AVERAGE(Q29,Q23,Q17,Q11,Q5)</f>
        <v/>
      </c>
      <c r="R35" s="23">
        <f>AVERAGE(R29,R23,R17,R11,R5)</f>
        <v/>
      </c>
      <c r="S35" s="32">
        <f>AVERAGE(S29,S23,S17,S11,S5)</f>
        <v/>
      </c>
      <c r="T35" s="8">
        <f>AVERAGE(T29,T23,T17,T11,T5)</f>
        <v/>
      </c>
      <c r="U35" s="8">
        <f>AVERAGE(U29,U23,U17,U11,U5)</f>
        <v/>
      </c>
      <c r="V35" s="36">
        <f>MIN(V29,V23,V17,V11,V5)</f>
        <v/>
      </c>
      <c r="W35" s="36">
        <f>AVERAGE(W29,W23,W17,W11,W5)</f>
        <v/>
      </c>
      <c r="X35" s="36">
        <f>MAX(X29,X23,X17,X11,X5)</f>
        <v/>
      </c>
      <c r="Y35" s="36">
        <f>MIN(Y29,Y23,Y17,Y11,Y5)</f>
        <v/>
      </c>
      <c r="Z35" s="36">
        <f>AVERAGE(Z29,Z23,Z17,Z11,Z5)</f>
        <v/>
      </c>
      <c r="AA35" s="36">
        <f>MAX(AA29,AA23,AA17,AA11,AA5)</f>
        <v/>
      </c>
      <c r="AB35" s="36">
        <f>MIN(AB29,AB23,AB17,AB11,AB5)</f>
        <v/>
      </c>
      <c r="AC35" s="36">
        <f>AVERAGE(AC29,AC23,AC17,AC11,AC5)</f>
        <v/>
      </c>
      <c r="AD35" s="36">
        <f>MAX(AD29,AD23,AD17,AD11,AD5)</f>
        <v/>
      </c>
      <c r="AE35" s="36">
        <f>MIN(AE29,AE23,AE17,AE11,AE5)</f>
        <v/>
      </c>
      <c r="AF35" s="36">
        <f>AVERAGE(AF29,AF23,AF17,AF11,AF5)</f>
        <v/>
      </c>
      <c r="AG35" s="36">
        <f>MAX(AG29,AG23,AG17,AG11,AG5)</f>
        <v/>
      </c>
      <c r="AH35" s="36">
        <f>MIN(AH29,AH23,AH17,AH11,AH5)</f>
        <v/>
      </c>
      <c r="AI35" s="36">
        <f>AVERAGE(AI29,AI23,AI17,AI11,AI5)</f>
        <v/>
      </c>
      <c r="AJ35" s="36">
        <f>MAX(AJ29,AJ23,AJ17,AJ11,AJ5)</f>
        <v/>
      </c>
      <c r="AK35" s="36">
        <f>MIN(AK29,AK23,AK17,AK11,AK5)</f>
        <v/>
      </c>
      <c r="AL35" s="36">
        <f>AVERAGE(AL29,AL23,AL17,AL11,AL5)</f>
        <v/>
      </c>
      <c r="AM35" s="36">
        <f>MAX(AM29,AM23,AM17,AM11,AM5)</f>
        <v/>
      </c>
      <c r="AN35" s="36">
        <f>MIN(AN29,AN23,AN17,AN11,AN5)</f>
        <v/>
      </c>
      <c r="AO35" s="36">
        <f>AVERAGE(AO29,AO23,AO17,AO11,AO5)</f>
        <v/>
      </c>
      <c r="AP35" s="36">
        <f>MAX(AP29,AP23,AP17,AP11,AP5)</f>
        <v/>
      </c>
      <c r="AQ35" s="36">
        <f>MIN(AQ29,AQ23,AQ17,AQ11,AQ5)</f>
        <v/>
      </c>
      <c r="AR35" s="36">
        <f>AVERAGE(AR29,AR23,AR17,AR11,AR5)</f>
        <v/>
      </c>
      <c r="AS35" s="36">
        <f>MAX(AS29,AS23,AS17,AS11,AS5)</f>
        <v/>
      </c>
      <c r="AT35" s="36">
        <f>MIN(AT29,AT23,AT17,AT11,AT5)</f>
        <v/>
      </c>
      <c r="AU35" s="36">
        <f>AVERAGE(AU29,AU23,AU17,AU11,AU5)</f>
        <v/>
      </c>
      <c r="AV35" s="36">
        <f>MAX(AV29,AV23,AV17,AV11,AV5)</f>
        <v/>
      </c>
      <c r="AW35" s="36">
        <f>MIN(AW29,AW23,AW17,AW11,AW5)</f>
        <v/>
      </c>
      <c r="AX35" s="36">
        <f>AVERAGE(AX29,AX23,AX17,AX11,AX5)</f>
        <v/>
      </c>
      <c r="AY35" s="36">
        <f>MAX(AY29,AY23,AY17,AY11,AY5)</f>
        <v/>
      </c>
      <c r="AZ35" s="36">
        <f>MIN(AZ29,AZ23,AZ17,AZ11,AZ5)</f>
        <v/>
      </c>
      <c r="BA35" s="36">
        <f>AVERAGE(BA29,BA23,BA17,BA11,BA5)</f>
        <v/>
      </c>
      <c r="BB35" s="36">
        <f>MAX(BB29,BB23,BB17,BB11,BB5)</f>
        <v/>
      </c>
      <c r="BC35" s="36">
        <f>MIN(BC29,BC23,BC17,BC11,BC5)</f>
        <v/>
      </c>
      <c r="BD35" s="36">
        <f>AVERAGE(BD29,BD23,BD17,BD11,BD5)</f>
        <v/>
      </c>
      <c r="BE35" s="36">
        <f>MAX(BE29,BE23,BE17,BE11,BE5)</f>
        <v/>
      </c>
      <c r="BF35" s="36">
        <f>MIN(BF29,BF23,BF17,BF11,BF5)</f>
        <v/>
      </c>
      <c r="BG35" s="36">
        <f>AVERAGE(BG29,BG23,BG17,BG11,BG5)</f>
        <v/>
      </c>
      <c r="BH35" s="36">
        <f>MAX(BH29,BH23,BH17,BH11,BH5)</f>
        <v/>
      </c>
      <c r="BI35" s="36">
        <f>MIN(BI29,BI23,BI17,BI11,BI5)</f>
        <v/>
      </c>
      <c r="BJ35" s="36">
        <f>AVERAGE(BJ29,BJ23,BJ17,BJ11,BJ5)</f>
        <v/>
      </c>
      <c r="BK35" s="36">
        <f>MAX(BK29,BK23,BK17,BK11,BK5)</f>
        <v/>
      </c>
      <c r="BL35" s="36">
        <f>MIN(BL29,BL23,BL17,BL11,BL5)</f>
        <v/>
      </c>
      <c r="BM35" s="36">
        <f>AVERAGE(BM29,BM23,BM17,BM11,BM5)</f>
        <v/>
      </c>
      <c r="BN35" s="36">
        <f>MAX(BN29,BN23,BN17,BN11,BN5)</f>
        <v/>
      </c>
    </row>
    <row r="36">
      <c r="A36" s="4" t="inlineStr">
        <is>
          <t>ALL</t>
        </is>
      </c>
      <c r="B36" s="19" t="inlineStr">
        <is>
          <t>Admin staff</t>
        </is>
      </c>
      <c r="J36" s="8">
        <f>AVERAGE(J30,J24,J18,J12,J6)</f>
        <v/>
      </c>
      <c r="K36" s="32">
        <f>AVERAGE(K30,K24,K18,K12,K6)</f>
        <v/>
      </c>
      <c r="L36" s="8">
        <f>AVERAGE(L30,L24,L18,L12,L6)</f>
        <v/>
      </c>
      <c r="M36" s="8">
        <f>AVERAGE(M30,M24,M18,M12,M6)</f>
        <v/>
      </c>
      <c r="N36" s="8">
        <f>AVERAGE(N30,N24,N18,N12,N6)</f>
        <v/>
      </c>
      <c r="O36" s="27">
        <f>AVERAGE(O30,O24,O18,O12,O6)</f>
        <v/>
      </c>
      <c r="P36" s="8">
        <f>AVERAGE(P30,P24,P18,P12,P6)</f>
        <v/>
      </c>
      <c r="Q36" s="8">
        <f>AVERAGE(Q30,Q24,Q18,Q12,Q6)</f>
        <v/>
      </c>
      <c r="R36" s="23">
        <f>AVERAGE(R30,R24,R18,R12,R6)</f>
        <v/>
      </c>
      <c r="S36" s="32">
        <f>AVERAGE(S30,S24,S18,S12,S6)</f>
        <v/>
      </c>
      <c r="T36" s="8">
        <f>AVERAGE(T30,T24,T18,T12,T6)</f>
        <v/>
      </c>
      <c r="U36" s="8">
        <f>AVERAGE(U30,U24,U18,U12,U6)</f>
        <v/>
      </c>
      <c r="V36" s="36">
        <f>MIN(V30,V24,V18,V12,V6)</f>
        <v/>
      </c>
      <c r="W36" s="36">
        <f>AVERAGE(W30,W24,W18,W12,W6)</f>
        <v/>
      </c>
      <c r="X36" s="36">
        <f>MAX(X30,X24,X18,X12,X6)</f>
        <v/>
      </c>
      <c r="Y36" s="36">
        <f>MIN(Y30,Y24,Y18,Y12,Y6)</f>
        <v/>
      </c>
      <c r="Z36" s="36">
        <f>AVERAGE(Z30,Z24,Z18,Z12,Z6)</f>
        <v/>
      </c>
      <c r="AA36" s="36">
        <f>MAX(AA30,AA24,AA18,AA12,AA6)</f>
        <v/>
      </c>
      <c r="AB36" s="36">
        <f>MIN(AB30,AB24,AB18,AB12,AB6)</f>
        <v/>
      </c>
      <c r="AC36" s="36">
        <f>AVERAGE(AC30,AC24,AC18,AC12,AC6)</f>
        <v/>
      </c>
      <c r="AD36" s="36">
        <f>MAX(AD30,AD24,AD18,AD12,AD6)</f>
        <v/>
      </c>
      <c r="AE36" s="36">
        <f>MIN(AE30,AE24,AE18,AE12,AE6)</f>
        <v/>
      </c>
      <c r="AF36" s="36">
        <f>AVERAGE(AF30,AF24,AF18,AF12,AF6)</f>
        <v/>
      </c>
      <c r="AG36" s="36">
        <f>MAX(AG30,AG24,AG18,AG12,AG6)</f>
        <v/>
      </c>
      <c r="AH36" s="36">
        <f>MIN(AH30,AH24,AH18,AH12,AH6)</f>
        <v/>
      </c>
      <c r="AI36" s="36">
        <f>AVERAGE(AI30,AI24,AI18,AI12,AI6)</f>
        <v/>
      </c>
      <c r="AJ36" s="36">
        <f>MAX(AJ30,AJ24,AJ18,AJ12,AJ6)</f>
        <v/>
      </c>
      <c r="AK36" s="36">
        <f>MIN(AK30,AK24,AK18,AK12,AK6)</f>
        <v/>
      </c>
      <c r="AL36" s="36">
        <f>AVERAGE(AL30,AL24,AL18,AL12,AL6)</f>
        <v/>
      </c>
      <c r="AM36" s="36">
        <f>MAX(AM30,AM24,AM18,AM12,AM6)</f>
        <v/>
      </c>
      <c r="AN36" s="36">
        <f>MIN(AN30,AN24,AN18,AN12,AN6)</f>
        <v/>
      </c>
      <c r="AO36" s="36">
        <f>AVERAGE(AO30,AO24,AO18,AO12,AO6)</f>
        <v/>
      </c>
      <c r="AP36" s="36">
        <f>MAX(AP30,AP24,AP18,AP12,AP6)</f>
        <v/>
      </c>
      <c r="AQ36" s="36">
        <f>MIN(AQ30,AQ24,AQ18,AQ12,AQ6)</f>
        <v/>
      </c>
      <c r="AR36" s="36">
        <f>AVERAGE(AR30,AR24,AR18,AR12,AR6)</f>
        <v/>
      </c>
      <c r="AS36" s="36">
        <f>MAX(AS30,AS24,AS18,AS12,AS6)</f>
        <v/>
      </c>
      <c r="AT36" s="36">
        <f>MIN(AT30,AT24,AT18,AT12,AT6)</f>
        <v/>
      </c>
      <c r="AU36" s="36">
        <f>AVERAGE(AU30,AU24,AU18,AU12,AU6)</f>
        <v/>
      </c>
      <c r="AV36" s="36">
        <f>MAX(AV30,AV24,AV18,AV12,AV6)</f>
        <v/>
      </c>
      <c r="AW36" s="36">
        <f>MIN(AW30,AW24,AW18,AW12,AW6)</f>
        <v/>
      </c>
      <c r="AX36" s="36">
        <f>AVERAGE(AX30,AX24,AX18,AX12,AX6)</f>
        <v/>
      </c>
      <c r="AY36" s="36">
        <f>MAX(AY30,AY24,AY18,AY12,AY6)</f>
        <v/>
      </c>
      <c r="AZ36" s="36">
        <f>MIN(AZ30,AZ24,AZ18,AZ12,AZ6)</f>
        <v/>
      </c>
      <c r="BA36" s="36">
        <f>AVERAGE(BA30,BA24,BA18,BA12,BA6)</f>
        <v/>
      </c>
      <c r="BB36" s="36">
        <f>MAX(BB30,BB24,BB18,BB12,BB6)</f>
        <v/>
      </c>
      <c r="BC36" s="36">
        <f>MIN(BC30,BC24,BC18,BC12,BC6)</f>
        <v/>
      </c>
      <c r="BD36" s="36">
        <f>AVERAGE(BD30,BD24,BD18,BD12,BD6)</f>
        <v/>
      </c>
      <c r="BE36" s="36">
        <f>MAX(BE30,BE24,BE18,BE12,BE6)</f>
        <v/>
      </c>
      <c r="BF36" s="36">
        <f>MIN(BF30,BF24,BF18,BF12,BF6)</f>
        <v/>
      </c>
      <c r="BG36" s="36">
        <f>AVERAGE(BG30,BG24,BG18,BG12,BG6)</f>
        <v/>
      </c>
      <c r="BH36" s="36">
        <f>MAX(BH30,BH24,BH18,BH12,BH6)</f>
        <v/>
      </c>
      <c r="BI36" s="36">
        <f>MIN(BI30,BI24,BI18,BI12,BI6)</f>
        <v/>
      </c>
      <c r="BJ36" s="36">
        <f>AVERAGE(BJ30,BJ24,BJ18,BJ12,BJ6)</f>
        <v/>
      </c>
      <c r="BK36" s="36">
        <f>MAX(BK30,BK24,BK18,BK12,BK6)</f>
        <v/>
      </c>
      <c r="BL36" s="36">
        <f>MIN(BL30,BL24,BL18,BL12,BL6)</f>
        <v/>
      </c>
      <c r="BM36" s="36">
        <f>AVERAGE(BM30,BM24,BM18,BM12,BM6)</f>
        <v/>
      </c>
      <c r="BN36" s="36">
        <f>MAX(BN30,BN24,BN18,BN12,BN6)</f>
        <v/>
      </c>
    </row>
    <row r="37">
      <c r="A37" s="4" t="inlineStr">
        <is>
          <t>ALL</t>
        </is>
      </c>
      <c r="B37" s="19" t="inlineStr">
        <is>
          <t>Bioinformatics staff</t>
        </is>
      </c>
      <c r="J37" s="8">
        <f>AVERAGE(J31,J25,J19,J13,J7)</f>
        <v/>
      </c>
      <c r="K37" s="32">
        <f>AVERAGE(K31,K25,K19,K13,K7)</f>
        <v/>
      </c>
      <c r="L37" s="8">
        <f>AVERAGE(L31,L25,L19,L13,L7)</f>
        <v/>
      </c>
      <c r="M37" s="8">
        <f>AVERAGE(M31,M25,M19,M13,M7)</f>
        <v/>
      </c>
      <c r="N37" s="8">
        <f>AVERAGE(N31,N25,N19,N13,N7)</f>
        <v/>
      </c>
      <c r="O37" s="27">
        <f>AVERAGE(O31,O25,O19,O13,O7)</f>
        <v/>
      </c>
      <c r="P37" s="8">
        <f>AVERAGE(P31,P25,P19,P13,P7)</f>
        <v/>
      </c>
      <c r="Q37" s="8">
        <f>AVERAGE(Q31,Q25,Q19,Q13,Q7)</f>
        <v/>
      </c>
      <c r="R37" s="23">
        <f>AVERAGE(R31,R25,R19,R13,R7)</f>
        <v/>
      </c>
      <c r="S37" s="32">
        <f>AVERAGE(S31,S25,S19,S13,S7)</f>
        <v/>
      </c>
      <c r="T37" s="8">
        <f>AVERAGE(T31,T25,T19,T13,T7)</f>
        <v/>
      </c>
      <c r="U37" s="8">
        <f>AVERAGE(U31,U25,U19,U13,U7)</f>
        <v/>
      </c>
      <c r="V37" s="36">
        <f>MIN(V31,V25,V19,V13,V7)</f>
        <v/>
      </c>
      <c r="W37" s="36">
        <f>AVERAGE(W31,W25,W19,W13,W7)</f>
        <v/>
      </c>
      <c r="X37" s="36">
        <f>MAX(X31,X25,X19,X13,X7)</f>
        <v/>
      </c>
      <c r="Y37" s="36">
        <f>MIN(Y31,Y25,Y19,Y13,Y7)</f>
        <v/>
      </c>
      <c r="Z37" s="36">
        <f>AVERAGE(Z31,Z25,Z19,Z13,Z7)</f>
        <v/>
      </c>
      <c r="AA37" s="36">
        <f>MAX(AA31,AA25,AA19,AA13,AA7)</f>
        <v/>
      </c>
      <c r="AB37" s="36">
        <f>MIN(AB31,AB25,AB19,AB13,AB7)</f>
        <v/>
      </c>
      <c r="AC37" s="36">
        <f>AVERAGE(AC31,AC25,AC19,AC13,AC7)</f>
        <v/>
      </c>
      <c r="AD37" s="36">
        <f>MAX(AD31,AD25,AD19,AD13,AD7)</f>
        <v/>
      </c>
      <c r="AE37" s="36">
        <f>MIN(AE31,AE25,AE19,AE13,AE7)</f>
        <v/>
      </c>
      <c r="AF37" s="36">
        <f>AVERAGE(AF31,AF25,AF19,AF13,AF7)</f>
        <v/>
      </c>
      <c r="AG37" s="36">
        <f>MAX(AG31,AG25,AG19,AG13,AG7)</f>
        <v/>
      </c>
      <c r="AH37" s="36">
        <f>MIN(AH31,AH25,AH19,AH13,AH7)</f>
        <v/>
      </c>
      <c r="AI37" s="36">
        <f>AVERAGE(AI31,AI25,AI19,AI13,AI7)</f>
        <v/>
      </c>
      <c r="AJ37" s="36">
        <f>MAX(AJ31,AJ25,AJ19,AJ13,AJ7)</f>
        <v/>
      </c>
      <c r="AK37" s="36">
        <f>MIN(AK31,AK25,AK19,AK13,AK7)</f>
        <v/>
      </c>
      <c r="AL37" s="36">
        <f>AVERAGE(AL31,AL25,AL19,AL13,AL7)</f>
        <v/>
      </c>
      <c r="AM37" s="36">
        <f>MAX(AM31,AM25,AM19,AM13,AM7)</f>
        <v/>
      </c>
      <c r="AN37" s="36">
        <f>MIN(AN31,AN25,AN19,AN13,AN7)</f>
        <v/>
      </c>
      <c r="AO37" s="36">
        <f>AVERAGE(AO31,AO25,AO19,AO13,AO7)</f>
        <v/>
      </c>
      <c r="AP37" s="36">
        <f>MAX(AP31,AP25,AP19,AP13,AP7)</f>
        <v/>
      </c>
      <c r="AQ37" s="36">
        <f>MIN(AQ31,AQ25,AQ19,AQ13,AQ7)</f>
        <v/>
      </c>
      <c r="AR37" s="36">
        <f>AVERAGE(AR31,AR25,AR19,AR13,AR7)</f>
        <v/>
      </c>
      <c r="AS37" s="36">
        <f>MAX(AS31,AS25,AS19,AS13,AS7)</f>
        <v/>
      </c>
      <c r="AT37" s="36">
        <f>MIN(AT31,AT25,AT19,AT13,AT7)</f>
        <v/>
      </c>
      <c r="AU37" s="36">
        <f>AVERAGE(AU31,AU25,AU19,AU13,AU7)</f>
        <v/>
      </c>
      <c r="AV37" s="36">
        <f>MAX(AV31,AV25,AV19,AV13,AV7)</f>
        <v/>
      </c>
      <c r="AW37" s="36">
        <f>MIN(AW31,AW25,AW19,AW13,AW7)</f>
        <v/>
      </c>
      <c r="AX37" s="36">
        <f>AVERAGE(AX31,AX25,AX19,AX13,AX7)</f>
        <v/>
      </c>
      <c r="AY37" s="36">
        <f>MAX(AY31,AY25,AY19,AY13,AY7)</f>
        <v/>
      </c>
      <c r="AZ37" s="36">
        <f>MIN(AZ31,AZ25,AZ19,AZ13,AZ7)</f>
        <v/>
      </c>
      <c r="BA37" s="36">
        <f>AVERAGE(BA31,BA25,BA19,BA13,BA7)</f>
        <v/>
      </c>
      <c r="BB37" s="36">
        <f>MAX(BB31,BB25,BB19,BB13,BB7)</f>
        <v/>
      </c>
      <c r="BC37" s="36">
        <f>MIN(BC31,BC25,BC19,BC13,BC7)</f>
        <v/>
      </c>
      <c r="BD37" s="36">
        <f>AVERAGE(BD31,BD25,BD19,BD13,BD7)</f>
        <v/>
      </c>
      <c r="BE37" s="36">
        <f>MAX(BE31,BE25,BE19,BE13,BE7)</f>
        <v/>
      </c>
      <c r="BF37" s="36">
        <f>MIN(BF31,BF25,BF19,BF13,BF7)</f>
        <v/>
      </c>
      <c r="BG37" s="36">
        <f>AVERAGE(BG31,BG25,BG19,BG13,BG7)</f>
        <v/>
      </c>
      <c r="BH37" s="36">
        <f>MAX(BH31,BH25,BH19,BH13,BH7)</f>
        <v/>
      </c>
      <c r="BI37" s="36">
        <f>MIN(BI31,BI25,BI19,BI13,BI7)</f>
        <v/>
      </c>
      <c r="BJ37" s="36">
        <f>AVERAGE(BJ31,BJ25,BJ19,BJ13,BJ7)</f>
        <v/>
      </c>
      <c r="BK37" s="36">
        <f>MAX(BK31,BK25,BK19,BK13,BK7)</f>
        <v/>
      </c>
      <c r="BL37" s="36">
        <f>MIN(BL31,BL25,BL19,BL13,BL7)</f>
        <v/>
      </c>
      <c r="BM37" s="36">
        <f>AVERAGE(BM31,BM25,BM19,BM13,BM7)</f>
        <v/>
      </c>
      <c r="BN37" s="36">
        <f>MAX(BN31,BN25,BN19,BN13,BN7)</f>
        <v/>
      </c>
    </row>
    <row r="38">
      <c r="A38" s="4" t="inlineStr">
        <is>
          <t>ALL</t>
        </is>
      </c>
      <c r="B38" s="19" t="inlineStr">
        <is>
          <t>Pathologists</t>
        </is>
      </c>
      <c r="J38" s="8">
        <f>AVERAGE(J32,J26,J20,J14,J8)</f>
        <v/>
      </c>
      <c r="K38" s="32">
        <f>AVERAGE(K32,K26,K20,K14,K8)</f>
        <v/>
      </c>
      <c r="L38" s="8">
        <f>AVERAGE(L32,L26,L20,L14,L8)</f>
        <v/>
      </c>
      <c r="M38" s="8">
        <f>AVERAGE(M32,M26,M20,M14,M8)</f>
        <v/>
      </c>
      <c r="N38" s="8">
        <f>AVERAGE(N32,N26,N20,N14,N8)</f>
        <v/>
      </c>
      <c r="O38" s="27">
        <f>AVERAGE(O32,O26,O20,O14,O8)</f>
        <v/>
      </c>
      <c r="P38" s="8">
        <f>AVERAGE(P32,P26,P20,P14,P8)</f>
        <v/>
      </c>
      <c r="Q38" s="8">
        <f>AVERAGE(Q32,Q26,Q20,Q14,Q8)</f>
        <v/>
      </c>
      <c r="R38" s="23">
        <f>AVERAGE(R32,R26,R20,R14,R8)</f>
        <v/>
      </c>
      <c r="S38" s="32">
        <f>AVERAGE(S32,S26,S20,S14,S8)</f>
        <v/>
      </c>
      <c r="T38" s="8">
        <f>AVERAGE(T32,T26,T20,T14,T8)</f>
        <v/>
      </c>
      <c r="U38" s="8">
        <f>AVERAGE(U32,U26,U20,U14,U8)</f>
        <v/>
      </c>
      <c r="V38" s="36">
        <f>MIN(V32,V26,V20,V14,V8)</f>
        <v/>
      </c>
      <c r="W38" s="36">
        <f>AVERAGE(W32,W26,W20,W14,W8)</f>
        <v/>
      </c>
      <c r="X38" s="36">
        <f>MAX(X32,X26,X20,X14,X8)</f>
        <v/>
      </c>
      <c r="Y38" s="36">
        <f>MIN(Y32,Y26,Y20,Y14,Y8)</f>
        <v/>
      </c>
      <c r="Z38" s="36">
        <f>AVERAGE(Z32,Z26,Z20,Z14,Z8)</f>
        <v/>
      </c>
      <c r="AA38" s="36">
        <f>MAX(AA32,AA26,AA20,AA14,AA8)</f>
        <v/>
      </c>
      <c r="AB38" s="36">
        <f>MIN(AB32,AB26,AB20,AB14,AB8)</f>
        <v/>
      </c>
      <c r="AC38" s="36">
        <f>AVERAGE(AC32,AC26,AC20,AC14,AC8)</f>
        <v/>
      </c>
      <c r="AD38" s="36">
        <f>MAX(AD32,AD26,AD20,AD14,AD8)</f>
        <v/>
      </c>
      <c r="AE38" s="36">
        <f>MIN(AE32,AE26,AE20,AE14,AE8)</f>
        <v/>
      </c>
      <c r="AF38" s="36">
        <f>AVERAGE(AF32,AF26,AF20,AF14,AF8)</f>
        <v/>
      </c>
      <c r="AG38" s="36">
        <f>MAX(AG32,AG26,AG20,AG14,AG8)</f>
        <v/>
      </c>
      <c r="AH38" s="36">
        <f>MIN(AH32,AH26,AH20,AH14,AH8)</f>
        <v/>
      </c>
      <c r="AI38" s="36">
        <f>AVERAGE(AI32,AI26,AI20,AI14,AI8)</f>
        <v/>
      </c>
      <c r="AJ38" s="36">
        <f>MAX(AJ32,AJ26,AJ20,AJ14,AJ8)</f>
        <v/>
      </c>
      <c r="AK38" s="36">
        <f>MIN(AK32,AK26,AK20,AK14,AK8)</f>
        <v/>
      </c>
      <c r="AL38" s="36">
        <f>AVERAGE(AL32,AL26,AL20,AL14,AL8)</f>
        <v/>
      </c>
      <c r="AM38" s="36">
        <f>MAX(AM32,AM26,AM20,AM14,AM8)</f>
        <v/>
      </c>
      <c r="AN38" s="36">
        <f>MIN(AN32,AN26,AN20,AN14,AN8)</f>
        <v/>
      </c>
      <c r="AO38" s="36">
        <f>AVERAGE(AO32,AO26,AO20,AO14,AO8)</f>
        <v/>
      </c>
      <c r="AP38" s="36">
        <f>MAX(AP32,AP26,AP20,AP14,AP8)</f>
        <v/>
      </c>
      <c r="AQ38" s="36">
        <f>MIN(AQ32,AQ26,AQ20,AQ14,AQ8)</f>
        <v/>
      </c>
      <c r="AR38" s="36">
        <f>AVERAGE(AR32,AR26,AR20,AR14,AR8)</f>
        <v/>
      </c>
      <c r="AS38" s="36">
        <f>MAX(AS32,AS26,AS20,AS14,AS8)</f>
        <v/>
      </c>
      <c r="AT38" s="36">
        <f>MIN(AT32,AT26,AT20,AT14,AT8)</f>
        <v/>
      </c>
      <c r="AU38" s="36">
        <f>AVERAGE(AU32,AU26,AU20,AU14,AU8)</f>
        <v/>
      </c>
      <c r="AV38" s="36">
        <f>MAX(AV32,AV26,AV20,AV14,AV8)</f>
        <v/>
      </c>
      <c r="AW38" s="36">
        <f>MIN(AW32,AW26,AW20,AW14,AW8)</f>
        <v/>
      </c>
      <c r="AX38" s="36">
        <f>AVERAGE(AX32,AX26,AX20,AX14,AX8)</f>
        <v/>
      </c>
      <c r="AY38" s="36">
        <f>MAX(AY32,AY26,AY20,AY14,AY8)</f>
        <v/>
      </c>
      <c r="AZ38" s="36">
        <f>MIN(AZ32,AZ26,AZ20,AZ14,AZ8)</f>
        <v/>
      </c>
      <c r="BA38" s="36">
        <f>AVERAGE(BA32,BA26,BA20,BA14,BA8)</f>
        <v/>
      </c>
      <c r="BB38" s="36">
        <f>MAX(BB32,BB26,BB20,BB14,BB8)</f>
        <v/>
      </c>
      <c r="BC38" s="36">
        <f>MIN(BC32,BC26,BC20,BC14,BC8)</f>
        <v/>
      </c>
      <c r="BD38" s="36">
        <f>AVERAGE(BD32,BD26,BD20,BD14,BD8)</f>
        <v/>
      </c>
      <c r="BE38" s="36">
        <f>MAX(BE32,BE26,BE20,BE14,BE8)</f>
        <v/>
      </c>
      <c r="BF38" s="36">
        <f>MIN(BF32,BF26,BF20,BF14,BF8)</f>
        <v/>
      </c>
      <c r="BG38" s="36">
        <f>AVERAGE(BG32,BG26,BG20,BG14,BG8)</f>
        <v/>
      </c>
      <c r="BH38" s="36">
        <f>MAX(BH32,BH26,BH20,BH14,BH8)</f>
        <v/>
      </c>
      <c r="BI38" s="36">
        <f>MIN(BI32,BI26,BI20,BI14,BI8)</f>
        <v/>
      </c>
      <c r="BJ38" s="36">
        <f>AVERAGE(BJ32,BJ26,BJ20,BJ14,BJ8)</f>
        <v/>
      </c>
      <c r="BK38" s="36">
        <f>MAX(BK32,BK26,BK20,BK14,BK8)</f>
        <v/>
      </c>
      <c r="BL38" s="36">
        <f>MIN(BL32,BL26,BL20,BL14,BL8)</f>
        <v/>
      </c>
      <c r="BM38" s="36">
        <f>AVERAGE(BM32,BM26,BM20,BM14,BM8)</f>
        <v/>
      </c>
      <c r="BN38" s="36">
        <f>MAX(BN32,BN26,BN20,BN14,BN8)</f>
        <v/>
      </c>
    </row>
    <row r="40">
      <c r="A40" s="4" t="inlineStr">
        <is>
          <t>ALL</t>
        </is>
      </c>
      <c r="B40" s="19" t="inlineStr">
        <is>
          <t>Lab technician</t>
        </is>
      </c>
      <c r="J40" s="28">
        <f>TEXT(J34, "0.0%") &amp; " (" &amp; TEXT(MIN(J28,J22,J16,J10,J4), "0.0%") &amp; " - " &amp; TEXT(MAX(J28,J22,J16,J10,J4), "0.0%") &amp; ")"</f>
        <v/>
      </c>
      <c r="K40" s="28">
        <f>TEXT(K34, "0.0") &amp; " (" &amp; TEXT(MIN(K28,K22,K16,K10,K4), "0.0") &amp; " - " &amp; TEXT(MAX(K28,K22,K16,K10,K4), "0.0") &amp; ")"</f>
        <v/>
      </c>
      <c r="L40" s="28">
        <f>TEXT(L34, "0.0%") &amp; " (" &amp; TEXT(MIN(L28,L22,L16,L10,L4), "0.0%") &amp; " - " &amp; TEXT(MAX(L28,L22,L16,L10,L4), "0.0%") &amp; ")"</f>
        <v/>
      </c>
      <c r="M40" s="28">
        <f>TEXT(M34, "0.0%") &amp; " (" &amp; TEXT(MIN(M28,M22,M16,M10,M4), "0.0%") &amp; " - " &amp; TEXT(MAX(M28,M22,M16,M10,M4), "0.0%") &amp; ")"</f>
        <v/>
      </c>
      <c r="N40" s="28">
        <f>TEXT(N34, "0.0%") &amp; " (" &amp; TEXT(MIN(N28,N22,N16,N10,N4), "0.0%") &amp; " - " &amp; TEXT(MAX(N28,N22,N16,N10,N4), "0.0%") &amp; ")"</f>
        <v/>
      </c>
      <c r="O40" s="28">
        <f>TEXT(O34, "0.0%") &amp; " (" &amp; TEXT(MIN(O28,O22,O16,O10,O4), "0.0%") &amp; " - " &amp; TEXT(MAX(O28,O22,O16,O10,O4), "0.0%") &amp; ")"</f>
        <v/>
      </c>
      <c r="P40" s="28">
        <f>TEXT(P34, "0.0%") &amp; " (" &amp; TEXT(MIN(P28,P22,P16,P10,P4), "0.0%") &amp; " - " &amp; TEXT(MAX(P28,P22,P16,P10,P4), "0.0%") &amp; ")"</f>
        <v/>
      </c>
      <c r="Q40" s="28">
        <f>TEXT(Q34, "0.0%") &amp; " (" &amp; TEXT(MIN(Q28,Q22,Q16,Q10,Q4), "0.0%") &amp; " - " &amp; TEXT(MAX(Q28,Q22,Q16,Q10,Q4), "0.0%") &amp; ")"</f>
        <v/>
      </c>
      <c r="R40" s="28">
        <f>TEXT(R34, "$0.0") &amp; " (" &amp; TEXT(MIN(R28,R22,R16,R10,R4), "$0.0") &amp; " - " &amp; TEXT(MAX(R28,R22,R16,R10,R4), "$0.0") &amp; ")"</f>
        <v/>
      </c>
      <c r="S40" s="28">
        <f>TEXT(S34, "0.0") &amp; " (" &amp; TEXT(MIN(S28,S22,S16,S10,S4), "0.0") &amp; " - " &amp; TEXT(MAX(S28,S22,S16,S10,S4), "0.0") &amp; ")"</f>
        <v/>
      </c>
      <c r="T40" s="28">
        <f>TEXT(T34, "0.0%") &amp; " (" &amp; TEXT(MIN(T28,T22,T16,T10,T4), "0.0%") &amp; " - " &amp; TEXT(MAX(T28,T22,T16,T10,T4), "0.0%") &amp; ")"</f>
        <v/>
      </c>
      <c r="U40" s="28">
        <f>TEXT(U34, "0.0%") &amp; " (" &amp; TEXT(MIN(U28,U22,U16,U10,U4), "0.0%") &amp; " - " &amp; TEXT(MAX(U28,U22,U16,U10,U4), "0.0%") &amp; ")"</f>
        <v/>
      </c>
      <c r="V40" s="28">
        <f>"AUD " &amp; TEXT(W34, "0,0") &amp; " (" &amp; TEXT(V34, "0,0") &amp; " - " &amp; TEXT(X34, "0,0") &amp; ")"</f>
        <v/>
      </c>
      <c r="Y40" s="28">
        <f>"AUD " &amp; TEXT(Z34, "0,0") &amp; " (" &amp; TEXT(Y34, "0,0") &amp; " - " &amp; TEXT(AA34, "0,0") &amp; ")"</f>
        <v/>
      </c>
      <c r="AB40" s="28">
        <f>"AUD " &amp; TEXT(AC34, "0,0") &amp; " (" &amp; TEXT(AB34, "0,0") &amp; " - " &amp; TEXT(AD34, "0,0") &amp; ")"</f>
        <v/>
      </c>
      <c r="AE40" s="28">
        <f>"AUD " &amp; TEXT(AF34, "0,0") &amp; " (" &amp; TEXT(AE34, "0,0") &amp; " - " &amp; TEXT(AG34, "0,0") &amp; ")"</f>
        <v/>
      </c>
      <c r="AH40" s="28">
        <f>"AUD " &amp; TEXT(AI34, "0,0") &amp; " (" &amp; TEXT(AH34, "0,0") &amp; " - " &amp; TEXT(AJ34, "0,0") &amp; ")"</f>
        <v/>
      </c>
      <c r="AK40" s="28">
        <f>"AUD " &amp; TEXT(AL34, "0,0") &amp; " (" &amp; TEXT(AK34, "0,0") &amp; " - " &amp; TEXT(AM34, "0,0") &amp; ")"</f>
        <v/>
      </c>
      <c r="AN40" s="34" t="inlineStr">
        <is>
          <t>AUD 78,369 (48,552 - 110,314)</t>
        </is>
      </c>
      <c r="AQ40" s="28">
        <f>"AUD " &amp; TEXT(AR34, "0,0") &amp; " (" &amp; TEXT(AQ34, "0,0") &amp; " - " &amp; TEXT(AS34, "0,0") &amp; ")"</f>
        <v/>
      </c>
      <c r="AT40" s="28">
        <f>"AUD " &amp; TEXT(AU34, "0,0") &amp; " (" &amp; TEXT(AT34, "0,0") &amp; " - " &amp; TEXT(AV34, "0,0") &amp; ")"</f>
        <v/>
      </c>
      <c r="AW40" s="34" t="inlineStr">
        <is>
          <t>AUD 78,369 (48,552 - 110,314)</t>
        </is>
      </c>
      <c r="AZ40" s="28">
        <f>"AUD " &amp; TEXT(BA34, "0,0") &amp; " (" &amp; TEXT(AZ34, "0,0") &amp; " - " &amp; TEXT(BB34, "0,0") &amp; ")"</f>
        <v/>
      </c>
      <c r="BC40" s="28">
        <f>"AUD " &amp; TEXT(BD34, "0,0") &amp; " (" &amp; TEXT(BC34, "0,0") &amp; " - " &amp; TEXT(BE34, "0,0") &amp; ")"</f>
        <v/>
      </c>
      <c r="BF40" s="34" t="inlineStr">
        <is>
          <t>AUD 78,369 (48,552 - 110,314)</t>
        </is>
      </c>
      <c r="BI40" s="28">
        <f>"AUD " &amp; TEXT(BJ34, "0,0") &amp; " (" &amp; TEXT(BI34, "0,0") &amp; " - " &amp; TEXT(BK34, "0,0") &amp; ")"</f>
        <v/>
      </c>
      <c r="BL40" s="28">
        <f>"AUD " &amp; TEXT(BM34, "0,0") &amp; " (" &amp; TEXT(BL34, "0,0") &amp; " - " &amp; TEXT(BN34, "0,0") &amp; ")"</f>
        <v/>
      </c>
    </row>
    <row r="41">
      <c r="A41" s="4" t="inlineStr">
        <is>
          <t>ALL</t>
        </is>
      </c>
      <c r="B41" s="19" t="inlineStr">
        <is>
          <t>Medical scientist</t>
        </is>
      </c>
      <c r="J41" s="28">
        <f>TEXT(J35, "0.0%") &amp; " (" &amp; TEXT(MIN(J29,J23,J17,J11,J5), "0.0%") &amp; " - " &amp; TEXT(MAX(J29,J23,J17,J11,J5), "0.0%") &amp; ")"</f>
        <v/>
      </c>
      <c r="K41" s="28">
        <f>TEXT(K35, "0.0") &amp; " (" &amp; TEXT(MIN(K29,K23,K17,K11,K5), "0.0") &amp; " - " &amp; TEXT(MAX(K29,K23,K17,K11,K5), "0.0") &amp; ")"</f>
        <v/>
      </c>
      <c r="L41" s="28">
        <f>TEXT(L35, "0.0%") &amp; " (" &amp; TEXT(MIN(L29,L23,L17,L11,L5), "0.0%") &amp; " - " &amp; TEXT(MAX(L29,L23,L17,L11,L5), "0.0%") &amp; ")"</f>
        <v/>
      </c>
      <c r="M41" s="28">
        <f>TEXT(M35, "0.0%") &amp; " (" &amp; TEXT(MIN(M29,M23,M17,M11,M5), "0.0%") &amp; " - " &amp; TEXT(MAX(M29,M23,M17,M11,M5), "0.0%") &amp; ")"</f>
        <v/>
      </c>
      <c r="N41" s="28">
        <f>TEXT(N35, "0.0%") &amp; " (" &amp; TEXT(MIN(N29,N23,N17,N11,N5), "0.0%") &amp; " - " &amp; TEXT(MAX(N29,N23,N17,N11,N5), "0.0%") &amp; ")"</f>
        <v/>
      </c>
      <c r="O41" s="28">
        <f>TEXT(O35, "0.0%") &amp; " (" &amp; TEXT(MIN(O29,O23,O17,O11,O5), "0.0%") &amp; " - " &amp; TEXT(MAX(O29,O23,O17,O11,O5), "0.0%") &amp; ")"</f>
        <v/>
      </c>
      <c r="P41" s="28">
        <f>TEXT(P35, "0.0%") &amp; " (" &amp; TEXT(MIN(P29,P23,P17,P11,P5), "0.0%") &amp; " - " &amp; TEXT(MAX(P29,P23,P17,P11,P5), "0.0%") &amp; ")"</f>
        <v/>
      </c>
      <c r="Q41" s="28">
        <f>TEXT(Q35, "0.0%") &amp; " (" &amp; TEXT(MIN(Q29,Q23,Q17,Q11,Q5), "0.0%") &amp; " - " &amp; TEXT(MAX(Q29,Q23,Q17,Q11,Q5), "0.0%") &amp; ")"</f>
        <v/>
      </c>
      <c r="R41" s="28">
        <f>TEXT(R35, "$0.0") &amp; " (" &amp; TEXT(MIN(R29,R23,R17,R11,R5), "$0.0") &amp; " - " &amp; TEXT(MAX(R29,R23,R17,R11,R5), "$0.0") &amp; ")"</f>
        <v/>
      </c>
      <c r="S41" s="28">
        <f>TEXT(S35, "0.0") &amp; " (" &amp; TEXT(MIN(S29,S23,S17,S11,S5), "0.0") &amp; " - " &amp; TEXT(MAX(S29,S23,S17,S11,S5), "0.0") &amp; ")"</f>
        <v/>
      </c>
      <c r="T41" s="28">
        <f>TEXT(T35, "0.0%") &amp; " (" &amp; TEXT(MIN(T29,T23,T17,T11,T5), "0.0%") &amp; " - " &amp; TEXT(MAX(T29,T23,T17,T11,T5), "0.0%") &amp; ")"</f>
        <v/>
      </c>
      <c r="U41" s="28">
        <f>TEXT(U35, "0.0%") &amp; " (" &amp; TEXT(MIN(U29,U23,U17,U11,U5), "0.0%") &amp; " - " &amp; TEXT(MAX(U29,U23,U17,U11,U5), "0.0%") &amp; ")"</f>
        <v/>
      </c>
      <c r="V41" s="28">
        <f>"AUD " &amp; TEXT(W35, "0,0") &amp; " (" &amp; TEXT(V35, "0,0") &amp; " - " &amp; TEXT(X35, "0,0") &amp; ")"</f>
        <v/>
      </c>
      <c r="Y41" s="28">
        <f>"AUD " &amp; TEXT(Z35, "0,0") &amp; " (" &amp; TEXT(Y35, "0,0") &amp; " - " &amp; TEXT(AA35, "0,0") &amp; ")"</f>
        <v/>
      </c>
      <c r="AB41" s="28">
        <f>"AUD " &amp; TEXT(AC35, "0,0") &amp; " (" &amp; TEXT(AB35, "0,0") &amp; " - " &amp; TEXT(AD35, "0,0") &amp; ")"</f>
        <v/>
      </c>
      <c r="AE41" s="28">
        <f>"AUD " &amp; TEXT(AF35, "0,0") &amp; " (" &amp; TEXT(AE35, "0,0") &amp; " - " &amp; TEXT(AG35, "0,0") &amp; ")"</f>
        <v/>
      </c>
      <c r="AH41" s="28">
        <f>"AUD " &amp; TEXT(AI35, "0,0") &amp; " (" &amp; TEXT(AH35, "0,0") &amp; " - " &amp; TEXT(AJ35, "0,0") &amp; ")"</f>
        <v/>
      </c>
      <c r="AK41" s="28">
        <f>"AUD " &amp; TEXT(AL35, "0,0") &amp; " (" &amp; TEXT(AK35, "0,0") &amp; " - " &amp; TEXT(AM35, "0,0") &amp; ")"</f>
        <v/>
      </c>
      <c r="AN41" s="34" t="inlineStr">
        <is>
          <t>AUD 104,472 (61,204 - 142,553)</t>
        </is>
      </c>
      <c r="AQ41" s="28">
        <f>"AUD " &amp; TEXT(AR35, "0,0") &amp; " (" &amp; TEXT(AQ35, "0,0") &amp; " - " &amp; TEXT(AS35, "0,0") &amp; ")"</f>
        <v/>
      </c>
      <c r="AT41" s="28">
        <f>"AUD " &amp; TEXT(AU35, "0,0") &amp; " (" &amp; TEXT(AT35, "0,0") &amp; " - " &amp; TEXT(AV35, "0,0") &amp; ")"</f>
        <v/>
      </c>
      <c r="AW41" s="34" t="inlineStr">
        <is>
          <t>AUD 104,472 (61,204 - 142,553)</t>
        </is>
      </c>
      <c r="AZ41" s="28">
        <f>"AUD " &amp; TEXT(BA35, "0,0") &amp; " (" &amp; TEXT(AZ35, "0,0") &amp; " - " &amp; TEXT(BB35, "0,0") &amp; ")"</f>
        <v/>
      </c>
      <c r="BC41" s="28">
        <f>"AUD " &amp; TEXT(BD35, "0,0") &amp; " (" &amp; TEXT(BC35, "0,0") &amp; " - " &amp; TEXT(BE35, "0,0") &amp; ")"</f>
        <v/>
      </c>
      <c r="BF41" s="34" t="inlineStr">
        <is>
          <t>AUD 104,472 (61,204 - 142,553)</t>
        </is>
      </c>
      <c r="BI41" s="28">
        <f>"AUD " &amp; TEXT(BJ35, "0,0") &amp; " (" &amp; TEXT(BI35, "0,0") &amp; " - " &amp; TEXT(BK35, "0,0") &amp; ")"</f>
        <v/>
      </c>
      <c r="BL41" s="28">
        <f>"AUD " &amp; TEXT(BM35, "0,0") &amp; " (" &amp; TEXT(BL35, "0,0") &amp; " - " &amp; TEXT(BN35, "0,0") &amp; ")"</f>
        <v/>
      </c>
    </row>
    <row r="42">
      <c r="A42" s="4" t="inlineStr">
        <is>
          <t>ALL</t>
        </is>
      </c>
      <c r="B42" s="19" t="inlineStr">
        <is>
          <t>Admin staff</t>
        </is>
      </c>
      <c r="J42" s="28">
        <f>TEXT(J36, "0.0%") &amp; " (" &amp; TEXT(MIN(J30,J24,J18,J12,J6), "0.0%") &amp; " - " &amp; TEXT(MAX(J30,J24,J18,J12,J6), "0.0%") &amp; ")"</f>
        <v/>
      </c>
      <c r="K42" s="28">
        <f>TEXT(K36, "0.0") &amp; " (" &amp; TEXT(MIN(K30,K24,K18,K12,K6), "0.0") &amp; " - " &amp; TEXT(MAX(K30,K24,K18,K12,K6), "0.0") &amp; ")"</f>
        <v/>
      </c>
      <c r="L42" s="28">
        <f>TEXT(L36, "0.0%") &amp; " (" &amp; TEXT(MIN(L30,L24,L18,L12,L6), "0.0%") &amp; " - " &amp; TEXT(MAX(L30,L24,L18,L12,L6), "0.0%") &amp; ")"</f>
        <v/>
      </c>
      <c r="M42" s="28">
        <f>TEXT(M36, "0.0%") &amp; " (" &amp; TEXT(MIN(M30,M24,M18,M12,M6), "0.0%") &amp; " - " &amp; TEXT(MAX(M30,M24,M18,M12,M6), "0.0%") &amp; ")"</f>
        <v/>
      </c>
      <c r="N42" s="28">
        <f>TEXT(N36, "0.0%") &amp; " (" &amp; TEXT(MIN(N30,N24,N18,N12,N6), "0.0%") &amp; " - " &amp; TEXT(MAX(N30,N24,N18,N12,N6), "0.0%") &amp; ")"</f>
        <v/>
      </c>
      <c r="O42" s="28">
        <f>TEXT(O36, "0.0%") &amp; " (" &amp; TEXT(MIN(O30,O24,O18,O12,O6), "0.0%") &amp; " - " &amp; TEXT(MAX(O30,O24,O18,O12,O6), "0.0%") &amp; ")"</f>
        <v/>
      </c>
      <c r="P42" s="28">
        <f>TEXT(P36, "0.0%") &amp; " (" &amp; TEXT(MIN(P30,P24,P18,P12,P6), "0.0%") &amp; " - " &amp; TEXT(MAX(P30,P24,P18,P12,P6), "0.0%") &amp; ")"</f>
        <v/>
      </c>
      <c r="Q42" s="28">
        <f>TEXT(Q36, "0.0%") &amp; " (" &amp; TEXT(MIN(Q30,Q24,Q18,Q12,Q6), "0.0%") &amp; " - " &amp; TEXT(MAX(Q30,Q24,Q18,Q12,Q6), "0.0%") &amp; ")"</f>
        <v/>
      </c>
      <c r="R42" s="28">
        <f>TEXT(R36, "$0.0") &amp; " (" &amp; TEXT(MIN(R30,R24,R18,R12,R6), "$0.0") &amp; " - " &amp; TEXT(MAX(R30,R24,R18,R12,R6), "$0.0") &amp; ")"</f>
        <v/>
      </c>
      <c r="S42" s="28">
        <f>TEXT(S36, "0.0") &amp; " (" &amp; TEXT(MIN(S30,S24,S18,S12,S6), "0.0") &amp; " - " &amp; TEXT(MAX(S30,S24,S18,S12,S6), "0.0") &amp; ")"</f>
        <v/>
      </c>
      <c r="T42" s="28">
        <f>TEXT(T36, "0.0%") &amp; " (" &amp; TEXT(MIN(T30,T24,T18,T12,T6), "0.0%") &amp; " - " &amp; TEXT(MAX(T30,T24,T18,T12,T6), "0.0%") &amp; ")"</f>
        <v/>
      </c>
      <c r="U42" s="28">
        <f>TEXT(U36, "0.0%") &amp; " (" &amp; TEXT(MIN(U30,U24,U18,U12,U6), "0.0%") &amp; " - " &amp; TEXT(MAX(U30,U24,U18,U12,U6), "0.0%") &amp; ")"</f>
        <v/>
      </c>
      <c r="V42" s="28">
        <f>"AUD " &amp; TEXT(W36, "0,0") &amp; " (" &amp; TEXT(V36, "0,0") &amp; " - " &amp; TEXT(X36, "0,0") &amp; ")"</f>
        <v/>
      </c>
      <c r="Y42" s="28">
        <f>"AUD " &amp; TEXT(Z36, "0,0") &amp; " (" &amp; TEXT(Y36, "0,0") &amp; " - " &amp; TEXT(AA36, "0,0") &amp; ")"</f>
        <v/>
      </c>
      <c r="AB42" s="28">
        <f>"AUD " &amp; TEXT(AC36, "0,0") &amp; " (" &amp; TEXT(AB36, "0,0") &amp; " - " &amp; TEXT(AD36, "0,0") &amp; ")"</f>
        <v/>
      </c>
      <c r="AE42" s="28">
        <f>"AUD " &amp; TEXT(AF36, "0,0") &amp; " (" &amp; TEXT(AE36, "0,0") &amp; " - " &amp; TEXT(AG36, "0,0") &amp; ")"</f>
        <v/>
      </c>
      <c r="AH42" s="28">
        <f>"AUD " &amp; TEXT(AI36, "0,0") &amp; " (" &amp; TEXT(AH36, "0,0") &amp; " - " &amp; TEXT(AJ36, "0,0") &amp; ")"</f>
        <v/>
      </c>
      <c r="AK42" s="28">
        <f>"AUD " &amp; TEXT(AL36, "0,0") &amp; " (" &amp; TEXT(AK36, "0,0") &amp; " - " &amp; TEXT(AM36, "0,0") &amp; ")"</f>
        <v/>
      </c>
      <c r="AN42" s="34" t="inlineStr">
        <is>
          <t>AUD 65,203 (47,704 - 91,460)</t>
        </is>
      </c>
      <c r="AQ42" s="28">
        <f>"AUD " &amp; TEXT(AR36, "0,0") &amp; " (" &amp; TEXT(AQ36, "0,0") &amp; " - " &amp; TEXT(AS36, "0,0") &amp; ")"</f>
        <v/>
      </c>
      <c r="AT42" s="28">
        <f>"AUD " &amp; TEXT(AU36, "0,0") &amp; " (" &amp; TEXT(AT36, "0,0") &amp; " - " &amp; TEXT(AV36, "0,0") &amp; ")"</f>
        <v/>
      </c>
      <c r="AW42" s="34" t="inlineStr">
        <is>
          <t>AUD 65,203 (47,704 - 91,460)</t>
        </is>
      </c>
      <c r="AZ42" s="28">
        <f>"AUD " &amp; TEXT(BA36, "0,0") &amp; " (" &amp; TEXT(AZ36, "0,0") &amp; " - " &amp; TEXT(BB36, "0,0") &amp; ")"</f>
        <v/>
      </c>
      <c r="BC42" s="28">
        <f>"AUD " &amp; TEXT(BD36, "0,0") &amp; " (" &amp; TEXT(BC36, "0,0") &amp; " - " &amp; TEXT(BE36, "0,0") &amp; ")"</f>
        <v/>
      </c>
      <c r="BF42" s="34" t="inlineStr">
        <is>
          <t>AUD 65,203 (47,704 - 91,460)</t>
        </is>
      </c>
      <c r="BI42" s="28">
        <f>"AUD " &amp; TEXT(BJ36, "0,0") &amp; " (" &amp; TEXT(BI36, "0,0") &amp; " - " &amp; TEXT(BK36, "0,0") &amp; ")"</f>
        <v/>
      </c>
      <c r="BL42" s="28">
        <f>"AUD " &amp; TEXT(BM36, "0,0") &amp; " (" &amp; TEXT(BL36, "0,0") &amp; " - " &amp; TEXT(BN36, "0,0") &amp; ")"</f>
        <v/>
      </c>
    </row>
    <row r="43">
      <c r="A43" s="4" t="inlineStr">
        <is>
          <t>ALL</t>
        </is>
      </c>
      <c r="B43" s="19" t="inlineStr">
        <is>
          <t>Bioinformatics staff</t>
        </is>
      </c>
      <c r="J43" s="28">
        <f>TEXT(J37, "0.0%") &amp; " (" &amp; TEXT(MIN(J31,J25,J19,J13,J7), "0.0%") &amp; " - " &amp; TEXT(MAX(J31,J25,J19,J13,J7), "0.0%") &amp; ")"</f>
        <v/>
      </c>
      <c r="K43" s="28">
        <f>TEXT(K37, "0.0") &amp; " (" &amp; TEXT(MIN(K31,K25,K19,K13,K7), "0.0") &amp; " - " &amp; TEXT(MAX(K31,K25,K19,K13,K7), "0.0") &amp; ")"</f>
        <v/>
      </c>
      <c r="L43" s="28">
        <f>TEXT(L37, "0.0%") &amp; " (" &amp; TEXT(MIN(L31,L25,L19,L13,L7), "0.0%") &amp; " - " &amp; TEXT(MAX(L31,L25,L19,L13,L7), "0.0%") &amp; ")"</f>
        <v/>
      </c>
      <c r="M43" s="28">
        <f>TEXT(M37, "0.0%") &amp; " (" &amp; TEXT(MIN(M31,M25,M19,M13,M7), "0.0%") &amp; " - " &amp; TEXT(MAX(M31,M25,M19,M13,M7), "0.0%") &amp; ")"</f>
        <v/>
      </c>
      <c r="N43" s="28">
        <f>TEXT(N37, "0.0%") &amp; " (" &amp; TEXT(MIN(N31,N25,N19,N13,N7), "0.0%") &amp; " - " &amp; TEXT(MAX(N31,N25,N19,N13,N7), "0.0%") &amp; ")"</f>
        <v/>
      </c>
      <c r="O43" s="28">
        <f>TEXT(O37, "0.0%") &amp; " (" &amp; TEXT(MIN(O31,O25,O19,O13,O7), "0.0%") &amp; " - " &amp; TEXT(MAX(O31,O25,O19,O13,O7), "0.0%") &amp; ")"</f>
        <v/>
      </c>
      <c r="P43" s="28">
        <f>TEXT(P37, "0.0%") &amp; " (" &amp; TEXT(MIN(P31,P25,P19,P13,P7), "0.0%") &amp; " - " &amp; TEXT(MAX(P31,P25,P19,P13,P7), "0.0%") &amp; ")"</f>
        <v/>
      </c>
      <c r="Q43" s="28">
        <f>TEXT(Q37, "0.0%") &amp; " (" &amp; TEXT(MIN(Q31,Q25,Q19,Q13,Q7), "0.0%") &amp; " - " &amp; TEXT(MAX(Q31,Q25,Q19,Q13,Q7), "0.0%") &amp; ")"</f>
        <v/>
      </c>
      <c r="R43" s="28">
        <f>TEXT(R37, "$0.0") &amp; " (" &amp; TEXT(MIN(R31,R25,R19,R13,R7), "$0.0") &amp; " - " &amp; TEXT(MAX(R31,R25,R19,R13,R7), "$0.0") &amp; ")"</f>
        <v/>
      </c>
      <c r="S43" s="28">
        <f>TEXT(S37, "0.0") &amp; " (" &amp; TEXT(MIN(S31,S25,S19,S13,S7), "0.0") &amp; " - " &amp; TEXT(MAX(S31,S25,S19,S13,S7), "0.0") &amp; ")"</f>
        <v/>
      </c>
      <c r="T43" s="28">
        <f>TEXT(T37, "0.0%") &amp; " (" &amp; TEXT(MIN(T31,T25,T19,T13,T7), "0.0%") &amp; " - " &amp; TEXT(MAX(T31,T25,T19,T13,T7), "0.0%") &amp; ")"</f>
        <v/>
      </c>
      <c r="U43" s="28">
        <f>TEXT(U37, "0.0%") &amp; " (" &amp; TEXT(MIN(U31,U25,U19,U13,U7), "0.0%") &amp; " - " &amp; TEXT(MAX(U31,U25,U19,U13,U7), "0.0%") &amp; ")"</f>
        <v/>
      </c>
      <c r="V43" s="28">
        <f>"AUD " &amp; TEXT(W37, "0,0") &amp; " (" &amp; TEXT(V37, "0,0") &amp; " - " &amp; TEXT(X37, "0,0") &amp; ")"</f>
        <v/>
      </c>
      <c r="Y43" s="28">
        <f>"AUD " &amp; TEXT(Z37, "0,0") &amp; " (" &amp; TEXT(Y37, "0,0") &amp; " - " &amp; TEXT(AA37, "0,0") &amp; ")"</f>
        <v/>
      </c>
      <c r="AB43" s="28">
        <f>"AUD " &amp; TEXT(AC37, "0,0") &amp; " (" &amp; TEXT(AB37, "0,0") &amp; " - " &amp; TEXT(AD37, "0,0") &amp; ")"</f>
        <v/>
      </c>
      <c r="AE43" s="28">
        <f>"AUD " &amp; TEXT(AF37, "0,0") &amp; " (" &amp; TEXT(AE37, "0,0") &amp; " - " &amp; TEXT(AG37, "0,0") &amp; ")"</f>
        <v/>
      </c>
      <c r="AH43" s="28">
        <f>"AUD " &amp; TEXT(AI37, "0,0") &amp; " (" &amp; TEXT(AH37, "0,0") &amp; " - " &amp; TEXT(AJ37, "0,0") &amp; ")"</f>
        <v/>
      </c>
      <c r="AK43" s="28">
        <f>"AUD " &amp; TEXT(AL37, "0,0") &amp; " (" &amp; TEXT(AK37, "0,0") &amp; " - " &amp; TEXT(AM37, "0,0") &amp; ")"</f>
        <v/>
      </c>
      <c r="AN43" s="34" t="inlineStr">
        <is>
          <t>AUD 94,994 (66,106 - 139,576)</t>
        </is>
      </c>
      <c r="AQ43" s="28">
        <f>"AUD " &amp; TEXT(AR37, "0,0") &amp; " (" &amp; TEXT(AQ37, "0,0") &amp; " - " &amp; TEXT(AS37, "0,0") &amp; ")"</f>
        <v/>
      </c>
      <c r="AT43" s="28">
        <f>"AUD " &amp; TEXT(AU37, "0,0") &amp; " (" &amp; TEXT(AT37, "0,0") &amp; " - " &amp; TEXT(AV37, "0,0") &amp; ")"</f>
        <v/>
      </c>
      <c r="AW43" s="34" t="inlineStr">
        <is>
          <t>AUD 94,994 (66,106 - 139,576)</t>
        </is>
      </c>
      <c r="AZ43" s="28">
        <f>"AUD " &amp; TEXT(BA37, "0,0") &amp; " (" &amp; TEXT(AZ37, "0,0") &amp; " - " &amp; TEXT(BB37, "0,0") &amp; ")"</f>
        <v/>
      </c>
      <c r="BC43" s="28">
        <f>"AUD " &amp; TEXT(BD37, "0,0") &amp; " (" &amp; TEXT(BC37, "0,0") &amp; " - " &amp; TEXT(BE37, "0,0") &amp; ")"</f>
        <v/>
      </c>
      <c r="BF43" s="34" t="inlineStr">
        <is>
          <t>AUD 94,994 (66,106 - 139,576)</t>
        </is>
      </c>
      <c r="BI43" s="28">
        <f>"AUD " &amp; TEXT(BJ37, "0,0") &amp; " (" &amp; TEXT(BI37, "0,0") &amp; " - " &amp; TEXT(BK37, "0,0") &amp; ")"</f>
        <v/>
      </c>
      <c r="BL43" s="28">
        <f>"AUD " &amp; TEXT(BM37, "0,0") &amp; " (" &amp; TEXT(BL37, "0,0") &amp; " - " &amp; TEXT(BN37, "0,0") &amp; ")"</f>
        <v/>
      </c>
    </row>
    <row r="44">
      <c r="A44" s="4" t="inlineStr">
        <is>
          <t>ALL</t>
        </is>
      </c>
      <c r="B44" s="19" t="inlineStr">
        <is>
          <t>Pathologists</t>
        </is>
      </c>
      <c r="J44" s="28">
        <f>TEXT(J38, "0.0%") &amp; " (" &amp; TEXT(MIN(J32,J26,J20,J14,J8), "0.0%") &amp; " - " &amp; TEXT(MAX(J32,J26,J20,J14,J8), "0.0%") &amp; ")"</f>
        <v/>
      </c>
      <c r="K44" s="28">
        <f>TEXT(K38, "0.0") &amp; " (" &amp; TEXT(MIN(K32,K26,K20,K14,K8), "0.0") &amp; " - " &amp; TEXT(MAX(K32,K26,K20,K14,K8), "0.0") &amp; ")"</f>
        <v/>
      </c>
      <c r="L44" s="28">
        <f>TEXT(L38, "0.0%") &amp; " (" &amp; TEXT(MIN(L32,L26,L20,L14,L8), "0.0%") &amp; " - " &amp; TEXT(MAX(L32,L26,L20,L14,L8), "0.0%") &amp; ")"</f>
        <v/>
      </c>
      <c r="M44" s="28">
        <f>TEXT(M38, "0.0%") &amp; " (" &amp; TEXT(MIN(M32,M26,M20,M14,M8), "0.0%") &amp; " - " &amp; TEXT(MAX(M32,M26,M20,M14,M8), "0.0%") &amp; ")"</f>
        <v/>
      </c>
      <c r="N44" s="28">
        <f>TEXT(N38, "0.0%") &amp; " (" &amp; TEXT(MIN(N32,N26,N20,N14,N8), "0.0%") &amp; " - " &amp; TEXT(MAX(N32,N26,N20,N14,N8), "0.0%") &amp; ")"</f>
        <v/>
      </c>
      <c r="O44" s="28">
        <f>TEXT(O38, "0.0%") &amp; " (" &amp; TEXT(MIN(O32,O26,O20,O14,O8), "0.0%") &amp; " - " &amp; TEXT(MAX(O32,O26,O20,O14,O8), "0.0%") &amp; ")"</f>
        <v/>
      </c>
      <c r="P44" s="28">
        <f>TEXT(P38, "0.0%") &amp; " (" &amp; TEXT(MIN(P32,P26,P20,P14,P8), "0.0%") &amp; " - " &amp; TEXT(MAX(P32,P26,P20,P14,P8), "0.0%") &amp; ")"</f>
        <v/>
      </c>
      <c r="Q44" s="28">
        <f>TEXT(Q38, "0.0%") &amp; " (" &amp; TEXT(MIN(Q32,Q26,Q20,Q14,Q8), "0.0%") &amp; " - " &amp; TEXT(MAX(Q32,Q26,Q20,Q14,Q8), "0.0%") &amp; ")"</f>
        <v/>
      </c>
      <c r="R44" s="28">
        <f>TEXT(R38, "$0.0") &amp; " (" &amp; TEXT(MIN(R32,R26,R20,R14,R8), "$0.0") &amp; " - " &amp; TEXT(MAX(R32,R26,R20,R14,R8), "$0.0") &amp; ")"</f>
        <v/>
      </c>
      <c r="S44" s="28">
        <f>TEXT(S38, "0.0") &amp; " (" &amp; TEXT(MIN(S32,S26,S20,S14,S8), "0.0") &amp; " - " &amp; TEXT(MAX(S32,S26,S20,S14,S8), "0.0") &amp; ")"</f>
        <v/>
      </c>
      <c r="T44" s="28">
        <f>TEXT(T38, "0.0%") &amp; " (" &amp; TEXT(MIN(T32,T26,T20,T14,T8), "0.0%") &amp; " - " &amp; TEXT(MAX(T32,T26,T20,T14,T8), "0.0%") &amp; ")"</f>
        <v/>
      </c>
      <c r="U44" s="28">
        <f>TEXT(U38, "0.0%") &amp; " (" &amp; TEXT(MIN(U32,U26,U20,U14,U8), "0.0%") &amp; " - " &amp; TEXT(MAX(U32,U26,U20,U14,U8), "0.0%") &amp; ")"</f>
        <v/>
      </c>
      <c r="V44" s="28">
        <f>"AUD " &amp; TEXT(W38, "0,0") &amp; " (" &amp; TEXT(V38, "0,0") &amp; " - " &amp; TEXT(X38, "0,0") &amp; ")"</f>
        <v/>
      </c>
      <c r="Y44" s="28">
        <f>"AUD " &amp; TEXT(Z38, "0,0") &amp; " (" &amp; TEXT(Y38, "0,0") &amp; " - " &amp; TEXT(AA38, "0,0") &amp; ")"</f>
        <v/>
      </c>
      <c r="AB44" s="28">
        <f>"AUD " &amp; TEXT(AC38, "0,0") &amp; " (" &amp; TEXT(AB38, "0,0") &amp; " - " &amp; TEXT(AD38, "0,0") &amp; ")"</f>
        <v/>
      </c>
      <c r="AE44" s="28">
        <f>"AUD " &amp; TEXT(AF38, "0,0") &amp; " (" &amp; TEXT(AE38, "0,0") &amp; " - " &amp; TEXT(AG38, "0,0") &amp; ")"</f>
        <v/>
      </c>
      <c r="AH44" s="28">
        <f>"AUD " &amp; TEXT(AI38, "0,0") &amp; " (" &amp; TEXT(AH38, "0,0") &amp; " - " &amp; TEXT(AJ38, "0,0") &amp; ")"</f>
        <v/>
      </c>
      <c r="AK44" s="28">
        <f>"AUD " &amp; TEXT(AL38, "0,0") &amp; " (" &amp; TEXT(AK38, "0,0") &amp; " - " &amp; TEXT(AM38, "0,0") &amp; ")"</f>
        <v/>
      </c>
      <c r="AN44" s="34" t="inlineStr">
        <is>
          <t>AUD 266,292 (179,078 - 386,515)</t>
        </is>
      </c>
      <c r="AQ44" s="28">
        <f>"AUD " &amp; TEXT(AR38, "0,0") &amp; " (" &amp; TEXT(AQ38, "0,0") &amp; " - " &amp; TEXT(AS38, "0,0") &amp; ")"</f>
        <v/>
      </c>
      <c r="AT44" s="28">
        <f>"AUD " &amp; TEXT(AU38, "0,0") &amp; " (" &amp; TEXT(AT38, "0,0") &amp; " - " &amp; TEXT(AV38, "0,0") &amp; ")"</f>
        <v/>
      </c>
      <c r="AW44" s="34" t="inlineStr">
        <is>
          <t>AUD 266,292 (179,078 - 386,515)</t>
        </is>
      </c>
      <c r="AZ44" s="28">
        <f>"AUD " &amp; TEXT(BA38, "0,0") &amp; " (" &amp; TEXT(AZ38, "0,0") &amp; " - " &amp; TEXT(BB38, "0,0") &amp; ")"</f>
        <v/>
      </c>
      <c r="BC44" s="28">
        <f>"AUD " &amp; TEXT(BD38, "0,0") &amp; " (" &amp; TEXT(BC38, "0,0") &amp; " - " &amp; TEXT(BE38, "0,0") &amp; ")"</f>
        <v/>
      </c>
      <c r="BF44" s="34" t="inlineStr">
        <is>
          <t>AUD 266,292 (179,078 - 386,515)</t>
        </is>
      </c>
      <c r="BI44" s="28">
        <f>"AUD " &amp; TEXT(BJ38, "0,0") &amp; " (" &amp; TEXT(BI38, "0,0") &amp; " - " &amp; TEXT(BK38, "0,0") &amp; ")"</f>
        <v/>
      </c>
      <c r="BL44" s="28">
        <f>"AUD " &amp; TEXT(BM38, "0,0") &amp; " (" &amp; TEXT(BL38, "0,0") &amp; " - " &amp; TEXT(BN38, "0,0") &amp; ")"</f>
        <v/>
      </c>
    </row>
    <row r="45">
      <c r="J45" s="28" t="n"/>
      <c r="K45" s="28" t="n"/>
      <c r="L45" s="28" t="n"/>
      <c r="M45" s="28" t="n"/>
      <c r="N45" s="28" t="n"/>
      <c r="O45" s="28" t="n"/>
      <c r="P45" s="28" t="n"/>
      <c r="Q45" s="28" t="n"/>
      <c r="R45" s="28" t="n"/>
      <c r="S45" s="28" t="n"/>
      <c r="T45" s="28" t="n"/>
      <c r="U45" s="28" t="n"/>
      <c r="V45" s="28" t="n"/>
      <c r="Y45" s="28" t="n"/>
      <c r="AB45" s="28" t="n"/>
      <c r="AE45" s="28" t="n"/>
      <c r="AH45" s="28" t="n"/>
      <c r="AK45" s="28" t="n"/>
      <c r="AN45" s="34" t="n"/>
      <c r="AQ45" s="28" t="n"/>
      <c r="AT45" s="28" t="n"/>
      <c r="AW45" s="34" t="n"/>
      <c r="AZ45" s="28" t="n"/>
      <c r="BC45" s="28" t="n"/>
      <c r="BF45" s="34" t="n"/>
      <c r="BI45" s="28" t="n"/>
      <c r="BL45" s="28" t="n"/>
    </row>
    <row r="46">
      <c r="A46" s="4" t="inlineStr">
        <is>
          <t>$</t>
        </is>
      </c>
    </row>
    <row r="47">
      <c r="A47" s="4" t="inlineStr">
        <is>
          <t>VIC</t>
        </is>
      </c>
      <c r="B47" s="19" t="inlineStr">
        <is>
          <t>Lab technician</t>
        </is>
      </c>
      <c r="J47" s="36">
        <f>(J4*$W4)</f>
        <v/>
      </c>
      <c r="K47" s="7" t="n"/>
      <c r="L47" s="37" t="n"/>
      <c r="M47" s="36">
        <f>(M4*$W4)</f>
        <v/>
      </c>
      <c r="N47" s="36">
        <f>(N4*$W4)</f>
        <v/>
      </c>
      <c r="O47" s="36">
        <f>(O4*$W4)</f>
        <v/>
      </c>
      <c r="P47" s="36">
        <f>(P4*$W4)</f>
        <v/>
      </c>
      <c r="Q47" s="36">
        <f>(Q4*$W4)</f>
        <v/>
      </c>
      <c r="R47" s="36">
        <f>R4</f>
        <v/>
      </c>
      <c r="S47" s="36">
        <f>(S4/52*$W4)</f>
        <v/>
      </c>
      <c r="T47" s="36">
        <f>(T4*$W4)</f>
        <v/>
      </c>
      <c r="U47" s="5" t="n"/>
      <c r="V47" s="36">
        <f>V4</f>
        <v/>
      </c>
      <c r="W47" s="36">
        <f>W4</f>
        <v/>
      </c>
      <c r="X47" s="36">
        <f>X4</f>
        <v/>
      </c>
    </row>
    <row r="48">
      <c r="A48" s="4" t="inlineStr">
        <is>
          <t>VIC</t>
        </is>
      </c>
      <c r="B48" s="19" t="inlineStr">
        <is>
          <t>Medical scientist</t>
        </is>
      </c>
      <c r="J48" s="36">
        <f>(J5*$W5)</f>
        <v/>
      </c>
      <c r="K48" s="7" t="n"/>
      <c r="L48" s="37" t="n"/>
      <c r="M48" s="36">
        <f>(M5*$W5)</f>
        <v/>
      </c>
      <c r="N48" s="36">
        <f>(N5*$W5)</f>
        <v/>
      </c>
      <c r="O48" s="36">
        <f>(O5*$W5)</f>
        <v/>
      </c>
      <c r="P48" s="36">
        <f>(P5*$W5)</f>
        <v/>
      </c>
      <c r="Q48" s="36">
        <f>(Q5*$W5)</f>
        <v/>
      </c>
      <c r="R48" s="36">
        <f>R5</f>
        <v/>
      </c>
      <c r="S48" s="36">
        <f>(S5/52*$W5)</f>
        <v/>
      </c>
      <c r="T48" s="36">
        <f>(T5*$W5)</f>
        <v/>
      </c>
      <c r="U48" s="5" t="n"/>
      <c r="V48" s="36">
        <f>V5</f>
        <v/>
      </c>
      <c r="W48" s="36">
        <f>W5</f>
        <v/>
      </c>
      <c r="X48" s="36">
        <f>X5</f>
        <v/>
      </c>
    </row>
    <row r="49">
      <c r="A49" s="4" t="inlineStr">
        <is>
          <t>VIC</t>
        </is>
      </c>
      <c r="B49" s="19" t="inlineStr">
        <is>
          <t>Admin staff</t>
        </is>
      </c>
      <c r="J49" s="36">
        <f>(J6*$W6)</f>
        <v/>
      </c>
      <c r="K49" s="7" t="n"/>
      <c r="L49" s="37" t="n"/>
      <c r="M49" s="36">
        <f>(M6*$W6)</f>
        <v/>
      </c>
      <c r="N49" s="36">
        <f>(N6*$W6)</f>
        <v/>
      </c>
      <c r="O49" s="36">
        <f>(O6*$W6)</f>
        <v/>
      </c>
      <c r="P49" s="36">
        <f>(P6*$W6)</f>
        <v/>
      </c>
      <c r="Q49" s="36">
        <f>(Q6*$W6)</f>
        <v/>
      </c>
      <c r="R49" s="36">
        <f>R6</f>
        <v/>
      </c>
      <c r="S49" s="36">
        <f>(S6/52*$W6)</f>
        <v/>
      </c>
      <c r="T49" s="36">
        <f>(T6*$W6)</f>
        <v/>
      </c>
      <c r="U49" s="5" t="n"/>
      <c r="V49" s="36">
        <f>V6</f>
        <v/>
      </c>
      <c r="W49" s="36">
        <f>W6</f>
        <v/>
      </c>
      <c r="X49" s="36">
        <f>X6</f>
        <v/>
      </c>
    </row>
    <row r="50">
      <c r="A50" s="4" t="inlineStr">
        <is>
          <t>VIC</t>
        </is>
      </c>
      <c r="B50" s="19" t="inlineStr">
        <is>
          <t>Bioinformatics staff</t>
        </is>
      </c>
      <c r="J50" s="36">
        <f>(J7*$W7)</f>
        <v/>
      </c>
      <c r="K50" s="7" t="n"/>
      <c r="L50" s="37" t="n"/>
      <c r="M50" s="36">
        <f>(M7*$W7)</f>
        <v/>
      </c>
      <c r="N50" s="36">
        <f>(N7*$W7)</f>
        <v/>
      </c>
      <c r="O50" s="36">
        <f>(O7*$W7)</f>
        <v/>
      </c>
      <c r="P50" s="36">
        <f>(P7*$W7)</f>
        <v/>
      </c>
      <c r="Q50" s="36">
        <f>(Q7*$W7)</f>
        <v/>
      </c>
      <c r="R50" s="36">
        <f>R7</f>
        <v/>
      </c>
      <c r="S50" s="36">
        <f>(S7/52*$W7)</f>
        <v/>
      </c>
      <c r="T50" s="36">
        <f>(T7*$W7)</f>
        <v/>
      </c>
      <c r="U50" s="5" t="n"/>
      <c r="V50" s="36">
        <f>V7</f>
        <v/>
      </c>
      <c r="W50" s="36">
        <f>W7</f>
        <v/>
      </c>
      <c r="X50" s="36">
        <f>X7</f>
        <v/>
      </c>
    </row>
    <row r="51">
      <c r="A51" s="4" t="inlineStr">
        <is>
          <t>VIC</t>
        </is>
      </c>
      <c r="B51" s="19" t="inlineStr">
        <is>
          <t>Pathologists</t>
        </is>
      </c>
      <c r="J51" s="36">
        <f>(J8*$W8)</f>
        <v/>
      </c>
      <c r="K51" s="7" t="n"/>
      <c r="L51" s="37" t="n"/>
      <c r="M51" s="36">
        <f>(M8*$W8)</f>
        <v/>
      </c>
      <c r="N51" s="36">
        <f>(N8*$W8)</f>
        <v/>
      </c>
      <c r="O51" s="36">
        <f>(O8*$W8)</f>
        <v/>
      </c>
      <c r="P51" s="36">
        <f>(P8*$W8)</f>
        <v/>
      </c>
      <c r="Q51" s="36">
        <f>(Q8*$W8)</f>
        <v/>
      </c>
      <c r="R51" s="36">
        <f>R8</f>
        <v/>
      </c>
      <c r="S51" s="36">
        <f>(S8/52*$W8)</f>
        <v/>
      </c>
      <c r="T51" s="36">
        <f>(T8*$W8)</f>
        <v/>
      </c>
      <c r="U51" s="5" t="n"/>
      <c r="V51" s="36">
        <f>V8</f>
        <v/>
      </c>
      <c r="W51" s="36">
        <f>W8</f>
        <v/>
      </c>
      <c r="X51" s="36">
        <f>X8</f>
        <v/>
      </c>
    </row>
    <row r="52">
      <c r="J52" s="6" t="n"/>
      <c r="K52" s="7" t="n"/>
      <c r="L52" s="37" t="n"/>
      <c r="M52" s="37" t="n"/>
      <c r="N52" s="37" t="n"/>
      <c r="O52" s="38" t="n"/>
      <c r="P52" s="37" t="n"/>
      <c r="Q52" s="37" t="n"/>
      <c r="R52" s="26" t="n"/>
      <c r="S52" s="5" t="n"/>
      <c r="T52" s="37" t="n"/>
      <c r="U52" s="5" t="n"/>
      <c r="V52" s="36" t="n"/>
      <c r="W52" s="36" t="n"/>
      <c r="X52" s="36" t="n"/>
    </row>
    <row r="53">
      <c r="A53" s="4" t="inlineStr">
        <is>
          <t>SA</t>
        </is>
      </c>
      <c r="B53" s="19" t="inlineStr">
        <is>
          <t>Lab technician</t>
        </is>
      </c>
      <c r="J53" s="36">
        <f>(J10*$W10)</f>
        <v/>
      </c>
      <c r="K53" s="7" t="n"/>
      <c r="L53" s="37" t="n"/>
      <c r="M53" s="36">
        <f>(M10*$W10)</f>
        <v/>
      </c>
      <c r="N53" s="36">
        <f>(N10*$W10)</f>
        <v/>
      </c>
      <c r="O53" s="36">
        <f>(O10*$W10)</f>
        <v/>
      </c>
      <c r="P53" s="36">
        <f>(P10*$W10)</f>
        <v/>
      </c>
      <c r="Q53" s="36">
        <f>(Q10*$W10)</f>
        <v/>
      </c>
      <c r="R53" s="36">
        <f>R10</f>
        <v/>
      </c>
      <c r="S53" s="36">
        <f>(S10/52*$W10)</f>
        <v/>
      </c>
      <c r="T53" s="36">
        <f>(T10*$W10)</f>
        <v/>
      </c>
      <c r="U53" s="5" t="n"/>
      <c r="V53" s="36">
        <f>V10</f>
        <v/>
      </c>
      <c r="W53" s="36">
        <f>W10</f>
        <v/>
      </c>
      <c r="X53" s="36">
        <f>X10</f>
        <v/>
      </c>
    </row>
    <row r="54">
      <c r="A54" s="4" t="inlineStr">
        <is>
          <t>SA</t>
        </is>
      </c>
      <c r="B54" s="19" t="inlineStr">
        <is>
          <t>Medical scientist</t>
        </is>
      </c>
      <c r="J54" s="36">
        <f>(J11*$W11)</f>
        <v/>
      </c>
      <c r="K54" s="7" t="n"/>
      <c r="L54" s="37" t="n"/>
      <c r="M54" s="36">
        <f>(M11*$W11)</f>
        <v/>
      </c>
      <c r="N54" s="36">
        <f>(N11*$W11)</f>
        <v/>
      </c>
      <c r="O54" s="36">
        <f>(O11*$W11)</f>
        <v/>
      </c>
      <c r="P54" s="36">
        <f>(P11*$W11)</f>
        <v/>
      </c>
      <c r="Q54" s="36">
        <f>(Q11*$W11)</f>
        <v/>
      </c>
      <c r="R54" s="36">
        <f>R11</f>
        <v/>
      </c>
      <c r="S54" s="36">
        <f>(S11/52*$W11)</f>
        <v/>
      </c>
      <c r="T54" s="36">
        <f>(T11*$W11)</f>
        <v/>
      </c>
      <c r="U54" s="5" t="n"/>
      <c r="V54" s="36">
        <f>V11</f>
        <v/>
      </c>
      <c r="W54" s="36">
        <f>W11</f>
        <v/>
      </c>
      <c r="X54" s="36">
        <f>X11</f>
        <v/>
      </c>
    </row>
    <row r="55">
      <c r="A55" s="4" t="inlineStr">
        <is>
          <t>SA</t>
        </is>
      </c>
      <c r="B55" s="19" t="inlineStr">
        <is>
          <t>Admin staff</t>
        </is>
      </c>
      <c r="J55" s="36">
        <f>(J12*$W12)</f>
        <v/>
      </c>
      <c r="K55" s="7" t="n"/>
      <c r="L55" s="37" t="n"/>
      <c r="M55" s="36">
        <f>(M12*$W12)</f>
        <v/>
      </c>
      <c r="N55" s="36">
        <f>(N12*$W12)</f>
        <v/>
      </c>
      <c r="O55" s="36">
        <f>(O12*$W12)</f>
        <v/>
      </c>
      <c r="P55" s="36">
        <f>(P12*$W12)</f>
        <v/>
      </c>
      <c r="Q55" s="36">
        <f>(Q12*$W12)</f>
        <v/>
      </c>
      <c r="R55" s="36">
        <f>R12</f>
        <v/>
      </c>
      <c r="S55" s="36">
        <f>(S12/52*$W12)</f>
        <v/>
      </c>
      <c r="T55" s="36">
        <f>(T12*$W12)</f>
        <v/>
      </c>
      <c r="U55" s="5" t="n"/>
      <c r="V55" s="36">
        <f>V12</f>
        <v/>
      </c>
      <c r="W55" s="36">
        <f>W12</f>
        <v/>
      </c>
      <c r="X55" s="36">
        <f>X12</f>
        <v/>
      </c>
    </row>
    <row r="56">
      <c r="A56" s="4" t="inlineStr">
        <is>
          <t>SA</t>
        </is>
      </c>
      <c r="B56" s="19" t="inlineStr">
        <is>
          <t>Bioinformatics staff</t>
        </is>
      </c>
      <c r="J56" s="36">
        <f>(J13*$W13)</f>
        <v/>
      </c>
      <c r="K56" s="7" t="n"/>
      <c r="L56" s="37" t="n"/>
      <c r="M56" s="36">
        <f>(M13*$W13)</f>
        <v/>
      </c>
      <c r="N56" s="36">
        <f>(N13*$W13)</f>
        <v/>
      </c>
      <c r="O56" s="36">
        <f>(O13*$W13)</f>
        <v/>
      </c>
      <c r="P56" s="36">
        <f>(P13*$W13)</f>
        <v/>
      </c>
      <c r="Q56" s="36">
        <f>(Q13*$W13)</f>
        <v/>
      </c>
      <c r="R56" s="36">
        <f>R13</f>
        <v/>
      </c>
      <c r="S56" s="36">
        <f>(S13/52*$W13)</f>
        <v/>
      </c>
      <c r="T56" s="36">
        <f>(T13*$W13)</f>
        <v/>
      </c>
      <c r="U56" s="5" t="n"/>
      <c r="V56" s="36">
        <f>V13</f>
        <v/>
      </c>
      <c r="W56" s="36">
        <f>W13</f>
        <v/>
      </c>
      <c r="X56" s="36">
        <f>X13</f>
        <v/>
      </c>
    </row>
    <row r="57">
      <c r="A57" s="4" t="inlineStr">
        <is>
          <t>SA</t>
        </is>
      </c>
      <c r="B57" s="19" t="inlineStr">
        <is>
          <t>Pathologists</t>
        </is>
      </c>
      <c r="J57" s="36">
        <f>(J14*$W14)</f>
        <v/>
      </c>
      <c r="K57" s="7" t="n"/>
      <c r="L57" s="37" t="n"/>
      <c r="M57" s="36">
        <f>(M14*$W14)</f>
        <v/>
      </c>
      <c r="N57" s="36">
        <f>(N14*$W14)</f>
        <v/>
      </c>
      <c r="O57" s="36">
        <f>(O14*$W14)</f>
        <v/>
      </c>
      <c r="P57" s="36">
        <f>(P14*$W14)</f>
        <v/>
      </c>
      <c r="Q57" s="36">
        <f>(Q14*$W14)</f>
        <v/>
      </c>
      <c r="R57" s="36">
        <f>R14</f>
        <v/>
      </c>
      <c r="S57" s="36">
        <f>(S14/52*$W14)</f>
        <v/>
      </c>
      <c r="T57" s="36">
        <f>(T14*$W14)</f>
        <v/>
      </c>
      <c r="U57" s="5" t="n"/>
      <c r="V57" s="36">
        <f>V14</f>
        <v/>
      </c>
      <c r="W57" s="36">
        <f>W14</f>
        <v/>
      </c>
      <c r="X57" s="36">
        <f>X14</f>
        <v/>
      </c>
    </row>
    <row r="58">
      <c r="J58" s="6" t="n"/>
      <c r="K58" s="7" t="n"/>
      <c r="L58" s="37" t="n"/>
      <c r="M58" s="37" t="n"/>
      <c r="N58" s="37" t="n"/>
      <c r="O58" s="38" t="n"/>
      <c r="P58" s="37" t="n"/>
      <c r="Q58" s="37" t="n"/>
      <c r="R58" s="26" t="n"/>
      <c r="S58" s="5" t="n"/>
      <c r="T58" s="37" t="n"/>
      <c r="U58" s="5" t="n"/>
      <c r="V58" s="36" t="n"/>
      <c r="W58" s="36" t="n"/>
      <c r="X58" s="36" t="n"/>
    </row>
    <row r="59">
      <c r="A59" s="4" t="inlineStr">
        <is>
          <t>NSW</t>
        </is>
      </c>
      <c r="B59" s="19" t="inlineStr">
        <is>
          <t>Lab technician</t>
        </is>
      </c>
      <c r="J59" s="36">
        <f>(J16*$W16)</f>
        <v/>
      </c>
      <c r="K59" s="7" t="n"/>
      <c r="L59" s="37" t="n"/>
      <c r="M59" s="36">
        <f>(M16*$W16)</f>
        <v/>
      </c>
      <c r="N59" s="36">
        <f>(N16*$W16)</f>
        <v/>
      </c>
      <c r="O59" s="36">
        <f>(O16*$W16)</f>
        <v/>
      </c>
      <c r="P59" s="36">
        <f>(P16*$W16)</f>
        <v/>
      </c>
      <c r="Q59" s="36">
        <f>(Q16*$W16)</f>
        <v/>
      </c>
      <c r="R59" s="36">
        <f>R16</f>
        <v/>
      </c>
      <c r="S59" s="36">
        <f>(S16/52*$W16)</f>
        <v/>
      </c>
      <c r="T59" s="36">
        <f>(T16*$W16)</f>
        <v/>
      </c>
      <c r="U59" s="5" t="n"/>
      <c r="V59" s="36">
        <f>V16</f>
        <v/>
      </c>
      <c r="W59" s="36">
        <f>W16</f>
        <v/>
      </c>
      <c r="X59" s="36">
        <f>X16</f>
        <v/>
      </c>
    </row>
    <row r="60">
      <c r="A60" s="4" t="inlineStr">
        <is>
          <t>NSW</t>
        </is>
      </c>
      <c r="B60" s="19" t="inlineStr">
        <is>
          <t>Medical scientist</t>
        </is>
      </c>
      <c r="J60" s="36">
        <f>(J17*$W17)</f>
        <v/>
      </c>
      <c r="K60" s="7" t="n"/>
      <c r="L60" s="37" t="n"/>
      <c r="M60" s="36">
        <f>(M17*$W17)</f>
        <v/>
      </c>
      <c r="N60" s="36">
        <f>(N17*$W17)</f>
        <v/>
      </c>
      <c r="O60" s="36">
        <f>(O17*$W17)</f>
        <v/>
      </c>
      <c r="P60" s="36">
        <f>(P17*$W17)</f>
        <v/>
      </c>
      <c r="Q60" s="36">
        <f>(Q17*$W17)</f>
        <v/>
      </c>
      <c r="R60" s="36">
        <f>R17</f>
        <v/>
      </c>
      <c r="S60" s="36">
        <f>(S17/52*$W17)</f>
        <v/>
      </c>
      <c r="T60" s="36">
        <f>(T17*$W17)</f>
        <v/>
      </c>
      <c r="U60" s="5" t="n"/>
      <c r="V60" s="36">
        <f>V17</f>
        <v/>
      </c>
      <c r="W60" s="36">
        <f>W17</f>
        <v/>
      </c>
      <c r="X60" s="36">
        <f>X17</f>
        <v/>
      </c>
    </row>
    <row r="61">
      <c r="A61" s="4" t="inlineStr">
        <is>
          <t>NSW</t>
        </is>
      </c>
      <c r="B61" s="19" t="inlineStr">
        <is>
          <t>Admin staff</t>
        </is>
      </c>
      <c r="J61" s="36">
        <f>(J18*$W18)</f>
        <v/>
      </c>
      <c r="K61" s="7" t="n"/>
      <c r="L61" s="37" t="n"/>
      <c r="M61" s="36">
        <f>(M18*$W18)</f>
        <v/>
      </c>
      <c r="N61" s="36">
        <f>(N18*$W18)</f>
        <v/>
      </c>
      <c r="O61" s="36">
        <f>(O18*$W18)</f>
        <v/>
      </c>
      <c r="P61" s="36">
        <f>(P18*$W18)</f>
        <v/>
      </c>
      <c r="Q61" s="36">
        <f>(Q18*$W18)</f>
        <v/>
      </c>
      <c r="R61" s="36">
        <f>R18</f>
        <v/>
      </c>
      <c r="S61" s="36">
        <f>(S18/52*$W18)</f>
        <v/>
      </c>
      <c r="T61" s="36">
        <f>(T18*$W18)</f>
        <v/>
      </c>
      <c r="U61" s="5" t="n"/>
      <c r="V61" s="36">
        <f>V18</f>
        <v/>
      </c>
      <c r="W61" s="36">
        <f>W18</f>
        <v/>
      </c>
      <c r="X61" s="36">
        <f>X18</f>
        <v/>
      </c>
    </row>
    <row r="62">
      <c r="A62" s="4" t="inlineStr">
        <is>
          <t>NSW</t>
        </is>
      </c>
      <c r="B62" s="19" t="inlineStr">
        <is>
          <t>Bioinformatics staff</t>
        </is>
      </c>
      <c r="J62" s="36">
        <f>(J19*$W19)</f>
        <v/>
      </c>
      <c r="K62" s="7" t="n"/>
      <c r="L62" s="37" t="n"/>
      <c r="M62" s="36">
        <f>(M19*$W19)</f>
        <v/>
      </c>
      <c r="N62" s="36">
        <f>(N19*$W19)</f>
        <v/>
      </c>
      <c r="O62" s="36">
        <f>(O19*$W19)</f>
        <v/>
      </c>
      <c r="P62" s="36">
        <f>(P19*$W19)</f>
        <v/>
      </c>
      <c r="Q62" s="36">
        <f>(Q19*$W19)</f>
        <v/>
      </c>
      <c r="R62" s="36">
        <f>R19</f>
        <v/>
      </c>
      <c r="S62" s="36">
        <f>(S19/52*$W19)</f>
        <v/>
      </c>
      <c r="T62" s="36">
        <f>(T19*$W19)</f>
        <v/>
      </c>
      <c r="U62" s="5" t="n"/>
      <c r="V62" s="36">
        <f>V19</f>
        <v/>
      </c>
      <c r="W62" s="36">
        <f>W19</f>
        <v/>
      </c>
      <c r="X62" s="36">
        <f>X19</f>
        <v/>
      </c>
    </row>
    <row r="63">
      <c r="A63" s="4" t="inlineStr">
        <is>
          <t>NSW</t>
        </is>
      </c>
      <c r="B63" s="19" t="inlineStr">
        <is>
          <t>Pathologists</t>
        </is>
      </c>
      <c r="J63" s="36">
        <f>(J20*$W20)</f>
        <v/>
      </c>
      <c r="K63" s="7" t="n"/>
      <c r="L63" s="37" t="n"/>
      <c r="M63" s="36">
        <f>(M20*$W20)</f>
        <v/>
      </c>
      <c r="N63" s="36">
        <f>(N20*$W20)</f>
        <v/>
      </c>
      <c r="O63" s="36">
        <f>(O20*$W20)</f>
        <v/>
      </c>
      <c r="P63" s="36">
        <f>(P20*$W20)</f>
        <v/>
      </c>
      <c r="Q63" s="36">
        <f>(Q20*$W20)</f>
        <v/>
      </c>
      <c r="R63" s="36">
        <f>R20</f>
        <v/>
      </c>
      <c r="S63" s="36">
        <f>(S20/52*$W20)</f>
        <v/>
      </c>
      <c r="T63" s="36">
        <f>(T20*$W20)</f>
        <v/>
      </c>
      <c r="U63" s="5" t="n"/>
      <c r="V63" s="36">
        <f>V20</f>
        <v/>
      </c>
      <c r="W63" s="36">
        <f>W20</f>
        <v/>
      </c>
      <c r="X63" s="36">
        <f>X20</f>
        <v/>
      </c>
    </row>
    <row r="64">
      <c r="J64" s="6" t="n"/>
      <c r="K64" s="7" t="n"/>
      <c r="L64" s="37" t="n"/>
      <c r="M64" s="37" t="n"/>
      <c r="N64" s="37" t="n"/>
      <c r="O64" s="38" t="n"/>
      <c r="P64" s="37" t="n"/>
      <c r="Q64" s="37" t="n"/>
      <c r="R64" s="26" t="n"/>
      <c r="S64" s="5" t="n"/>
      <c r="T64" s="37" t="n"/>
      <c r="U64" s="5" t="n"/>
      <c r="V64" s="36" t="n"/>
      <c r="W64" s="36" t="n"/>
      <c r="X64" s="36" t="n"/>
    </row>
    <row r="65">
      <c r="A65" s="4" t="inlineStr">
        <is>
          <t>QLD</t>
        </is>
      </c>
      <c r="B65" s="19" t="inlineStr">
        <is>
          <t>Lab technician</t>
        </is>
      </c>
      <c r="J65" s="36">
        <f>(J22*$W22)</f>
        <v/>
      </c>
      <c r="K65" s="7" t="n"/>
      <c r="L65" s="37" t="n"/>
      <c r="M65" s="36">
        <f>(M22*$W22)</f>
        <v/>
      </c>
      <c r="N65" s="36">
        <f>(N22*$W22)</f>
        <v/>
      </c>
      <c r="O65" s="36">
        <f>(O22*$W22)</f>
        <v/>
      </c>
      <c r="P65" s="36">
        <f>(P22*$W22)</f>
        <v/>
      </c>
      <c r="Q65" s="36">
        <f>(Q22*$W22)</f>
        <v/>
      </c>
      <c r="R65" s="36">
        <f>R22</f>
        <v/>
      </c>
      <c r="S65" s="36">
        <f>(S22/52*$W22)</f>
        <v/>
      </c>
      <c r="T65" s="36">
        <f>(T22*$W22)</f>
        <v/>
      </c>
      <c r="U65" s="5" t="n"/>
      <c r="V65" s="36">
        <f>V22</f>
        <v/>
      </c>
      <c r="W65" s="36">
        <f>W22</f>
        <v/>
      </c>
      <c r="X65" s="36">
        <f>X22</f>
        <v/>
      </c>
    </row>
    <row r="66">
      <c r="A66" s="4" t="inlineStr">
        <is>
          <t>QLD</t>
        </is>
      </c>
      <c r="B66" s="19" t="inlineStr">
        <is>
          <t>Medical scientist</t>
        </is>
      </c>
      <c r="J66" s="36">
        <f>(J23*$W23)</f>
        <v/>
      </c>
      <c r="K66" s="7" t="n"/>
      <c r="L66" s="37" t="n"/>
      <c r="M66" s="36">
        <f>(M23*$W23)</f>
        <v/>
      </c>
      <c r="N66" s="36">
        <f>(N23*$W23)</f>
        <v/>
      </c>
      <c r="O66" s="36">
        <f>(O23*$W23)</f>
        <v/>
      </c>
      <c r="P66" s="36">
        <f>(P23*$W23)</f>
        <v/>
      </c>
      <c r="Q66" s="36">
        <f>(Q23*$W23)</f>
        <v/>
      </c>
      <c r="R66" s="36">
        <f>R23</f>
        <v/>
      </c>
      <c r="S66" s="36">
        <f>(S23/52*$W23)</f>
        <v/>
      </c>
      <c r="T66" s="36">
        <f>(T23*$W23)</f>
        <v/>
      </c>
      <c r="U66" s="5" t="n"/>
      <c r="V66" s="36">
        <f>V23</f>
        <v/>
      </c>
      <c r="W66" s="36">
        <f>W23</f>
        <v/>
      </c>
      <c r="X66" s="36">
        <f>X23</f>
        <v/>
      </c>
    </row>
    <row r="67">
      <c r="A67" s="4" t="inlineStr">
        <is>
          <t>QLD</t>
        </is>
      </c>
      <c r="B67" s="19" t="inlineStr">
        <is>
          <t>Admin staff</t>
        </is>
      </c>
      <c r="J67" s="36">
        <f>(J24*$W24)</f>
        <v/>
      </c>
      <c r="K67" s="7" t="n"/>
      <c r="L67" s="37" t="n"/>
      <c r="M67" s="36">
        <f>(M24*$W24)</f>
        <v/>
      </c>
      <c r="N67" s="36">
        <f>(N24*$W24)</f>
        <v/>
      </c>
      <c r="O67" s="36">
        <f>(O24*$W24)</f>
        <v/>
      </c>
      <c r="P67" s="36">
        <f>(P24*$W24)</f>
        <v/>
      </c>
      <c r="Q67" s="36">
        <f>(Q24*$W24)</f>
        <v/>
      </c>
      <c r="R67" s="36">
        <f>R24</f>
        <v/>
      </c>
      <c r="S67" s="36">
        <f>(S24/52*$W24)</f>
        <v/>
      </c>
      <c r="T67" s="36">
        <f>(T24*$W24)</f>
        <v/>
      </c>
      <c r="U67" s="5" t="n"/>
      <c r="V67" s="36">
        <f>V24</f>
        <v/>
      </c>
      <c r="W67" s="36">
        <f>W24</f>
        <v/>
      </c>
      <c r="X67" s="36">
        <f>X24</f>
        <v/>
      </c>
    </row>
    <row r="68">
      <c r="A68" s="4" t="inlineStr">
        <is>
          <t>QLD</t>
        </is>
      </c>
      <c r="B68" s="19" t="inlineStr">
        <is>
          <t>Bioinformatics staff</t>
        </is>
      </c>
      <c r="J68" s="36">
        <f>(J25*$W25)</f>
        <v/>
      </c>
      <c r="K68" s="7" t="n"/>
      <c r="L68" s="37" t="n"/>
      <c r="M68" s="36">
        <f>(M25*$W25)</f>
        <v/>
      </c>
      <c r="N68" s="36">
        <f>(N25*$W25)</f>
        <v/>
      </c>
      <c r="O68" s="36">
        <f>(O25*$W25)</f>
        <v/>
      </c>
      <c r="P68" s="36">
        <f>(P25*$W25)</f>
        <v/>
      </c>
      <c r="Q68" s="36">
        <f>(Q25*$W25)</f>
        <v/>
      </c>
      <c r="R68" s="36">
        <f>R25</f>
        <v/>
      </c>
      <c r="S68" s="36">
        <f>(S25/52*$W25)</f>
        <v/>
      </c>
      <c r="T68" s="36">
        <f>(T25*$W25)</f>
        <v/>
      </c>
      <c r="U68" s="5" t="n"/>
      <c r="V68" s="36">
        <f>V25</f>
        <v/>
      </c>
      <c r="W68" s="36">
        <f>W25</f>
        <v/>
      </c>
      <c r="X68" s="36">
        <f>X25</f>
        <v/>
      </c>
    </row>
    <row r="69">
      <c r="A69" s="4" t="inlineStr">
        <is>
          <t>QLD</t>
        </is>
      </c>
      <c r="B69" s="19" t="inlineStr">
        <is>
          <t>Pathologists</t>
        </is>
      </c>
      <c r="J69" s="36">
        <f>(J26*$W26)</f>
        <v/>
      </c>
      <c r="K69" s="7" t="n"/>
      <c r="L69" s="37" t="n"/>
      <c r="M69" s="36">
        <f>(M26*$W26)</f>
        <v/>
      </c>
      <c r="N69" s="36">
        <f>(N26*$W26)</f>
        <v/>
      </c>
      <c r="O69" s="36">
        <f>(O26*$W26)</f>
        <v/>
      </c>
      <c r="P69" s="36">
        <f>(P26*$W26)</f>
        <v/>
      </c>
      <c r="Q69" s="36">
        <f>(Q26*$W26)</f>
        <v/>
      </c>
      <c r="R69" s="36">
        <f>R26</f>
        <v/>
      </c>
      <c r="S69" s="36">
        <f>(S26/52*$W26)</f>
        <v/>
      </c>
      <c r="T69" s="36">
        <f>(T26*$W26)</f>
        <v/>
      </c>
      <c r="U69" s="5" t="n"/>
      <c r="V69" s="36">
        <f>V26</f>
        <v/>
      </c>
      <c r="W69" s="36">
        <f>W26</f>
        <v/>
      </c>
      <c r="X69" s="36">
        <f>X26</f>
        <v/>
      </c>
    </row>
    <row r="70">
      <c r="J70" s="6" t="n"/>
      <c r="K70" s="7" t="n"/>
      <c r="L70" s="37" t="n"/>
      <c r="M70" s="37" t="n"/>
      <c r="N70" s="37" t="n"/>
      <c r="O70" s="38" t="n"/>
      <c r="P70" s="37" t="n"/>
      <c r="Q70" s="37" t="n"/>
      <c r="R70" s="26" t="n"/>
      <c r="S70" s="5" t="n"/>
      <c r="T70" s="37" t="n"/>
      <c r="U70" s="5" t="n"/>
      <c r="V70" s="36" t="n"/>
      <c r="W70" s="36" t="n"/>
      <c r="X70" s="36" t="n"/>
    </row>
    <row r="71">
      <c r="A71" s="4" t="inlineStr">
        <is>
          <t>WA</t>
        </is>
      </c>
      <c r="B71" s="19" t="inlineStr">
        <is>
          <t>Lab technician</t>
        </is>
      </c>
      <c r="J71" s="36">
        <f>(J28*$W28)</f>
        <v/>
      </c>
      <c r="K71" s="7" t="n"/>
      <c r="L71" s="37" t="n"/>
      <c r="M71" s="36">
        <f>(M28*$W28)</f>
        <v/>
      </c>
      <c r="N71" s="36">
        <f>(N28*$W28)</f>
        <v/>
      </c>
      <c r="O71" s="36">
        <f>(O28*$W28)</f>
        <v/>
      </c>
      <c r="P71" s="36">
        <f>(P28*$W28)</f>
        <v/>
      </c>
      <c r="Q71" s="36">
        <f>(Q28*$W28)</f>
        <v/>
      </c>
      <c r="R71" s="36">
        <f>R28</f>
        <v/>
      </c>
      <c r="S71" s="36">
        <f>(S28/52*$W28)</f>
        <v/>
      </c>
      <c r="T71" s="36">
        <f>(T28*$W28)</f>
        <v/>
      </c>
      <c r="U71" s="5" t="n"/>
      <c r="V71" s="36">
        <f>V28</f>
        <v/>
      </c>
      <c r="W71" s="36">
        <f>W28</f>
        <v/>
      </c>
      <c r="X71" s="36">
        <f>X28</f>
        <v/>
      </c>
    </row>
    <row r="72">
      <c r="A72" s="4" t="inlineStr">
        <is>
          <t>WA</t>
        </is>
      </c>
      <c r="B72" s="19" t="inlineStr">
        <is>
          <t>Medical scientist</t>
        </is>
      </c>
      <c r="J72" s="36">
        <f>(J29*$W29)</f>
        <v/>
      </c>
      <c r="K72" s="7" t="n"/>
      <c r="L72" s="37" t="n"/>
      <c r="M72" s="36">
        <f>(M29*$W29)</f>
        <v/>
      </c>
      <c r="N72" s="36">
        <f>(N29*$W29)</f>
        <v/>
      </c>
      <c r="O72" s="36">
        <f>(O29*$W29)</f>
        <v/>
      </c>
      <c r="P72" s="36">
        <f>(P29*$W29)</f>
        <v/>
      </c>
      <c r="Q72" s="36">
        <f>(Q29*$W29)</f>
        <v/>
      </c>
      <c r="R72" s="36">
        <f>R29</f>
        <v/>
      </c>
      <c r="S72" s="36">
        <f>(S29/52*$W29)</f>
        <v/>
      </c>
      <c r="T72" s="36">
        <f>(T29*$W29)</f>
        <v/>
      </c>
      <c r="U72" s="5" t="n"/>
      <c r="V72" s="36">
        <f>V29</f>
        <v/>
      </c>
      <c r="W72" s="36">
        <f>W29</f>
        <v/>
      </c>
      <c r="X72" s="36">
        <f>X29</f>
        <v/>
      </c>
    </row>
    <row r="73">
      <c r="A73" s="4" t="inlineStr">
        <is>
          <t>WA</t>
        </is>
      </c>
      <c r="B73" s="19" t="inlineStr">
        <is>
          <t>Admin staff</t>
        </is>
      </c>
      <c r="J73" s="36">
        <f>(J30*$W30)</f>
        <v/>
      </c>
      <c r="K73" s="7" t="n"/>
      <c r="L73" s="37" t="n"/>
      <c r="M73" s="36">
        <f>(M30*$W30)</f>
        <v/>
      </c>
      <c r="N73" s="36">
        <f>(N30*$W30)</f>
        <v/>
      </c>
      <c r="O73" s="36">
        <f>(O30*$W30)</f>
        <v/>
      </c>
      <c r="P73" s="36">
        <f>(P30*$W30)</f>
        <v/>
      </c>
      <c r="Q73" s="36">
        <f>(Q30*$W30)</f>
        <v/>
      </c>
      <c r="R73" s="36">
        <f>R30</f>
        <v/>
      </c>
      <c r="S73" s="36">
        <f>(S30/52*$W30)</f>
        <v/>
      </c>
      <c r="T73" s="36">
        <f>(T30*$W30)</f>
        <v/>
      </c>
      <c r="U73" s="5" t="n"/>
      <c r="V73" s="36">
        <f>V30</f>
        <v/>
      </c>
      <c r="W73" s="36">
        <f>W30</f>
        <v/>
      </c>
      <c r="X73" s="36">
        <f>X30</f>
        <v/>
      </c>
    </row>
    <row r="74">
      <c r="A74" s="4" t="inlineStr">
        <is>
          <t>WA</t>
        </is>
      </c>
      <c r="B74" s="19" t="inlineStr">
        <is>
          <t>Bioinformatics staff</t>
        </is>
      </c>
      <c r="J74" s="36">
        <f>(J31*$W31)</f>
        <v/>
      </c>
      <c r="K74" s="7" t="n"/>
      <c r="L74" s="37" t="n"/>
      <c r="M74" s="36">
        <f>(M31*$W31)</f>
        <v/>
      </c>
      <c r="N74" s="36">
        <f>(N31*$W31)</f>
        <v/>
      </c>
      <c r="O74" s="36">
        <f>(O31*$W31)</f>
        <v/>
      </c>
      <c r="P74" s="36">
        <f>(P31*$W31)</f>
        <v/>
      </c>
      <c r="Q74" s="36">
        <f>(Q31*$W31)</f>
        <v/>
      </c>
      <c r="R74" s="36">
        <f>R31</f>
        <v/>
      </c>
      <c r="S74" s="36">
        <f>(S31/52*$W31)</f>
        <v/>
      </c>
      <c r="T74" s="36">
        <f>(T31*$W31)</f>
        <v/>
      </c>
      <c r="U74" s="5" t="n"/>
      <c r="V74" s="36">
        <f>V31</f>
        <v/>
      </c>
      <c r="W74" s="36">
        <f>W31</f>
        <v/>
      </c>
      <c r="X74" s="36">
        <f>X31</f>
        <v/>
      </c>
    </row>
    <row r="75">
      <c r="A75" s="4" t="inlineStr">
        <is>
          <t>WA</t>
        </is>
      </c>
      <c r="B75" s="19" t="inlineStr">
        <is>
          <t>Pathologists</t>
        </is>
      </c>
      <c r="J75" s="36">
        <f>(J32*$W32)</f>
        <v/>
      </c>
      <c r="K75" s="7" t="n"/>
      <c r="L75" s="37" t="n"/>
      <c r="M75" s="36">
        <f>(M32*$W32)</f>
        <v/>
      </c>
      <c r="N75" s="36">
        <f>(N32*$W32)</f>
        <v/>
      </c>
      <c r="O75" s="36">
        <f>(O32*$W32)</f>
        <v/>
      </c>
      <c r="P75" s="36">
        <f>(P32*$W32)</f>
        <v/>
      </c>
      <c r="Q75" s="36">
        <f>(Q32*$W32)</f>
        <v/>
      </c>
      <c r="R75" s="36">
        <f>R32</f>
        <v/>
      </c>
      <c r="S75" s="36">
        <f>(S32/52*$W32)</f>
        <v/>
      </c>
      <c r="T75" s="36">
        <f>(T32*$W32)</f>
        <v/>
      </c>
      <c r="U75" s="5" t="n"/>
      <c r="V75" s="36">
        <f>V32</f>
        <v/>
      </c>
      <c r="W75" s="36">
        <f>W32</f>
        <v/>
      </c>
      <c r="X75" s="36">
        <f>X32</f>
        <v/>
      </c>
    </row>
    <row r="76">
      <c r="J76" s="36" t="n"/>
      <c r="K76" s="7" t="n"/>
      <c r="L76" s="37" t="n"/>
      <c r="M76" s="36" t="n"/>
      <c r="N76" s="36" t="n"/>
      <c r="O76" s="36" t="n"/>
      <c r="P76" s="36" t="n"/>
      <c r="Q76" s="36" t="n"/>
      <c r="R76" s="36" t="n"/>
      <c r="S76" s="36" t="n"/>
      <c r="T76" s="36" t="n"/>
      <c r="U76" s="5" t="n"/>
      <c r="V76" s="36" t="n"/>
      <c r="W76" s="36" t="n"/>
      <c r="X76" s="36" t="n"/>
    </row>
    <row r="77">
      <c r="A77" s="4" t="inlineStr">
        <is>
          <t>ALL</t>
        </is>
      </c>
      <c r="B77" s="19" t="inlineStr">
        <is>
          <t>Lab technician</t>
        </is>
      </c>
      <c r="J77" s="36">
        <f>AVERAGE(J28,J22,J16,J10,J4)*$W4</f>
        <v/>
      </c>
      <c r="K77" s="7" t="n"/>
      <c r="L77" s="37" t="n"/>
      <c r="M77" s="36">
        <f>AVERAGE(M28,M22,M16,M10,M4)*$W4</f>
        <v/>
      </c>
      <c r="N77" s="36">
        <f>AVERAGE(N28,N22,N16,N10,N4)*$W4</f>
        <v/>
      </c>
      <c r="O77" s="36">
        <f>AVERAGE(O28,O22,O16,O10,O4)*$W4</f>
        <v/>
      </c>
      <c r="P77" s="36">
        <f>AVERAGE(P28,P22,P16,P10,P4)*$W4</f>
        <v/>
      </c>
      <c r="Q77" s="36">
        <f>AVERAGE(Q28,Q22,Q16,Q10,Q4)*$W4</f>
        <v/>
      </c>
      <c r="R77" s="36">
        <f>AVERAGE(R28,R22,R16,R10,R4)</f>
        <v/>
      </c>
      <c r="S77" s="36">
        <f>AVERAGE(S28,S22,S16,S10,S4)/52*$W4</f>
        <v/>
      </c>
      <c r="T77" s="36">
        <f>AVERAGE(T28,T22,T16,T10,T4)*$W4</f>
        <v/>
      </c>
      <c r="U77" s="5" t="n"/>
      <c r="V77" s="36">
        <f>AVERAGE(V28,V22,V16,V10,V4)</f>
        <v/>
      </c>
      <c r="W77" s="36">
        <f>AVERAGE(W28,W22,W16,W10,W4)</f>
        <v/>
      </c>
      <c r="X77" s="36">
        <f>AVERAGE(X28,X22,X16,X10,X4)</f>
        <v/>
      </c>
    </row>
    <row r="78">
      <c r="A78" s="4" t="inlineStr">
        <is>
          <t>ALL</t>
        </is>
      </c>
      <c r="B78" s="19" t="inlineStr">
        <is>
          <t>Medical scientist</t>
        </is>
      </c>
      <c r="J78" s="36">
        <f>AVERAGE(J29,J23,J17,J11,J5)*$W5</f>
        <v/>
      </c>
      <c r="K78" s="7" t="n"/>
      <c r="L78" s="37" t="n"/>
      <c r="M78" s="36">
        <f>AVERAGE(M29,M23,M17,M11,M5)*$W5</f>
        <v/>
      </c>
      <c r="N78" s="36">
        <f>AVERAGE(N29,N23,N17,N11,N5)*$W5</f>
        <v/>
      </c>
      <c r="O78" s="36">
        <f>AVERAGE(O29,O23,O17,O11,O5)*$W5</f>
        <v/>
      </c>
      <c r="P78" s="36">
        <f>AVERAGE(P29,P23,P17,P11,P5)*$W5</f>
        <v/>
      </c>
      <c r="Q78" s="36">
        <f>AVERAGE(Q29,Q23,Q17,Q11,Q5)*$W5</f>
        <v/>
      </c>
      <c r="R78" s="36">
        <f>AVERAGE(R29,R23,R17,R11,R5)</f>
        <v/>
      </c>
      <c r="S78" s="36">
        <f>AVERAGE(S29,S23,S17,S11,S5)/52*$W5</f>
        <v/>
      </c>
      <c r="T78" s="36">
        <f>AVERAGE(T29,T23,T17,T11,T5)*$W5</f>
        <v/>
      </c>
      <c r="U78" s="5" t="n"/>
      <c r="V78" s="36">
        <f>AVERAGE(V29,V23,V17,V11,V5)</f>
        <v/>
      </c>
      <c r="W78" s="36">
        <f>AVERAGE(W29,W23,W17,W11,W5)</f>
        <v/>
      </c>
      <c r="X78" s="36">
        <f>AVERAGE(X29,X23,X17,X11,X5)</f>
        <v/>
      </c>
    </row>
    <row r="79">
      <c r="A79" s="4" t="inlineStr">
        <is>
          <t>ALL</t>
        </is>
      </c>
      <c r="B79" s="19" t="inlineStr">
        <is>
          <t>Admin staff</t>
        </is>
      </c>
      <c r="J79" s="36">
        <f>AVERAGE(J30,J24,J18,J12,J6)*$W6</f>
        <v/>
      </c>
      <c r="K79" s="7" t="n"/>
      <c r="L79" s="37" t="n"/>
      <c r="M79" s="36">
        <f>AVERAGE(M30,M24,M18,M12,M6)*$W6</f>
        <v/>
      </c>
      <c r="N79" s="36">
        <f>AVERAGE(N30,N24,N18,N12,N6)*$W6</f>
        <v/>
      </c>
      <c r="O79" s="36">
        <f>AVERAGE(O30,O24,O18,O12,O6)*$W6</f>
        <v/>
      </c>
      <c r="P79" s="36">
        <f>AVERAGE(P30,P24,P18,P12,P6)*$W6</f>
        <v/>
      </c>
      <c r="Q79" s="36">
        <f>AVERAGE(Q30,Q24,Q18,Q12,Q6)*$W6</f>
        <v/>
      </c>
      <c r="R79" s="36">
        <f>AVERAGE(R30,R24,R18,R12,R6)</f>
        <v/>
      </c>
      <c r="S79" s="36">
        <f>AVERAGE(S30,S24,S18,S12,S6)/52*$W6</f>
        <v/>
      </c>
      <c r="T79" s="36">
        <f>AVERAGE(T30,T24,T18,T12,T6)*$W6</f>
        <v/>
      </c>
      <c r="U79" s="5" t="n"/>
      <c r="V79" s="36">
        <f>AVERAGE(V30,V24,V18,V12,V6)</f>
        <v/>
      </c>
      <c r="W79" s="36">
        <f>AVERAGE(W30,W24,W18,W12,W6)</f>
        <v/>
      </c>
      <c r="X79" s="36">
        <f>AVERAGE(X30,X24,X18,X12,X6)</f>
        <v/>
      </c>
    </row>
    <row r="80">
      <c r="A80" s="4" t="inlineStr">
        <is>
          <t>ALL</t>
        </is>
      </c>
      <c r="B80" s="19" t="inlineStr">
        <is>
          <t>Bioinformatics staff</t>
        </is>
      </c>
      <c r="J80" s="36">
        <f>AVERAGE(J31,J25,J19,J13,J7)*$W7</f>
        <v/>
      </c>
      <c r="K80" s="7" t="n"/>
      <c r="L80" s="37" t="n"/>
      <c r="M80" s="36">
        <f>AVERAGE(M31,M25,M19,M13,M7)*$W7</f>
        <v/>
      </c>
      <c r="N80" s="36">
        <f>AVERAGE(N31,N25,N19,N13,N7)*$W7</f>
        <v/>
      </c>
      <c r="O80" s="36">
        <f>AVERAGE(O31,O25,O19,O13,O7)*$W7</f>
        <v/>
      </c>
      <c r="P80" s="36">
        <f>AVERAGE(P31,P25,P19,P13,P7)*$W7</f>
        <v/>
      </c>
      <c r="Q80" s="36">
        <f>AVERAGE(Q31,Q25,Q19,Q13,Q7)*$W7</f>
        <v/>
      </c>
      <c r="R80" s="36">
        <f>AVERAGE(R31,R25,R19,R13,R7)</f>
        <v/>
      </c>
      <c r="S80" s="36">
        <f>AVERAGE(S31,S25,S19,S13,S7)/52*$W7</f>
        <v/>
      </c>
      <c r="T80" s="36">
        <f>AVERAGE(T31,T25,T19,T13,T7)*$W7</f>
        <v/>
      </c>
      <c r="U80" s="5" t="n"/>
      <c r="V80" s="36">
        <f>AVERAGE(V31,V25,V19,V13,V7)</f>
        <v/>
      </c>
      <c r="W80" s="36">
        <f>AVERAGE(W31,W25,W19,W13,W7)</f>
        <v/>
      </c>
      <c r="X80" s="36">
        <f>AVERAGE(X31,X25,X19,X13,X7)</f>
        <v/>
      </c>
    </row>
    <row r="81">
      <c r="A81" s="4" t="inlineStr">
        <is>
          <t>ALL</t>
        </is>
      </c>
      <c r="B81" s="19" t="inlineStr">
        <is>
          <t>Pathologists</t>
        </is>
      </c>
      <c r="J81" s="36">
        <f>AVERAGE(J32,J26,J20,J14,J8)*$W8</f>
        <v/>
      </c>
      <c r="K81" s="7" t="n"/>
      <c r="L81" s="37" t="n"/>
      <c r="M81" s="36">
        <f>AVERAGE(M32,M26,M20,M14,M8)*$W8</f>
        <v/>
      </c>
      <c r="N81" s="36">
        <f>AVERAGE(N32,N26,N20,N14,N8)*$W8</f>
        <v/>
      </c>
      <c r="O81" s="36">
        <f>AVERAGE(O32,O26,O20,O14,O8)*$W8</f>
        <v/>
      </c>
      <c r="P81" s="36">
        <f>AVERAGE(P32,P26,P20,P14,P8)*$W8</f>
        <v/>
      </c>
      <c r="Q81" s="36">
        <f>AVERAGE(Q32,Q26,Q20,Q14,Q8)*$W8</f>
        <v/>
      </c>
      <c r="R81" s="36">
        <f>AVERAGE(R32,R26,R20,R14,R8)</f>
        <v/>
      </c>
      <c r="S81" s="36">
        <f>AVERAGE(S32,S26,S20,S14,S8)/52*$W8</f>
        <v/>
      </c>
      <c r="T81" s="36">
        <f>AVERAGE(T32,T26,T20,T14,T8)*$W8</f>
        <v/>
      </c>
      <c r="U81" s="5" t="n"/>
      <c r="V81" s="36">
        <f>AVERAGE(V32,V26,V20,V14,V8)</f>
        <v/>
      </c>
      <c r="W81" s="36">
        <f>AVERAGE(W32,W26,W20,W14,W8)</f>
        <v/>
      </c>
      <c r="X81" s="36">
        <f>AVERAGE(X32,X26,X20,X14,X8)</f>
        <v/>
      </c>
    </row>
    <row r="82">
      <c r="J82" s="23" t="n"/>
      <c r="M82" s="23" t="n"/>
      <c r="N82" s="23" t="n"/>
      <c r="O82" s="23" t="n"/>
      <c r="P82" s="23" t="n"/>
      <c r="Q82" s="23" t="n"/>
      <c r="R82" s="23" t="n"/>
      <c r="S82" s="23" t="n"/>
      <c r="T82" s="23" t="n"/>
    </row>
    <row r="83">
      <c r="A83" s="4" t="inlineStr">
        <is>
          <t>ALL</t>
        </is>
      </c>
      <c r="B83" s="19" t="inlineStr">
        <is>
          <t>Lab technician</t>
        </is>
      </c>
      <c r="J83" s="28">
        <f>TEXT((AVERAGE(J28,J22,J16,J10,J4)*$W4), "$0,0") &amp; " (" &amp; TEXT((MIN(J28,J22,J16,J10,J4)*$W4), "0,0") &amp; " - " &amp; TEXT((MAX(J28,J22,J16,J10,J4)*$W4), "0,0") &amp; ")"</f>
        <v/>
      </c>
      <c r="M83" s="28">
        <f>TEXT((AVERAGE(M28,M22,M16,M10,M4)*$W4), "$0,0") &amp; " (" &amp; TEXT((MIN(M28,M22,M16,M10,M4)*$W4), "0,0") &amp; " - " &amp; TEXT((MAX(M28,M22,M16,M10,M4)*$W4), "0,0") &amp; ")"</f>
        <v/>
      </c>
      <c r="N83" s="28">
        <f>TEXT((AVERAGE(N28,N22,N16,N10,N4)*$W4), "$0,0") &amp; " (" &amp; TEXT((MIN(N28,N22,N16,N10,N4)*$W4), "0,0") &amp; " - " &amp; TEXT((MAX(N28,N22,N16,N10,N4)*$W4), "0,0") &amp; ")"</f>
        <v/>
      </c>
      <c r="O83" s="28">
        <f>TEXT((AVERAGE(O28,O22,O16,O10,O4)*$W4), "$0") &amp; " (" &amp; TEXT((MIN(O28,O22,O16,O10,O4)*$W4), "0") &amp; " - " &amp; TEXT((MAX(O28,O22,O16,O10,O4)*$W4), "0") &amp; ")"</f>
        <v/>
      </c>
      <c r="P83" s="28">
        <f>TEXT((AVERAGE(P28,P22,P16,P10,P4)*$W4), "$0") &amp; " (" &amp; TEXT((MIN(P28,P22,P16,P10,P4)*$W4), "0") &amp; " - " &amp; TEXT((MAX(P28,P22,P16,P10,P4)*$W4), "0") &amp; ")"</f>
        <v/>
      </c>
      <c r="Q83" s="28">
        <f>TEXT((AVERAGE(Q28,Q22,Q16,Q10,Q4)*$W4), "$0,0") &amp; " (" &amp; TEXT((MIN(Q28,Q22,Q16,Q10,Q4)*$W4), "0,0") &amp; " - " &amp; TEXT((MAX(Q28,Q22,Q16,Q10,Q4)*$W4), "0,0") &amp; ")"</f>
        <v/>
      </c>
      <c r="R83" s="28">
        <f>TEXT((AVERAGE(R28,R22,R16,R10,R4)), "$0,0") &amp; " (" &amp; TEXT((MIN(R28,R22,R16,R10,R4)), "0,0") &amp; " - " &amp; TEXT((MAX(R28,R22,R16,R10,R4)), "0,0") &amp; ")"</f>
        <v/>
      </c>
      <c r="S83" s="28">
        <f>TEXT((AVERAGE(S28,S22,S16,S10,S4)/52*$W4), "$0,0") &amp; " (" &amp; TEXT((MIN(S28,S22,S16,S10,S4)/52*$W4), "0,0") &amp; " - " &amp; TEXT((MAX(S28,S22,S16,S10,S4)*$W4)/52, "0,0") &amp; ")"</f>
        <v/>
      </c>
      <c r="T83" s="28">
        <f>TEXT((AVERAGE(T28,T22,T16,T10,T4)*$W4), "$0,0") &amp; " (" &amp; TEXT((MIN(T28,T22,T16,T10,T4)*$W4), "0,0") &amp; " - " &amp; TEXT((MAX(T28,T22,T16,T10,T4)*$W4), "0,0") &amp; ")"</f>
        <v/>
      </c>
      <c r="V83" s="28">
        <f>TEXT((AVERAGE(V28,V22,V16,V10,V4)), "$0,0") &amp; " (" &amp; TEXT((MIN(V28,V22,V16,V10,V4)), "0,0") &amp; " - " &amp; TEXT((MAX(V28,V22,V16,V10,V4)), "0,0") &amp; ")"</f>
        <v/>
      </c>
      <c r="W83" s="28">
        <f>TEXT((AVERAGE(W28,W22,W16,W10,W4)), "$0,0") &amp; " (" &amp; TEXT((MIN(W28,W22,W16,W10,W4)), "0,0") &amp; " - " &amp; TEXT((MAX(W28,W22,W16,W10,W4)), "0,0") &amp; ")"</f>
        <v/>
      </c>
      <c r="X83" s="28">
        <f>TEXT((AVERAGE(X28,X22,X16,X10,X4)), "$0,0") &amp; " (" &amp; TEXT((MIN(X28,X22,X16,X10,X4)), "0,0") &amp; " - " &amp; TEXT((MAX(X28,X22,X16,X10,X4)), "0,0") &amp; ")"</f>
        <v/>
      </c>
    </row>
    <row r="84">
      <c r="A84" s="4" t="inlineStr">
        <is>
          <t>ALL</t>
        </is>
      </c>
      <c r="B84" s="19" t="inlineStr">
        <is>
          <t>Medical scientist</t>
        </is>
      </c>
      <c r="J84" s="28">
        <f>TEXT((AVERAGE(J29,J23,J17,J11,J5)*$W5), "$0,0") &amp; " (" &amp; TEXT((MIN(J29,J23,J17,J11,J5)*$W5), "0,0") &amp; " - " &amp; TEXT((MAX(J29,J23,J17,J11,J5)*$W5), "0,0") &amp; ")"</f>
        <v/>
      </c>
      <c r="M84" s="28">
        <f>TEXT((AVERAGE(M29,M23,M17,M11,M5)*$W5), "$0,0") &amp; " (" &amp; TEXT((MIN(M29,M23,M17,M11,M5)*$W5), "0,0") &amp; " - " &amp; TEXT((MAX(M29,M23,M17,M11,M5)*$W5), "0,0") &amp; ")"</f>
        <v/>
      </c>
      <c r="N84" s="28">
        <f>TEXT((AVERAGE(N29,N23,N17,N11,N5)*$W5), "$0,0") &amp; " (" &amp; TEXT((MIN(N29,N23,N17,N11,N5)*$W5), "0,0") &amp; " - " &amp; TEXT((MAX(N29,N23,N17,N11,N5)*$W5), "0,0") &amp; ")"</f>
        <v/>
      </c>
      <c r="O84" s="28">
        <f>TEXT((AVERAGE(O29,O23,O17,O11,O5)*$W5), "$0") &amp; " (" &amp; TEXT((MIN(O29,O23,O17,O11,O5)*$W5), "0") &amp; " - " &amp; TEXT((MAX(O29,O23,O17,O11,O5)*$W5), "0") &amp; ")"</f>
        <v/>
      </c>
      <c r="P84" s="28">
        <f>TEXT((AVERAGE(P29,P23,P17,P11,P5)*$W5), "$0") &amp; " (" &amp; TEXT((MIN(P29,P23,P17,P11,P5)*$W5), "0") &amp; " - " &amp; TEXT((MAX(P29,P23,P17,P11,P5)*$W5), "0") &amp; ")"</f>
        <v/>
      </c>
      <c r="Q84" s="28">
        <f>TEXT((AVERAGE(Q29,Q23,Q17,Q11,Q5)*$W5), "$0,0") &amp; " (" &amp; TEXT((MIN(Q29,Q23,Q17,Q11,Q5)*$W5), "0,0") &amp; " - " &amp; TEXT((MAX(Q29,Q23,Q17,Q11,Q5)*$W5), "0,0") &amp; ")"</f>
        <v/>
      </c>
      <c r="R84" s="28">
        <f>TEXT((AVERAGE(R29,R23,R17,R11,R5)), "$0,0") &amp; " (" &amp; TEXT((MIN(R29,R23,R17,R11,R5)), "0,0") &amp; " - " &amp; TEXT((MAX(R29,R23,R17,R11,R5)), "0,0") &amp; ")"</f>
        <v/>
      </c>
      <c r="S84" s="28">
        <f>TEXT((AVERAGE(S29,S23,S17,S11,S5)/52*$W5), "$0,0") &amp; " (" &amp; TEXT((MIN(S29,S23,S17,S11,S5)/52*$W5), "0,0") &amp; " - " &amp; TEXT((MAX(S29,S23,S17,S11,S5)*$W5)/52, "0,0") &amp; ")"</f>
        <v/>
      </c>
      <c r="T84" s="28">
        <f>TEXT((AVERAGE(T29,T23,T17,T11,T5)*$W5), "$0,0") &amp; " (" &amp; TEXT((MIN(T29,T23,T17,T11,T5)*$W5), "0,0") &amp; " - " &amp; TEXT((MAX(T29,T23,T17,T11,T5)*$W5), "0,0") &amp; ")"</f>
        <v/>
      </c>
      <c r="V84" s="28">
        <f>TEXT((AVERAGE(V29,V23,V17,V11,V5)), "$0,0") &amp; " (" &amp; TEXT((MIN(V29,V23,V17,V11,V5)), "0,0") &amp; " - " &amp; TEXT((MAX(V29,V23,V17,V11,V5)), "0,0") &amp; ")"</f>
        <v/>
      </c>
      <c r="W84" s="28">
        <f>TEXT((AVERAGE(W29,W23,W17,W11,W5)), "$0,0") &amp; " (" &amp; TEXT((MIN(W29,W23,W17,W11,W5)), "0,0") &amp; " - " &amp; TEXT((MAX(W29,W23,W17,W11,W5)), "0,0") &amp; ")"</f>
        <v/>
      </c>
      <c r="X84" s="28">
        <f>TEXT((AVERAGE(X29,X23,X17,X11,X5)), "$0,0") &amp; " (" &amp; TEXT((MIN(X29,X23,X17,X11,X5)), "0,0") &amp; " - " &amp; TEXT((MAX(X29,X23,X17,X11,X5)), "0,0") &amp; ")"</f>
        <v/>
      </c>
    </row>
    <row r="85">
      <c r="A85" s="4" t="inlineStr">
        <is>
          <t>ALL</t>
        </is>
      </c>
      <c r="B85" s="19" t="inlineStr">
        <is>
          <t>Admin staff</t>
        </is>
      </c>
      <c r="J85" s="28">
        <f>TEXT((AVERAGE(J30,J24,J18,J12,J6)*$W6), "$0,0") &amp; " (" &amp; TEXT((MIN(J30,J24,J18,J12,J6)*$W6), "0,0") &amp; " - " &amp; TEXT((MAX(J30,J24,J18,J12,J6)*$W6), "0,0") &amp; ")"</f>
        <v/>
      </c>
      <c r="M85" s="28">
        <f>TEXT((AVERAGE(M30,M24,M18,M12,M6)*$W6), "$0,0") &amp; " (" &amp; TEXT((MIN(M30,M24,M18,M12,M6)*$W6), "0,0") &amp; " - " &amp; TEXT((MAX(M30,M24,M18,M12,M6)*$W6), "0,0") &amp; ")"</f>
        <v/>
      </c>
      <c r="N85" s="28">
        <f>TEXT((AVERAGE(N30,N24,N18,N12,N6)*$W6), "$0,0") &amp; " (" &amp; TEXT((MIN(N30,N24,N18,N12,N6)*$W6), "0,0") &amp; " - " &amp; TEXT((MAX(N30,N24,N18,N12,N6)*$W6), "0,0") &amp; ")"</f>
        <v/>
      </c>
      <c r="O85" s="28">
        <f>TEXT((AVERAGE(O30,O24,O18,O12,O6)*$W6), "$0") &amp; " (" &amp; TEXT((MIN(O30,O24,O18,O12,O6)*$W6), "0") &amp; " - " &amp; TEXT((MAX(O30,O24,O18,O12,O6)*$W6), "0") &amp; ")"</f>
        <v/>
      </c>
      <c r="P85" s="28">
        <f>TEXT((AVERAGE(P30,P24,P18,P12,P6)*$W6), "$0") &amp; " (" &amp; TEXT((MIN(P30,P24,P18,P12,P6)*$W6), "0") &amp; " - " &amp; TEXT((MAX(P30,P24,P18,P12,P6)*$W6), "0") &amp; ")"</f>
        <v/>
      </c>
      <c r="Q85" s="28">
        <f>TEXT((AVERAGE(Q30,Q24,Q18,Q12,Q6)*$W6), "$0,0") &amp; " (" &amp; TEXT((MIN(Q30,Q24,Q18,Q12,Q6)*$W6), "0,0") &amp; " - " &amp; TEXT((MAX(Q30,Q24,Q18,Q12,Q6)*$W6), "0,0") &amp; ")"</f>
        <v/>
      </c>
      <c r="R85" s="28">
        <f>TEXT((AVERAGE(R30,R24,R18,R12,R6)), "$0,0") &amp; " (" &amp; TEXT((MIN(R30,R24,R18,R12,R6)), "0,0") &amp; " - " &amp; TEXT((MAX(R30,R24,R18,R12,R6)), "0,0") &amp; ")"</f>
        <v/>
      </c>
      <c r="S85" s="28">
        <f>TEXT((AVERAGE(S30,S24,S18,S12,S6)/52*$W6), "$0,0") &amp; " (" &amp; TEXT((MIN(S30,S24,S18,S12,S6)/52*$W6), "0,0") &amp; " - " &amp; TEXT((MAX(S30,S24,S18,S12,S6)*$W6)/52, "0,0") &amp; ")"</f>
        <v/>
      </c>
      <c r="T85" s="28">
        <f>TEXT((AVERAGE(T30,T24,T18,T12,T6)*$W6), "$0,0") &amp; " (" &amp; TEXT((MIN(T30,T24,T18,T12,T6)*$W6), "0,0") &amp; " - " &amp; TEXT((MAX(T30,T24,T18,T12,T6)*$W6), "0,0") &amp; ")"</f>
        <v/>
      </c>
      <c r="V85" s="28">
        <f>TEXT((AVERAGE(V30,V24,V18,V12,V6)), "$0,0") &amp; " (" &amp; TEXT((MIN(V30,V24,V18,V12,V6)), "0,0") &amp; " - " &amp; TEXT((MAX(V30,V24,V18,V12,V6)), "0,0") &amp; ")"</f>
        <v/>
      </c>
      <c r="W85" s="28">
        <f>TEXT((AVERAGE(W30,W24,W18,W12,W6)), "$0,0") &amp; " (" &amp; TEXT((MIN(W30,W24,W18,W12,W6)), "0,0") &amp; " - " &amp; TEXT((MAX(W30,W24,W18,W12,W6)), "0,0") &amp; ")"</f>
        <v/>
      </c>
      <c r="X85" s="28">
        <f>TEXT((AVERAGE(X30,X24,X18,X12,X6)), "$0,0") &amp; " (" &amp; TEXT((MIN(X30,X24,X18,X12,X6)), "0,0") &amp; " - " &amp; TEXT((MAX(X30,X24,X18,X12,X6)), "0,0") &amp; ")"</f>
        <v/>
      </c>
    </row>
    <row r="86">
      <c r="A86" s="4" t="inlineStr">
        <is>
          <t>ALL</t>
        </is>
      </c>
      <c r="B86" s="19" t="inlineStr">
        <is>
          <t>Bioinformatics staff</t>
        </is>
      </c>
      <c r="J86" s="28">
        <f>TEXT((AVERAGE(J31,J25,J19,J13,J7)*$W7), "$0,0") &amp; " (" &amp; TEXT((MIN(J31,J25,J19,J13,J7)*$W7), "0,0") &amp; " - " &amp; TEXT((MAX(J31,J25,J19,J13,J7)*$W7), "0,0") &amp; ")"</f>
        <v/>
      </c>
      <c r="M86" s="28">
        <f>TEXT((AVERAGE(M31,M25,M19,M13,M7)*$W7), "$0,0") &amp; " (" &amp; TEXT((MIN(M31,M25,M19,M13,M7)*$W7), "0,0") &amp; " - " &amp; TEXT((MAX(M31,M25,M19,M13,M7)*$W7), "0,0") &amp; ")"</f>
        <v/>
      </c>
      <c r="N86" s="28">
        <f>TEXT((AVERAGE(N31,N25,N19,N13,N7)*$W7), "$0,0") &amp; " (" &amp; TEXT((MIN(N31,N25,N19,N13,N7)*$W7), "0,0") &amp; " - " &amp; TEXT((MAX(N31,N25,N19,N13,N7)*$W7), "0,0") &amp; ")"</f>
        <v/>
      </c>
      <c r="O86" s="28">
        <f>TEXT((AVERAGE(O31,O25,O19,O13,O7)*$W7), "$0") &amp; " (" &amp; TEXT((MIN(O31,O25,O19,O13,O7)*$W7), "0") &amp; " - " &amp; TEXT((MAX(O31,O25,O19,O13,O7)*$W7), "0") &amp; ")"</f>
        <v/>
      </c>
      <c r="P86" s="28">
        <f>TEXT((AVERAGE(P31,P25,P19,P13,P7)*$W7), "$0") &amp; " (" &amp; TEXT((MIN(P31,P25,P19,P13,P7)*$W7), "0") &amp; " - " &amp; TEXT((MAX(P31,P25,P19,P13,P7)*$W7), "0") &amp; ")"</f>
        <v/>
      </c>
      <c r="Q86" s="28">
        <f>TEXT((AVERAGE(Q31,Q25,Q19,Q13,Q7)*$W7), "$0,0") &amp; " (" &amp; TEXT((MIN(Q31,Q25,Q19,Q13,Q7)*$W7), "0,0") &amp; " - " &amp; TEXT((MAX(Q31,Q25,Q19,Q13,Q7)*$W7), "0,0") &amp; ")"</f>
        <v/>
      </c>
      <c r="R86" s="28">
        <f>TEXT((AVERAGE(R31,R25,R19,R13,R7)), "$0,0") &amp; " (" &amp; TEXT((MIN(R31,R25,R19,R13,R7)), "0,0") &amp; " - " &amp; TEXT((MAX(R31,R25,R19,R13,R7)), "0,0") &amp; ")"</f>
        <v/>
      </c>
      <c r="S86" s="28">
        <f>TEXT((AVERAGE(S31,S25,S19,S13,S7)/52*$W7), "$0,0") &amp; " (" &amp; TEXT((MIN(S31,S25,S19,S13,S7)/52*$W7), "0,0") &amp; " - " &amp; TEXT((MAX(S31,S25,S19,S13,S7)*$W7)/52, "0,0") &amp; ")"</f>
        <v/>
      </c>
      <c r="T86" s="28">
        <f>TEXT((AVERAGE(T31,T25,T19,T13,T7)*$W7), "$0,0") &amp; " (" &amp; TEXT((MIN(T31,T25,T19,T13,T7)*$W7), "0,0") &amp; " - " &amp; TEXT((MAX(T31,T25,T19,T13,T7)*$W7), "0,0") &amp; ")"</f>
        <v/>
      </c>
      <c r="V86" s="28">
        <f>TEXT((AVERAGE(V31,V25,V19,V13,V7)), "$0,0") &amp; " (" &amp; TEXT((MIN(V31,V25,V19,V13,V7)), "0,0") &amp; " - " &amp; TEXT((MAX(V31,V25,V19,V13,V7)), "0,0") &amp; ")"</f>
        <v/>
      </c>
      <c r="W86" s="28">
        <f>TEXT((AVERAGE(W31,W25,W19,W13,W7)), "$0,0") &amp; " (" &amp; TEXT((MIN(W31,W25,W19,W13,W7)), "0,0") &amp; " - " &amp; TEXT((MAX(W31,W25,W19,W13,W7)), "0,0") &amp; ")"</f>
        <v/>
      </c>
      <c r="X86" s="28">
        <f>TEXT((AVERAGE(X31,X25,X19,X13,X7)), "$0,0") &amp; " (" &amp; TEXT((MIN(X31,X25,X19,X13,X7)), "0,0") &amp; " - " &amp; TEXT((MAX(X31,X25,X19,X13,X7)), "0,0") &amp; ")"</f>
        <v/>
      </c>
    </row>
    <row r="87">
      <c r="A87" s="4" t="inlineStr">
        <is>
          <t>ALL</t>
        </is>
      </c>
      <c r="B87" s="19" t="inlineStr">
        <is>
          <t>Pathologists</t>
        </is>
      </c>
      <c r="J87" s="28">
        <f>TEXT((AVERAGE(J32,J26,J20,J14,J8)*$W8), "$0,0") &amp; " (" &amp; TEXT((MIN(J32,J26,J20,J14,J8)*$W8), "0,0") &amp; " - " &amp; TEXT((MAX(J32,J26,J20,J14,J8)*$W8), "0,0") &amp; ")"</f>
        <v/>
      </c>
      <c r="M87" s="28">
        <f>TEXT((AVERAGE(M32,M26,M20,M14,M8)*$W8), "$0,0") &amp; " (" &amp; TEXT((MIN(M32,M26,M20,M14,M8)*$W8), "0,0") &amp; " - " &amp; TEXT((MAX(M32,M26,M20,M14,M8)*$W8), "0,0") &amp; ")"</f>
        <v/>
      </c>
      <c r="N87" s="28">
        <f>TEXT((AVERAGE(N32,N26,N20,N14,N8)*$W8), "$0,0") &amp; " (" &amp; TEXT((MIN(N32,N26,N20,N14,N8)*$W8), "0,0") &amp; " - " &amp; TEXT((MAX(N32,N26,N20,N14,N8)*$W8), "0,0") &amp; ")"</f>
        <v/>
      </c>
      <c r="O87" s="28">
        <f>TEXT((AVERAGE(O32,O26,O20,O14,O8)*$W8), "$0,0") &amp; " (" &amp; TEXT((MIN(O32,O26,O20,O14,O8)*$W8), "0,0") &amp; " - " &amp; TEXT((MAX(O32,O26,O20,O14,O8)*$W8), "0,0") &amp; ")"</f>
        <v/>
      </c>
      <c r="P87" s="28">
        <f>TEXT((AVERAGE(P32,P26,P20,P14,P8)*$W8), "$0,0") &amp; " (" &amp; TEXT((MIN(P32,P26,P20,P14,P8)*$W8), "0,0") &amp; " - " &amp; TEXT((MAX(P32,P26,P20,P14,P8)*$W8), "0,0") &amp; ")"</f>
        <v/>
      </c>
      <c r="Q87" s="28">
        <f>TEXT((AVERAGE(Q32,Q26,Q20,Q14,Q8)*$W8), "$0,0") &amp; " (" &amp; TEXT((MIN(Q32,Q26,Q20,Q14,Q8)*$W8), "0,0") &amp; " - " &amp; TEXT((MAX(Q32,Q26,Q20,Q14,Q8)*$W8), "0,0") &amp; ")"</f>
        <v/>
      </c>
      <c r="R87" s="28">
        <f>TEXT((AVERAGE(R32,R26,R20,R14,R8)), "$0,0") &amp; " (" &amp; TEXT((MIN(R32,R26,R20,R14,R8)), "0,0") &amp; " - " &amp; TEXT((MAX(R32,R26,R20,R14,R8)), "0,0") &amp; ")"</f>
        <v/>
      </c>
      <c r="S87" s="28">
        <f>TEXT((AVERAGE(S32,S26,S20,S14,S8)/52*$W8), "$0,0") &amp; " (" &amp; TEXT((MIN(S32,S26,S20,S14,S8)/52*$W8), "0,0") &amp; " - " &amp; TEXT((MAX(S32,S26,S20,S14,S8)*$W8)/52, "0,0") &amp; ")"</f>
        <v/>
      </c>
      <c r="T87" s="28">
        <f>TEXT((AVERAGE(T32,T26,T20,T14,T8)*$W8), "$0,0") &amp; " (" &amp; TEXT((MIN(T32,T26,T20,T14,T8)*$W8), "0,0") &amp; " - " &amp; TEXT((MAX(T32,T26,T20,T14,T8)*$W8), "0,0") &amp; ")"</f>
        <v/>
      </c>
      <c r="V87" s="28">
        <f>TEXT((AVERAGE(V32,V26,V20,V14,V8)), "$0,0") &amp; " (" &amp; TEXT((MIN(V32,V26,V20,V14,V8)), "0,0") &amp; " - " &amp; TEXT((MAX(V32,V26,V20,V14,V8)), "0,0") &amp; ")"</f>
        <v/>
      </c>
      <c r="W87" s="28">
        <f>TEXT((AVERAGE(W32,W26,W20,W14,W8)), "$0,0") &amp; " (" &amp; TEXT((MIN(W32,W26,W20,W14,W8)), "0,0") &amp; " - " &amp; TEXT((MAX(W32,W26,W20,W14,W8)), "0,0") &amp; ")"</f>
        <v/>
      </c>
      <c r="X87" s="28">
        <f>TEXT((AVERAGE(X32,X26,X20,X14,X8)), "$0,0") &amp; " (" &amp; TEXT((MIN(X32,X26,X20,X14,X8)), "0,0") &amp; " - " &amp; TEXT((MAX(X32,X26,X20,X14,X8)), "0,0") &amp; ")"</f>
        <v/>
      </c>
    </row>
    <row r="88">
      <c r="J88" s="28" t="n"/>
      <c r="M88" s="28" t="n"/>
      <c r="N88" s="28" t="n"/>
      <c r="O88" s="28" t="n"/>
      <c r="P88" s="28" t="n"/>
      <c r="Q88" s="28" t="n"/>
      <c r="R88" s="28" t="n"/>
      <c r="S88" s="28" t="n"/>
      <c r="T88" s="28" t="n"/>
      <c r="V88" s="28" t="n"/>
      <c r="W88" s="28" t="n"/>
      <c r="X88" s="28" t="n"/>
    </row>
    <row r="89">
      <c r="A89" s="4" t="inlineStr">
        <is>
          <t>%</t>
        </is>
      </c>
    </row>
    <row r="90">
      <c r="A90" s="4" t="inlineStr">
        <is>
          <t>VIC</t>
        </is>
      </c>
      <c r="B90" s="19" t="inlineStr">
        <is>
          <t>Lab technician</t>
        </is>
      </c>
      <c r="J90" s="8">
        <f>(J4*$W4)/$Z4</f>
        <v/>
      </c>
      <c r="M90" s="8">
        <f>(M4*$W4)/$Z4</f>
        <v/>
      </c>
      <c r="N90" s="8">
        <f>(N4*$W4)/$Z4</f>
        <v/>
      </c>
      <c r="O90" s="8">
        <f>(O4*$W4)/$Z4</f>
        <v/>
      </c>
      <c r="P90" s="8">
        <f>(P4*$W4)/$Z4</f>
        <v/>
      </c>
      <c r="Q90" s="8">
        <f>(Q4*$W4)/$Z4</f>
        <v/>
      </c>
      <c r="R90" s="8">
        <f>(R4)/$Z4</f>
        <v/>
      </c>
      <c r="S90" s="8">
        <f>(S4/52*$W4)/$Z4</f>
        <v/>
      </c>
      <c r="T90" s="8">
        <f>(T4*$W4)/$Z4</f>
        <v/>
      </c>
      <c r="V90" s="8">
        <f>(V4)/$Z4</f>
        <v/>
      </c>
      <c r="W90" s="8">
        <f>(W4)/$Z4</f>
        <v/>
      </c>
      <c r="X90" s="8">
        <f>(X4)/$Z4</f>
        <v/>
      </c>
    </row>
    <row r="91">
      <c r="A91" s="4" t="inlineStr">
        <is>
          <t>VIC</t>
        </is>
      </c>
      <c r="B91" s="19" t="inlineStr">
        <is>
          <t>Medical scientist</t>
        </is>
      </c>
      <c r="J91" s="8">
        <f>(J5*$W5)/$Z5</f>
        <v/>
      </c>
      <c r="M91" s="8">
        <f>(M5*$W5)/$Z5</f>
        <v/>
      </c>
      <c r="N91" s="8">
        <f>(N5*$W5)/$Z5</f>
        <v/>
      </c>
      <c r="O91" s="8">
        <f>(O5*$W5)/$Z5</f>
        <v/>
      </c>
      <c r="P91" s="8">
        <f>(P5*$W5)/$Z5</f>
        <v/>
      </c>
      <c r="Q91" s="8">
        <f>(Q5*$W5)/$Z5</f>
        <v/>
      </c>
      <c r="R91" s="8">
        <f>(R5)/$Z5</f>
        <v/>
      </c>
      <c r="S91" s="8">
        <f>(S5/52*$W5)/$Z5</f>
        <v/>
      </c>
      <c r="T91" s="8">
        <f>(T5*$W5)/$Z5</f>
        <v/>
      </c>
      <c r="V91" s="8">
        <f>(V5)/$Z5</f>
        <v/>
      </c>
      <c r="W91" s="8">
        <f>(W5)/$Z5</f>
        <v/>
      </c>
      <c r="X91" s="8">
        <f>(X5)/$Z5</f>
        <v/>
      </c>
    </row>
    <row r="92">
      <c r="A92" s="4" t="inlineStr">
        <is>
          <t>VIC</t>
        </is>
      </c>
      <c r="B92" s="19" t="inlineStr">
        <is>
          <t>Admin staff</t>
        </is>
      </c>
      <c r="J92" s="8">
        <f>(J6*$W6)/$Z6</f>
        <v/>
      </c>
      <c r="M92" s="8">
        <f>(M6*$W6)/$Z6</f>
        <v/>
      </c>
      <c r="N92" s="8">
        <f>(N6*$W6)/$Z6</f>
        <v/>
      </c>
      <c r="O92" s="8">
        <f>(O6*$W6)/$Z6</f>
        <v/>
      </c>
      <c r="P92" s="8">
        <f>(P6*$W6)/$Z6</f>
        <v/>
      </c>
      <c r="Q92" s="8">
        <f>(Q6*$W6)/$Z6</f>
        <v/>
      </c>
      <c r="R92" s="8">
        <f>(R6)/$Z6</f>
        <v/>
      </c>
      <c r="S92" s="8">
        <f>(S6/52*$W6)/$Z6</f>
        <v/>
      </c>
      <c r="T92" s="8">
        <f>(T6*$W6)/$Z6</f>
        <v/>
      </c>
      <c r="V92" s="8">
        <f>(V6)/$Z6</f>
        <v/>
      </c>
      <c r="W92" s="8">
        <f>(W6)/$Z6</f>
        <v/>
      </c>
      <c r="X92" s="8">
        <f>(X6)/$Z6</f>
        <v/>
      </c>
    </row>
    <row r="93">
      <c r="A93" s="4" t="inlineStr">
        <is>
          <t>VIC</t>
        </is>
      </c>
      <c r="B93" s="19" t="inlineStr">
        <is>
          <t>Bioinformatics staff</t>
        </is>
      </c>
      <c r="J93" s="8">
        <f>(J7*$W7)/$Z7</f>
        <v/>
      </c>
      <c r="M93" s="8">
        <f>(M7*$W7)/$Z7</f>
        <v/>
      </c>
      <c r="N93" s="8">
        <f>(N7*$W7)/$Z7</f>
        <v/>
      </c>
      <c r="O93" s="8">
        <f>(O7*$W7)/$Z7</f>
        <v/>
      </c>
      <c r="P93" s="8">
        <f>(P7*$W7)/$Z7</f>
        <v/>
      </c>
      <c r="Q93" s="8">
        <f>(Q7*$W7)/$Z7</f>
        <v/>
      </c>
      <c r="R93" s="8">
        <f>(R7)/$Z7</f>
        <v/>
      </c>
      <c r="S93" s="8">
        <f>(S7/52*$W7)/$Z7</f>
        <v/>
      </c>
      <c r="T93" s="8">
        <f>(T7*$W7)/$Z7</f>
        <v/>
      </c>
      <c r="V93" s="8">
        <f>(V7)/$Z7</f>
        <v/>
      </c>
      <c r="W93" s="8">
        <f>(W7)/$Z7</f>
        <v/>
      </c>
      <c r="X93" s="8">
        <f>(X7)/$Z7</f>
        <v/>
      </c>
    </row>
    <row r="94">
      <c r="A94" s="4" t="inlineStr">
        <is>
          <t>VIC</t>
        </is>
      </c>
      <c r="B94" s="19" t="inlineStr">
        <is>
          <t>Pathologists</t>
        </is>
      </c>
      <c r="J94" s="8">
        <f>(J8*$W8)/$Z8</f>
        <v/>
      </c>
      <c r="M94" s="8">
        <f>(M8*$W8)/$Z8</f>
        <v/>
      </c>
      <c r="N94" s="8">
        <f>(N8*$W8)/$Z8</f>
        <v/>
      </c>
      <c r="O94" s="8">
        <f>(O8*$W8)/$Z8</f>
        <v/>
      </c>
      <c r="P94" s="8">
        <f>(P8*$W8)/$Z8</f>
        <v/>
      </c>
      <c r="Q94" s="8">
        <f>(Q8*$W8)/$Z8</f>
        <v/>
      </c>
      <c r="R94" s="8">
        <f>(R8)/$Z8</f>
        <v/>
      </c>
      <c r="S94" s="8">
        <f>(S8/52*$W8)/$Z8</f>
        <v/>
      </c>
      <c r="T94" s="8">
        <f>(T8*$W8)/$Z8</f>
        <v/>
      </c>
      <c r="V94" s="8">
        <f>(V8)/$Z8</f>
        <v/>
      </c>
      <c r="W94" s="8">
        <f>(W8)/$Z8</f>
        <v/>
      </c>
      <c r="X94" s="8">
        <f>(X8)/$Z8</f>
        <v/>
      </c>
    </row>
    <row r="95">
      <c r="M95" s="11" t="n"/>
      <c r="N95" s="11" t="n"/>
      <c r="O95" s="11" t="n"/>
      <c r="P95" s="11" t="n"/>
      <c r="Q95" s="11" t="n"/>
      <c r="S95" s="8" t="n"/>
      <c r="T95" s="11" t="n"/>
    </row>
    <row r="96">
      <c r="A96" s="4" t="inlineStr">
        <is>
          <t>SA</t>
        </is>
      </c>
      <c r="B96" s="19" t="inlineStr">
        <is>
          <t>Lab technician</t>
        </is>
      </c>
      <c r="J96" s="8">
        <f>(J10*$W10)/$Z10</f>
        <v/>
      </c>
      <c r="M96" s="8">
        <f>(M10*$W10)/$Z10</f>
        <v/>
      </c>
      <c r="N96" s="8">
        <f>(N10*$W10)/$Z10</f>
        <v/>
      </c>
      <c r="O96" s="8">
        <f>(O10*$W10)/$Z10</f>
        <v/>
      </c>
      <c r="P96" s="8">
        <f>(P10*$W10)/$Z10</f>
        <v/>
      </c>
      <c r="Q96" s="8">
        <f>(Q10*$W10)/$Z10</f>
        <v/>
      </c>
      <c r="R96" s="8">
        <f>(R10)/$Z10</f>
        <v/>
      </c>
      <c r="S96" s="8">
        <f>(S10/52*$W10)/$Z10</f>
        <v/>
      </c>
      <c r="T96" s="8">
        <f>(T10*$W10)/$Z10</f>
        <v/>
      </c>
      <c r="V96" s="8">
        <f>(V10)/$Z10</f>
        <v/>
      </c>
      <c r="W96" s="8">
        <f>(W10)/$Z10</f>
        <v/>
      </c>
      <c r="X96" s="8">
        <f>(X10)/$Z10</f>
        <v/>
      </c>
    </row>
    <row r="97">
      <c r="A97" s="4" t="inlineStr">
        <is>
          <t>SA</t>
        </is>
      </c>
      <c r="B97" s="19" t="inlineStr">
        <is>
          <t>Medical scientist</t>
        </is>
      </c>
      <c r="J97" s="8">
        <f>(J11*$W11)/$Z11</f>
        <v/>
      </c>
      <c r="M97" s="8">
        <f>(M11*$W11)/$Z11</f>
        <v/>
      </c>
      <c r="N97" s="8">
        <f>(N11*$W11)/$Z11</f>
        <v/>
      </c>
      <c r="O97" s="8">
        <f>(O11*$W11)/$Z11</f>
        <v/>
      </c>
      <c r="P97" s="8">
        <f>(P11*$W11)/$Z11</f>
        <v/>
      </c>
      <c r="Q97" s="8">
        <f>(Q11*$W11)/$Z11</f>
        <v/>
      </c>
      <c r="R97" s="8">
        <f>(R11)/$Z11</f>
        <v/>
      </c>
      <c r="S97" s="8">
        <f>(S11/52*$W11)/$Z11</f>
        <v/>
      </c>
      <c r="T97" s="8">
        <f>(T11*$W11)/$Z11</f>
        <v/>
      </c>
      <c r="V97" s="8">
        <f>(V11)/$Z11</f>
        <v/>
      </c>
      <c r="W97" s="8">
        <f>(W11)/$Z11</f>
        <v/>
      </c>
      <c r="X97" s="8">
        <f>(X11)/$Z11</f>
        <v/>
      </c>
    </row>
    <row r="98">
      <c r="A98" s="4" t="inlineStr">
        <is>
          <t>SA</t>
        </is>
      </c>
      <c r="B98" s="19" t="inlineStr">
        <is>
          <t>Admin staff</t>
        </is>
      </c>
      <c r="J98" s="8">
        <f>(J12*$W12)/$Z12</f>
        <v/>
      </c>
      <c r="M98" s="8">
        <f>(M12*$W12)/$Z12</f>
        <v/>
      </c>
      <c r="N98" s="8">
        <f>(N12*$W12)/$Z12</f>
        <v/>
      </c>
      <c r="O98" s="8">
        <f>(O12*$W12)/$Z12</f>
        <v/>
      </c>
      <c r="P98" s="8">
        <f>(P12*$W12)/$Z12</f>
        <v/>
      </c>
      <c r="Q98" s="8">
        <f>(Q12*$W12)/$Z12</f>
        <v/>
      </c>
      <c r="R98" s="8">
        <f>(R12)/$Z12</f>
        <v/>
      </c>
      <c r="S98" s="8">
        <f>(S12/52*$W12)/$Z12</f>
        <v/>
      </c>
      <c r="T98" s="8">
        <f>(T12*$W12)/$Z12</f>
        <v/>
      </c>
      <c r="V98" s="8">
        <f>(V12)/$Z12</f>
        <v/>
      </c>
      <c r="W98" s="8">
        <f>(W12)/$Z12</f>
        <v/>
      </c>
      <c r="X98" s="8">
        <f>(X12)/$Z12</f>
        <v/>
      </c>
    </row>
    <row r="99">
      <c r="A99" s="4" t="inlineStr">
        <is>
          <t>SA</t>
        </is>
      </c>
      <c r="B99" s="19" t="inlineStr">
        <is>
          <t>Bioinformatics staff</t>
        </is>
      </c>
      <c r="J99" s="8">
        <f>(J13*$W13)/$Z13</f>
        <v/>
      </c>
      <c r="M99" s="8">
        <f>(M13*$W13)/$Z13</f>
        <v/>
      </c>
      <c r="N99" s="8">
        <f>(N13*$W13)/$Z13</f>
        <v/>
      </c>
      <c r="O99" s="8">
        <f>(O13*$W13)/$Z13</f>
        <v/>
      </c>
      <c r="P99" s="8">
        <f>(P13*$W13)/$Z13</f>
        <v/>
      </c>
      <c r="Q99" s="8">
        <f>(Q13*$W13)/$Z13</f>
        <v/>
      </c>
      <c r="R99" s="8">
        <f>(R13)/$Z13</f>
        <v/>
      </c>
      <c r="S99" s="8">
        <f>(S13/52*$W13)/$Z13</f>
        <v/>
      </c>
      <c r="T99" s="8">
        <f>(T13*$W13)/$Z13</f>
        <v/>
      </c>
      <c r="V99" s="8">
        <f>(V13)/$Z13</f>
        <v/>
      </c>
      <c r="W99" s="8">
        <f>(W13)/$Z13</f>
        <v/>
      </c>
      <c r="X99" s="8">
        <f>(X13)/$Z13</f>
        <v/>
      </c>
    </row>
    <row r="100">
      <c r="A100" s="4" t="inlineStr">
        <is>
          <t>SA</t>
        </is>
      </c>
      <c r="B100" s="19" t="inlineStr">
        <is>
          <t>Pathologists</t>
        </is>
      </c>
      <c r="J100" s="8">
        <f>(J14*$W14)/$Z14</f>
        <v/>
      </c>
      <c r="M100" s="8">
        <f>(M14*$W14)/$Z14</f>
        <v/>
      </c>
      <c r="N100" s="8">
        <f>(N14*$W14)/$Z14</f>
        <v/>
      </c>
      <c r="O100" s="8">
        <f>(O14*$W14)/$Z14</f>
        <v/>
      </c>
      <c r="P100" s="8">
        <f>(P14*$W14)/$Z14</f>
        <v/>
      </c>
      <c r="Q100" s="8">
        <f>(Q14*$W14)/$Z14</f>
        <v/>
      </c>
      <c r="R100" s="8">
        <f>(R14)/$Z14</f>
        <v/>
      </c>
      <c r="S100" s="8">
        <f>(S14/52*$W14)/$Z14</f>
        <v/>
      </c>
      <c r="T100" s="8">
        <f>(T14*$W14)/$Z14</f>
        <v/>
      </c>
      <c r="V100" s="8">
        <f>(V14)/$Z14</f>
        <v/>
      </c>
      <c r="W100" s="8">
        <f>(W14)/$Z14</f>
        <v/>
      </c>
      <c r="X100" s="8">
        <f>(X14)/$Z14</f>
        <v/>
      </c>
    </row>
    <row r="101">
      <c r="M101" s="11" t="n"/>
      <c r="N101" s="11" t="n"/>
      <c r="O101" s="11" t="n"/>
      <c r="P101" s="11" t="n"/>
      <c r="Q101" s="11" t="n"/>
      <c r="S101" s="8" t="n"/>
      <c r="T101" s="11" t="n"/>
    </row>
    <row r="102">
      <c r="A102" s="4" t="inlineStr">
        <is>
          <t>NSW</t>
        </is>
      </c>
      <c r="B102" s="19" t="inlineStr">
        <is>
          <t>Lab technician</t>
        </is>
      </c>
      <c r="J102" s="8">
        <f>(J16*$W16)/$Z16</f>
        <v/>
      </c>
      <c r="M102" s="8">
        <f>(M16*$W16)/$Z16</f>
        <v/>
      </c>
      <c r="N102" s="8">
        <f>(N16*$W16)/$Z16</f>
        <v/>
      </c>
      <c r="O102" s="8">
        <f>(O16*$W16)/$Z16</f>
        <v/>
      </c>
      <c r="P102" s="8">
        <f>(P16*$W16)/$Z16</f>
        <v/>
      </c>
      <c r="Q102" s="8">
        <f>(Q16*$W16)/$Z16</f>
        <v/>
      </c>
      <c r="R102" s="8">
        <f>(R16)/$Z16</f>
        <v/>
      </c>
      <c r="S102" s="8">
        <f>(S16/52*$W16)/$Z16</f>
        <v/>
      </c>
      <c r="T102" s="8">
        <f>(T16*$W16)/$Z16</f>
        <v/>
      </c>
      <c r="V102" s="8">
        <f>(V16)/$Z16</f>
        <v/>
      </c>
      <c r="W102" s="8">
        <f>(W16)/$Z16</f>
        <v/>
      </c>
      <c r="X102" s="8">
        <f>(X16)/$Z16</f>
        <v/>
      </c>
    </row>
    <row r="103">
      <c r="A103" s="4" t="inlineStr">
        <is>
          <t>NSW</t>
        </is>
      </c>
      <c r="B103" s="19" t="inlineStr">
        <is>
          <t>Medical scientist</t>
        </is>
      </c>
      <c r="J103" s="8">
        <f>(J17*$W17)/$Z17</f>
        <v/>
      </c>
      <c r="M103" s="8">
        <f>(M17*$W17)/$Z17</f>
        <v/>
      </c>
      <c r="N103" s="8">
        <f>(N17*$W17)/$Z17</f>
        <v/>
      </c>
      <c r="O103" s="8">
        <f>(O17*$W17)/$Z17</f>
        <v/>
      </c>
      <c r="P103" s="8">
        <f>(P17*$W17)/$Z17</f>
        <v/>
      </c>
      <c r="Q103" s="8">
        <f>(Q17*$W17)/$Z17</f>
        <v/>
      </c>
      <c r="R103" s="8">
        <f>(R17)/$Z17</f>
        <v/>
      </c>
      <c r="S103" s="8">
        <f>(S17/52*$W17)/$Z17</f>
        <v/>
      </c>
      <c r="T103" s="8">
        <f>(T17*$W17)/$Z17</f>
        <v/>
      </c>
      <c r="V103" s="8">
        <f>(V17)/$Z17</f>
        <v/>
      </c>
      <c r="W103" s="8">
        <f>(W17)/$Z17</f>
        <v/>
      </c>
      <c r="X103" s="8">
        <f>(X17)/$Z17</f>
        <v/>
      </c>
    </row>
    <row r="104">
      <c r="A104" s="4" t="inlineStr">
        <is>
          <t>NSW</t>
        </is>
      </c>
      <c r="B104" s="19" t="inlineStr">
        <is>
          <t>Admin staff</t>
        </is>
      </c>
      <c r="J104" s="8">
        <f>(J18*$W18)/$Z18</f>
        <v/>
      </c>
      <c r="M104" s="8">
        <f>(M18*$W18)/$Z18</f>
        <v/>
      </c>
      <c r="N104" s="8">
        <f>(N18*$W18)/$Z18</f>
        <v/>
      </c>
      <c r="O104" s="8">
        <f>(O18*$W18)/$Z18</f>
        <v/>
      </c>
      <c r="P104" s="8">
        <f>(P18*$W18)/$Z18</f>
        <v/>
      </c>
      <c r="Q104" s="8">
        <f>(Q18*$W18)/$Z18</f>
        <v/>
      </c>
      <c r="R104" s="8">
        <f>(R18)/$Z18</f>
        <v/>
      </c>
      <c r="S104" s="8">
        <f>(S18/52*$W18)/$Z18</f>
        <v/>
      </c>
      <c r="T104" s="8">
        <f>(T18*$W18)/$Z18</f>
        <v/>
      </c>
      <c r="V104" s="8">
        <f>(V18)/$Z18</f>
        <v/>
      </c>
      <c r="W104" s="8">
        <f>(W18)/$Z18</f>
        <v/>
      </c>
      <c r="X104" s="8">
        <f>(X18)/$Z18</f>
        <v/>
      </c>
    </row>
    <row r="105">
      <c r="A105" s="4" t="inlineStr">
        <is>
          <t>NSW</t>
        </is>
      </c>
      <c r="B105" s="19" t="inlineStr">
        <is>
          <t>Bioinformatics staff</t>
        </is>
      </c>
      <c r="J105" s="8">
        <f>(J19*$W19)/$Z19</f>
        <v/>
      </c>
      <c r="M105" s="8">
        <f>(M19*$W19)/$Z19</f>
        <v/>
      </c>
      <c r="N105" s="8">
        <f>(N19*$W19)/$Z19</f>
        <v/>
      </c>
      <c r="O105" s="8">
        <f>(O19*$W19)/$Z19</f>
        <v/>
      </c>
      <c r="P105" s="8">
        <f>(P19*$W19)/$Z19</f>
        <v/>
      </c>
      <c r="Q105" s="8">
        <f>(Q19*$W19)/$Z19</f>
        <v/>
      </c>
      <c r="R105" s="8">
        <f>(R19)/$Z19</f>
        <v/>
      </c>
      <c r="S105" s="8">
        <f>(S19/52*$W19)/$Z19</f>
        <v/>
      </c>
      <c r="T105" s="8">
        <f>(T19*$W19)/$Z19</f>
        <v/>
      </c>
      <c r="V105" s="8">
        <f>(V19)/$Z19</f>
        <v/>
      </c>
      <c r="W105" s="8">
        <f>(W19)/$Z19</f>
        <v/>
      </c>
      <c r="X105" s="8">
        <f>(X19)/$Z19</f>
        <v/>
      </c>
    </row>
    <row r="106">
      <c r="A106" s="4" t="inlineStr">
        <is>
          <t>NSW</t>
        </is>
      </c>
      <c r="B106" s="19" t="inlineStr">
        <is>
          <t>Pathologists</t>
        </is>
      </c>
      <c r="J106" s="8">
        <f>(J20*$W20)/$Z20</f>
        <v/>
      </c>
      <c r="M106" s="8">
        <f>(M20*$W20)/$Z20</f>
        <v/>
      </c>
      <c r="N106" s="8">
        <f>(N20*$W20)/$Z20</f>
        <v/>
      </c>
      <c r="O106" s="8">
        <f>(O20*$W20)/$Z20</f>
        <v/>
      </c>
      <c r="P106" s="8">
        <f>(P20*$W20)/$Z20</f>
        <v/>
      </c>
      <c r="Q106" s="8">
        <f>(Q20*$W20)/$Z20</f>
        <v/>
      </c>
      <c r="R106" s="8">
        <f>(R20)/$Z20</f>
        <v/>
      </c>
      <c r="S106" s="8">
        <f>(S20/52*$W20)/$Z20</f>
        <v/>
      </c>
      <c r="T106" s="8">
        <f>(T20*$W20)/$Z20</f>
        <v/>
      </c>
      <c r="V106" s="8">
        <f>(V20)/$Z20</f>
        <v/>
      </c>
      <c r="W106" s="8">
        <f>(W20)/$Z20</f>
        <v/>
      </c>
      <c r="X106" s="8">
        <f>(X20)/$Z20</f>
        <v/>
      </c>
    </row>
    <row r="107">
      <c r="M107" s="11" t="n"/>
      <c r="N107" s="11" t="n"/>
      <c r="O107" s="11" t="n"/>
      <c r="P107" s="11" t="n"/>
      <c r="Q107" s="11" t="n"/>
      <c r="S107" s="8" t="n"/>
      <c r="T107" s="11" t="n"/>
    </row>
    <row r="108">
      <c r="A108" s="4" t="inlineStr">
        <is>
          <t>QLD</t>
        </is>
      </c>
      <c r="B108" s="19" t="inlineStr">
        <is>
          <t>Lab technician</t>
        </is>
      </c>
      <c r="J108" s="8">
        <f>(J22*$W22)/$Z22</f>
        <v/>
      </c>
      <c r="M108" s="8">
        <f>(M22*$W22)/$Z22</f>
        <v/>
      </c>
      <c r="N108" s="8">
        <f>(N22*$W22)/$Z22</f>
        <v/>
      </c>
      <c r="O108" s="8">
        <f>(O22*$W22)/$Z22</f>
        <v/>
      </c>
      <c r="P108" s="8">
        <f>(P22*$W22)/$Z22</f>
        <v/>
      </c>
      <c r="Q108" s="8">
        <f>(Q22*$W22)/$Z22</f>
        <v/>
      </c>
      <c r="R108" s="8">
        <f>(R22)/$Z22</f>
        <v/>
      </c>
      <c r="S108" s="8">
        <f>(S22/52*$W22)/$Z22</f>
        <v/>
      </c>
      <c r="T108" s="8">
        <f>(T22*$W22)/$Z22</f>
        <v/>
      </c>
      <c r="V108" s="8">
        <f>(V22)/$Z22</f>
        <v/>
      </c>
      <c r="W108" s="8">
        <f>(W22)/$Z22</f>
        <v/>
      </c>
      <c r="X108" s="8">
        <f>(X22)/$Z22</f>
        <v/>
      </c>
    </row>
    <row r="109">
      <c r="A109" s="4" t="inlineStr">
        <is>
          <t>QLD</t>
        </is>
      </c>
      <c r="B109" s="19" t="inlineStr">
        <is>
          <t>Medical scientist</t>
        </is>
      </c>
      <c r="J109" s="8">
        <f>(J23*$W23)/$Z23</f>
        <v/>
      </c>
      <c r="M109" s="8">
        <f>(M23*$W23)/$Z23</f>
        <v/>
      </c>
      <c r="N109" s="8">
        <f>(N23*$W23)/$Z23</f>
        <v/>
      </c>
      <c r="O109" s="8">
        <f>(O23*$W23)/$Z23</f>
        <v/>
      </c>
      <c r="P109" s="8">
        <f>(P23*$W23)/$Z23</f>
        <v/>
      </c>
      <c r="Q109" s="8">
        <f>(Q23*$W23)/$Z23</f>
        <v/>
      </c>
      <c r="R109" s="8">
        <f>(R23)/$Z23</f>
        <v/>
      </c>
      <c r="S109" s="8">
        <f>(S23/52*$W23)/$Z23</f>
        <v/>
      </c>
      <c r="T109" s="8">
        <f>(T23*$W23)/$Z23</f>
        <v/>
      </c>
      <c r="V109" s="8">
        <f>(V23)/$Z23</f>
        <v/>
      </c>
      <c r="W109" s="8">
        <f>(W23)/$Z23</f>
        <v/>
      </c>
      <c r="X109" s="8">
        <f>(X23)/$Z23</f>
        <v/>
      </c>
    </row>
    <row r="110">
      <c r="A110" s="4" t="inlineStr">
        <is>
          <t>QLD</t>
        </is>
      </c>
      <c r="B110" s="19" t="inlineStr">
        <is>
          <t>Admin staff</t>
        </is>
      </c>
      <c r="J110" s="8">
        <f>(J24*$W24)/$Z24</f>
        <v/>
      </c>
      <c r="M110" s="8">
        <f>(M24*$W24)/$Z24</f>
        <v/>
      </c>
      <c r="N110" s="8">
        <f>(N24*$W24)/$Z24</f>
        <v/>
      </c>
      <c r="O110" s="8">
        <f>(O24*$W24)/$Z24</f>
        <v/>
      </c>
      <c r="P110" s="8">
        <f>(P24*$W24)/$Z24</f>
        <v/>
      </c>
      <c r="Q110" s="8">
        <f>(Q24*$W24)/$Z24</f>
        <v/>
      </c>
      <c r="R110" s="8">
        <f>(R24)/$Z24</f>
        <v/>
      </c>
      <c r="S110" s="8">
        <f>(S24/52*$W24)/$Z24</f>
        <v/>
      </c>
      <c r="T110" s="8">
        <f>(T24*$W24)/$Z24</f>
        <v/>
      </c>
      <c r="V110" s="8">
        <f>(V24)/$Z24</f>
        <v/>
      </c>
      <c r="W110" s="8">
        <f>(W24)/$Z24</f>
        <v/>
      </c>
      <c r="X110" s="8">
        <f>(X24)/$Z24</f>
        <v/>
      </c>
    </row>
    <row r="111">
      <c r="A111" s="4" t="inlineStr">
        <is>
          <t>QLD</t>
        </is>
      </c>
      <c r="B111" s="19" t="inlineStr">
        <is>
          <t>Bioinformatics staff</t>
        </is>
      </c>
      <c r="J111" s="8">
        <f>(J25*$W25)/$Z25</f>
        <v/>
      </c>
      <c r="M111" s="8">
        <f>(M25*$W25)/$Z25</f>
        <v/>
      </c>
      <c r="N111" s="8">
        <f>(N25*$W25)/$Z25</f>
        <v/>
      </c>
      <c r="O111" s="8">
        <f>(O25*$W25)/$Z25</f>
        <v/>
      </c>
      <c r="P111" s="8">
        <f>(P25*$W25)/$Z25</f>
        <v/>
      </c>
      <c r="Q111" s="8">
        <f>(Q25*$W25)/$Z25</f>
        <v/>
      </c>
      <c r="R111" s="8">
        <f>(R25)/$Z25</f>
        <v/>
      </c>
      <c r="S111" s="8">
        <f>(S25/52*$W25)/$Z25</f>
        <v/>
      </c>
      <c r="T111" s="8">
        <f>(T25*$W25)/$Z25</f>
        <v/>
      </c>
      <c r="V111" s="8">
        <f>(V25)/$Z25</f>
        <v/>
      </c>
      <c r="W111" s="8">
        <f>(W25)/$Z25</f>
        <v/>
      </c>
      <c r="X111" s="8">
        <f>(X25)/$Z25</f>
        <v/>
      </c>
    </row>
    <row r="112">
      <c r="A112" s="4" t="inlineStr">
        <is>
          <t>QLD</t>
        </is>
      </c>
      <c r="B112" s="19" t="inlineStr">
        <is>
          <t>Pathologists</t>
        </is>
      </c>
      <c r="J112" s="8">
        <f>(J26*$W26)/$Z26</f>
        <v/>
      </c>
      <c r="M112" s="8">
        <f>(M26*$W26)/$Z26</f>
        <v/>
      </c>
      <c r="N112" s="8">
        <f>(N26*$W26)/$Z26</f>
        <v/>
      </c>
      <c r="O112" s="8">
        <f>(O26*$W26)/$Z26</f>
        <v/>
      </c>
      <c r="P112" s="8">
        <f>(P26*$W26)/$Z26</f>
        <v/>
      </c>
      <c r="Q112" s="8">
        <f>(Q26*$W26)/$Z26</f>
        <v/>
      </c>
      <c r="R112" s="8">
        <f>(R26)/$Z26</f>
        <v/>
      </c>
      <c r="S112" s="8">
        <f>(S26/52*$W26)/$Z26</f>
        <v/>
      </c>
      <c r="T112" s="8">
        <f>(T26*$W26)/$Z26</f>
        <v/>
      </c>
      <c r="V112" s="8">
        <f>(V26)/$Z26</f>
        <v/>
      </c>
      <c r="W112" s="8">
        <f>(W26)/$Z26</f>
        <v/>
      </c>
      <c r="X112" s="8">
        <f>(X26)/$Z26</f>
        <v/>
      </c>
    </row>
    <row r="113">
      <c r="M113" s="11" t="n"/>
      <c r="N113" s="11" t="n"/>
      <c r="O113" s="11" t="n"/>
      <c r="P113" s="11" t="n"/>
      <c r="Q113" s="11" t="n"/>
      <c r="S113" s="8" t="n"/>
      <c r="T113" s="11" t="n"/>
    </row>
    <row r="114">
      <c r="A114" s="4" t="inlineStr">
        <is>
          <t>WA</t>
        </is>
      </c>
      <c r="B114" s="19" t="inlineStr">
        <is>
          <t>Lab technician</t>
        </is>
      </c>
      <c r="J114" s="8">
        <f>(J28*$W28)/$Z28</f>
        <v/>
      </c>
      <c r="M114" s="8">
        <f>(M28*$W28)/$Z28</f>
        <v/>
      </c>
      <c r="N114" s="8">
        <f>(N28*$W28)/$Z28</f>
        <v/>
      </c>
      <c r="O114" s="8">
        <f>(O28*$W28)/$Z28</f>
        <v/>
      </c>
      <c r="P114" s="8">
        <f>(P28*$W28)/$Z28</f>
        <v/>
      </c>
      <c r="Q114" s="8">
        <f>(Q28*$W28)/$Z28</f>
        <v/>
      </c>
      <c r="R114" s="8">
        <f>(R28)/$Z28</f>
        <v/>
      </c>
      <c r="S114" s="8">
        <f>(S28/52*$W28)/$Z28</f>
        <v/>
      </c>
      <c r="T114" s="8">
        <f>(T28*$W28)/$Z28</f>
        <v/>
      </c>
      <c r="V114" s="8">
        <f>(V28)/$Z28</f>
        <v/>
      </c>
      <c r="W114" s="8">
        <f>(W28)/$Z28</f>
        <v/>
      </c>
      <c r="X114" s="8">
        <f>(X28)/$Z28</f>
        <v/>
      </c>
    </row>
    <row r="115">
      <c r="A115" s="4" t="inlineStr">
        <is>
          <t>WA</t>
        </is>
      </c>
      <c r="B115" s="19" t="inlineStr">
        <is>
          <t>Medical scientist</t>
        </is>
      </c>
      <c r="J115" s="8">
        <f>(J29*$W29)/$Z29</f>
        <v/>
      </c>
      <c r="M115" s="8">
        <f>(M29*$W29)/$Z29</f>
        <v/>
      </c>
      <c r="N115" s="8">
        <f>(N29*$W29)/$Z29</f>
        <v/>
      </c>
      <c r="O115" s="8">
        <f>(O29*$W29)/$Z29</f>
        <v/>
      </c>
      <c r="P115" s="8">
        <f>(P29*$W29)/$Z29</f>
        <v/>
      </c>
      <c r="Q115" s="8">
        <f>(Q29*$W29)/$Z29</f>
        <v/>
      </c>
      <c r="R115" s="8">
        <f>(R29)/$Z29</f>
        <v/>
      </c>
      <c r="S115" s="8">
        <f>(S29/52*$W29)/$Z29</f>
        <v/>
      </c>
      <c r="T115" s="8">
        <f>(T29*$W29)/$Z29</f>
        <v/>
      </c>
      <c r="V115" s="8">
        <f>(V29)/$Z29</f>
        <v/>
      </c>
      <c r="W115" s="8">
        <f>(W29)/$Z29</f>
        <v/>
      </c>
      <c r="X115" s="8">
        <f>(X29)/$Z29</f>
        <v/>
      </c>
    </row>
    <row r="116">
      <c r="A116" s="4" t="inlineStr">
        <is>
          <t>WA</t>
        </is>
      </c>
      <c r="B116" s="19" t="inlineStr">
        <is>
          <t>Admin staff</t>
        </is>
      </c>
      <c r="J116" s="8">
        <f>(J30*$W30)/$Z30</f>
        <v/>
      </c>
      <c r="M116" s="8">
        <f>(M30*$W30)/$Z30</f>
        <v/>
      </c>
      <c r="N116" s="8">
        <f>(N30*$W30)/$Z30</f>
        <v/>
      </c>
      <c r="O116" s="8">
        <f>(O30*$W30)/$Z30</f>
        <v/>
      </c>
      <c r="P116" s="8">
        <f>(P30*$W30)/$Z30</f>
        <v/>
      </c>
      <c r="Q116" s="8">
        <f>(Q30*$W30)/$Z30</f>
        <v/>
      </c>
      <c r="R116" s="8">
        <f>(R30)/$Z30</f>
        <v/>
      </c>
      <c r="S116" s="8">
        <f>(S30/52*$W30)/$Z30</f>
        <v/>
      </c>
      <c r="T116" s="8">
        <f>(T30*$W30)/$Z30</f>
        <v/>
      </c>
      <c r="V116" s="8">
        <f>(V30)/$Z30</f>
        <v/>
      </c>
      <c r="W116" s="8">
        <f>(W30)/$Z30</f>
        <v/>
      </c>
      <c r="X116" s="8">
        <f>(X30)/$Z30</f>
        <v/>
      </c>
    </row>
    <row r="117">
      <c r="A117" s="4" t="inlineStr">
        <is>
          <t>WA</t>
        </is>
      </c>
      <c r="B117" s="19" t="inlineStr">
        <is>
          <t>Bioinformatics staff</t>
        </is>
      </c>
      <c r="J117" s="8">
        <f>(J31*$W31)/$Z31</f>
        <v/>
      </c>
      <c r="M117" s="8">
        <f>(M31*$W31)/$Z31</f>
        <v/>
      </c>
      <c r="N117" s="8">
        <f>(N31*$W31)/$Z31</f>
        <v/>
      </c>
      <c r="O117" s="8">
        <f>(O31*$W31)/$Z31</f>
        <v/>
      </c>
      <c r="P117" s="8">
        <f>(P31*$W31)/$Z31</f>
        <v/>
      </c>
      <c r="Q117" s="8">
        <f>(Q31*$W31)/$Z31</f>
        <v/>
      </c>
      <c r="R117" s="8">
        <f>(R31)/$Z31</f>
        <v/>
      </c>
      <c r="S117" s="8">
        <f>(S31/52*$W31)/$Z31</f>
        <v/>
      </c>
      <c r="T117" s="8">
        <f>(T31*$W31)/$Z31</f>
        <v/>
      </c>
      <c r="V117" s="8">
        <f>(V31)/$Z31</f>
        <v/>
      </c>
      <c r="W117" s="8">
        <f>(W31)/$Z31</f>
        <v/>
      </c>
      <c r="X117" s="8">
        <f>(X31)/$Z31</f>
        <v/>
      </c>
    </row>
    <row r="118">
      <c r="A118" s="4" t="inlineStr">
        <is>
          <t>WA</t>
        </is>
      </c>
      <c r="B118" s="19" t="inlineStr">
        <is>
          <t>Pathologists</t>
        </is>
      </c>
      <c r="J118" s="8">
        <f>(J32*$W32)/$Z32</f>
        <v/>
      </c>
      <c r="M118" s="8">
        <f>(M32*$W32)/$Z32</f>
        <v/>
      </c>
      <c r="N118" s="8">
        <f>(N32*$W32)/$Z32</f>
        <v/>
      </c>
      <c r="O118" s="8">
        <f>(O32*$W32)/$Z32</f>
        <v/>
      </c>
      <c r="P118" s="8">
        <f>(P32*$W32)/$Z32</f>
        <v/>
      </c>
      <c r="Q118" s="8">
        <f>(Q32*$W32)/$Z32</f>
        <v/>
      </c>
      <c r="R118" s="8">
        <f>(R32)/$Z32</f>
        <v/>
      </c>
      <c r="S118" s="8">
        <f>(S32/52*$W32)/$Z32</f>
        <v/>
      </c>
      <c r="T118" s="8">
        <f>(T32*$W32)/$Z32</f>
        <v/>
      </c>
      <c r="V118" s="8">
        <f>(V32)/$Z32</f>
        <v/>
      </c>
      <c r="W118" s="8">
        <f>(W32)/$Z32</f>
        <v/>
      </c>
      <c r="X118" s="8">
        <f>(X32)/$Z32</f>
        <v/>
      </c>
    </row>
    <row r="120">
      <c r="A120" s="4" t="inlineStr">
        <is>
          <t>ALL</t>
        </is>
      </c>
      <c r="B120" s="19" t="inlineStr">
        <is>
          <t>Lab technician</t>
        </is>
      </c>
      <c r="J120" s="35">
        <f>TEXT((AVERAGE(J28,J22,J16,J10,J4)*$W4/$Z4), "0.0%") &amp; " (" &amp; TEXT((MIN(J28,J22,J16,J10,J4)*$W4/$Z4), "0.0%") &amp; " - " &amp; TEXT((MAX(J28,J22,J16,J10,J4)*$W4/$Z4), "0.0%") &amp; ")"</f>
        <v/>
      </c>
      <c r="M120" s="35">
        <f>TEXT((AVERAGE(M28,M22,M16,M10,M4)*$W4/$Z4), "0.0%") &amp; " (" &amp; TEXT((MIN(M28,M22,M16,M10,M4)*$W4/$Z4), "0.0%") &amp; " - " &amp; TEXT((MAX(M28,M22,M16,M10,M4)*$W4/$Z4), "0.0%") &amp; ")"</f>
        <v/>
      </c>
      <c r="N120" s="35">
        <f>TEXT((AVERAGE(N28,N22,N16,N10,N4)*$W4/$Z4), "0.0%") &amp; " (" &amp; TEXT((MIN(N28,N22,N16,N10,N4)*$W4/$Z4), "0.0%") &amp; " - " &amp; TEXT((MAX(N28,N22,N16,N10,N4)*$W4/$Z4), "0.0%") &amp; ")"</f>
        <v/>
      </c>
      <c r="O120" s="35">
        <f>TEXT((AVERAGE(O28,O22,O16,O10,O4)*$W4/$Z4), "0.0%") &amp; " (" &amp; TEXT((MIN(O28,O22,O16,O10,O4)*$W4/$Z4), "0.0%") &amp; " - " &amp; TEXT((MAX(O28,O22,O16,O10,O4)*$W4/$Z4), "0.0%") &amp; ")"</f>
        <v/>
      </c>
      <c r="P120" s="35">
        <f>TEXT((AVERAGE(P28,P22,P16,P10,P4)*$W4/$Z4), "0.0%") &amp; " (" &amp; TEXT((MIN(P28,P22,P16,P10,P4)*$W4/$Z4), "0.0%") &amp; " - " &amp; TEXT((MAX(P28,P22,P16,P10,P4)*$W4/$Z4), "0.0%") &amp; ")"</f>
        <v/>
      </c>
      <c r="Q120" s="35">
        <f>TEXT((AVERAGE(Q28,Q22,Q16,Q10,Q4)*$W4/$Z4), "0.0%") &amp; " (" &amp; TEXT((MIN(Q28,Q22,Q16,Q10,Q4)*$W4/$Z4), "0.0%") &amp; " - " &amp; TEXT((MAX(Q28,Q22,Q16,Q10,Q4)*$W4/$Z4), "0.0%") &amp; ")"</f>
        <v/>
      </c>
      <c r="R120" s="35">
        <f>TEXT((AVERAGE(R28,R22,R16,R10,R4)/$Z4), "0.0%") &amp; " (" &amp; TEXT((MIN(R28,R22,R16,R10,R4)/$Z4), "0.0%") &amp; " - " &amp; TEXT((MAX(R28,R22,R16,R10,R4)/$Z4), "0.0%") &amp; ")"</f>
        <v/>
      </c>
      <c r="S120" s="35">
        <f>TEXT((AVERAGE(S28,S22,S16,S10,S4)/52*$W4/$Z4), "0.0%") &amp; " (" &amp; TEXT((MIN(S28,S22,S16,S10,S4)/52*$W4/$Z4), "0.0%") &amp; " - " &amp; TEXT((MAX(S28,S22,S16,S10,S4)/52*$W4/$Z4), "0.0%") &amp; ")"</f>
        <v/>
      </c>
      <c r="T120" s="35">
        <f>TEXT((AVERAGE(T28,T22,T16,T10,T4)*$W4/$Z4), "0.0%") &amp; " (" &amp; TEXT((MIN(T28,T22,T16,T10,T4)*$W4/$Z4), "0.0%") &amp; " - " &amp; TEXT((MAX(T28,T22,T16,T10,T4)*$W4/$Z4), "0.0%") &amp; ")"</f>
        <v/>
      </c>
      <c r="V120" s="35">
        <f>TEXT((AVERAGE(V28,V22,V16,V10,V4)/$Z4), "0.0%") &amp; " (" &amp; TEXT((MIN(V28,V22,V16,V10,V4)/$Z4), "0.0%") &amp; " - " &amp; TEXT((MAX(V28,V22,V16,V10,V4)/$Z4), "0.0%") &amp; ")"</f>
        <v/>
      </c>
      <c r="W120" s="35">
        <f>TEXT((AVERAGE(W28,W22,W16,W10,W4)/$Z4), "0.0%") &amp; " (" &amp; TEXT((MIN(W28,W22,W16,W10,W4)/$Z4), "0.0%") &amp; " - " &amp; TEXT((MAX(W28,W22,W16,W10,W4)/$Z4), "0.0%") &amp; ")"</f>
        <v/>
      </c>
      <c r="X120" s="35">
        <f>TEXT((AVERAGE(X28,X22,X16,X10,X4)/$Z4), "0.0%") &amp; " (" &amp; TEXT((MIN(X28,X22,X16,X10,X4)/$Z4), "0.0%") &amp; " - " &amp; TEXT((MAX(X28,X22,X16,X10,X4)/$Z4), "0.0%") &amp; ")"</f>
        <v/>
      </c>
    </row>
    <row r="121">
      <c r="A121" s="4" t="inlineStr">
        <is>
          <t>ALL</t>
        </is>
      </c>
      <c r="B121" s="19" t="inlineStr">
        <is>
          <t>Medical scientist</t>
        </is>
      </c>
      <c r="J121" s="35">
        <f>TEXT((AVERAGE(J29,J23,J17,J11,J5)*$W5/$Z5), "0.0%") &amp; " (" &amp; TEXT((MIN(J29,J23,J17,J11,J5)*$W5/$Z5), "0.0%") &amp; " - " &amp; TEXT((MAX(J29,J23,J17,J11,J5)*$W5/$Z5), "0.0%") &amp; ")"</f>
        <v/>
      </c>
      <c r="M121" s="35">
        <f>TEXT((AVERAGE(M29,M23,M17,M11,M5)*$W5/$Z5), "0.0%") &amp; " (" &amp; TEXT((MIN(M29,M23,M17,M11,M5)*$W5/$Z5), "0.0%") &amp; " - " &amp; TEXT((MAX(M29,M23,M17,M11,M5)*$W5/$Z5), "0.0%") &amp; ")"</f>
        <v/>
      </c>
      <c r="N121" s="35">
        <f>TEXT((AVERAGE(N29,N23,N17,N11,N5)*$W5/$Z5), "0.0%") &amp; " (" &amp; TEXT((MIN(N29,N23,N17,N11,N5)*$W5/$Z5), "0.0%") &amp; " - " &amp; TEXT((MAX(N29,N23,N17,N11,N5)*$W5/$Z5), "0.0%") &amp; ")"</f>
        <v/>
      </c>
      <c r="O121" s="35">
        <f>TEXT((AVERAGE(O29,O23,O17,O11,O5)*$W5/$Z5), "0.0%") &amp; " (" &amp; TEXT((MIN(O29,O23,O17,O11,O5)*$W5/$Z5), "0.0%") &amp; " - " &amp; TEXT((MAX(O29,O23,O17,O11,O5)*$W5/$Z5), "0.0%") &amp; ")"</f>
        <v/>
      </c>
      <c r="P121" s="35">
        <f>TEXT((AVERAGE(P29,P23,P17,P11,P5)*$W5/$Z5), "0.0%") &amp; " (" &amp; TEXT((MIN(P29,P23,P17,P11,P5)*$W5/$Z5), "0.0%") &amp; " - " &amp; TEXT((MAX(P29,P23,P17,P11,P5)*$W5/$Z5), "0.0%") &amp; ")"</f>
        <v/>
      </c>
      <c r="Q121" s="35">
        <f>TEXT((AVERAGE(Q29,Q23,Q17,Q11,Q5)*$W5/$Z5), "0.0%") &amp; " (" &amp; TEXT((MIN(Q29,Q23,Q17,Q11,Q5)*$W5/$Z5), "0.0%") &amp; " - " &amp; TEXT((MAX(Q29,Q23,Q17,Q11,Q5)*$W5/$Z5), "0.0%") &amp; ")"</f>
        <v/>
      </c>
      <c r="R121" s="35">
        <f>TEXT((AVERAGE(R29,R23,R17,R11,R5)/$Z5), "0.0%") &amp; " (" &amp; TEXT((MIN(R29,R23,R17,R11,R5)/$Z5), "0.0%") &amp; " - " &amp; TEXT((MAX(R29,R23,R17,R11,R5)/$Z5), "0.0%") &amp; ")"</f>
        <v/>
      </c>
      <c r="S121" s="35">
        <f>TEXT((AVERAGE(S29,S23,S17,S11,S5)/52*$W5/$Z5), "0.0%") &amp; " (" &amp; TEXT((MIN(S29,S23,S17,S11,S5)/52*$W5/$Z5), "0.0%") &amp; " - " &amp; TEXT((MAX(S29,S23,S17,S11,S5)/52*$W5/$Z5), "0.0%") &amp; ")"</f>
        <v/>
      </c>
      <c r="T121" s="35">
        <f>TEXT((AVERAGE(T29,T23,T17,T11,T5)*$W5/$Z5), "0.0%") &amp; " (" &amp; TEXT((MIN(T29,T23,T17,T11,T5)*$W5/$Z5), "0.0%") &amp; " - " &amp; TEXT((MAX(T29,T23,T17,T11,T5)*$W5/$Z5), "0.0%") &amp; ")"</f>
        <v/>
      </c>
      <c r="V121" s="35">
        <f>TEXT((AVERAGE(V29,V23,V17,V11,V5)/$Z5), "0.0%") &amp; " (" &amp; TEXT((MIN(V29,V23,V17,V11,V5)/$Z5), "0.0%") &amp; " - " &amp; TEXT((MAX(V29,V23,V17,V11,V5)/$Z5), "0.0%") &amp; ")"</f>
        <v/>
      </c>
      <c r="W121" s="35">
        <f>TEXT((AVERAGE(W29,W23,W17,W11,W5)/$Z5), "0.0%") &amp; " (" &amp; TEXT((MIN(W29,W23,W17,W11,W5)/$Z5), "0.0%") &amp; " - " &amp; TEXT((MAX(W29,W23,W17,W11,W5)/$Z5), "0.0%") &amp; ")"</f>
        <v/>
      </c>
      <c r="X121" s="35">
        <f>TEXT((AVERAGE(X29,X23,X17,X11,X5)/$Z5), "0.0%") &amp; " (" &amp; TEXT((MIN(X29,X23,X17,X11,X5)/$Z5), "0.0%") &amp; " - " &amp; TEXT((MAX(X29,X23,X17,X11,X5)/$Z5), "0.0%") &amp; ")"</f>
        <v/>
      </c>
    </row>
    <row r="122">
      <c r="A122" s="4" t="inlineStr">
        <is>
          <t>ALL</t>
        </is>
      </c>
      <c r="B122" s="19" t="inlineStr">
        <is>
          <t>Admin staff</t>
        </is>
      </c>
      <c r="J122" s="35">
        <f>TEXT((AVERAGE(J30,J24,J18,J12,J6)*$W6/$Z6), "0.0%") &amp; " (" &amp; TEXT((MIN(J30,J24,J18,J12,J6)*$W6/$Z6), "0.0%") &amp; " - " &amp; TEXT((MAX(J30,J24,J18,J12,J6)*$W6/$Z6), "0.0%") &amp; ")"</f>
        <v/>
      </c>
      <c r="M122" s="35">
        <f>TEXT((AVERAGE(M30,M24,M18,M12,M6)*$W6/$Z6), "0.0%") &amp; " (" &amp; TEXT((MIN(M30,M24,M18,M12,M6)*$W6/$Z6), "0.0%") &amp; " - " &amp; TEXT((MAX(M30,M24,M18,M12,M6)*$W6/$Z6), "0.0%") &amp; ")"</f>
        <v/>
      </c>
      <c r="N122" s="35">
        <f>TEXT((AVERAGE(N30,N24,N18,N12,N6)*$W6/$Z6), "0.0%") &amp; " (" &amp; TEXT((MIN(N30,N24,N18,N12,N6)*$W6/$Z6), "0.0%") &amp; " - " &amp; TEXT((MAX(N30,N24,N18,N12,N6)*$W6/$Z6), "0.0%") &amp; ")"</f>
        <v/>
      </c>
      <c r="O122" s="35">
        <f>TEXT((AVERAGE(O30,O24,O18,O12,O6)*$W6/$Z6), "0.0%") &amp; " (" &amp; TEXT((MIN(O30,O24,O18,O12,O6)*$W6/$Z6), "0.0%") &amp; " - " &amp; TEXT((MAX(O30,O24,O18,O12,O6)*$W6/$Z6), "0.0%") &amp; ")"</f>
        <v/>
      </c>
      <c r="P122" s="35">
        <f>TEXT((AVERAGE(P30,P24,P18,P12,P6)*$W6/$Z6), "0.0%") &amp; " (" &amp; TEXT((MIN(P30,P24,P18,P12,P6)*$W6/$Z6), "0.0%") &amp; " - " &amp; TEXT((MAX(P30,P24,P18,P12,P6)*$W6/$Z6), "0.0%") &amp; ")"</f>
        <v/>
      </c>
      <c r="Q122" s="35">
        <f>TEXT((AVERAGE(Q30,Q24,Q18,Q12,Q6)*$W6/$Z6), "0.0%") &amp; " (" &amp; TEXT((MIN(Q30,Q24,Q18,Q12,Q6)*$W6/$Z6), "0.0%") &amp; " - " &amp; TEXT((MAX(Q30,Q24,Q18,Q12,Q6)*$W6/$Z6), "0.0%") &amp; ")"</f>
        <v/>
      </c>
      <c r="R122" s="35">
        <f>TEXT((AVERAGE(R30,R24,R18,R12,R6)/$Z6), "0.0%") &amp; " (" &amp; TEXT((MIN(R30,R24,R18,R12,R6)/$Z6), "0.0%") &amp; " - " &amp; TEXT((MAX(R30,R24,R18,R12,R6)/$Z6), "0.0%") &amp; ")"</f>
        <v/>
      </c>
      <c r="S122" s="35">
        <f>TEXT((AVERAGE(S30,S24,S18,S12,S6)/52*$W6/$Z6), "0.0%") &amp; " (" &amp; TEXT((MIN(S30,S24,S18,S12,S6)/52*$W6/$Z6), "0.0%") &amp; " - " &amp; TEXT((MAX(S30,S24,S18,S12,S6)/52*$W6/$Z6), "0.0%") &amp; ")"</f>
        <v/>
      </c>
      <c r="T122" s="35">
        <f>TEXT((AVERAGE(T30,T24,T18,T12,T6)*$W6/$Z6), "0.0%") &amp; " (" &amp; TEXT((MIN(T30,T24,T18,T12,T6)*$W6/$Z6), "0.0%") &amp; " - " &amp; TEXT((MAX(T30,T24,T18,T12,T6)*$W6/$Z6), "0.0%") &amp; ")"</f>
        <v/>
      </c>
      <c r="V122" s="35">
        <f>TEXT((AVERAGE(V30,V24,V18,V12,V6)/$Z6), "0.0%") &amp; " (" &amp; TEXT((MIN(V30,V24,V18,V12,V6)/$Z6), "0.0%") &amp; " - " &amp; TEXT((MAX(V30,V24,V18,V12,V6)/$Z6), "0.0%") &amp; ")"</f>
        <v/>
      </c>
      <c r="W122" s="35">
        <f>TEXT((AVERAGE(W30,W24,W18,W12,W6)/$Z6), "0.0%") &amp; " (" &amp; TEXT((MIN(W30,W24,W18,W12,W6)/$Z6), "0.0%") &amp; " - " &amp; TEXT((MAX(W30,W24,W18,W12,W6)/$Z6), "0.0%") &amp; ")"</f>
        <v/>
      </c>
      <c r="X122" s="35">
        <f>TEXT((AVERAGE(X30,X24,X18,X12,X6)/$Z6), "0.0%") &amp; " (" &amp; TEXT((MIN(X30,X24,X18,X12,X6)/$Z6), "0.0%") &amp; " - " &amp; TEXT((MAX(X30,X24,X18,X12,X6)/$Z6), "0.0%") &amp; ")"</f>
        <v/>
      </c>
    </row>
    <row r="123">
      <c r="A123" s="4" t="inlineStr">
        <is>
          <t>ALL</t>
        </is>
      </c>
      <c r="B123" s="19" t="inlineStr">
        <is>
          <t>Bioinformatics staff</t>
        </is>
      </c>
      <c r="J123" s="35">
        <f>TEXT((AVERAGE(J31,J25,J19,J13,J7)*$W7/$Z7), "0.0%") &amp; " (" &amp; TEXT((MIN(J31,J25,J19,J13,J7)*$W7/$Z7), "0.0%") &amp; " - " &amp; TEXT((MAX(J31,J25,J19,J13,J7)*$W7/$Z7), "0.0%") &amp; ")"</f>
        <v/>
      </c>
      <c r="M123" s="35">
        <f>TEXT((AVERAGE(M31,M25,M19,M13,M7)*$W7/$Z7), "0.0%") &amp; " (" &amp; TEXT((MIN(M31,M25,M19,M13,M7)*$W7/$Z7), "0.0%") &amp; " - " &amp; TEXT((MAX(M31,M25,M19,M13,M7)*$W7/$Z7), "0.0%") &amp; ")"</f>
        <v/>
      </c>
      <c r="N123" s="35">
        <f>TEXT((AVERAGE(N31,N25,N19,N13,N7)*$W7/$Z7), "0.0%") &amp; " (" &amp; TEXT((MIN(N31,N25,N19,N13,N7)*$W7/$Z7), "0.0%") &amp; " - " &amp; TEXT((MAX(N31,N25,N19,N13,N7)*$W7/$Z7), "0.0%") &amp; ")"</f>
        <v/>
      </c>
      <c r="O123" s="35">
        <f>TEXT((AVERAGE(O31,O25,O19,O13,O7)*$W7/$Z7), "0.0%") &amp; " (" &amp; TEXT((MIN(O31,O25,O19,O13,O7)*$W7/$Z7), "0.0%") &amp; " - " &amp; TEXT((MAX(O31,O25,O19,O13,O7)*$W7/$Z7), "0.0%") &amp; ")"</f>
        <v/>
      </c>
      <c r="P123" s="35">
        <f>TEXT((AVERAGE(P31,P25,P19,P13,P7)*$W7/$Z7), "0.0%") &amp; " (" &amp; TEXT((MIN(P31,P25,P19,P13,P7)*$W7/$Z7), "0.0%") &amp; " - " &amp; TEXT((MAX(P31,P25,P19,P13,P7)*$W7/$Z7), "0.0%") &amp; ")"</f>
        <v/>
      </c>
      <c r="Q123" s="35">
        <f>TEXT((AVERAGE(Q31,Q25,Q19,Q13,Q7)*$W7/$Z7), "0.0%") &amp; " (" &amp; TEXT((MIN(Q31,Q25,Q19,Q13,Q7)*$W7/$Z7), "0.0%") &amp; " - " &amp; TEXT((MAX(Q31,Q25,Q19,Q13,Q7)*$W7/$Z7), "0.0%") &amp; ")"</f>
        <v/>
      </c>
      <c r="R123" s="35">
        <f>TEXT((AVERAGE(R31,R25,R19,R13,R7)/$Z7), "0.0%") &amp; " (" &amp; TEXT((MIN(R31,R25,R19,R13,R7)/$Z7), "0.0%") &amp; " - " &amp; TEXT((MAX(R31,R25,R19,R13,R7)/$Z7), "0.0%") &amp; ")"</f>
        <v/>
      </c>
      <c r="S123" s="35">
        <f>TEXT((AVERAGE(S31,S25,S19,S13,S7)/52*$W7/$Z7), "0.0%") &amp; " (" &amp; TEXT((MIN(S31,S25,S19,S13,S7)/52*$W7/$Z7), "0.0%") &amp; " - " &amp; TEXT((MAX(S31,S25,S19,S13,S7)/52*$W7/$Z7), "0.0%") &amp; ")"</f>
        <v/>
      </c>
      <c r="T123" s="35">
        <f>TEXT((AVERAGE(T31,T25,T19,T13,T7)*$W7/$Z7), "0.0%") &amp; " (" &amp; TEXT((MIN(T31,T25,T19,T13,T7)*$W7/$Z7), "0.0%") &amp; " - " &amp; TEXT((MAX(T31,T25,T19,T13,T7)*$W7/$Z7), "0.0%") &amp; ")"</f>
        <v/>
      </c>
      <c r="V123" s="35">
        <f>TEXT((AVERAGE(V31,V25,V19,V13,V7)/$Z7), "0.0%") &amp; " (" &amp; TEXT((MIN(V31,V25,V19,V13,V7)/$Z7), "0.0%") &amp; " - " &amp; TEXT((MAX(V31,V25,V19,V13,V7)/$Z7), "0.0%") &amp; ")"</f>
        <v/>
      </c>
      <c r="W123" s="35">
        <f>TEXT((AVERAGE(W31,W25,W19,W13,W7)/$Z7), "0.0%") &amp; " (" &amp; TEXT((MIN(W31,W25,W19,W13,W7)/$Z7), "0.0%") &amp; " - " &amp; TEXT((MAX(W31,W25,W19,W13,W7)/$Z7), "0.0%") &amp; ")"</f>
        <v/>
      </c>
      <c r="X123" s="35">
        <f>TEXT((AVERAGE(X31,X25,X19,X13,X7)/$Z7), "0.0%") &amp; " (" &amp; TEXT((MIN(X31,X25,X19,X13,X7)/$Z7), "0.0%") &amp; " - " &amp; TEXT((MAX(X31,X25,X19,X13,X7)/$Z7), "0.0%") &amp; ")"</f>
        <v/>
      </c>
    </row>
    <row r="124">
      <c r="A124" s="4" t="inlineStr">
        <is>
          <t>ALL</t>
        </is>
      </c>
      <c r="B124" s="19" t="inlineStr">
        <is>
          <t>Pathologists</t>
        </is>
      </c>
      <c r="J124" s="35">
        <f>TEXT((AVERAGE(J32,J26,J20,J14,J8)*$W8/$Z8), "0.0%") &amp; " (" &amp; TEXT((MIN(J32,J26,J20,J14,J8)*$W8/$Z8), "0.0%") &amp; " - " &amp; TEXT((MAX(J32,J26,J20,J14,J8)*$W8/$Z8), "0.0%") &amp; ")"</f>
        <v/>
      </c>
      <c r="M124" s="35">
        <f>TEXT((AVERAGE(M32,M26,M20,M14,M8)*$W8/$Z8), "0.0%") &amp; " (" &amp; TEXT((MIN(M32,M26,M20,M14,M8)*$W8/$Z8), "0.0%") &amp; " - " &amp; TEXT((MAX(M32,M26,M20,M14,M8)*$W8/$Z8), "0.0%") &amp; ")"</f>
        <v/>
      </c>
      <c r="N124" s="35">
        <f>TEXT((AVERAGE(N32,N26,N20,N14,N8)*$W8/$Z8), "0.0%") &amp; " (" &amp; TEXT((MIN(N32,N26,N20,N14,N8)*$W8/$Z8), "0.0%") &amp; " - " &amp; TEXT((MAX(N32,N26,N20,N14,N8)*$W8/$Z8), "0.0%") &amp; ")"</f>
        <v/>
      </c>
      <c r="O124" s="35">
        <f>TEXT((AVERAGE(O32,O26,O20,O14,O8)*$W8/$Z8), "0.0%") &amp; " (" &amp; TEXT((MIN(O32,O26,O20,O14,O8)*$W8/$Z8), "0.0%") &amp; " - " &amp; TEXT((MAX(O32,O26,O20,O14,O8)*$W8/$Z8), "0.0%") &amp; ")"</f>
        <v/>
      </c>
      <c r="P124" s="35">
        <f>TEXT((AVERAGE(P32,P26,P20,P14,P8)*$W8/$Z8), "0.0%") &amp; " (" &amp; TEXT((MIN(P32,P26,P20,P14,P8)*$W8/$Z8), "0.0%") &amp; " - " &amp; TEXT((MAX(P32,P26,P20,P14,P8)*$W8/$Z8), "0.0%") &amp; ")"</f>
        <v/>
      </c>
      <c r="Q124" s="35">
        <f>TEXT((AVERAGE(Q32,Q26,Q20,Q14,Q8)*$W8/$Z8), "0.0%") &amp; " (" &amp; TEXT((MIN(Q32,Q26,Q20,Q14,Q8)*$W8/$Z8), "0.0%") &amp; " - " &amp; TEXT((MAX(Q32,Q26,Q20,Q14,Q8)*$W8/$Z8), "0.0%") &amp; ")"</f>
        <v/>
      </c>
      <c r="R124" s="35">
        <f>TEXT((AVERAGE(R32,R26,R20,R14,R8)/$Z8), "0.0%") &amp; " (" &amp; TEXT((MIN(R32,R26,R20,R14,R8)/$Z8), "0.0%") &amp; " - " &amp; TEXT((MAX(R32,R26,R20,R14,R8)/$Z8), "0.0%") &amp; ")"</f>
        <v/>
      </c>
      <c r="S124" s="35">
        <f>TEXT((AVERAGE(S32,S26,S20,S14,S8)/52*$W8/$Z8), "0.0%") &amp; " (" &amp; TEXT((MIN(S32,S26,S20,S14,S8)/52*$W8/$Z8), "0.0%") &amp; " - " &amp; TEXT((MAX(S32,S26,S20,S14,S8)/52*$W8/$Z8), "0.0%") &amp; ")"</f>
        <v/>
      </c>
      <c r="T124" s="35">
        <f>TEXT((AVERAGE(T32,T26,T20,T14,T8)*$W8/$Z8), "0.0%") &amp; " (" &amp; TEXT((MIN(T32,T26,T20,T14,T8)*$W8/$Z8), "0.0%") &amp; " - " &amp; TEXT((MAX(T32,T26,T20,T14,T8)*$W8/$Z8), "0.0%") &amp; ")"</f>
        <v/>
      </c>
      <c r="V124" s="35">
        <f>TEXT((AVERAGE(V32,V26,V20,V14,V8)/$Z8), "0.0%") &amp; " (" &amp; TEXT((MIN(V32,V26,V20,V14,V8)/$Z8), "0.0%") &amp; " - " &amp; TEXT((MAX(V32,V26,V20,V14,V8)/$Z8), "0.0%") &amp; ")"</f>
        <v/>
      </c>
      <c r="W124" s="35">
        <f>TEXT((AVERAGE(W32,W26,W20,W14,W8)/$Z8), "0.0%") &amp; " (" &amp; TEXT((MIN(W32,W26,W20,W14,W8)/$Z8), "0.0%") &amp; " - " &amp; TEXT((MAX(W32,W26,W20,W14,W8)/$Z8), "0.0%") &amp; ")"</f>
        <v/>
      </c>
      <c r="X124" s="35">
        <f>TEXT((AVERAGE(X32,X26,X20,X14,X8)/$Z8), "0.0%") &amp; " (" &amp; TEXT((MIN(X32,X26,X20,X14,X8)/$Z8), "0.0%") &amp; " - " &amp; TEXT((MAX(X32,X26,X20,X14,X8)/$Z8), "0.0%") &amp; ")"</f>
        <v/>
      </c>
    </row>
  </sheetData>
  <mergeCells count="20">
    <mergeCell ref="Y2:AA2"/>
    <mergeCell ref="V1:AD1"/>
    <mergeCell ref="AE2:AG2"/>
    <mergeCell ref="AN1:AV1"/>
    <mergeCell ref="AQ2:AS2"/>
    <mergeCell ref="AB2:AD2"/>
    <mergeCell ref="AN2:AP2"/>
    <mergeCell ref="AE1:AM1"/>
    <mergeCell ref="AW1:BE1"/>
    <mergeCell ref="AH2:AJ2"/>
    <mergeCell ref="AT2:AV2"/>
    <mergeCell ref="AZ2:BB2"/>
    <mergeCell ref="AK2:AM2"/>
    <mergeCell ref="BF2:BH2"/>
    <mergeCell ref="BL2:BN2"/>
    <mergeCell ref="BF1:BN1"/>
    <mergeCell ref="V2:X2"/>
    <mergeCell ref="AW2:AY2"/>
    <mergeCell ref="BC2:BE2"/>
    <mergeCell ref="BI2:BK2"/>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BN160"/>
  <sheetViews>
    <sheetView workbookViewId="0">
      <pane xSplit="8" ySplit="3" topLeftCell="I4" activePane="bottomRight" state="frozen"/>
      <selection pane="topRight" activeCell="I1" sqref="I1"/>
      <selection pane="bottomLeft" activeCell="A4" sqref="A4"/>
      <selection pane="bottomRight" activeCell="AB52" sqref="AB52:AB56"/>
    </sheetView>
  </sheetViews>
  <sheetFormatPr baseColWidth="10" defaultColWidth="10.6640625" defaultRowHeight="16"/>
  <cols>
    <col width="10.6640625" customWidth="1" style="4" min="1" max="1"/>
    <col width="19.1640625" customWidth="1" style="19" min="2" max="2"/>
    <col hidden="1" width="9.5" customWidth="1" style="20" min="3" max="3"/>
    <col hidden="1" width="15.1640625" customWidth="1" style="4" min="4" max="4"/>
    <col hidden="1" width="19" customWidth="1" style="21" min="5" max="5"/>
    <col hidden="1" width="15.83203125" customWidth="1" style="4" min="6" max="6"/>
    <col hidden="1" width="14.1640625" customWidth="1" style="4" min="7" max="7"/>
    <col hidden="1" width="20" customWidth="1" style="5" min="8" max="8"/>
    <col width="6.83203125" customWidth="1" style="5" min="9" max="9"/>
    <col width="11.33203125" customWidth="1" style="11" min="10" max="10"/>
    <col width="11.33203125" customWidth="1" style="32" min="11" max="11"/>
    <col width="14.1640625" customWidth="1" style="8" min="12" max="14"/>
    <col width="14.1640625" customWidth="1" style="27" min="15" max="15"/>
    <col width="14.1640625" customWidth="1" style="8" min="16" max="17"/>
    <col width="14.1640625" customWidth="1" style="29" min="18" max="18"/>
    <col width="14.1640625" customWidth="1" style="9" min="19" max="19"/>
    <col width="14.1640625" customWidth="1" style="8" min="20" max="20"/>
    <col width="14.1640625" customWidth="1" style="9" min="21" max="21"/>
    <col width="14.83203125" customWidth="1" style="23" min="22" max="27"/>
    <col width="12.83203125" customWidth="1" style="23" min="28" max="30"/>
    <col width="10.6640625" customWidth="1" style="4" min="31" max="16384"/>
  </cols>
  <sheetData>
    <row r="1">
      <c r="V1" s="82" t="inlineStr">
        <is>
          <t>Year 0</t>
        </is>
      </c>
      <c r="AE1" s="82" t="inlineStr">
        <is>
          <t>Year 1</t>
        </is>
      </c>
      <c r="AN1" s="82" t="inlineStr">
        <is>
          <t>Year 2</t>
        </is>
      </c>
      <c r="AW1" s="82" t="inlineStr">
        <is>
          <t>Year 3</t>
        </is>
      </c>
      <c r="BF1" s="82" t="inlineStr">
        <is>
          <t>Year 4</t>
        </is>
      </c>
    </row>
    <row r="2" ht="17" customHeight="1">
      <c r="A2" s="1" t="inlineStr">
        <is>
          <t>Jurisdiction</t>
        </is>
      </c>
      <c r="B2" s="1" t="inlineStr">
        <is>
          <t>Personnel type</t>
        </is>
      </c>
      <c r="C2" s="84" t="inlineStr">
        <is>
          <t>Label</t>
        </is>
      </c>
      <c r="D2" s="1" t="inlineStr">
        <is>
          <t xml:space="preserve">Award </t>
        </is>
      </c>
      <c r="E2" s="3" t="inlineStr">
        <is>
          <t>Grade(s)</t>
        </is>
      </c>
      <c r="V2" s="82" t="inlineStr">
        <is>
          <t>Base Salary</t>
        </is>
      </c>
      <c r="Y2" s="82" t="inlineStr">
        <is>
          <t>Base Salary + Costs</t>
        </is>
      </c>
      <c r="AB2" s="82" t="inlineStr">
        <is>
          <t>Base Salary + Costs (hourly)</t>
        </is>
      </c>
      <c r="AE2" s="82" t="inlineStr">
        <is>
          <t>Base Salary</t>
        </is>
      </c>
      <c r="AH2" s="82" t="inlineStr">
        <is>
          <t>Base Salary + Costs</t>
        </is>
      </c>
      <c r="AK2" s="82" t="inlineStr">
        <is>
          <t>Base Salary + Costs (hourly)</t>
        </is>
      </c>
      <c r="AN2" s="82" t="inlineStr">
        <is>
          <t>Base Salary</t>
        </is>
      </c>
      <c r="AQ2" s="82" t="inlineStr">
        <is>
          <t>Base Salary + Costs</t>
        </is>
      </c>
      <c r="AT2" s="82" t="inlineStr">
        <is>
          <t>Base Salary + Costs (hourly)</t>
        </is>
      </c>
      <c r="AW2" s="82" t="inlineStr">
        <is>
          <t>Base Salary</t>
        </is>
      </c>
      <c r="AZ2" s="82" t="inlineStr">
        <is>
          <t>Base Salary + Costs</t>
        </is>
      </c>
      <c r="BC2" s="82" t="inlineStr">
        <is>
          <t>Base Salary + Costs (hourly)</t>
        </is>
      </c>
      <c r="BF2" s="82" t="inlineStr">
        <is>
          <t>Base Salary</t>
        </is>
      </c>
      <c r="BI2" s="82" t="inlineStr">
        <is>
          <t>Base Salary + Costs</t>
        </is>
      </c>
      <c r="BL2" s="82" t="inlineStr">
        <is>
          <t>Base Salary + Costs (hourly)</t>
        </is>
      </c>
    </row>
    <row r="3" ht="51" customFormat="1" customHeight="1" s="1">
      <c r="F3" s="1" t="inlineStr">
        <is>
          <t>Distribution desc</t>
        </is>
      </c>
      <c r="G3" s="1" t="inlineStr">
        <is>
          <t>References</t>
        </is>
      </c>
      <c r="H3" s="12" t="inlineStr">
        <is>
          <t>Rate of Pay (weekly, 38h) desc</t>
        </is>
      </c>
      <c r="I3" s="12" t="inlineStr">
        <is>
          <t>Year</t>
        </is>
      </c>
      <c r="J3" s="86" t="inlineStr">
        <is>
          <t>Superannuation Rate (%)</t>
        </is>
      </c>
      <c r="K3" s="89" t="inlineStr">
        <is>
          <t>Hours per week</t>
        </is>
      </c>
      <c r="L3" s="87" t="inlineStr">
        <is>
          <t>Average productive time (%)</t>
        </is>
      </c>
      <c r="M3" s="87" t="inlineStr">
        <is>
          <t>Average Penalties %</t>
        </is>
      </c>
      <c r="N3" s="87" t="inlineStr">
        <is>
          <t>Public Holiday Penalty %</t>
        </is>
      </c>
      <c r="O3" s="83" t="inlineStr">
        <is>
          <t>Private Practice Loading %</t>
        </is>
      </c>
      <c r="P3" s="87" t="inlineStr">
        <is>
          <t>Attraction and Retention Allowance %</t>
        </is>
      </c>
      <c r="Q3" s="87" t="inlineStr">
        <is>
          <t>Sick Leave %</t>
        </is>
      </c>
      <c r="R3" s="88" t="inlineStr">
        <is>
          <t>Professional Development Allowance ($)</t>
        </is>
      </c>
      <c r="S3" s="84" t="inlineStr">
        <is>
          <t>Annual Leave Entitlement (Weeks)</t>
        </is>
      </c>
      <c r="T3" s="87" t="inlineStr">
        <is>
          <t>Annual Leave Loading (%)</t>
        </is>
      </c>
      <c r="U3" s="84" t="inlineStr">
        <is>
          <t>Indexation per annum (%)</t>
        </is>
      </c>
      <c r="V3" s="18" t="inlineStr">
        <is>
          <t>LL</t>
        </is>
      </c>
      <c r="W3" s="18" t="inlineStr">
        <is>
          <t>Mid-point</t>
        </is>
      </c>
      <c r="X3" s="18" t="inlineStr">
        <is>
          <t>UL</t>
        </is>
      </c>
      <c r="Y3" s="18" t="inlineStr">
        <is>
          <t>LL</t>
        </is>
      </c>
      <c r="Z3" s="18" t="inlineStr">
        <is>
          <t>Mid-point</t>
        </is>
      </c>
      <c r="AA3" s="18" t="inlineStr">
        <is>
          <t>UL</t>
        </is>
      </c>
      <c r="AB3" s="18" t="inlineStr">
        <is>
          <t>LL</t>
        </is>
      </c>
      <c r="AC3" s="18" t="inlineStr">
        <is>
          <t>Mid-point</t>
        </is>
      </c>
      <c r="AD3" s="18" t="inlineStr">
        <is>
          <t>UL</t>
        </is>
      </c>
      <c r="AE3" s="18" t="inlineStr">
        <is>
          <t>LL</t>
        </is>
      </c>
      <c r="AF3" s="18" t="inlineStr">
        <is>
          <t>Mid-point</t>
        </is>
      </c>
      <c r="AG3" s="18" t="inlineStr">
        <is>
          <t>UL</t>
        </is>
      </c>
      <c r="AH3" s="18" t="inlineStr">
        <is>
          <t>LL</t>
        </is>
      </c>
      <c r="AI3" s="18" t="inlineStr">
        <is>
          <t>Mid-point</t>
        </is>
      </c>
      <c r="AJ3" s="18" t="inlineStr">
        <is>
          <t>UL</t>
        </is>
      </c>
      <c r="AK3" s="18" t="inlineStr">
        <is>
          <t>LL</t>
        </is>
      </c>
      <c r="AL3" s="18" t="inlineStr">
        <is>
          <t>Mid-point</t>
        </is>
      </c>
      <c r="AM3" s="18" t="inlineStr">
        <is>
          <t>UL</t>
        </is>
      </c>
      <c r="AN3" s="18" t="inlineStr">
        <is>
          <t>LL</t>
        </is>
      </c>
      <c r="AO3" s="18" t="inlineStr">
        <is>
          <t>Mid-point</t>
        </is>
      </c>
      <c r="AP3" s="18" t="inlineStr">
        <is>
          <t>UL</t>
        </is>
      </c>
      <c r="AQ3" s="18" t="inlineStr">
        <is>
          <t>LL</t>
        </is>
      </c>
      <c r="AR3" s="18" t="inlineStr">
        <is>
          <t>Mid-point</t>
        </is>
      </c>
      <c r="AS3" s="18" t="inlineStr">
        <is>
          <t>UL</t>
        </is>
      </c>
      <c r="AT3" s="18" t="inlineStr">
        <is>
          <t>LL</t>
        </is>
      </c>
      <c r="AU3" s="18" t="inlineStr">
        <is>
          <t>Mid-point</t>
        </is>
      </c>
      <c r="AV3" s="18" t="inlineStr">
        <is>
          <t>UL</t>
        </is>
      </c>
      <c r="AW3" s="18" t="inlineStr">
        <is>
          <t>LL</t>
        </is>
      </c>
      <c r="AX3" s="18" t="inlineStr">
        <is>
          <t>Mid-point</t>
        </is>
      </c>
      <c r="AY3" s="18" t="inlineStr">
        <is>
          <t>UL</t>
        </is>
      </c>
      <c r="AZ3" s="18" t="inlineStr">
        <is>
          <t>LL</t>
        </is>
      </c>
      <c r="BA3" s="18" t="inlineStr">
        <is>
          <t>Mid-point</t>
        </is>
      </c>
      <c r="BB3" s="18" t="inlineStr">
        <is>
          <t>UL</t>
        </is>
      </c>
      <c r="BC3" s="18" t="inlineStr">
        <is>
          <t>LL</t>
        </is>
      </c>
      <c r="BD3" s="18" t="inlineStr">
        <is>
          <t>Mid-point</t>
        </is>
      </c>
      <c r="BE3" s="18" t="inlineStr">
        <is>
          <t>UL</t>
        </is>
      </c>
      <c r="BF3" s="18" t="inlineStr">
        <is>
          <t>LL</t>
        </is>
      </c>
      <c r="BG3" s="18" t="inlineStr">
        <is>
          <t>Mid-point</t>
        </is>
      </c>
      <c r="BH3" s="18" t="inlineStr">
        <is>
          <t>UL</t>
        </is>
      </c>
      <c r="BI3" s="18" t="inlineStr">
        <is>
          <t>LL</t>
        </is>
      </c>
      <c r="BJ3" s="18" t="inlineStr">
        <is>
          <t>Mid-point</t>
        </is>
      </c>
      <c r="BK3" s="18" t="inlineStr">
        <is>
          <t>UL</t>
        </is>
      </c>
      <c r="BL3" s="18" t="inlineStr">
        <is>
          <t>LL</t>
        </is>
      </c>
      <c r="BM3" s="18" t="inlineStr">
        <is>
          <t>Mid-point</t>
        </is>
      </c>
      <c r="BN3" s="18" t="inlineStr">
        <is>
          <t>UL</t>
        </is>
      </c>
    </row>
    <row r="4">
      <c r="A4" s="4" t="inlineStr">
        <is>
          <t>VIC</t>
        </is>
      </c>
      <c r="B4" s="19" t="inlineStr">
        <is>
          <t>Lab technician</t>
        </is>
      </c>
      <c r="C4" s="20" t="inlineStr">
        <is>
          <t>LT</t>
        </is>
      </c>
      <c r="D4" s="4" t="inlineStr">
        <is>
          <t>HPA</t>
        </is>
      </c>
      <c r="E4" s="21" t="inlineStr">
        <is>
          <t>5-7</t>
        </is>
      </c>
      <c r="F4" s="22" t="inlineStr">
        <is>
          <t>normal distro</t>
        </is>
      </c>
      <c r="G4" s="4" t="inlineStr">
        <is>
          <t>pp247 HS5-HS7 (July 22)</t>
        </is>
      </c>
      <c r="H4" s="5" t="inlineStr">
        <is>
          <t>1785.7-2257.10</t>
        </is>
      </c>
      <c r="I4" s="5" t="n">
        <v>2022</v>
      </c>
      <c r="J4" s="11" t="n">
        <v>0.105</v>
      </c>
      <c r="K4" s="32" t="n">
        <v>38</v>
      </c>
      <c r="L4" s="8" t="n">
        <v>1</v>
      </c>
      <c r="M4" s="8" t="n">
        <v>0.1</v>
      </c>
      <c r="N4" s="8" t="n">
        <v>0.035</v>
      </c>
      <c r="O4" s="27" t="n">
        <v>0</v>
      </c>
      <c r="P4" s="8" t="n">
        <v>0</v>
      </c>
      <c r="Q4" s="8" t="n">
        <v>0.046</v>
      </c>
      <c r="R4" s="23" t="n">
        <v>0</v>
      </c>
      <c r="S4" s="9" t="n">
        <v>4</v>
      </c>
      <c r="T4" s="8" t="n">
        <v>0.175</v>
      </c>
      <c r="U4" s="8" t="n">
        <v>0.015</v>
      </c>
      <c r="V4" s="36" t="n">
        <v>79624</v>
      </c>
      <c r="W4" s="36">
        <f>V4+((X4-V4)/2)</f>
        <v/>
      </c>
      <c r="X4" s="36" t="n">
        <v>110314</v>
      </c>
      <c r="Y4" s="36">
        <f>(V4+(V4*$J4)+(V4*$M4)+(V4*$N4)+(V4*$O4)+(V4*$P4)+(V4*$Q4)+($R4)+(V4*((52+$S4)/52))*(1+$T4))*1/$L4</f>
        <v/>
      </c>
      <c r="Z4" s="36">
        <f>(W4+(W4*$J4)+(W4*$M4)+(W4*$N4)+(W4*$O4)+(W4*$P4)+(W4*$Q4)+($R4)+(W4*((52+$S4)/52))*(1+$T4))*1/$L4</f>
        <v/>
      </c>
      <c r="AA4" s="36">
        <f>(X4+(X4*$J4)+(X4*$M4)+(X4*$N4)+(X4*$O4)+(X4*$P4)+(X4*$Q4)+($R4)+(X4*((52+$S4)/52))*(1+$T4))*1/$L4</f>
        <v/>
      </c>
      <c r="AB4" s="36">
        <f>Y4/52/$K4</f>
        <v/>
      </c>
      <c r="AC4" s="36">
        <f>Z4/52/$K4</f>
        <v/>
      </c>
      <c r="AD4" s="36">
        <f>AA4/52/$K4</f>
        <v/>
      </c>
      <c r="AE4" s="36">
        <f>($V4*(1+(($U4/100)*1)))</f>
        <v/>
      </c>
      <c r="AF4" s="36">
        <f>($W4*(1+(($U4/100)*1)))</f>
        <v/>
      </c>
      <c r="AG4" s="36">
        <f>($X4*(1+(($U4/100)*1)))</f>
        <v/>
      </c>
      <c r="AH4" s="36">
        <f>(AE4+(AE4*$J4)+(AE4*$M4)+(AE4*$N4)+(AE4*$O4)+(AE4*$P4)+(AE4*$Q4)+($R4)+(AE4*((52+$S4)/52))*(1+$T4))*1/$L4</f>
        <v/>
      </c>
      <c r="AI4" s="36">
        <f>(AF4+(AF4*$J4)+(AF4*$M4)+(AF4*$N4)+(AF4*$O4)+(AF4*$P4)+(AF4*$Q4)+($R4)+(AF4*((52+$S4)/52))*(1+$T4))*1/$L4</f>
        <v/>
      </c>
      <c r="AJ4" s="36">
        <f>(AG4+(AG4*$J4)+(AG4*$M4)+(AG4*$N4)+(AG4*$O4)+(AG4*$P4)+(AG4*$Q4)+($R4)+(AG4*((52+$S4)/52))*(1+$T4))*1/$L4</f>
        <v/>
      </c>
      <c r="AK4" s="36">
        <f>AH4/52/$K4</f>
        <v/>
      </c>
      <c r="AL4" s="36">
        <f>AI4/52/$K4</f>
        <v/>
      </c>
      <c r="AM4" s="36">
        <f>AJ4/52/$K4</f>
        <v/>
      </c>
      <c r="AN4" s="36">
        <f>($V4*(1+(($U4/100)*2)))</f>
        <v/>
      </c>
      <c r="AO4" s="36">
        <f>($W4*(1+(($U4/100)*2)))</f>
        <v/>
      </c>
      <c r="AP4" s="36">
        <f>($X4*(1+(($U4/100)*2)))</f>
        <v/>
      </c>
      <c r="AQ4" s="36">
        <f>(AN4+(AN4*$J4)+(AN4*$M4)+(AN4*$N4)+(AN4*$O4)+(AN4*$P4)+(AN4*$Q4)+($R4)+(AN4*((52+$S4)/52))*(1+$T4))*1/$L4</f>
        <v/>
      </c>
      <c r="AR4" s="36">
        <f>(AO4+(AO4*$J4)+(AO4*$M4)+(AO4*$N4)+(AO4*$O4)+(AO4*$P4)+(AO4*$Q4)+($R4)+(AO4*((52+$S4)/52))*(1+$T4))*1/$L4</f>
        <v/>
      </c>
      <c r="AS4" s="36">
        <f>(AP4+(AP4*$J4)+(AP4*$M4)+(AP4*$N4)+(AP4*$O4)+(AP4*$P4)+(AP4*$Q4)+($R4)+(AP4*((52+$S4)/52))*(1+$T4))*1/$L4</f>
        <v/>
      </c>
      <c r="AT4" s="36">
        <f>AQ4/52/$K4</f>
        <v/>
      </c>
      <c r="AU4" s="36">
        <f>AR4/52/$K4</f>
        <v/>
      </c>
      <c r="AV4" s="36">
        <f>AS4/52/$K4</f>
        <v/>
      </c>
      <c r="AW4" s="36">
        <f>($V4*(1+(($U4/100)*3)))</f>
        <v/>
      </c>
      <c r="AX4" s="36">
        <f>($W4*(1+(($U4/100)*3)))</f>
        <v/>
      </c>
      <c r="AY4" s="36">
        <f>($X4*(1+(($U4/100)*3)))</f>
        <v/>
      </c>
      <c r="AZ4" s="36">
        <f>(AW4+(AW4*$J4)+(AW4*$M4)+(AW4*$N4)+(AW4*$O4)+(AW4*$P4)+(AW4*$Q4)+($R4)+(AW4*((52+$S4)/52))*(1+$T4))*1/$L4</f>
        <v/>
      </c>
      <c r="BA4" s="36">
        <f>(AX4+(AX4*$J4)+(AX4*$M4)+(AX4*$N4)+(AX4*$O4)+(AX4*$P4)+(AX4*$Q4)+($R4)+(AX4*((52+$S4)/52))*(1+$T4))*1/$L4</f>
        <v/>
      </c>
      <c r="BB4" s="36">
        <f>(AY4+(AY4*$J4)+(AY4*$M4)+(AY4*$N4)+(AY4*$O4)+(AY4*$P4)+(AY4*$Q4)+($R4)+(AY4*((52+$S4)/52))*(1+$T4))*1/$L4</f>
        <v/>
      </c>
      <c r="BC4" s="36">
        <f>AZ4/52/$K4</f>
        <v/>
      </c>
      <c r="BD4" s="36">
        <f>BA4/52/$K4</f>
        <v/>
      </c>
      <c r="BE4" s="36">
        <f>BB4/52/$K4</f>
        <v/>
      </c>
      <c r="BF4" s="36">
        <f>($V4*(1+(($U4/100)*4)))</f>
        <v/>
      </c>
      <c r="BG4" s="36">
        <f>($W4*(1+(($U4/100)*4)))</f>
        <v/>
      </c>
      <c r="BH4" s="36">
        <f>($X4*(1+(($U4/100)*4)))</f>
        <v/>
      </c>
      <c r="BI4" s="36">
        <f>(BF4+(BF4*$J4)+(BF4*$M4)+(BF4*$N4)+(BF4*$O4)+(BF4*$P4)+(BF4*$Q4)+($R4)+(BF4*((52+$S4)/52))*(1+$T4))*1/$L4</f>
        <v/>
      </c>
      <c r="BJ4" s="36">
        <f>(BG4+(BG4*$J4)+(BG4*$M4)+(BG4*$N4)+(BG4*$O4)+(BG4*$P4)+(BG4*$Q4)+($R4)+(BG4*((52+$S4)/52))*(1+$T4))*1/$L4</f>
        <v/>
      </c>
      <c r="BK4" s="36">
        <f>(BH4+(BH4*$J4)+(BH4*$M4)+(BH4*$N4)+(BH4*$O4)+(BH4*$P4)+(BH4*$Q4)+($R4)+(BH4*((52+$S4)/52))*(1+$T4))*1/$L4</f>
        <v/>
      </c>
      <c r="BL4" s="36">
        <f>BI4/52/$K4</f>
        <v/>
      </c>
      <c r="BM4" s="36">
        <f>BJ4/52/$K4</f>
        <v/>
      </c>
      <c r="BN4" s="36">
        <f>BK4/52/$K4</f>
        <v/>
      </c>
    </row>
    <row r="5">
      <c r="A5" s="4" t="inlineStr">
        <is>
          <t>VIC</t>
        </is>
      </c>
      <c r="B5" s="19" t="inlineStr">
        <is>
          <t>Medical scientist</t>
        </is>
      </c>
      <c r="C5" s="20" t="inlineStr">
        <is>
          <t>MS</t>
        </is>
      </c>
      <c r="D5" s="4" t="inlineStr">
        <is>
          <t>MSEBA</t>
        </is>
      </c>
      <c r="E5" s="21" t="inlineStr">
        <is>
          <t>MS1-4(RX4)-MS4-5(RZ7)</t>
        </is>
      </c>
      <c r="F5" s="4" t="inlineStr">
        <is>
          <t>skewed normal</t>
        </is>
      </c>
      <c r="G5" s="22" t="inlineStr">
        <is>
          <t>pp111 VPHS 2017-21 RX1-RZ7</t>
        </is>
      </c>
      <c r="H5" s="5" t="inlineStr">
        <is>
          <t>1131.30-2622.00</t>
        </is>
      </c>
      <c r="I5" s="5" t="n">
        <v>2023</v>
      </c>
      <c r="J5" s="11" t="n">
        <v>0.105</v>
      </c>
      <c r="K5" s="32" t="n">
        <v>38</v>
      </c>
      <c r="L5" s="8" t="n">
        <v>1</v>
      </c>
      <c r="M5" s="8" t="n">
        <v>0.1</v>
      </c>
      <c r="N5" s="8" t="n">
        <v>0.035</v>
      </c>
      <c r="O5" s="27" t="n">
        <v>0</v>
      </c>
      <c r="P5" s="8" t="n">
        <v>0</v>
      </c>
      <c r="Q5" s="8" t="n">
        <v>0.046</v>
      </c>
      <c r="R5" s="23" t="n">
        <v>0</v>
      </c>
      <c r="S5" s="9" t="n">
        <v>5</v>
      </c>
      <c r="T5" s="8" t="n">
        <v>0.175</v>
      </c>
      <c r="U5" s="8" t="n">
        <v>0.015</v>
      </c>
      <c r="V5" s="36">
        <f>1177*52</f>
        <v/>
      </c>
      <c r="W5" s="36">
        <f>V5+((X5-V5)/2)</f>
        <v/>
      </c>
      <c r="X5" s="36">
        <f>2741.4*52</f>
        <v/>
      </c>
      <c r="Y5" s="36">
        <f>(V5+(V5*$J5)+(V5*$M5)+(V5*$N5)+(V5*$O5)+(V5*$P5)+(V5*$Q5)+($R5)+(V5*((52+$S5)/52))*(1+$T5))*1/$L5</f>
        <v/>
      </c>
      <c r="Z5" s="36">
        <f>(W5+(W5*$J5)+(W5*$M5)+(W5*$N5)+(W5*$O5)+(W5*$P5)+(W5*$Q5)+($R5)+(W5*((52+$S5)/52))*(1+$T5))*1/$L5</f>
        <v/>
      </c>
      <c r="AA5" s="36">
        <f>(X5+(X5*$J5)+(X5*$M5)+(X5*$N5)+(X5*$O5)+(X5*$P5)+(X5*$Q5)+($R5)+(X5*((52+$S5)/52))*(1+$T5))*1/$L5</f>
        <v/>
      </c>
      <c r="AB5" s="36">
        <f>Y5/52/$K5</f>
        <v/>
      </c>
      <c r="AC5" s="36">
        <f>Z5/52/$K5</f>
        <v/>
      </c>
      <c r="AD5" s="36">
        <f>AA5/52/$K5</f>
        <v/>
      </c>
      <c r="AE5" s="36">
        <f>($V5*(1+(($U5/100)*1)))</f>
        <v/>
      </c>
      <c r="AF5" s="36">
        <f>($W5*(1+(($U5/100)*1)))</f>
        <v/>
      </c>
      <c r="AG5" s="36">
        <f>($X5*(1+(($U5/100)*1)))</f>
        <v/>
      </c>
      <c r="AH5" s="36">
        <f>(AE5+(AE5*$J5)+(AE5*$M5)+(AE5*$N5)+(AE5*$O5)+(AE5*$P5)+(AE5*$Q5)+($R5)+(AE5*((52+$S5)/52))*(1+$T5))*1/$L5</f>
        <v/>
      </c>
      <c r="AI5" s="36">
        <f>(AF5+(AF5*$J5)+(AF5*$M5)+(AF5*$N5)+(AF5*$O5)+(AF5*$P5)+(AF5*$Q5)+($R5)+(AF5*((52+$S5)/52))*(1+$T5))*1/$L5</f>
        <v/>
      </c>
      <c r="AJ5" s="36">
        <f>(AG5+(AG5*$J5)+(AG5*$M5)+(AG5*$N5)+(AG5*$O5)+(AG5*$P5)+(AG5*$Q5)+($R5)+(AG5*((52+$S5)/52))*(1+$T5))*1/$L5</f>
        <v/>
      </c>
      <c r="AK5" s="36">
        <f>AH5/52/$K5</f>
        <v/>
      </c>
      <c r="AL5" s="36">
        <f>AI5/52/$K5</f>
        <v/>
      </c>
      <c r="AM5" s="36">
        <f>AJ5/52/$K5</f>
        <v/>
      </c>
      <c r="AN5" s="36">
        <f>($V5*(1+(($U5/100)*2)))</f>
        <v/>
      </c>
      <c r="AO5" s="36">
        <f>($W5*(1+(($U5/100)*2)))</f>
        <v/>
      </c>
      <c r="AP5" s="36">
        <f>($X5*(1+(($U5/100)*2)))</f>
        <v/>
      </c>
      <c r="AQ5" s="36">
        <f>(AN5+(AN5*$J5)+(AN5*$M5)+(AN5*$N5)+(AN5*$O5)+(AN5*$P5)+(AN5*$Q5)+($R5)+(AN5*((52+$S5)/52))*(1+$T5))*1/$L5</f>
        <v/>
      </c>
      <c r="AR5" s="36">
        <f>(AO5+(AO5*$J5)+(AO5*$M5)+(AO5*$N5)+(AO5*$O5)+(AO5*$P5)+(AO5*$Q5)+($R5)+(AO5*((52+$S5)/52))*(1+$T5))*1/$L5</f>
        <v/>
      </c>
      <c r="AS5" s="36">
        <f>(AP5+(AP5*$J5)+(AP5*$M5)+(AP5*$N5)+(AP5*$O5)+(AP5*$P5)+(AP5*$Q5)+($R5)+(AP5*((52+$S5)/52))*(1+$T5))*1/$L5</f>
        <v/>
      </c>
      <c r="AT5" s="36">
        <f>AQ5/52/$K5</f>
        <v/>
      </c>
      <c r="AU5" s="36">
        <f>AR5/52/$K5</f>
        <v/>
      </c>
      <c r="AV5" s="36">
        <f>AS5/52/$K5</f>
        <v/>
      </c>
      <c r="AW5" s="36">
        <f>($V5*(1+(($U5/100)*3)))</f>
        <v/>
      </c>
      <c r="AX5" s="36">
        <f>($W5*(1+(($U5/100)*3)))</f>
        <v/>
      </c>
      <c r="AY5" s="36">
        <f>($X5*(1+(($U5/100)*3)))</f>
        <v/>
      </c>
      <c r="AZ5" s="36">
        <f>(AW5+(AW5*$J5)+(AW5*$M5)+(AW5*$N5)+(AW5*$O5)+(AW5*$P5)+(AW5*$Q5)+($R5)+(AW5*((52+$S5)/52))*(1+$T5))*1/$L5</f>
        <v/>
      </c>
      <c r="BA5" s="36">
        <f>(AX5+(AX5*$J5)+(AX5*$M5)+(AX5*$N5)+(AX5*$O5)+(AX5*$P5)+(AX5*$Q5)+($R5)+(AX5*((52+$S5)/52))*(1+$T5))*1/$L5</f>
        <v/>
      </c>
      <c r="BB5" s="36">
        <f>(AY5+(AY5*$J5)+(AY5*$M5)+(AY5*$N5)+(AY5*$O5)+(AY5*$P5)+(AY5*$Q5)+($R5)+(AY5*((52+$S5)/52))*(1+$T5))*1/$L5</f>
        <v/>
      </c>
      <c r="BC5" s="36">
        <f>AZ5/52/$K5</f>
        <v/>
      </c>
      <c r="BD5" s="36">
        <f>BA5/52/$K5</f>
        <v/>
      </c>
      <c r="BE5" s="36">
        <f>BB5/52/$K5</f>
        <v/>
      </c>
      <c r="BF5" s="36">
        <f>($V5*(1+(($U5/100)*4)))</f>
        <v/>
      </c>
      <c r="BG5" s="36">
        <f>($W5*(1+(($U5/100)*4)))</f>
        <v/>
      </c>
      <c r="BH5" s="36">
        <f>($X5*(1+(($U5/100)*4)))</f>
        <v/>
      </c>
      <c r="BI5" s="36">
        <f>(BF5+(BF5*$J5)+(BF5*$M5)+(BF5*$N5)+(BF5*$O5)+(BF5*$P5)+(BF5*$Q5)+($R5)+(BF5*((52+$S5)/52))*(1+$T5))*1/$L5</f>
        <v/>
      </c>
      <c r="BJ5" s="36">
        <f>(BG5+(BG5*$J5)+(BG5*$M5)+(BG5*$N5)+(BG5*$O5)+(BG5*$P5)+(BG5*$Q5)+($R5)+(BG5*((52+$S5)/52))*(1+$T5))*1/$L5</f>
        <v/>
      </c>
      <c r="BK5" s="36">
        <f>(BH5+(BH5*$J5)+(BH5*$M5)+(BH5*$N5)+(BH5*$O5)+(BH5*$P5)+(BH5*$Q5)+($R5)+(BH5*((52+$S5)/52))*(1+$T5))*1/$L5</f>
        <v/>
      </c>
      <c r="BL5" s="36">
        <f>BI5/52/$K5</f>
        <v/>
      </c>
      <c r="BM5" s="36">
        <f>BJ5/52/$K5</f>
        <v/>
      </c>
      <c r="BN5" s="36">
        <f>BK5/52/$K5</f>
        <v/>
      </c>
    </row>
    <row r="6">
      <c r="A6" s="4" t="inlineStr">
        <is>
          <t>VIC</t>
        </is>
      </c>
      <c r="B6" s="19" t="inlineStr">
        <is>
          <t>Admin staff</t>
        </is>
      </c>
      <c r="C6" s="20" t="inlineStr">
        <is>
          <t>AS</t>
        </is>
      </c>
      <c r="D6" s="4" t="inlineStr">
        <is>
          <t>HPA</t>
        </is>
      </c>
      <c r="E6" s="21" t="inlineStr">
        <is>
          <t>3-5</t>
        </is>
      </c>
      <c r="G6" s="4" t="inlineStr">
        <is>
          <t>pp247 HS5-HS7 (July 22)</t>
        </is>
      </c>
      <c r="H6" s="5" t="inlineStr">
        <is>
          <t>1785.7-2257.10</t>
        </is>
      </c>
      <c r="I6" s="5" t="n">
        <v>2022</v>
      </c>
      <c r="J6" s="11" t="n">
        <v>0.105</v>
      </c>
      <c r="K6" s="32" t="n">
        <v>38</v>
      </c>
      <c r="L6" s="8" t="n">
        <v>1</v>
      </c>
      <c r="M6" s="8" t="n">
        <v>0.1</v>
      </c>
      <c r="N6" s="8" t="n">
        <v>0.035</v>
      </c>
      <c r="O6" s="27" t="n">
        <v>0</v>
      </c>
      <c r="P6" s="8" t="n">
        <v>0</v>
      </c>
      <c r="Q6" s="8" t="n">
        <v>0.046</v>
      </c>
      <c r="R6" s="23" t="n">
        <v>0</v>
      </c>
      <c r="S6" s="9" t="n">
        <v>4</v>
      </c>
      <c r="T6" s="8" t="n">
        <v>0.175</v>
      </c>
      <c r="U6" s="8" t="n">
        <v>0.015</v>
      </c>
      <c r="V6" s="36" t="n">
        <v>63701</v>
      </c>
      <c r="W6" s="36">
        <f>V6+((X6-V6)/2)</f>
        <v/>
      </c>
      <c r="X6" s="36" t="n">
        <v>91460</v>
      </c>
      <c r="Y6" s="36">
        <f>(V6+(V6*$J6)+(V6*$M6)+(V6*$N6)+(V6*$O6)+(V6*$P6)+(V6*$Q6)+($R6)+(V6*((52+$S6)/52))*(1+$T6))*1/$L6</f>
        <v/>
      </c>
      <c r="Z6" s="36">
        <f>(W6+(W6*$J6)+(W6*$M6)+(W6*$N6)+(W6*$O6)+(W6*$P6)+(W6*$Q6)+($R6)+(W6*((52+$S6)/52))*(1+$T6))*1/$L6</f>
        <v/>
      </c>
      <c r="AA6" s="36">
        <f>(X6+(X6*$J6)+(X6*$M6)+(X6*$N6)+(X6*$O6)+(X6*$P6)+(X6*$Q6)+($R6)+(X6*((52+$S6)/52))*(1+$T6))*1/$L6</f>
        <v/>
      </c>
      <c r="AB6" s="36">
        <f>Y6/52/$K6</f>
        <v/>
      </c>
      <c r="AC6" s="36">
        <f>Z6/52/$K6</f>
        <v/>
      </c>
      <c r="AD6" s="36">
        <f>AA6/52/$K6</f>
        <v/>
      </c>
      <c r="AE6" s="36">
        <f>($V6*(1+(($U6/100)*1)))</f>
        <v/>
      </c>
      <c r="AF6" s="36">
        <f>($W6*(1+(($U6/100)*1)))</f>
        <v/>
      </c>
      <c r="AG6" s="36">
        <f>($X6*(1+(($U6/100)*1)))</f>
        <v/>
      </c>
      <c r="AH6" s="36">
        <f>(AE6+(AE6*$J6)+(AE6*$M6)+(AE6*$N6)+(AE6*$O6)+(AE6*$P6)+(AE6*$Q6)+($R6)+(AE6*((52+$S6)/52))*(1+$T6))*1/$L6</f>
        <v/>
      </c>
      <c r="AI6" s="36">
        <f>(AF6+(AF6*$J6)+(AF6*$M6)+(AF6*$N6)+(AF6*$O6)+(AF6*$P6)+(AF6*$Q6)+($R6)+(AF6*((52+$S6)/52))*(1+$T6))*1/$L6</f>
        <v/>
      </c>
      <c r="AJ6" s="36">
        <f>(AG6+(AG6*$J6)+(AG6*$M6)+(AG6*$N6)+(AG6*$O6)+(AG6*$P6)+(AG6*$Q6)+($R6)+(AG6*((52+$S6)/52))*(1+$T6))*1/$L6</f>
        <v/>
      </c>
      <c r="AK6" s="36">
        <f>AH6/52/$K6</f>
        <v/>
      </c>
      <c r="AL6" s="36">
        <f>AI6/52/$K6</f>
        <v/>
      </c>
      <c r="AM6" s="36">
        <f>AJ6/52/$K6</f>
        <v/>
      </c>
      <c r="AN6" s="36">
        <f>($V6*(1+(($U6/100)*2)))</f>
        <v/>
      </c>
      <c r="AO6" s="36">
        <f>($W6*(1+(($U6/100)*2)))</f>
        <v/>
      </c>
      <c r="AP6" s="36">
        <f>($X6*(1+(($U6/100)*2)))</f>
        <v/>
      </c>
      <c r="AQ6" s="36">
        <f>(AN6+(AN6*$J6)+(AN6*$M6)+(AN6*$N6)+(AN6*$O6)+(AN6*$P6)+(AN6*$Q6)+($R6)+(AN6*((52+$S6)/52))*(1+$T6))*1/$L6</f>
        <v/>
      </c>
      <c r="AR6" s="36">
        <f>(AO6+(AO6*$J6)+(AO6*$M6)+(AO6*$N6)+(AO6*$O6)+(AO6*$P6)+(AO6*$Q6)+($R6)+(AO6*((52+$S6)/52))*(1+$T6))*1/$L6</f>
        <v/>
      </c>
      <c r="AS6" s="36">
        <f>(AP6+(AP6*$J6)+(AP6*$M6)+(AP6*$N6)+(AP6*$O6)+(AP6*$P6)+(AP6*$Q6)+($R6)+(AP6*((52+$S6)/52))*(1+$T6))*1/$L6</f>
        <v/>
      </c>
      <c r="AT6" s="36">
        <f>AQ6/52/$K6</f>
        <v/>
      </c>
      <c r="AU6" s="36">
        <f>AR6/52/$K6</f>
        <v/>
      </c>
      <c r="AV6" s="36">
        <f>AS6/52/$K6</f>
        <v/>
      </c>
      <c r="AW6" s="36">
        <f>($V6*(1+(($U6/100)*3)))</f>
        <v/>
      </c>
      <c r="AX6" s="36">
        <f>($W6*(1+(($U6/100)*3)))</f>
        <v/>
      </c>
      <c r="AY6" s="36">
        <f>($X6*(1+(($U6/100)*3)))</f>
        <v/>
      </c>
      <c r="AZ6" s="36">
        <f>(AW6+(AW6*$J6)+(AW6*$M6)+(AW6*$N6)+(AW6*$O6)+(AW6*$P6)+(AW6*$Q6)+($R6)+(AW6*((52+$S6)/52))*(1+$T6))*1/$L6</f>
        <v/>
      </c>
      <c r="BA6" s="36">
        <f>(AX6+(AX6*$J6)+(AX6*$M6)+(AX6*$N6)+(AX6*$O6)+(AX6*$P6)+(AX6*$Q6)+($R6)+(AX6*((52+$S6)/52))*(1+$T6))*1/$L6</f>
        <v/>
      </c>
      <c r="BB6" s="36">
        <f>(AY6+(AY6*$J6)+(AY6*$M6)+(AY6*$N6)+(AY6*$O6)+(AY6*$P6)+(AY6*$Q6)+($R6)+(AY6*((52+$S6)/52))*(1+$T6))*1/$L6</f>
        <v/>
      </c>
      <c r="BC6" s="36">
        <f>AZ6/52/$K6</f>
        <v/>
      </c>
      <c r="BD6" s="36">
        <f>BA6/52/$K6</f>
        <v/>
      </c>
      <c r="BE6" s="36">
        <f>BB6/52/$K6</f>
        <v/>
      </c>
      <c r="BF6" s="36">
        <f>($V6*(1+(($U6/100)*4)))</f>
        <v/>
      </c>
      <c r="BG6" s="36">
        <f>($W6*(1+(($U6/100)*4)))</f>
        <v/>
      </c>
      <c r="BH6" s="36">
        <f>($X6*(1+(($U6/100)*4)))</f>
        <v/>
      </c>
      <c r="BI6" s="36">
        <f>(BF6+(BF6*$J6)+(BF6*$M6)+(BF6*$N6)+(BF6*$O6)+(BF6*$P6)+(BF6*$Q6)+($R6)+(BF6*((52+$S6)/52))*(1+$T6))*1/$L6</f>
        <v/>
      </c>
      <c r="BJ6" s="36">
        <f>(BG6+(BG6*$J6)+(BG6*$M6)+(BG6*$N6)+(BG6*$O6)+(BG6*$P6)+(BG6*$Q6)+($R6)+(BG6*((52+$S6)/52))*(1+$T6))*1/$L6</f>
        <v/>
      </c>
      <c r="BK6" s="36">
        <f>(BH6+(BH6*$J6)+(BH6*$M6)+(BH6*$N6)+(BH6*$O6)+(BH6*$P6)+(BH6*$Q6)+($R6)+(BH6*((52+$S6)/52))*(1+$T6))*1/$L6</f>
        <v/>
      </c>
      <c r="BL6" s="36">
        <f>BI6/52/$K6</f>
        <v/>
      </c>
      <c r="BM6" s="36">
        <f>BJ6/52/$K6</f>
        <v/>
      </c>
      <c r="BN6" s="36">
        <f>BK6/52/$K6</f>
        <v/>
      </c>
    </row>
    <row r="7">
      <c r="A7" s="4" t="inlineStr">
        <is>
          <t>VIC</t>
        </is>
      </c>
      <c r="B7" s="19" t="inlineStr">
        <is>
          <t>Bioinformatics staff</t>
        </is>
      </c>
      <c r="C7" s="20" t="inlineStr">
        <is>
          <t>BI</t>
        </is>
      </c>
      <c r="D7" s="4" t="inlineStr">
        <is>
          <t>MCRI Professional and Administrative Salaries</t>
        </is>
      </c>
      <c r="E7" s="21" t="inlineStr">
        <is>
          <t>5-8</t>
        </is>
      </c>
      <c r="F7" s="22" t="n"/>
      <c r="G7" s="4" t="inlineStr">
        <is>
          <t>pp247 HS5-HS7 (July 22)</t>
        </is>
      </c>
      <c r="H7" s="5" t="inlineStr">
        <is>
          <t>1785.7-2525.90</t>
        </is>
      </c>
      <c r="I7" s="5" t="n">
        <v>2022</v>
      </c>
      <c r="J7" s="11" t="n">
        <v>0.105</v>
      </c>
      <c r="K7" s="32" t="n">
        <v>38</v>
      </c>
      <c r="L7" s="8" t="n">
        <v>1</v>
      </c>
      <c r="M7" s="8" t="n">
        <v>0.1</v>
      </c>
      <c r="N7" s="8" t="n">
        <v>0.035</v>
      </c>
      <c r="O7" s="27" t="n">
        <v>0</v>
      </c>
      <c r="P7" s="8" t="n">
        <v>0</v>
      </c>
      <c r="Q7" s="8" t="n">
        <v>0.046</v>
      </c>
      <c r="R7" s="23" t="n">
        <v>0</v>
      </c>
      <c r="S7" s="9" t="n">
        <v>4</v>
      </c>
      <c r="T7" s="8" t="n">
        <v>0.175</v>
      </c>
      <c r="U7" s="8" t="n">
        <v>0.015</v>
      </c>
      <c r="V7" s="36" t="n">
        <v>79624</v>
      </c>
      <c r="W7" s="36">
        <f>V7+((X7-V7)/2)</f>
        <v/>
      </c>
      <c r="X7" s="36" t="n">
        <v>124098</v>
      </c>
      <c r="Y7" s="36">
        <f>(V7+(V7*$J7)+(V7*$M7)+(V7*$N7)+(V7*$O7)+(V7*$P7)+(V7*$Q7)+($R7)+(V7*((52+$S7)/52))*(1+$T7))*1/$L7</f>
        <v/>
      </c>
      <c r="Z7" s="36">
        <f>(W7+(W7*$J7)+(W7*$M7)+(W7*$N7)+(W7*$O7)+(W7*$P7)+(W7*$Q7)+($R7)+(W7*((52+$S7)/52))*(1+$T7))*1/$L7</f>
        <v/>
      </c>
      <c r="AA7" s="36">
        <f>(X7+(X7*$J7)+(X7*$M7)+(X7*$N7)+(X7*$O7)+(X7*$P7)+(X7*$Q7)+($R7)+(X7*((52+$S7)/52))*(1+$T7))*1/$L7</f>
        <v/>
      </c>
      <c r="AB7" s="36">
        <f>Y7/52/$K7</f>
        <v/>
      </c>
      <c r="AC7" s="36">
        <f>Z7/52/$K7</f>
        <v/>
      </c>
      <c r="AD7" s="36">
        <f>AA7/52/$K7</f>
        <v/>
      </c>
      <c r="AE7" s="36">
        <f>($V7*(1+(($U7/100)*1)))</f>
        <v/>
      </c>
      <c r="AF7" s="36">
        <f>($W7*(1+(($U7/100)*1)))</f>
        <v/>
      </c>
      <c r="AG7" s="36">
        <f>($X7*(1+(($U7/100)*1)))</f>
        <v/>
      </c>
      <c r="AH7" s="36">
        <f>(AE7+(AE7*$J7)+(AE7*$M7)+(AE7*$N7)+(AE7*$O7)+(AE7*$P7)+(AE7*$Q7)+($R7)+(AE7*((52+$S7)/52))*(1+$T7))*1/$L7</f>
        <v/>
      </c>
      <c r="AI7" s="36">
        <f>(AF7+(AF7*$J7)+(AF7*$M7)+(AF7*$N7)+(AF7*$O7)+(AF7*$P7)+(AF7*$Q7)+($R7)+(AF7*((52+$S7)/52))*(1+$T7))*1/$L7</f>
        <v/>
      </c>
      <c r="AJ7" s="36">
        <f>(AG7+(AG7*$J7)+(AG7*$M7)+(AG7*$N7)+(AG7*$O7)+(AG7*$P7)+(AG7*$Q7)+($R7)+(AG7*((52+$S7)/52))*(1+$T7))*1/$L7</f>
        <v/>
      </c>
      <c r="AK7" s="36">
        <f>AH7/52/$K7</f>
        <v/>
      </c>
      <c r="AL7" s="36">
        <f>AI7/52/$K7</f>
        <v/>
      </c>
      <c r="AM7" s="36">
        <f>AJ7/52/$K7</f>
        <v/>
      </c>
      <c r="AN7" s="36">
        <f>($V7*(1+(($U7/100)*2)))</f>
        <v/>
      </c>
      <c r="AO7" s="36">
        <f>($W7*(1+(($U7/100)*2)))</f>
        <v/>
      </c>
      <c r="AP7" s="36">
        <f>($X7*(1+(($U7/100)*2)))</f>
        <v/>
      </c>
      <c r="AQ7" s="36">
        <f>(AN7+(AN7*$J7)+(AN7*$M7)+(AN7*$N7)+(AN7*$O7)+(AN7*$P7)+(AN7*$Q7)+($R7)+(AN7*((52+$S7)/52))*(1+$T7))*1/$L7</f>
        <v/>
      </c>
      <c r="AR7" s="36">
        <f>(AO7+(AO7*$J7)+(AO7*$M7)+(AO7*$N7)+(AO7*$O7)+(AO7*$P7)+(AO7*$Q7)+($R7)+(AO7*((52+$S7)/52))*(1+$T7))*1/$L7</f>
        <v/>
      </c>
      <c r="AS7" s="36">
        <f>(AP7+(AP7*$J7)+(AP7*$M7)+(AP7*$N7)+(AP7*$O7)+(AP7*$P7)+(AP7*$Q7)+($R7)+(AP7*((52+$S7)/52))*(1+$T7))*1/$L7</f>
        <v/>
      </c>
      <c r="AT7" s="36">
        <f>AQ7/52/$K7</f>
        <v/>
      </c>
      <c r="AU7" s="36">
        <f>AR7/52/$K7</f>
        <v/>
      </c>
      <c r="AV7" s="36">
        <f>AS7/52/$K7</f>
        <v/>
      </c>
      <c r="AW7" s="36">
        <f>($V7*(1+(($U7/100)*3)))</f>
        <v/>
      </c>
      <c r="AX7" s="36">
        <f>($W7*(1+(($U7/100)*3)))</f>
        <v/>
      </c>
      <c r="AY7" s="36">
        <f>($X7*(1+(($U7/100)*3)))</f>
        <v/>
      </c>
      <c r="AZ7" s="36">
        <f>(AW7+(AW7*$J7)+(AW7*$M7)+(AW7*$N7)+(AW7*$O7)+(AW7*$P7)+(AW7*$Q7)+($R7)+(AW7*((52+$S7)/52))*(1+$T7))*1/$L7</f>
        <v/>
      </c>
      <c r="BA7" s="36">
        <f>(AX7+(AX7*$J7)+(AX7*$M7)+(AX7*$N7)+(AX7*$O7)+(AX7*$P7)+(AX7*$Q7)+($R7)+(AX7*((52+$S7)/52))*(1+$T7))*1/$L7</f>
        <v/>
      </c>
      <c r="BB7" s="36">
        <f>(AY7+(AY7*$J7)+(AY7*$M7)+(AY7*$N7)+(AY7*$O7)+(AY7*$P7)+(AY7*$Q7)+($R7)+(AY7*((52+$S7)/52))*(1+$T7))*1/$L7</f>
        <v/>
      </c>
      <c r="BC7" s="36">
        <f>AZ7/52/$K7</f>
        <v/>
      </c>
      <c r="BD7" s="36">
        <f>BA7/52/$K7</f>
        <v/>
      </c>
      <c r="BE7" s="36">
        <f>BB7/52/$K7</f>
        <v/>
      </c>
      <c r="BF7" s="36">
        <f>($V7*(1+(($U7/100)*4)))</f>
        <v/>
      </c>
      <c r="BG7" s="36">
        <f>($W7*(1+(($U7/100)*4)))</f>
        <v/>
      </c>
      <c r="BH7" s="36">
        <f>($X7*(1+(($U7/100)*4)))</f>
        <v/>
      </c>
      <c r="BI7" s="36">
        <f>(BF7+(BF7*$J7)+(BF7*$M7)+(BF7*$N7)+(BF7*$O7)+(BF7*$P7)+(BF7*$Q7)+($R7)+(BF7*((52+$S7)/52))*(1+$T7))*1/$L7</f>
        <v/>
      </c>
      <c r="BJ7" s="36">
        <f>(BG7+(BG7*$J7)+(BG7*$M7)+(BG7*$N7)+(BG7*$O7)+(BG7*$P7)+(BG7*$Q7)+($R7)+(BG7*((52+$S7)/52))*(1+$T7))*1/$L7</f>
        <v/>
      </c>
      <c r="BK7" s="36">
        <f>(BH7+(BH7*$J7)+(BH7*$M7)+(BH7*$N7)+(BH7*$O7)+(BH7*$P7)+(BH7*$Q7)+($R7)+(BH7*((52+$S7)/52))*(1+$T7))*1/$L7</f>
        <v/>
      </c>
      <c r="BL7" s="36">
        <f>BI7/52/$K7</f>
        <v/>
      </c>
      <c r="BM7" s="36">
        <f>BJ7/52/$K7</f>
        <v/>
      </c>
      <c r="BN7" s="36">
        <f>BK7/52/$K7</f>
        <v/>
      </c>
    </row>
    <row r="8">
      <c r="A8" s="4" t="inlineStr">
        <is>
          <t>VIC</t>
        </is>
      </c>
      <c r="B8" s="19" t="inlineStr">
        <is>
          <t>Pathologists</t>
        </is>
      </c>
      <c r="C8" s="20" t="inlineStr">
        <is>
          <t>MP</t>
        </is>
      </c>
      <c r="D8" s="4" t="inlineStr">
        <is>
          <t>MEDICAL SPECIALISTS (VICTORIAN PUBLIC HEALTH SECTOR) (AMA VICTORIA/ASMOF) (SINGLE INTEREST EMPLOYERS) ENTERPRISE AGREEMENT 2022 – 2026</t>
        </is>
      </c>
      <c r="E8" s="21" t="inlineStr">
        <is>
          <t>Assume year 9, full time</t>
        </is>
      </c>
      <c r="F8" s="4" t="inlineStr">
        <is>
          <t>rightward skewed</t>
        </is>
      </c>
      <c r="G8" s="4" t="inlineStr">
        <is>
          <t>-</t>
        </is>
      </c>
      <c r="H8" s="5" t="inlineStr">
        <is>
          <t>6420.1-7383.20</t>
        </is>
      </c>
      <c r="I8" s="5" t="n">
        <v>2022</v>
      </c>
      <c r="J8" s="11" t="n">
        <v>0.105</v>
      </c>
      <c r="K8" s="32" t="n">
        <v>38</v>
      </c>
      <c r="L8" s="8" t="n">
        <v>1</v>
      </c>
      <c r="M8" s="8" t="n">
        <v>0</v>
      </c>
      <c r="N8" s="8" t="n">
        <v>0.035</v>
      </c>
      <c r="O8" s="27" t="n">
        <v>0</v>
      </c>
      <c r="P8" s="8" t="n">
        <v>0</v>
      </c>
      <c r="Q8" s="8" t="n">
        <v>0.046</v>
      </c>
      <c r="R8" s="23" t="n">
        <v>29000.16</v>
      </c>
      <c r="S8" s="9" t="n">
        <v>4</v>
      </c>
      <c r="T8" s="8" t="n">
        <v>0.175</v>
      </c>
      <c r="U8" s="8" t="n">
        <v>0.015</v>
      </c>
      <c r="V8" s="36">
        <f>4797.5*52</f>
        <v/>
      </c>
      <c r="W8" s="36">
        <f>V8+((X8-V8)/2)</f>
        <v/>
      </c>
      <c r="X8" s="36">
        <f>6596.65*52</f>
        <v/>
      </c>
      <c r="Y8" s="36">
        <f>(V8+(V8*$J8)+(V8*$M8)+(V8*$N8)+(V8*$O8)+(V8*$P8)+(V8*$Q8)+($R8)+(V8*((52+$S8)/52))*(1+$T8))*1/$L8</f>
        <v/>
      </c>
      <c r="Z8" s="36">
        <f>(W8+(W8*$J8)+(W8*$M8)+(W8*$N8)+(W8*$O8)+(W8*$P8)+(W8*$Q8)+($R8)+(W8*((52+$S8)/52))*(1+$T8))*1/$L8</f>
        <v/>
      </c>
      <c r="AA8" s="36">
        <f>(X8+(X8*$J8)+(X8*$M8)+(X8*$N8)+(X8*$O8)+(X8*$P8)+(X8*$Q8)+($R8)+(X8*((52+$S8)/52))*(1+$T8))*1/$L8</f>
        <v/>
      </c>
      <c r="AB8" s="36">
        <f>Y8/52/$K8</f>
        <v/>
      </c>
      <c r="AC8" s="36">
        <f>Z8/52/$K8</f>
        <v/>
      </c>
      <c r="AD8" s="36">
        <f>AA8/52/$K8</f>
        <v/>
      </c>
      <c r="AE8" s="36">
        <f>($V8*(1+(($U8/100)*1)))</f>
        <v/>
      </c>
      <c r="AF8" s="36">
        <f>($W8*(1+(($U8/100)*1)))</f>
        <v/>
      </c>
      <c r="AG8" s="36">
        <f>($X8*(1+(($U8/100)*1)))</f>
        <v/>
      </c>
      <c r="AH8" s="36">
        <f>(AE8+(AE8*$J8)+(AE8*$M8)+(AE8*$N8)+(AE8*$O8)+(AE8*$P8)+(AE8*$Q8)+($R8)+(AE8*((52+$S8)/52))*(1+$T8))*1/$L8</f>
        <v/>
      </c>
      <c r="AI8" s="36">
        <f>(AF8+(AF8*$J8)+(AF8*$M8)+(AF8*$N8)+(AF8*$O8)+(AF8*$P8)+(AF8*$Q8)+($R8)+(AF8*((52+$S8)/52))*(1+$T8))*1/$L8</f>
        <v/>
      </c>
      <c r="AJ8" s="36">
        <f>(AG8+(AG8*$J8)+(AG8*$M8)+(AG8*$N8)+(AG8*$O8)+(AG8*$P8)+(AG8*$Q8)+($R8)+(AG8*((52+$S8)/52))*(1+$T8))*1/$L8</f>
        <v/>
      </c>
      <c r="AK8" s="36">
        <f>AH8/52/$K8</f>
        <v/>
      </c>
      <c r="AL8" s="36">
        <f>AI8/52/$K8</f>
        <v/>
      </c>
      <c r="AM8" s="36">
        <f>AJ8/52/$K8</f>
        <v/>
      </c>
      <c r="AN8" s="36">
        <f>($V8*(1+(($U8/100)*2)))</f>
        <v/>
      </c>
      <c r="AO8" s="36">
        <f>($W8*(1+(($U8/100)*2)))</f>
        <v/>
      </c>
      <c r="AP8" s="36">
        <f>($X8*(1+(($U8/100)*2)))</f>
        <v/>
      </c>
      <c r="AQ8" s="36">
        <f>(AN8+(AN8*$J8)+(AN8*$M8)+(AN8*$N8)+(AN8*$O8)+(AN8*$P8)+(AN8*$Q8)+($R8)+(AN8*((52+$S8)/52))*(1+$T8))*1/$L8</f>
        <v/>
      </c>
      <c r="AR8" s="36">
        <f>(AO8+(AO8*$J8)+(AO8*$M8)+(AO8*$N8)+(AO8*$O8)+(AO8*$P8)+(AO8*$Q8)+($R8)+(AO8*((52+$S8)/52))*(1+$T8))*1/$L8</f>
        <v/>
      </c>
      <c r="AS8" s="36">
        <f>(AP8+(AP8*$J8)+(AP8*$M8)+(AP8*$N8)+(AP8*$O8)+(AP8*$P8)+(AP8*$Q8)+($R8)+(AP8*((52+$S8)/52))*(1+$T8))*1/$L8</f>
        <v/>
      </c>
      <c r="AT8" s="36">
        <f>AQ8/52/$K8</f>
        <v/>
      </c>
      <c r="AU8" s="36">
        <f>AR8/52/$K8</f>
        <v/>
      </c>
      <c r="AV8" s="36">
        <f>AS8/52/$K8</f>
        <v/>
      </c>
      <c r="AW8" s="36">
        <f>($V8*(1+(($U8/100)*3)))</f>
        <v/>
      </c>
      <c r="AX8" s="36">
        <f>($W8*(1+(($U8/100)*3)))</f>
        <v/>
      </c>
      <c r="AY8" s="36">
        <f>($X8*(1+(($U8/100)*3)))</f>
        <v/>
      </c>
      <c r="AZ8" s="36">
        <f>(AW8+(AW8*$J8)+(AW8*$M8)+(AW8*$N8)+(AW8*$O8)+(AW8*$P8)+(AW8*$Q8)+($R8)+(AW8*((52+$S8)/52))*(1+$T8))*1/$L8</f>
        <v/>
      </c>
      <c r="BA8" s="36">
        <f>(AX8+(AX8*$J8)+(AX8*$M8)+(AX8*$N8)+(AX8*$O8)+(AX8*$P8)+(AX8*$Q8)+($R8)+(AX8*((52+$S8)/52))*(1+$T8))*1/$L8</f>
        <v/>
      </c>
      <c r="BB8" s="36">
        <f>(AY8+(AY8*$J8)+(AY8*$M8)+(AY8*$N8)+(AY8*$O8)+(AY8*$P8)+(AY8*$Q8)+($R8)+(AY8*((52+$S8)/52))*(1+$T8))*1/$L8</f>
        <v/>
      </c>
      <c r="BC8" s="36">
        <f>AZ8/52/$K8</f>
        <v/>
      </c>
      <c r="BD8" s="36">
        <f>BA8/52/$K8</f>
        <v/>
      </c>
      <c r="BE8" s="36">
        <f>BB8/52/$K8</f>
        <v/>
      </c>
      <c r="BF8" s="36">
        <f>($V8*(1+(($U8/100)*4)))</f>
        <v/>
      </c>
      <c r="BG8" s="36">
        <f>($W8*(1+(($U8/100)*4)))</f>
        <v/>
      </c>
      <c r="BH8" s="36">
        <f>($X8*(1+(($U8/100)*4)))</f>
        <v/>
      </c>
      <c r="BI8" s="36">
        <f>(BF8+(BF8*$J8)+(BF8*$M8)+(BF8*$N8)+(BF8*$O8)+(BF8*$P8)+(BF8*$Q8)+($R8)+(BF8*((52+$S8)/52))*(1+$T8))*1/$L8</f>
        <v/>
      </c>
      <c r="BJ8" s="36">
        <f>(BG8+(BG8*$J8)+(BG8*$M8)+(BG8*$N8)+(BG8*$O8)+(BG8*$P8)+(BG8*$Q8)+($R8)+(BG8*((52+$S8)/52))*(1+$T8))*1/$L8</f>
        <v/>
      </c>
      <c r="BK8" s="36">
        <f>(BH8+(BH8*$J8)+(BH8*$M8)+(BH8*$N8)+(BH8*$O8)+(BH8*$P8)+(BH8*$Q8)+($R8)+(BH8*((52+$S8)/52))*(1+$T8))*1/$L8</f>
        <v/>
      </c>
      <c r="BL8" s="36">
        <f>BI8/52/$K8</f>
        <v/>
      </c>
      <c r="BM8" s="36">
        <f>BJ8/52/$K8</f>
        <v/>
      </c>
      <c r="BN8" s="36">
        <f>BK8/52/$K8</f>
        <v/>
      </c>
    </row>
    <row r="9">
      <c r="R9" s="23" t="n"/>
      <c r="U9" s="8" t="n"/>
      <c r="V9" s="36" t="n"/>
      <c r="W9" s="36" t="n"/>
      <c r="X9" s="36" t="n"/>
      <c r="Y9" s="36" t="n"/>
      <c r="Z9" s="36" t="n"/>
      <c r="AA9" s="36" t="n"/>
      <c r="AB9" s="36" t="n"/>
      <c r="AC9" s="36" t="n"/>
      <c r="AD9" s="36" t="n"/>
      <c r="AE9" s="5" t="n"/>
      <c r="AF9" s="36" t="n"/>
      <c r="AG9" s="5" t="n"/>
      <c r="AH9" s="5" t="n"/>
      <c r="AI9" s="5" t="n"/>
      <c r="AJ9" s="5" t="n"/>
      <c r="AK9" s="5" t="n"/>
      <c r="AL9" s="5" t="n"/>
      <c r="AM9" s="5" t="n"/>
      <c r="AN9" s="5" t="n"/>
      <c r="AO9" s="5" t="n"/>
      <c r="AP9" s="5" t="n"/>
      <c r="AQ9" s="5" t="n"/>
      <c r="AR9" s="5" t="n"/>
      <c r="AS9" s="5" t="n"/>
      <c r="AT9" s="5" t="n"/>
      <c r="AU9" s="5" t="n"/>
      <c r="AV9" s="5" t="n"/>
      <c r="AW9" s="5" t="n"/>
      <c r="AX9" s="5" t="n"/>
      <c r="AY9" s="5" t="n"/>
      <c r="AZ9" s="5" t="n"/>
      <c r="BA9" s="5" t="n"/>
      <c r="BB9" s="5" t="n"/>
      <c r="BC9" s="5" t="n"/>
      <c r="BD9" s="5" t="n"/>
      <c r="BE9" s="5" t="n"/>
      <c r="BF9" s="5" t="n"/>
      <c r="BG9" s="5" t="n"/>
      <c r="BH9" s="5" t="n"/>
      <c r="BI9" s="5" t="n"/>
      <c r="BJ9" s="5" t="n"/>
      <c r="BK9" s="5" t="n"/>
      <c r="BL9" s="5" t="n"/>
      <c r="BM9" s="5" t="n"/>
      <c r="BN9" s="5" t="n"/>
    </row>
    <row r="10">
      <c r="A10" s="4" t="inlineStr">
        <is>
          <t>SA</t>
        </is>
      </c>
      <c r="B10" s="19" t="inlineStr">
        <is>
          <t>Lab technician</t>
        </is>
      </c>
      <c r="C10" s="20" t="inlineStr">
        <is>
          <t>LT</t>
        </is>
      </c>
      <c r="D10" s="4" t="inlineStr">
        <is>
          <t>S.A. PUBLIC SECTOR SALARIED EMPLOYEES INTERIM AWARD</t>
        </is>
      </c>
      <c r="E10" s="21" t="inlineStr">
        <is>
          <t>TG0-1 - TGO-3</t>
        </is>
      </c>
      <c r="G10" s="24" t="inlineStr">
        <is>
          <t>SA Health Costing Table</t>
        </is>
      </c>
      <c r="I10" s="5" t="n">
        <v>2022</v>
      </c>
      <c r="J10" s="11" t="n">
        <v>0.105</v>
      </c>
      <c r="K10" s="32" t="n">
        <v>37.5</v>
      </c>
      <c r="L10" s="8" t="n">
        <v>1</v>
      </c>
      <c r="M10" s="8" t="n">
        <v>0.1</v>
      </c>
      <c r="N10" s="8" t="n">
        <v>0.035</v>
      </c>
      <c r="O10" s="27" t="n">
        <v>0</v>
      </c>
      <c r="P10" s="8" t="n">
        <v>0</v>
      </c>
      <c r="Q10" s="8" t="n">
        <v>0.046</v>
      </c>
      <c r="R10" s="23" t="n">
        <v>0</v>
      </c>
      <c r="S10" s="9" t="n">
        <v>4</v>
      </c>
      <c r="T10" s="8" t="n">
        <v>0</v>
      </c>
      <c r="U10" s="8" t="n">
        <v>0.015</v>
      </c>
      <c r="V10" s="36" t="n">
        <v>54364</v>
      </c>
      <c r="W10" s="36">
        <f>V10+((X10-V10)/2)</f>
        <v/>
      </c>
      <c r="X10" s="36" t="n">
        <v>100982</v>
      </c>
      <c r="Y10" s="36">
        <f>(V10+(V10*$J10)+(V10*$M10)+(V10*$N10)+(V10*$O10)+(V10*$P10)+(V10*$Q10)+($R10)+(V10*((52+$S10)/52))*(1+$T10))*1/$L10</f>
        <v/>
      </c>
      <c r="Z10" s="36">
        <f>(W10+(W10*$J10)+(W10*$M10)+(W10*$N10)+(W10*$O10)+(W10*$P10)+(W10*$Q10)+($R10)+(W10*((52+$S10)/52))*(1+$T10))*1/$L10</f>
        <v/>
      </c>
      <c r="AA10" s="36">
        <f>(X10+(X10*$J10)+(X10*$M10)+(X10*$N10)+(X10*$O10)+(X10*$P10)+(X10*$Q10)+($R10)+(X10*((52+$S10)/52))*(1+$T10))*1/$L10</f>
        <v/>
      </c>
      <c r="AB10" s="36">
        <f>Y10/52/$K10</f>
        <v/>
      </c>
      <c r="AC10" s="36">
        <f>Z10/52/$K10</f>
        <v/>
      </c>
      <c r="AD10" s="36">
        <f>AA10/52/$K10</f>
        <v/>
      </c>
      <c r="AE10" s="36">
        <f>($V10*(1+(($U10/100)*1)))</f>
        <v/>
      </c>
      <c r="AF10" s="36">
        <f>($W10*(1+(($U10/100)*1)))</f>
        <v/>
      </c>
      <c r="AG10" s="36">
        <f>($X10*(1+(($U10/100)*1)))</f>
        <v/>
      </c>
      <c r="AH10" s="36">
        <f>(AE10+(AE10*$J10)+(AE10*$M10)+(AE10*$N10)+(AE10*$O10)+(AE10*$P10)+(AE10*$Q10)+($R10)+(AE10*((52+$S10)/52))*(1+$T10))*1/$L10</f>
        <v/>
      </c>
      <c r="AI10" s="36">
        <f>(AF10+(AF10*$J10)+(AF10*$M10)+(AF10*$N10)+(AF10*$O10)+(AF10*$P10)+(AF10*$Q10)+($R10)+(AF10*((52+$S10)/52))*(1+$T10))*1/$L10</f>
        <v/>
      </c>
      <c r="AJ10" s="36">
        <f>(AG10+(AG10*$J10)+(AG10*$M10)+(AG10*$N10)+(AG10*$O10)+(AG10*$P10)+(AG10*$Q10)+($R10)+(AG10*((52+$S10)/52))*(1+$T10))*1/$L10</f>
        <v/>
      </c>
      <c r="AK10" s="36">
        <f>AH10/52/$K10</f>
        <v/>
      </c>
      <c r="AL10" s="36">
        <f>AI10/52/$K10</f>
        <v/>
      </c>
      <c r="AM10" s="36">
        <f>AJ10/52/$K10</f>
        <v/>
      </c>
      <c r="AN10" s="36">
        <f>($V10*(1+(($U10/100)*2)))</f>
        <v/>
      </c>
      <c r="AO10" s="36">
        <f>($W10*(1+(($U10/100)*2)))</f>
        <v/>
      </c>
      <c r="AP10" s="36">
        <f>($X10*(1+(($U10/100)*2)))</f>
        <v/>
      </c>
      <c r="AQ10" s="36">
        <f>(AN10+(AN10*$J10)+(AN10*$M10)+(AN10*$N10)+(AN10*$O10)+(AN10*$P10)+(AN10*$Q10)+($R10)+(AN10*((52+$S10)/52))*(1+$T10))*1/$L10</f>
        <v/>
      </c>
      <c r="AR10" s="36">
        <f>(AO10+(AO10*$J10)+(AO10*$M10)+(AO10*$N10)+(AO10*$O10)+(AO10*$P10)+(AO10*$Q10)+($R10)+(AO10*((52+$S10)/52))*(1+$T10))*1/$L10</f>
        <v/>
      </c>
      <c r="AS10" s="36">
        <f>(AP10+(AP10*$J10)+(AP10*$M10)+(AP10*$N10)+(AP10*$O10)+(AP10*$P10)+(AP10*$Q10)+($R10)+(AP10*((52+$S10)/52))*(1+$T10))*1/$L10</f>
        <v/>
      </c>
      <c r="AT10" s="36">
        <f>AQ10/52/$K10</f>
        <v/>
      </c>
      <c r="AU10" s="36">
        <f>AR10/52/$K10</f>
        <v/>
      </c>
      <c r="AV10" s="36">
        <f>AS10/52/$K10</f>
        <v/>
      </c>
      <c r="AW10" s="36">
        <f>($V10*(1+(($U10/100)*3)))</f>
        <v/>
      </c>
      <c r="AX10" s="36">
        <f>($W10*(1+(($U10/100)*3)))</f>
        <v/>
      </c>
      <c r="AY10" s="36">
        <f>($X10*(1+(($U10/100)*3)))</f>
        <v/>
      </c>
      <c r="AZ10" s="36">
        <f>(AW10+(AW10*$J10)+(AW10*$M10)+(AW10*$N10)+(AW10*$O10)+(AW10*$P10)+(AW10*$Q10)+($R10)+(AW10*((52+$S10)/52))*(1+$T10))*1/$L10</f>
        <v/>
      </c>
      <c r="BA10" s="36">
        <f>(AX10+(AX10*$J10)+(AX10*$M10)+(AX10*$N10)+(AX10*$O10)+(AX10*$P10)+(AX10*$Q10)+($R10)+(AX10*((52+$S10)/52))*(1+$T10))*1/$L10</f>
        <v/>
      </c>
      <c r="BB10" s="36">
        <f>(AY10+(AY10*$J10)+(AY10*$M10)+(AY10*$N10)+(AY10*$O10)+(AY10*$P10)+(AY10*$Q10)+($R10)+(AY10*((52+$S10)/52))*(1+$T10))*1/$L10</f>
        <v/>
      </c>
      <c r="BC10" s="36">
        <f>AZ10/52/$K10</f>
        <v/>
      </c>
      <c r="BD10" s="36">
        <f>BA10/52/$K10</f>
        <v/>
      </c>
      <c r="BE10" s="36">
        <f>BB10/52/$K10</f>
        <v/>
      </c>
      <c r="BF10" s="36">
        <f>($V10*(1+(($U10/100)*4)))</f>
        <v/>
      </c>
      <c r="BG10" s="36">
        <f>($W10*(1+(($U10/100)*4)))</f>
        <v/>
      </c>
      <c r="BH10" s="36">
        <f>($X10*(1+(($U10/100)*4)))</f>
        <v/>
      </c>
      <c r="BI10" s="36">
        <f>(BF10+(BF10*$J10)+(BF10*$M10)+(BF10*$N10)+(BF10*$O10)+(BF10*$P10)+(BF10*$Q10)+($R10)+(BF10*((52+$S10)/52))*(1+$T10))*1/$L10</f>
        <v/>
      </c>
      <c r="BJ10" s="36">
        <f>(BG10+(BG10*$J10)+(BG10*$M10)+(BG10*$N10)+(BG10*$O10)+(BG10*$P10)+(BG10*$Q10)+($R10)+(BG10*((52+$S10)/52))*(1+$T10))*1/$L10</f>
        <v/>
      </c>
      <c r="BK10" s="36">
        <f>(BH10+(BH10*$J10)+(BH10*$M10)+(BH10*$N10)+(BH10*$O10)+(BH10*$P10)+(BH10*$Q10)+($R10)+(BH10*((52+$S10)/52))*(1+$T10))*1/$L10</f>
        <v/>
      </c>
      <c r="BL10" s="36">
        <f>BI10/52/$K10</f>
        <v/>
      </c>
      <c r="BM10" s="36">
        <f>BJ10/52/$K10</f>
        <v/>
      </c>
      <c r="BN10" s="36">
        <f>BK10/52/$K10</f>
        <v/>
      </c>
    </row>
    <row r="11">
      <c r="A11" s="4" t="inlineStr">
        <is>
          <t>SA</t>
        </is>
      </c>
      <c r="B11" s="19" t="inlineStr">
        <is>
          <t>Medical scientist</t>
        </is>
      </c>
      <c r="C11" s="20" t="inlineStr">
        <is>
          <t>MS</t>
        </is>
      </c>
      <c r="D11" s="4" t="inlineStr">
        <is>
          <t>MEDICAL SCIENTISTS (SOUTH AUSTRALIAN PUBLIC SECTOR) AWARD</t>
        </is>
      </c>
      <c r="E11" s="21" t="inlineStr">
        <is>
          <t>MS1 - MS4</t>
        </is>
      </c>
      <c r="F11" s="4" t="inlineStr">
        <is>
          <t>-</t>
        </is>
      </c>
      <c r="G11" s="4" t="inlineStr">
        <is>
          <t>pp38 (Schedule 4, pg 1)</t>
        </is>
      </c>
      <c r="H11" s="5" t="inlineStr">
        <is>
          <t>1145.45-2310.89</t>
        </is>
      </c>
      <c r="I11" s="5" t="n">
        <v>2022</v>
      </c>
      <c r="J11" s="11" t="n">
        <v>0.105</v>
      </c>
      <c r="K11" s="32" t="n">
        <v>37.5</v>
      </c>
      <c r="L11" s="8" t="n">
        <v>1</v>
      </c>
      <c r="M11" s="8" t="n">
        <v>0.1</v>
      </c>
      <c r="N11" s="8" t="n">
        <v>0.035</v>
      </c>
      <c r="O11" s="27" t="n">
        <v>0</v>
      </c>
      <c r="P11" s="8" t="n">
        <v>0</v>
      </c>
      <c r="Q11" s="8" t="n">
        <v>0.046</v>
      </c>
      <c r="R11" s="23" t="n">
        <v>0</v>
      </c>
      <c r="S11" s="9" t="n">
        <v>5</v>
      </c>
      <c r="T11" s="8" t="n">
        <v>0</v>
      </c>
      <c r="U11" s="8" t="n">
        <v>0.015</v>
      </c>
      <c r="V11" s="36" t="n">
        <v>66386</v>
      </c>
      <c r="W11" s="36">
        <f>V11+((X11-V11)/2)</f>
        <v/>
      </c>
      <c r="X11" s="36" t="n">
        <v>142090</v>
      </c>
      <c r="Y11" s="36">
        <f>(V11+(V11*$J11)+(V11*$M11)+(V11*$N11)+(V11*$O11)+(V11*$P11)+(V11*$Q11)+($R11)+(V11*((52+$S11)/52))*(1+$T11))*1/$L11</f>
        <v/>
      </c>
      <c r="Z11" s="36">
        <f>(W11+(W11*$J11)+(W11*$M11)+(W11*$N11)+(W11*$O11)+(W11*$P11)+(W11*$Q11)+($R11)+(W11*((52+$S11)/52))*(1+$T11))*1/$L11</f>
        <v/>
      </c>
      <c r="AA11" s="36">
        <f>(X11+(X11*$J11)+(X11*$M11)+(X11*$N11)+(X11*$O11)+(X11*$P11)+(X11*$Q11)+($R11)+(X11*((52+$S11)/52))*(1+$T11))*1/$L11</f>
        <v/>
      </c>
      <c r="AB11" s="36">
        <f>Y11/52/$K11</f>
        <v/>
      </c>
      <c r="AC11" s="36">
        <f>Z11/52/$K11</f>
        <v/>
      </c>
      <c r="AD11" s="36">
        <f>AA11/52/$K11</f>
        <v/>
      </c>
      <c r="AE11" s="36">
        <f>($V11*(1+(($U11/100)*1)))</f>
        <v/>
      </c>
      <c r="AF11" s="36">
        <f>($W11*(1+(($U11/100)*1)))</f>
        <v/>
      </c>
      <c r="AG11" s="36">
        <f>($X11*(1+(($U11/100)*1)))</f>
        <v/>
      </c>
      <c r="AH11" s="36">
        <f>(AE11+(AE11*$J11)+(AE11*$M11)+(AE11*$N11)+(AE11*$O11)+(AE11*$P11)+(AE11*$Q11)+($R11)+(AE11*((52+$S11)/52))*(1+$T11))*1/$L11</f>
        <v/>
      </c>
      <c r="AI11" s="36">
        <f>(AF11+(AF11*$J11)+(AF11*$M11)+(AF11*$N11)+(AF11*$O11)+(AF11*$P11)+(AF11*$Q11)+($R11)+(AF11*((52+$S11)/52))*(1+$T11))*1/$L11</f>
        <v/>
      </c>
      <c r="AJ11" s="36">
        <f>(AG11+(AG11*$J11)+(AG11*$M11)+(AG11*$N11)+(AG11*$O11)+(AG11*$P11)+(AG11*$Q11)+($R11)+(AG11*((52+$S11)/52))*(1+$T11))*1/$L11</f>
        <v/>
      </c>
      <c r="AK11" s="36">
        <f>AH11/52/$K11</f>
        <v/>
      </c>
      <c r="AL11" s="36">
        <f>AI11/52/$K11</f>
        <v/>
      </c>
      <c r="AM11" s="36">
        <f>AJ11/52/$K11</f>
        <v/>
      </c>
      <c r="AN11" s="36">
        <f>($V11*(1+(($U11/100)*2)))</f>
        <v/>
      </c>
      <c r="AO11" s="36">
        <f>($W11*(1+(($U11/100)*2)))</f>
        <v/>
      </c>
      <c r="AP11" s="36">
        <f>($X11*(1+(($U11/100)*2)))</f>
        <v/>
      </c>
      <c r="AQ11" s="36">
        <f>(AN11+(AN11*$J11)+(AN11*$M11)+(AN11*$N11)+(AN11*$O11)+(AN11*$P11)+(AN11*$Q11)+($R11)+(AN11*((52+$S11)/52))*(1+$T11))*1/$L11</f>
        <v/>
      </c>
      <c r="AR11" s="36">
        <f>(AO11+(AO11*$J11)+(AO11*$M11)+(AO11*$N11)+(AO11*$O11)+(AO11*$P11)+(AO11*$Q11)+($R11)+(AO11*((52+$S11)/52))*(1+$T11))*1/$L11</f>
        <v/>
      </c>
      <c r="AS11" s="36">
        <f>(AP11+(AP11*$J11)+(AP11*$M11)+(AP11*$N11)+(AP11*$O11)+(AP11*$P11)+(AP11*$Q11)+($R11)+(AP11*((52+$S11)/52))*(1+$T11))*1/$L11</f>
        <v/>
      </c>
      <c r="AT11" s="36">
        <f>AQ11/52/$K11</f>
        <v/>
      </c>
      <c r="AU11" s="36">
        <f>AR11/52/$K11</f>
        <v/>
      </c>
      <c r="AV11" s="36">
        <f>AS11/52/$K11</f>
        <v/>
      </c>
      <c r="AW11" s="36">
        <f>($V11*(1+(($U11/100)*3)))</f>
        <v/>
      </c>
      <c r="AX11" s="36">
        <f>($W11*(1+(($U11/100)*3)))</f>
        <v/>
      </c>
      <c r="AY11" s="36">
        <f>($X11*(1+(($U11/100)*3)))</f>
        <v/>
      </c>
      <c r="AZ11" s="36">
        <f>(AW11+(AW11*$J11)+(AW11*$M11)+(AW11*$N11)+(AW11*$O11)+(AW11*$P11)+(AW11*$Q11)+($R11)+(AW11*((52+$S11)/52))*(1+$T11))*1/$L11</f>
        <v/>
      </c>
      <c r="BA11" s="36">
        <f>(AX11+(AX11*$J11)+(AX11*$M11)+(AX11*$N11)+(AX11*$O11)+(AX11*$P11)+(AX11*$Q11)+($R11)+(AX11*((52+$S11)/52))*(1+$T11))*1/$L11</f>
        <v/>
      </c>
      <c r="BB11" s="36">
        <f>(AY11+(AY11*$J11)+(AY11*$M11)+(AY11*$N11)+(AY11*$O11)+(AY11*$P11)+(AY11*$Q11)+($R11)+(AY11*((52+$S11)/52))*(1+$T11))*1/$L11</f>
        <v/>
      </c>
      <c r="BC11" s="36">
        <f>AZ11/52/$K11</f>
        <v/>
      </c>
      <c r="BD11" s="36">
        <f>BA11/52/$K11</f>
        <v/>
      </c>
      <c r="BE11" s="36">
        <f>BB11/52/$K11</f>
        <v/>
      </c>
      <c r="BF11" s="36">
        <f>($V11*(1+(($U11/100)*4)))</f>
        <v/>
      </c>
      <c r="BG11" s="36">
        <f>($W11*(1+(($U11/100)*4)))</f>
        <v/>
      </c>
      <c r="BH11" s="36">
        <f>($X11*(1+(($U11/100)*4)))</f>
        <v/>
      </c>
      <c r="BI11" s="36">
        <f>(BF11+(BF11*$J11)+(BF11*$M11)+(BF11*$N11)+(BF11*$O11)+(BF11*$P11)+(BF11*$Q11)+($R11)+(BF11*((52+$S11)/52))*(1+$T11))*1/$L11</f>
        <v/>
      </c>
      <c r="BJ11" s="36">
        <f>(BG11+(BG11*$J11)+(BG11*$M11)+(BG11*$N11)+(BG11*$O11)+(BG11*$P11)+(BG11*$Q11)+($R11)+(BG11*((52+$S11)/52))*(1+$T11))*1/$L11</f>
        <v/>
      </c>
      <c r="BK11" s="36">
        <f>(BH11+(BH11*$J11)+(BH11*$M11)+(BH11*$N11)+(BH11*$O11)+(BH11*$P11)+(BH11*$Q11)+($R11)+(BH11*((52+$S11)/52))*(1+$T11))*1/$L11</f>
        <v/>
      </c>
      <c r="BL11" s="36">
        <f>BI11/52/$K11</f>
        <v/>
      </c>
      <c r="BM11" s="36">
        <f>BJ11/52/$K11</f>
        <v/>
      </c>
      <c r="BN11" s="36">
        <f>BK11/52/$K11</f>
        <v/>
      </c>
    </row>
    <row r="12">
      <c r="A12" s="4" t="inlineStr">
        <is>
          <t>SA</t>
        </is>
      </c>
      <c r="B12" s="19" t="inlineStr">
        <is>
          <t>Admin staff</t>
        </is>
      </c>
      <c r="C12" s="20" t="inlineStr">
        <is>
          <t>AS</t>
        </is>
      </c>
      <c r="D12" s="4" t="inlineStr">
        <is>
          <t>S.A. PUBLIC SECTOR SALARIED EMPLOYEES INTERIM AWARD</t>
        </is>
      </c>
      <c r="E12" s="21" t="inlineStr">
        <is>
          <t>ASO2-1 - ASO3-3</t>
        </is>
      </c>
      <c r="I12" s="5" t="n">
        <v>2022</v>
      </c>
      <c r="J12" s="11" t="n">
        <v>0.105</v>
      </c>
      <c r="K12" s="32" t="n">
        <v>37.5</v>
      </c>
      <c r="L12" s="8" t="n">
        <v>1</v>
      </c>
      <c r="M12" s="8" t="n">
        <v>0.1</v>
      </c>
      <c r="N12" s="8" t="n">
        <v>0.035</v>
      </c>
      <c r="O12" s="27" t="n">
        <v>0</v>
      </c>
      <c r="P12" s="8" t="n">
        <v>0</v>
      </c>
      <c r="Q12" s="8" t="n">
        <v>0.046</v>
      </c>
      <c r="R12" s="23" t="n">
        <v>0</v>
      </c>
      <c r="S12" s="9" t="n">
        <v>4</v>
      </c>
      <c r="T12" s="8" t="n">
        <v>0</v>
      </c>
      <c r="U12" s="8" t="n">
        <v>0.015</v>
      </c>
      <c r="V12" s="36" t="n">
        <v>56916</v>
      </c>
      <c r="W12" s="36">
        <f>V12+((X12-V12)/2)</f>
        <v/>
      </c>
      <c r="X12" s="36" t="n">
        <v>69832</v>
      </c>
      <c r="Y12" s="36">
        <f>(V12+(V12*$J12)+(V12*$M12)+(V12*$N12)+(V12*$O12)+(V12*$P12)+(V12*$Q12)+($R12)+(V12*((52+$S12)/52))*(1+$T12))*1/$L12</f>
        <v/>
      </c>
      <c r="Z12" s="36">
        <f>(W12+(W12*$J12)+(W12*$M12)+(W12*$N12)+(W12*$O12)+(W12*$P12)+(W12*$Q12)+($R12)+(W12*((52+$S12)/52))*(1+$T12))*1/$L12</f>
        <v/>
      </c>
      <c r="AA12" s="36">
        <f>(X12+(X12*$J12)+(X12*$M12)+(X12*$N12)+(X12*$O12)+(X12*$P12)+(X12*$Q12)+($R12)+(X12*((52+$S12)/52))*(1+$T12))*1/$L12</f>
        <v/>
      </c>
      <c r="AB12" s="36">
        <f>Y12/52/$K12</f>
        <v/>
      </c>
      <c r="AC12" s="36">
        <f>Z12/52/$K12</f>
        <v/>
      </c>
      <c r="AD12" s="36">
        <f>AA12/52/$K12</f>
        <v/>
      </c>
      <c r="AE12" s="36">
        <f>($V12*(1+(($U12/100)*1)))</f>
        <v/>
      </c>
      <c r="AF12" s="36">
        <f>($W12*(1+(($U12/100)*1)))</f>
        <v/>
      </c>
      <c r="AG12" s="36">
        <f>($X12*(1+(($U12/100)*1)))</f>
        <v/>
      </c>
      <c r="AH12" s="36">
        <f>(AE12+(AE12*$J12)+(AE12*$M12)+(AE12*$N12)+(AE12*$O12)+(AE12*$P12)+(AE12*$Q12)+($R12)+(AE12*((52+$S12)/52))*(1+$T12))*1/$L12</f>
        <v/>
      </c>
      <c r="AI12" s="36">
        <f>(AF12+(AF12*$J12)+(AF12*$M12)+(AF12*$N12)+(AF12*$O12)+(AF12*$P12)+(AF12*$Q12)+($R12)+(AF12*((52+$S12)/52))*(1+$T12))*1/$L12</f>
        <v/>
      </c>
      <c r="AJ12" s="36">
        <f>(AG12+(AG12*$J12)+(AG12*$M12)+(AG12*$N12)+(AG12*$O12)+(AG12*$P12)+(AG12*$Q12)+($R12)+(AG12*((52+$S12)/52))*(1+$T12))*1/$L12</f>
        <v/>
      </c>
      <c r="AK12" s="36">
        <f>AH12/52/$K12</f>
        <v/>
      </c>
      <c r="AL12" s="36">
        <f>AI12/52/$K12</f>
        <v/>
      </c>
      <c r="AM12" s="36">
        <f>AJ12/52/$K12</f>
        <v/>
      </c>
      <c r="AN12" s="36">
        <f>($V12*(1+(($U12/100)*2)))</f>
        <v/>
      </c>
      <c r="AO12" s="36">
        <f>($W12*(1+(($U12/100)*2)))</f>
        <v/>
      </c>
      <c r="AP12" s="36">
        <f>($X12*(1+(($U12/100)*2)))</f>
        <v/>
      </c>
      <c r="AQ12" s="36">
        <f>(AN12+(AN12*$J12)+(AN12*$M12)+(AN12*$N12)+(AN12*$O12)+(AN12*$P12)+(AN12*$Q12)+($R12)+(AN12*((52+$S12)/52))*(1+$T12))*1/$L12</f>
        <v/>
      </c>
      <c r="AR12" s="36">
        <f>(AO12+(AO12*$J12)+(AO12*$M12)+(AO12*$N12)+(AO12*$O12)+(AO12*$P12)+(AO12*$Q12)+($R12)+(AO12*((52+$S12)/52))*(1+$T12))*1/$L12</f>
        <v/>
      </c>
      <c r="AS12" s="36">
        <f>(AP12+(AP12*$J12)+(AP12*$M12)+(AP12*$N12)+(AP12*$O12)+(AP12*$P12)+(AP12*$Q12)+($R12)+(AP12*((52+$S12)/52))*(1+$T12))*1/$L12</f>
        <v/>
      </c>
      <c r="AT12" s="36">
        <f>AQ12/52/$K12</f>
        <v/>
      </c>
      <c r="AU12" s="36">
        <f>AR12/52/$K12</f>
        <v/>
      </c>
      <c r="AV12" s="36">
        <f>AS12/52/$K12</f>
        <v/>
      </c>
      <c r="AW12" s="36">
        <f>($V12*(1+(($U12/100)*3)))</f>
        <v/>
      </c>
      <c r="AX12" s="36">
        <f>($W12*(1+(($U12/100)*3)))</f>
        <v/>
      </c>
      <c r="AY12" s="36">
        <f>($X12*(1+(($U12/100)*3)))</f>
        <v/>
      </c>
      <c r="AZ12" s="36">
        <f>(AW12+(AW12*$J12)+(AW12*$M12)+(AW12*$N12)+(AW12*$O12)+(AW12*$P12)+(AW12*$Q12)+($R12)+(AW12*((52+$S12)/52))*(1+$T12))*1/$L12</f>
        <v/>
      </c>
      <c r="BA12" s="36">
        <f>(AX12+(AX12*$J12)+(AX12*$M12)+(AX12*$N12)+(AX12*$O12)+(AX12*$P12)+(AX12*$Q12)+($R12)+(AX12*((52+$S12)/52))*(1+$T12))*1/$L12</f>
        <v/>
      </c>
      <c r="BB12" s="36">
        <f>(AY12+(AY12*$J12)+(AY12*$M12)+(AY12*$N12)+(AY12*$O12)+(AY12*$P12)+(AY12*$Q12)+($R12)+(AY12*((52+$S12)/52))*(1+$T12))*1/$L12</f>
        <v/>
      </c>
      <c r="BC12" s="36">
        <f>AZ12/52/$K12</f>
        <v/>
      </c>
      <c r="BD12" s="36">
        <f>BA12/52/$K12</f>
        <v/>
      </c>
      <c r="BE12" s="36">
        <f>BB12/52/$K12</f>
        <v/>
      </c>
      <c r="BF12" s="36">
        <f>($V12*(1+(($U12/100)*4)))</f>
        <v/>
      </c>
      <c r="BG12" s="36">
        <f>($W12*(1+(($U12/100)*4)))</f>
        <v/>
      </c>
      <c r="BH12" s="36">
        <f>($X12*(1+(($U12/100)*4)))</f>
        <v/>
      </c>
      <c r="BI12" s="36">
        <f>(BF12+(BF12*$J12)+(BF12*$M12)+(BF12*$N12)+(BF12*$O12)+(BF12*$P12)+(BF12*$Q12)+($R12)+(BF12*((52+$S12)/52))*(1+$T12))*1/$L12</f>
        <v/>
      </c>
      <c r="BJ12" s="36">
        <f>(BG12+(BG12*$J12)+(BG12*$M12)+(BG12*$N12)+(BG12*$O12)+(BG12*$P12)+(BG12*$Q12)+($R12)+(BG12*((52+$S12)/52))*(1+$T12))*1/$L12</f>
        <v/>
      </c>
      <c r="BK12" s="36">
        <f>(BH12+(BH12*$J12)+(BH12*$M12)+(BH12*$N12)+(BH12*$O12)+(BH12*$P12)+(BH12*$Q12)+($R12)+(BH12*((52+$S12)/52))*(1+$T12))*1/$L12</f>
        <v/>
      </c>
      <c r="BL12" s="36">
        <f>BI12/52/$K12</f>
        <v/>
      </c>
      <c r="BM12" s="36">
        <f>BJ12/52/$K12</f>
        <v/>
      </c>
      <c r="BN12" s="36">
        <f>BK12/52/$K12</f>
        <v/>
      </c>
    </row>
    <row r="13">
      <c r="A13" s="4" t="inlineStr">
        <is>
          <t>SA</t>
        </is>
      </c>
      <c r="B13" s="19" t="inlineStr">
        <is>
          <t>Bioinformatics staff</t>
        </is>
      </c>
      <c r="C13" s="20" t="inlineStr">
        <is>
          <t>BI</t>
        </is>
      </c>
      <c r="D13" s="4" t="inlineStr">
        <is>
          <t>S.A. PUBLIC SECTOR SALARIED EMPLOYEES INTERIM AWARD</t>
        </is>
      </c>
      <c r="E13" s="21" t="inlineStr">
        <is>
          <t>PO-1 - PO-4</t>
        </is>
      </c>
      <c r="I13" s="5" t="n">
        <v>2022</v>
      </c>
      <c r="J13" s="11" t="n">
        <v>0.105</v>
      </c>
      <c r="K13" s="32" t="n">
        <v>37.5</v>
      </c>
      <c r="L13" s="8" t="n">
        <v>1</v>
      </c>
      <c r="M13" s="8" t="n">
        <v>0.1</v>
      </c>
      <c r="N13" s="8" t="n">
        <v>0.035</v>
      </c>
      <c r="O13" s="27" t="n">
        <v>0</v>
      </c>
      <c r="P13" s="8" t="n">
        <v>0</v>
      </c>
      <c r="Q13" s="8" t="n">
        <v>0.046</v>
      </c>
      <c r="R13" s="23" t="n">
        <v>0</v>
      </c>
      <c r="S13" s="9" t="n">
        <v>4</v>
      </c>
      <c r="T13" s="8" t="n">
        <v>0</v>
      </c>
      <c r="U13" s="8" t="n">
        <v>0.015</v>
      </c>
      <c r="V13" s="36" t="n">
        <v>66386</v>
      </c>
      <c r="W13" s="36">
        <f>V13+((X13-V13)/2)</f>
        <v/>
      </c>
      <c r="X13" s="36" t="n">
        <v>116789</v>
      </c>
      <c r="Y13" s="36">
        <f>(V13+(V13*$J13)+(V13*$M13)+(V13*$N13)+(V13*$O13)+(V13*$P13)+(V13*$Q13)+($R13)+(V13*((52+$S13)/52))*(1+$T13))*1/$L13</f>
        <v/>
      </c>
      <c r="Z13" s="36">
        <f>(W13+(W13*$J13)+(W13*$M13)+(W13*$N13)+(W13*$O13)+(W13*$P13)+(W13*$Q13)+($R13)+(W13*((52+$S13)/52))*(1+$T13))*1/$L13</f>
        <v/>
      </c>
      <c r="AA13" s="36">
        <f>(X13+(X13*$J13)+(X13*$M13)+(X13*$N13)+(X13*$O13)+(X13*$P13)+(X13*$Q13)+($R13)+(X13*((52+$S13)/52))*(1+$T13))*1/$L13</f>
        <v/>
      </c>
      <c r="AB13" s="36">
        <f>Y13/52/$K13</f>
        <v/>
      </c>
      <c r="AC13" s="36">
        <f>Z13/52/$K13</f>
        <v/>
      </c>
      <c r="AD13" s="36">
        <f>AA13/52/$K13</f>
        <v/>
      </c>
      <c r="AE13" s="36">
        <f>($V13*(1+(($U13/100)*1)))</f>
        <v/>
      </c>
      <c r="AF13" s="36">
        <f>($W13*(1+(($U13/100)*1)))</f>
        <v/>
      </c>
      <c r="AG13" s="36">
        <f>($X13*(1+(($U13/100)*1)))</f>
        <v/>
      </c>
      <c r="AH13" s="36">
        <f>(AE13+(AE13*$J13)+(AE13*$M13)+(AE13*$N13)+(AE13*$O13)+(AE13*$P13)+(AE13*$Q13)+($R13)+(AE13*((52+$S13)/52))*(1+$T13))*1/$L13</f>
        <v/>
      </c>
      <c r="AI13" s="36">
        <f>(AF13+(AF13*$J13)+(AF13*$M13)+(AF13*$N13)+(AF13*$O13)+(AF13*$P13)+(AF13*$Q13)+($R13)+(AF13*((52+$S13)/52))*(1+$T13))*1/$L13</f>
        <v/>
      </c>
      <c r="AJ13" s="36">
        <f>(AG13+(AG13*$J13)+(AG13*$M13)+(AG13*$N13)+(AG13*$O13)+(AG13*$P13)+(AG13*$Q13)+($R13)+(AG13*((52+$S13)/52))*(1+$T13))*1/$L13</f>
        <v/>
      </c>
      <c r="AK13" s="36">
        <f>AH13/52/$K13</f>
        <v/>
      </c>
      <c r="AL13" s="36">
        <f>AI13/52/$K13</f>
        <v/>
      </c>
      <c r="AM13" s="36">
        <f>AJ13/52/$K13</f>
        <v/>
      </c>
      <c r="AN13" s="36">
        <f>($V13*(1+(($U13/100)*2)))</f>
        <v/>
      </c>
      <c r="AO13" s="36">
        <f>($W13*(1+(($U13/100)*2)))</f>
        <v/>
      </c>
      <c r="AP13" s="36">
        <f>($X13*(1+(($U13/100)*2)))</f>
        <v/>
      </c>
      <c r="AQ13" s="36">
        <f>(AN13+(AN13*$J13)+(AN13*$M13)+(AN13*$N13)+(AN13*$O13)+(AN13*$P13)+(AN13*$Q13)+($R13)+(AN13*((52+$S13)/52))*(1+$T13))*1/$L13</f>
        <v/>
      </c>
      <c r="AR13" s="36">
        <f>(AO13+(AO13*$J13)+(AO13*$M13)+(AO13*$N13)+(AO13*$O13)+(AO13*$P13)+(AO13*$Q13)+($R13)+(AO13*((52+$S13)/52))*(1+$T13))*1/$L13</f>
        <v/>
      </c>
      <c r="AS13" s="36">
        <f>(AP13+(AP13*$J13)+(AP13*$M13)+(AP13*$N13)+(AP13*$O13)+(AP13*$P13)+(AP13*$Q13)+($R13)+(AP13*((52+$S13)/52))*(1+$T13))*1/$L13</f>
        <v/>
      </c>
      <c r="AT13" s="36">
        <f>AQ13/52/$K13</f>
        <v/>
      </c>
      <c r="AU13" s="36">
        <f>AR13/52/$K13</f>
        <v/>
      </c>
      <c r="AV13" s="36">
        <f>AS13/52/$K13</f>
        <v/>
      </c>
      <c r="AW13" s="36">
        <f>($V13*(1+(($U13/100)*3)))</f>
        <v/>
      </c>
      <c r="AX13" s="36">
        <f>($W13*(1+(($U13/100)*3)))</f>
        <v/>
      </c>
      <c r="AY13" s="36">
        <f>($X13*(1+(($U13/100)*3)))</f>
        <v/>
      </c>
      <c r="AZ13" s="36">
        <f>(AW13+(AW13*$J13)+(AW13*$M13)+(AW13*$N13)+(AW13*$O13)+(AW13*$P13)+(AW13*$Q13)+($R13)+(AW13*((52+$S13)/52))*(1+$T13))*1/$L13</f>
        <v/>
      </c>
      <c r="BA13" s="36">
        <f>(AX13+(AX13*$J13)+(AX13*$M13)+(AX13*$N13)+(AX13*$O13)+(AX13*$P13)+(AX13*$Q13)+($R13)+(AX13*((52+$S13)/52))*(1+$T13))*1/$L13</f>
        <v/>
      </c>
      <c r="BB13" s="36">
        <f>(AY13+(AY13*$J13)+(AY13*$M13)+(AY13*$N13)+(AY13*$O13)+(AY13*$P13)+(AY13*$Q13)+($R13)+(AY13*((52+$S13)/52))*(1+$T13))*1/$L13</f>
        <v/>
      </c>
      <c r="BC13" s="36">
        <f>AZ13/52/$K13</f>
        <v/>
      </c>
      <c r="BD13" s="36">
        <f>BA13/52/$K13</f>
        <v/>
      </c>
      <c r="BE13" s="36">
        <f>BB13/52/$K13</f>
        <v/>
      </c>
      <c r="BF13" s="36">
        <f>($V13*(1+(($U13/100)*4)))</f>
        <v/>
      </c>
      <c r="BG13" s="36">
        <f>($W13*(1+(($U13/100)*4)))</f>
        <v/>
      </c>
      <c r="BH13" s="36">
        <f>($X13*(1+(($U13/100)*4)))</f>
        <v/>
      </c>
      <c r="BI13" s="36">
        <f>(BF13+(BF13*$J13)+(BF13*$M13)+(BF13*$N13)+(BF13*$O13)+(BF13*$P13)+(BF13*$Q13)+($R13)+(BF13*((52+$S13)/52))*(1+$T13))*1/$L13</f>
        <v/>
      </c>
      <c r="BJ13" s="36">
        <f>(BG13+(BG13*$J13)+(BG13*$M13)+(BG13*$N13)+(BG13*$O13)+(BG13*$P13)+(BG13*$Q13)+($R13)+(BG13*((52+$S13)/52))*(1+$T13))*1/$L13</f>
        <v/>
      </c>
      <c r="BK13" s="36">
        <f>(BH13+(BH13*$J13)+(BH13*$M13)+(BH13*$N13)+(BH13*$O13)+(BH13*$P13)+(BH13*$Q13)+($R13)+(BH13*((52+$S13)/52))*(1+$T13))*1/$L13</f>
        <v/>
      </c>
      <c r="BL13" s="36">
        <f>BI13/52/$K13</f>
        <v/>
      </c>
      <c r="BM13" s="36">
        <f>BJ13/52/$K13</f>
        <v/>
      </c>
      <c r="BN13" s="36">
        <f>BK13/52/$K13</f>
        <v/>
      </c>
    </row>
    <row r="14">
      <c r="A14" s="4" t="inlineStr">
        <is>
          <t>SA</t>
        </is>
      </c>
      <c r="B14" s="19" t="inlineStr">
        <is>
          <t>Pathologists</t>
        </is>
      </c>
      <c r="C14" s="20" t="inlineStr">
        <is>
          <t>MP</t>
        </is>
      </c>
      <c r="D14" s="4" t="inlineStr">
        <is>
          <t>SA Health Salaried Medical Officers Enterprise Agreement 2022</t>
        </is>
      </c>
      <c r="E14" s="21" t="inlineStr">
        <is>
          <t>MD0201 - MD029G</t>
        </is>
      </c>
      <c r="I14" s="5" t="n">
        <v>2022</v>
      </c>
      <c r="J14" s="11" t="n">
        <v>0.105</v>
      </c>
      <c r="K14" s="32" t="n">
        <v>38</v>
      </c>
      <c r="L14" s="8" t="n">
        <v>1</v>
      </c>
      <c r="M14" s="8" t="n">
        <v>0</v>
      </c>
      <c r="N14" s="8" t="n">
        <v>0.035</v>
      </c>
      <c r="O14" s="27" t="n">
        <v>0</v>
      </c>
      <c r="P14" s="8" t="n">
        <v>0.6</v>
      </c>
      <c r="Q14" s="8" t="n">
        <v>0.046</v>
      </c>
      <c r="R14" s="23" t="n">
        <v>26000</v>
      </c>
      <c r="S14" s="9" t="n">
        <v>5</v>
      </c>
      <c r="T14" s="8" t="n">
        <v>0.175</v>
      </c>
      <c r="U14" s="8" t="n">
        <v>0.015</v>
      </c>
      <c r="V14" s="36" t="n">
        <v>221622</v>
      </c>
      <c r="W14" s="36">
        <f>V14+((X14-V14)/2)</f>
        <v/>
      </c>
      <c r="X14" s="36" t="n">
        <v>292019</v>
      </c>
      <c r="Y14" s="36">
        <f>(V14+(V14*$J14)+(V14*$M14)+(V14*$N14)+(V14*$O14)+(V14*$P14)+(V14*$Q14)+($R14)+(V14*((52+$S14)/52))*(1+$T14))*1/$L14</f>
        <v/>
      </c>
      <c r="Z14" s="36">
        <f>(W14+(W14*$J14)+(W14*$M14)+(W14*$N14)+(W14*$O14)+(W14*$P14)+(W14*$Q14)+($R14)+(W14*((52+$S14)/52))*(1+$T14))*1/$L14</f>
        <v/>
      </c>
      <c r="AA14" s="36">
        <f>(X14+(X14*$J14)+(X14*$M14)+(X14*$N14)+(X14*$O14)+(X14*$P14)+(X14*$Q14)+($R14)+(X14*((52+$S14)/52))*(1+$T14))*1/$L14</f>
        <v/>
      </c>
      <c r="AB14" s="36">
        <f>Y14/52/$K14</f>
        <v/>
      </c>
      <c r="AC14" s="36">
        <f>Z14/52/$K14</f>
        <v/>
      </c>
      <c r="AD14" s="36">
        <f>AA14/52/$K14</f>
        <v/>
      </c>
      <c r="AE14" s="36">
        <f>($V14*(1+(($U14/100)*1)))</f>
        <v/>
      </c>
      <c r="AF14" s="36">
        <f>($W14*(1+(($U14/100)*1)))</f>
        <v/>
      </c>
      <c r="AG14" s="36">
        <f>($X14*(1+(($U14/100)*1)))</f>
        <v/>
      </c>
      <c r="AH14" s="36">
        <f>(AE14+(AE14*$J14)+(AE14*$M14)+(AE14*$N14)+(AE14*$O14)+(AE14*$P14)+(AE14*$Q14)+($R14)+(AE14*((52+$S14)/52))*(1+$T14))*1/$L14</f>
        <v/>
      </c>
      <c r="AI14" s="36">
        <f>(AF14+(AF14*$J14)+(AF14*$M14)+(AF14*$N14)+(AF14*$O14)+(AF14*$P14)+(AF14*$Q14)+($R14)+(AF14*((52+$S14)/52))*(1+$T14))*1/$L14</f>
        <v/>
      </c>
      <c r="AJ14" s="36">
        <f>(AG14+(AG14*$J14)+(AG14*$M14)+(AG14*$N14)+(AG14*$O14)+(AG14*$P14)+(AG14*$Q14)+($R14)+(AG14*((52+$S14)/52))*(1+$T14))*1/$L14</f>
        <v/>
      </c>
      <c r="AK14" s="36">
        <f>AH14/52/$K14</f>
        <v/>
      </c>
      <c r="AL14" s="36">
        <f>AI14/52/$K14</f>
        <v/>
      </c>
      <c r="AM14" s="36">
        <f>AJ14/52/$K14</f>
        <v/>
      </c>
      <c r="AN14" s="36">
        <f>($V14*(1+(($U14/100)*2)))</f>
        <v/>
      </c>
      <c r="AO14" s="36">
        <f>($W14*(1+(($U14/100)*2)))</f>
        <v/>
      </c>
      <c r="AP14" s="36">
        <f>($X14*(1+(($U14/100)*2)))</f>
        <v/>
      </c>
      <c r="AQ14" s="36">
        <f>(AN14+(AN14*$J14)+(AN14*$M14)+(AN14*$N14)+(AN14*$O14)+(AN14*$P14)+(AN14*$Q14)+($R14)+(AN14*((52+$S14)/52))*(1+$T14))*1/$L14</f>
        <v/>
      </c>
      <c r="AR14" s="36">
        <f>(AO14+(AO14*$J14)+(AO14*$M14)+(AO14*$N14)+(AO14*$O14)+(AO14*$P14)+(AO14*$Q14)+($R14)+(AO14*((52+$S14)/52))*(1+$T14))*1/$L14</f>
        <v/>
      </c>
      <c r="AS14" s="36">
        <f>(AP14+(AP14*$J14)+(AP14*$M14)+(AP14*$N14)+(AP14*$O14)+(AP14*$P14)+(AP14*$Q14)+($R14)+(AP14*((52+$S14)/52))*(1+$T14))*1/$L14</f>
        <v/>
      </c>
      <c r="AT14" s="36">
        <f>AQ14/52/$K14</f>
        <v/>
      </c>
      <c r="AU14" s="36">
        <f>AR14/52/$K14</f>
        <v/>
      </c>
      <c r="AV14" s="36">
        <f>AS14/52/$K14</f>
        <v/>
      </c>
      <c r="AW14" s="36">
        <f>($V14*(1+(($U14/100)*3)))</f>
        <v/>
      </c>
      <c r="AX14" s="36">
        <f>($W14*(1+(($U14/100)*3)))</f>
        <v/>
      </c>
      <c r="AY14" s="36">
        <f>($X14*(1+(($U14/100)*3)))</f>
        <v/>
      </c>
      <c r="AZ14" s="36">
        <f>(AW14+(AW14*$J14)+(AW14*$M14)+(AW14*$N14)+(AW14*$O14)+(AW14*$P14)+(AW14*$Q14)+($R14)+(AW14*((52+$S14)/52))*(1+$T14))*1/$L14</f>
        <v/>
      </c>
      <c r="BA14" s="36">
        <f>(AX14+(AX14*$J14)+(AX14*$M14)+(AX14*$N14)+(AX14*$O14)+(AX14*$P14)+(AX14*$Q14)+($R14)+(AX14*((52+$S14)/52))*(1+$T14))*1/$L14</f>
        <v/>
      </c>
      <c r="BB14" s="36">
        <f>(AY14+(AY14*$J14)+(AY14*$M14)+(AY14*$N14)+(AY14*$O14)+(AY14*$P14)+(AY14*$Q14)+($R14)+(AY14*((52+$S14)/52))*(1+$T14))*1/$L14</f>
        <v/>
      </c>
      <c r="BC14" s="36">
        <f>AZ14/52/$K14</f>
        <v/>
      </c>
      <c r="BD14" s="36">
        <f>BA14/52/$K14</f>
        <v/>
      </c>
      <c r="BE14" s="36">
        <f>BB14/52/$K14</f>
        <v/>
      </c>
      <c r="BF14" s="36">
        <f>($V14*(1+(($U14/100)*4)))</f>
        <v/>
      </c>
      <c r="BG14" s="36">
        <f>($W14*(1+(($U14/100)*4)))</f>
        <v/>
      </c>
      <c r="BH14" s="36">
        <f>($X14*(1+(($U14/100)*4)))</f>
        <v/>
      </c>
      <c r="BI14" s="36">
        <f>(BF14+(BF14*$J14)+(BF14*$M14)+(BF14*$N14)+(BF14*$O14)+(BF14*$P14)+(BF14*$Q14)+($R14)+(BF14*((52+$S14)/52))*(1+$T14))*1/$L14</f>
        <v/>
      </c>
      <c r="BJ14" s="36">
        <f>(BG14+(BG14*$J14)+(BG14*$M14)+(BG14*$N14)+(BG14*$O14)+(BG14*$P14)+(BG14*$Q14)+($R14)+(BG14*((52+$S14)/52))*(1+$T14))*1/$L14</f>
        <v/>
      </c>
      <c r="BK14" s="36">
        <f>(BH14+(BH14*$J14)+(BH14*$M14)+(BH14*$N14)+(BH14*$O14)+(BH14*$P14)+(BH14*$Q14)+($R14)+(BH14*((52+$S14)/52))*(1+$T14))*1/$L14</f>
        <v/>
      </c>
      <c r="BL14" s="36">
        <f>BI14/52/$K14</f>
        <v/>
      </c>
      <c r="BM14" s="36">
        <f>BJ14/52/$K14</f>
        <v/>
      </c>
      <c r="BN14" s="36">
        <f>BK14/52/$K14</f>
        <v/>
      </c>
    </row>
    <row r="15">
      <c r="R15" s="23" t="n"/>
      <c r="U15" s="8" t="n"/>
      <c r="V15" s="36" t="n"/>
      <c r="W15" s="36" t="n"/>
      <c r="X15" s="36" t="n"/>
      <c r="Y15" s="36" t="n"/>
      <c r="Z15" s="36" t="n"/>
      <c r="AA15" s="36" t="n"/>
      <c r="AB15" s="36" t="n"/>
      <c r="AC15" s="36" t="n"/>
      <c r="AD15" s="36"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row>
    <row r="16" ht="15" customHeight="1">
      <c r="A16" s="4" t="inlineStr">
        <is>
          <t>NSW</t>
        </is>
      </c>
      <c r="B16" s="19" t="inlineStr">
        <is>
          <t>Lab technician</t>
        </is>
      </c>
      <c r="C16" s="20" t="inlineStr">
        <is>
          <t>LT</t>
        </is>
      </c>
      <c r="D16" s="4" t="inlineStr">
        <is>
          <t>Health Employees (State) Award</t>
        </is>
      </c>
      <c r="E16" s="21" t="inlineStr">
        <is>
          <t>Tech Assistant G1-3</t>
        </is>
      </c>
      <c r="I16" s="5" t="n">
        <v>2022</v>
      </c>
      <c r="J16" s="11" t="n">
        <v>0.105</v>
      </c>
      <c r="K16" s="32" t="n">
        <v>40</v>
      </c>
      <c r="L16" s="8" t="n">
        <v>1</v>
      </c>
      <c r="M16" s="8" t="n">
        <v>0.1</v>
      </c>
      <c r="N16" s="8" t="n">
        <v>0.035</v>
      </c>
      <c r="O16" s="27" t="n">
        <v>0</v>
      </c>
      <c r="P16" s="8" t="n">
        <v>0</v>
      </c>
      <c r="Q16" s="8" t="n">
        <v>0.046</v>
      </c>
      <c r="R16" s="23" t="n">
        <v>0</v>
      </c>
      <c r="S16" s="9" t="n">
        <v>4</v>
      </c>
      <c r="T16" s="8" t="n">
        <v>0</v>
      </c>
      <c r="U16" s="8" t="n">
        <v>0.015</v>
      </c>
      <c r="V16" s="39">
        <f>1154.19*52</f>
        <v/>
      </c>
      <c r="W16" s="36">
        <f>V16+((X16-V16)/2)</f>
        <v/>
      </c>
      <c r="X16" s="36">
        <f>1831.87*52</f>
        <v/>
      </c>
      <c r="Y16" s="36">
        <f>(V16+(V16*$J16)+(V16*$M16)+(V16*$N16)+(V16*$O16)+(V16*$P16)+(V16*$Q16)+($R16)+(V16*((52+$S16)/52))*(1+$T16))*1/$L16</f>
        <v/>
      </c>
      <c r="Z16" s="36">
        <f>(W16+(W16*$J16)+(W16*$M16)+(W16*$N16)+(W16*$O16)+(W16*$P16)+(W16*$Q16)+($R16)+(W16*((52+$S16)/52))*(1+$T16))*1/$L16</f>
        <v/>
      </c>
      <c r="AA16" s="36">
        <f>(X16+(X16*$J16)+(X16*$M16)+(X16*$N16)+(X16*$O16)+(X16*$P16)+(X16*$Q16)+($R16)+(X16*((52+$S16)/52))*(1+$T16))*1/$L16</f>
        <v/>
      </c>
      <c r="AB16" s="36">
        <f>Y16/52/$K16</f>
        <v/>
      </c>
      <c r="AC16" s="36">
        <f>Z16/52/$K16</f>
        <v/>
      </c>
      <c r="AD16" s="36">
        <f>AA16/52/$K16</f>
        <v/>
      </c>
      <c r="AE16" s="36">
        <f>($V16*(1+(($U16/100)*1)))</f>
        <v/>
      </c>
      <c r="AF16" s="36">
        <f>($W16*(1+(($U16/100)*1)))</f>
        <v/>
      </c>
      <c r="AG16" s="36">
        <f>($X16*(1+(($U16/100)*1)))</f>
        <v/>
      </c>
      <c r="AH16" s="36">
        <f>(AE16+(AE16*$J16)+(AE16*$M16)+(AE16*$N16)+(AE16*$O16)+(AE16*$P16)+(AE16*$Q16)+($R16)+(AE16*((52+$S16)/52))*(1+$T16))*1/$L16</f>
        <v/>
      </c>
      <c r="AI16" s="36">
        <f>(AF16+(AF16*$J16)+(AF16*$M16)+(AF16*$N16)+(AF16*$O16)+(AF16*$P16)+(AF16*$Q16)+($R16)+(AF16*((52+$S16)/52))*(1+$T16))*1/$L16</f>
        <v/>
      </c>
      <c r="AJ16" s="36">
        <f>(AG16+(AG16*$J16)+(AG16*$M16)+(AG16*$N16)+(AG16*$O16)+(AG16*$P16)+(AG16*$Q16)+($R16)+(AG16*((52+$S16)/52))*(1+$T16))*1/$L16</f>
        <v/>
      </c>
      <c r="AK16" s="36">
        <f>AH16/52/$K16</f>
        <v/>
      </c>
      <c r="AL16" s="36">
        <f>AI16/52/$K16</f>
        <v/>
      </c>
      <c r="AM16" s="36">
        <f>AJ16/52/$K16</f>
        <v/>
      </c>
      <c r="AN16" s="36">
        <f>($V16*(1+(($U16/100)*2)))</f>
        <v/>
      </c>
      <c r="AO16" s="36">
        <f>($W16*(1+(($U16/100)*2)))</f>
        <v/>
      </c>
      <c r="AP16" s="36">
        <f>($X16*(1+(($U16/100)*2)))</f>
        <v/>
      </c>
      <c r="AQ16" s="36">
        <f>(AN16+(AN16*$J16)+(AN16*$M16)+(AN16*$N16)+(AN16*$O16)+(AN16*$P16)+(AN16*$Q16)+($R16)+(AN16*((52+$S16)/52))*(1+$T16))*1/$L16</f>
        <v/>
      </c>
      <c r="AR16" s="36">
        <f>(AO16+(AO16*$J16)+(AO16*$M16)+(AO16*$N16)+(AO16*$O16)+(AO16*$P16)+(AO16*$Q16)+($R16)+(AO16*((52+$S16)/52))*(1+$T16))*1/$L16</f>
        <v/>
      </c>
      <c r="AS16" s="36">
        <f>(AP16+(AP16*$J16)+(AP16*$M16)+(AP16*$N16)+(AP16*$O16)+(AP16*$P16)+(AP16*$Q16)+($R16)+(AP16*((52+$S16)/52))*(1+$T16))*1/$L16</f>
        <v/>
      </c>
      <c r="AT16" s="36">
        <f>AQ16/52/$K16</f>
        <v/>
      </c>
      <c r="AU16" s="36">
        <f>AR16/52/$K16</f>
        <v/>
      </c>
      <c r="AV16" s="36">
        <f>AS16/52/$K16</f>
        <v/>
      </c>
      <c r="AW16" s="36">
        <f>($V16*(1+(($U16/100)*3)))</f>
        <v/>
      </c>
      <c r="AX16" s="36">
        <f>($W16*(1+(($U16/100)*3)))</f>
        <v/>
      </c>
      <c r="AY16" s="36">
        <f>($X16*(1+(($U16/100)*3)))</f>
        <v/>
      </c>
      <c r="AZ16" s="36">
        <f>(AW16+(AW16*$J16)+(AW16*$M16)+(AW16*$N16)+(AW16*$O16)+(AW16*$P16)+(AW16*$Q16)+($R16)+(AW16*((52+$S16)/52))*(1+$T16))*1/$L16</f>
        <v/>
      </c>
      <c r="BA16" s="36">
        <f>(AX16+(AX16*$J16)+(AX16*$M16)+(AX16*$N16)+(AX16*$O16)+(AX16*$P16)+(AX16*$Q16)+($R16)+(AX16*((52+$S16)/52))*(1+$T16))*1/$L16</f>
        <v/>
      </c>
      <c r="BB16" s="36">
        <f>(AY16+(AY16*$J16)+(AY16*$M16)+(AY16*$N16)+(AY16*$O16)+(AY16*$P16)+(AY16*$Q16)+($R16)+(AY16*((52+$S16)/52))*(1+$T16))*1/$L16</f>
        <v/>
      </c>
      <c r="BC16" s="36">
        <f>AZ16/52/$K16</f>
        <v/>
      </c>
      <c r="BD16" s="36">
        <f>BA16/52/$K16</f>
        <v/>
      </c>
      <c r="BE16" s="36">
        <f>BB16/52/$K16</f>
        <v/>
      </c>
      <c r="BF16" s="36">
        <f>($V16*(1+(($U16/100)*4)))</f>
        <v/>
      </c>
      <c r="BG16" s="36">
        <f>($W16*(1+(($U16/100)*4)))</f>
        <v/>
      </c>
      <c r="BH16" s="36">
        <f>($X16*(1+(($U16/100)*4)))</f>
        <v/>
      </c>
      <c r="BI16" s="36">
        <f>(BF16+(BF16*$J16)+(BF16*$M16)+(BF16*$N16)+(BF16*$O16)+(BF16*$P16)+(BF16*$Q16)+($R16)+(BF16*((52+$S16)/52))*(1+$T16))*1/$L16</f>
        <v/>
      </c>
      <c r="BJ16" s="36">
        <f>(BG16+(BG16*$J16)+(BG16*$M16)+(BG16*$N16)+(BG16*$O16)+(BG16*$P16)+(BG16*$Q16)+($R16)+(BG16*((52+$S16)/52))*(1+$T16))*1/$L16</f>
        <v/>
      </c>
      <c r="BK16" s="36">
        <f>(BH16+(BH16*$J16)+(BH16*$M16)+(BH16*$N16)+(BH16*$O16)+(BH16*$P16)+(BH16*$Q16)+($R16)+(BH16*((52+$S16)/52))*(1+$T16))*1/$L16</f>
        <v/>
      </c>
      <c r="BL16" s="36">
        <f>BI16/52/$K16</f>
        <v/>
      </c>
      <c r="BM16" s="36">
        <f>BJ16/52/$K16</f>
        <v/>
      </c>
      <c r="BN16" s="36">
        <f>BK16/52/$K16</f>
        <v/>
      </c>
    </row>
    <row r="17">
      <c r="A17" s="4" t="inlineStr">
        <is>
          <t>NSW</t>
        </is>
      </c>
      <c r="B17" s="19" t="inlineStr">
        <is>
          <t>Medical scientist</t>
        </is>
      </c>
      <c r="C17" s="20" t="inlineStr">
        <is>
          <t>MS</t>
        </is>
      </c>
      <c r="D17" s="4" t="inlineStr">
        <is>
          <t>Hospital Scientists (State) Award</t>
        </is>
      </c>
      <c r="E17" s="21" t="inlineStr">
        <is>
          <t>1-3</t>
        </is>
      </c>
      <c r="I17" s="5" t="n">
        <v>2022</v>
      </c>
      <c r="J17" s="11" t="n">
        <v>0.105</v>
      </c>
      <c r="K17" s="32" t="n">
        <v>38</v>
      </c>
      <c r="L17" s="8" t="n">
        <v>1</v>
      </c>
      <c r="M17" s="8" t="n">
        <v>0.1</v>
      </c>
      <c r="N17" s="8" t="n">
        <v>0.035</v>
      </c>
      <c r="O17" s="27" t="n">
        <v>0</v>
      </c>
      <c r="P17" s="8" t="n">
        <v>0</v>
      </c>
      <c r="Q17" s="8" t="n">
        <v>0.046</v>
      </c>
      <c r="R17" s="23" t="n">
        <v>0</v>
      </c>
      <c r="S17" s="9" t="n">
        <v>4</v>
      </c>
      <c r="T17" s="8" t="n">
        <v>0.175</v>
      </c>
      <c r="U17" s="8" t="n">
        <v>0.015</v>
      </c>
      <c r="V17" s="36">
        <f>1292.77*52</f>
        <v/>
      </c>
      <c r="W17" s="36">
        <f>V17+((X17-V17)/2)</f>
        <v/>
      </c>
      <c r="X17" s="36">
        <f>2664.91*52</f>
        <v/>
      </c>
      <c r="Y17" s="36">
        <f>(V17+(V17*$J17)+(V17*$M17)+(V17*$N17)+(V17*$O17)+(V17*$P17)+(V17*$Q17)+($R17)+(V17*((52+$S17)/52))*(1+$T17))*1/$L17</f>
        <v/>
      </c>
      <c r="Z17" s="36">
        <f>(W17+(W17*$J17)+(W17*$M17)+(W17*$N17)+(W17*$O17)+(W17*$P17)+(W17*$Q17)+($R17)+(W17*((52+$S17)/52))*(1+$T17))*1/$L17</f>
        <v/>
      </c>
      <c r="AA17" s="36">
        <f>(X17+(X17*$J17)+(X17*$M17)+(X17*$N17)+(X17*$O17)+(X17*$P17)+(X17*$Q17)+($R17)+(X17*((52+$S17)/52))*(1+$T17))*1/$L17</f>
        <v/>
      </c>
      <c r="AB17" s="36">
        <f>Y17/52/$K17</f>
        <v/>
      </c>
      <c r="AC17" s="36">
        <f>Z17/52/$K17</f>
        <v/>
      </c>
      <c r="AD17" s="36">
        <f>AA17/52/$K17</f>
        <v/>
      </c>
      <c r="AE17" s="36">
        <f>($V17*(1+(($U17/100)*1)))</f>
        <v/>
      </c>
      <c r="AF17" s="36">
        <f>($W17*(1+(($U17/100)*1)))</f>
        <v/>
      </c>
      <c r="AG17" s="36">
        <f>($X17*(1+(($U17/100)*1)))</f>
        <v/>
      </c>
      <c r="AH17" s="36">
        <f>(AE17+(AE17*$J17)+(AE17*$M17)+(AE17*$N17)+(AE17*$O17)+(AE17*$P17)+(AE17*$Q17)+($R17)+(AE17*((52+$S17)/52))*(1+$T17))*1/$L17</f>
        <v/>
      </c>
      <c r="AI17" s="36">
        <f>(AF17+(AF17*$J17)+(AF17*$M17)+(AF17*$N17)+(AF17*$O17)+(AF17*$P17)+(AF17*$Q17)+($R17)+(AF17*((52+$S17)/52))*(1+$T17))*1/$L17</f>
        <v/>
      </c>
      <c r="AJ17" s="36">
        <f>(AG17+(AG17*$J17)+(AG17*$M17)+(AG17*$N17)+(AG17*$O17)+(AG17*$P17)+(AG17*$Q17)+($R17)+(AG17*((52+$S17)/52))*(1+$T17))*1/$L17</f>
        <v/>
      </c>
      <c r="AK17" s="36">
        <f>AH17/52/$K17</f>
        <v/>
      </c>
      <c r="AL17" s="36">
        <f>AI17/52/$K17</f>
        <v/>
      </c>
      <c r="AM17" s="36">
        <f>AJ17/52/$K17</f>
        <v/>
      </c>
      <c r="AN17" s="36">
        <f>($V17*(1+(($U17/100)*2)))</f>
        <v/>
      </c>
      <c r="AO17" s="36">
        <f>($W17*(1+(($U17/100)*2)))</f>
        <v/>
      </c>
      <c r="AP17" s="36">
        <f>($X17*(1+(($U17/100)*2)))</f>
        <v/>
      </c>
      <c r="AQ17" s="36">
        <f>(AN17+(AN17*$J17)+(AN17*$M17)+(AN17*$N17)+(AN17*$O17)+(AN17*$P17)+(AN17*$Q17)+($R17)+(AN17*((52+$S17)/52))*(1+$T17))*1/$L17</f>
        <v/>
      </c>
      <c r="AR17" s="36">
        <f>(AO17+(AO17*$J17)+(AO17*$M17)+(AO17*$N17)+(AO17*$O17)+(AO17*$P17)+(AO17*$Q17)+($R17)+(AO17*((52+$S17)/52))*(1+$T17))*1/$L17</f>
        <v/>
      </c>
      <c r="AS17" s="36">
        <f>(AP17+(AP17*$J17)+(AP17*$M17)+(AP17*$N17)+(AP17*$O17)+(AP17*$P17)+(AP17*$Q17)+($R17)+(AP17*((52+$S17)/52))*(1+$T17))*1/$L17</f>
        <v/>
      </c>
      <c r="AT17" s="36">
        <f>AQ17/52/$K17</f>
        <v/>
      </c>
      <c r="AU17" s="36">
        <f>AR17/52/$K17</f>
        <v/>
      </c>
      <c r="AV17" s="36">
        <f>AS17/52/$K17</f>
        <v/>
      </c>
      <c r="AW17" s="36">
        <f>($V17*(1+(($U17/100)*3)))</f>
        <v/>
      </c>
      <c r="AX17" s="36">
        <f>($W17*(1+(($U17/100)*3)))</f>
        <v/>
      </c>
      <c r="AY17" s="36">
        <f>($X17*(1+(($U17/100)*3)))</f>
        <v/>
      </c>
      <c r="AZ17" s="36">
        <f>(AW17+(AW17*$J17)+(AW17*$M17)+(AW17*$N17)+(AW17*$O17)+(AW17*$P17)+(AW17*$Q17)+($R17)+(AW17*((52+$S17)/52))*(1+$T17))*1/$L17</f>
        <v/>
      </c>
      <c r="BA17" s="36">
        <f>(AX17+(AX17*$J17)+(AX17*$M17)+(AX17*$N17)+(AX17*$O17)+(AX17*$P17)+(AX17*$Q17)+($R17)+(AX17*((52+$S17)/52))*(1+$T17))*1/$L17</f>
        <v/>
      </c>
      <c r="BB17" s="36">
        <f>(AY17+(AY17*$J17)+(AY17*$M17)+(AY17*$N17)+(AY17*$O17)+(AY17*$P17)+(AY17*$Q17)+($R17)+(AY17*((52+$S17)/52))*(1+$T17))*1/$L17</f>
        <v/>
      </c>
      <c r="BC17" s="36">
        <f>AZ17/52/$K17</f>
        <v/>
      </c>
      <c r="BD17" s="36">
        <f>BA17/52/$K17</f>
        <v/>
      </c>
      <c r="BE17" s="36">
        <f>BB17/52/$K17</f>
        <v/>
      </c>
      <c r="BF17" s="36">
        <f>($V17*(1+(($U17/100)*4)))</f>
        <v/>
      </c>
      <c r="BG17" s="36">
        <f>($W17*(1+(($U17/100)*4)))</f>
        <v/>
      </c>
      <c r="BH17" s="36">
        <f>($X17*(1+(($U17/100)*4)))</f>
        <v/>
      </c>
      <c r="BI17" s="36">
        <f>(BF17+(BF17*$J17)+(BF17*$M17)+(BF17*$N17)+(BF17*$O17)+(BF17*$P17)+(BF17*$Q17)+($R17)+(BF17*((52+$S17)/52))*(1+$T17))*1/$L17</f>
        <v/>
      </c>
      <c r="BJ17" s="36">
        <f>(BG17+(BG17*$J17)+(BG17*$M17)+(BG17*$N17)+(BG17*$O17)+(BG17*$P17)+(BG17*$Q17)+($R17)+(BG17*((52+$S17)/52))*(1+$T17))*1/$L17</f>
        <v/>
      </c>
      <c r="BK17" s="36">
        <f>(BH17+(BH17*$J17)+(BH17*$M17)+(BH17*$N17)+(BH17*$O17)+(BH17*$P17)+(BH17*$Q17)+($R17)+(BH17*((52+$S17)/52))*(1+$T17))*1/$L17</f>
        <v/>
      </c>
      <c r="BL17" s="36">
        <f>BI17/52/$K17</f>
        <v/>
      </c>
      <c r="BM17" s="36">
        <f>BJ17/52/$K17</f>
        <v/>
      </c>
      <c r="BN17" s="36">
        <f>BK17/52/$K17</f>
        <v/>
      </c>
    </row>
    <row r="18">
      <c r="A18" s="4" t="inlineStr">
        <is>
          <t>NSW</t>
        </is>
      </c>
      <c r="B18" s="19" t="inlineStr">
        <is>
          <t>Admin staff</t>
        </is>
      </c>
      <c r="C18" s="20" t="inlineStr">
        <is>
          <t>AS</t>
        </is>
      </c>
      <c r="I18" s="5" t="n">
        <v>2022</v>
      </c>
      <c r="J18" s="11" t="n">
        <v>0.105</v>
      </c>
      <c r="K18" s="32" t="n">
        <v>40</v>
      </c>
      <c r="L18" s="8" t="n">
        <v>1</v>
      </c>
      <c r="M18" s="8" t="n">
        <v>0.1</v>
      </c>
      <c r="N18" s="8" t="n">
        <v>0.035</v>
      </c>
      <c r="O18" s="27" t="n">
        <v>0</v>
      </c>
      <c r="P18" s="8" t="n">
        <v>0</v>
      </c>
      <c r="Q18" s="8" t="n">
        <v>0.046</v>
      </c>
      <c r="R18" s="23" t="n">
        <v>0</v>
      </c>
      <c r="S18" s="9" t="n">
        <v>4</v>
      </c>
      <c r="T18" s="8" t="n">
        <v>0</v>
      </c>
      <c r="U18" s="8" t="n">
        <v>0.015</v>
      </c>
      <c r="V18" s="36">
        <f>926.56*52</f>
        <v/>
      </c>
      <c r="W18" s="36">
        <f>V18+((X18-V18)/2)</f>
        <v/>
      </c>
      <c r="X18" s="36">
        <f>1302.02*52</f>
        <v/>
      </c>
      <c r="Y18" s="36">
        <f>(V18+(V18*$J18)+(V18*$M18)+(V18*$N18)+(V18*$O18)+(V18*$P18)+(V18*$Q18)+($R18)+(V18*((52+$S18)/52))*(1+$T18))*1/$L18</f>
        <v/>
      </c>
      <c r="Z18" s="36">
        <f>(W18+(W18*$J18)+(W18*$M18)+(W18*$N18)+(W18*$O18)+(W18*$P18)+(W18*$Q18)+($R18)+(W18*((52+$S18)/52))*(1+$T18))*1/$L18</f>
        <v/>
      </c>
      <c r="AA18" s="36">
        <f>(X18+(X18*$J18)+(X18*$M18)+(X18*$N18)+(X18*$O18)+(X18*$P18)+(X18*$Q18)+($R18)+(X18*((52+$S18)/52))*(1+$T18))*1/$L18</f>
        <v/>
      </c>
      <c r="AB18" s="36">
        <f>Y18/52/$K18</f>
        <v/>
      </c>
      <c r="AC18" s="36">
        <f>Z18/52/$K18</f>
        <v/>
      </c>
      <c r="AD18" s="36">
        <f>AA18/52/$K18</f>
        <v/>
      </c>
      <c r="AE18" s="36">
        <f>($V18*(1+(($U18/100)*1)))</f>
        <v/>
      </c>
      <c r="AF18" s="36">
        <f>($W18*(1+(($U18/100)*1)))</f>
        <v/>
      </c>
      <c r="AG18" s="36">
        <f>($X18*(1+(($U18/100)*1)))</f>
        <v/>
      </c>
      <c r="AH18" s="36">
        <f>(AE18+(AE18*$J18)+(AE18*$M18)+(AE18*$N18)+(AE18*$O18)+(AE18*$P18)+(AE18*$Q18)+($R18)+(AE18*((52+$S18)/52))*(1+$T18))*1/$L18</f>
        <v/>
      </c>
      <c r="AI18" s="36">
        <f>(AF18+(AF18*$J18)+(AF18*$M18)+(AF18*$N18)+(AF18*$O18)+(AF18*$P18)+(AF18*$Q18)+($R18)+(AF18*((52+$S18)/52))*(1+$T18))*1/$L18</f>
        <v/>
      </c>
      <c r="AJ18" s="36">
        <f>(AG18+(AG18*$J18)+(AG18*$M18)+(AG18*$N18)+(AG18*$O18)+(AG18*$P18)+(AG18*$Q18)+($R18)+(AG18*((52+$S18)/52))*(1+$T18))*1/$L18</f>
        <v/>
      </c>
      <c r="AK18" s="36">
        <f>AH18/52/$K18</f>
        <v/>
      </c>
      <c r="AL18" s="36">
        <f>AI18/52/$K18</f>
        <v/>
      </c>
      <c r="AM18" s="36">
        <f>AJ18/52/$K18</f>
        <v/>
      </c>
      <c r="AN18" s="36">
        <f>($V18*(1+(($U18/100)*2)))</f>
        <v/>
      </c>
      <c r="AO18" s="36">
        <f>($W18*(1+(($U18/100)*2)))</f>
        <v/>
      </c>
      <c r="AP18" s="36">
        <f>($X18*(1+(($U18/100)*2)))</f>
        <v/>
      </c>
      <c r="AQ18" s="36">
        <f>(AN18+(AN18*$J18)+(AN18*$M18)+(AN18*$N18)+(AN18*$O18)+(AN18*$P18)+(AN18*$Q18)+($R18)+(AN18*((52+$S18)/52))*(1+$T18))*1/$L18</f>
        <v/>
      </c>
      <c r="AR18" s="36">
        <f>(AO18+(AO18*$J18)+(AO18*$M18)+(AO18*$N18)+(AO18*$O18)+(AO18*$P18)+(AO18*$Q18)+($R18)+(AO18*((52+$S18)/52))*(1+$T18))*1/$L18</f>
        <v/>
      </c>
      <c r="AS18" s="36">
        <f>(AP18+(AP18*$J18)+(AP18*$M18)+(AP18*$N18)+(AP18*$O18)+(AP18*$P18)+(AP18*$Q18)+($R18)+(AP18*((52+$S18)/52))*(1+$T18))*1/$L18</f>
        <v/>
      </c>
      <c r="AT18" s="36">
        <f>AQ18/52/$K18</f>
        <v/>
      </c>
      <c r="AU18" s="36">
        <f>AR18/52/$K18</f>
        <v/>
      </c>
      <c r="AV18" s="36">
        <f>AS18/52/$K18</f>
        <v/>
      </c>
      <c r="AW18" s="36">
        <f>($V18*(1+(($U18/100)*3)))</f>
        <v/>
      </c>
      <c r="AX18" s="36">
        <f>($W18*(1+(($U18/100)*3)))</f>
        <v/>
      </c>
      <c r="AY18" s="36">
        <f>($X18*(1+(($U18/100)*3)))</f>
        <v/>
      </c>
      <c r="AZ18" s="36">
        <f>(AW18+(AW18*$J18)+(AW18*$M18)+(AW18*$N18)+(AW18*$O18)+(AW18*$P18)+(AW18*$Q18)+($R18)+(AW18*((52+$S18)/52))*(1+$T18))*1/$L18</f>
        <v/>
      </c>
      <c r="BA18" s="36">
        <f>(AX18+(AX18*$J18)+(AX18*$M18)+(AX18*$N18)+(AX18*$O18)+(AX18*$P18)+(AX18*$Q18)+($R18)+(AX18*((52+$S18)/52))*(1+$T18))*1/$L18</f>
        <v/>
      </c>
      <c r="BB18" s="36">
        <f>(AY18+(AY18*$J18)+(AY18*$M18)+(AY18*$N18)+(AY18*$O18)+(AY18*$P18)+(AY18*$Q18)+($R18)+(AY18*((52+$S18)/52))*(1+$T18))*1/$L18</f>
        <v/>
      </c>
      <c r="BC18" s="36">
        <f>AZ18/52/$K18</f>
        <v/>
      </c>
      <c r="BD18" s="36">
        <f>BA18/52/$K18</f>
        <v/>
      </c>
      <c r="BE18" s="36">
        <f>BB18/52/$K18</f>
        <v/>
      </c>
      <c r="BF18" s="36">
        <f>($V18*(1+(($U18/100)*4)))</f>
        <v/>
      </c>
      <c r="BG18" s="36">
        <f>($W18*(1+(($U18/100)*4)))</f>
        <v/>
      </c>
      <c r="BH18" s="36">
        <f>($X18*(1+(($U18/100)*4)))</f>
        <v/>
      </c>
      <c r="BI18" s="36">
        <f>(BF18+(BF18*$J18)+(BF18*$M18)+(BF18*$N18)+(BF18*$O18)+(BF18*$P18)+(BF18*$Q18)+($R18)+(BF18*((52+$S18)/52))*(1+$T18))*1/$L18</f>
        <v/>
      </c>
      <c r="BJ18" s="36">
        <f>(BG18+(BG18*$J18)+(BG18*$M18)+(BG18*$N18)+(BG18*$O18)+(BG18*$P18)+(BG18*$Q18)+($R18)+(BG18*((52+$S18)/52))*(1+$T18))*1/$L18</f>
        <v/>
      </c>
      <c r="BK18" s="36">
        <f>(BH18+(BH18*$J18)+(BH18*$M18)+(BH18*$N18)+(BH18*$O18)+(BH18*$P18)+(BH18*$Q18)+($R18)+(BH18*((52+$S18)/52))*(1+$T18))*1/$L18</f>
        <v/>
      </c>
      <c r="BL18" s="36">
        <f>BI18/52/$K18</f>
        <v/>
      </c>
      <c r="BM18" s="36">
        <f>BJ18/52/$K18</f>
        <v/>
      </c>
      <c r="BN18" s="36">
        <f>BK18/52/$K18</f>
        <v/>
      </c>
    </row>
    <row r="19">
      <c r="A19" s="4" t="inlineStr">
        <is>
          <t>NSW</t>
        </is>
      </c>
      <c r="B19" s="19" t="inlineStr">
        <is>
          <t>Bioinformatics staff</t>
        </is>
      </c>
      <c r="C19" s="20" t="inlineStr">
        <is>
          <t>BI</t>
        </is>
      </c>
      <c r="D19" s="4" t="inlineStr">
        <is>
          <t>Hospital Scientists (State) Award</t>
        </is>
      </c>
      <c r="E19" s="21" t="inlineStr">
        <is>
          <t>1-3</t>
        </is>
      </c>
      <c r="I19" s="5" t="n">
        <v>2022</v>
      </c>
      <c r="J19" s="11" t="n">
        <v>0.105</v>
      </c>
      <c r="K19" s="32" t="n">
        <v>40</v>
      </c>
      <c r="L19" s="8" t="n">
        <v>1</v>
      </c>
      <c r="M19" s="8" t="n">
        <v>0.1</v>
      </c>
      <c r="N19" s="8" t="n">
        <v>0.035</v>
      </c>
      <c r="O19" s="27" t="n">
        <v>0</v>
      </c>
      <c r="P19" s="8" t="n">
        <v>0</v>
      </c>
      <c r="Q19" s="8" t="n">
        <v>0.046</v>
      </c>
      <c r="R19" s="23" t="n">
        <v>0</v>
      </c>
      <c r="S19" s="9" t="n">
        <v>4</v>
      </c>
      <c r="T19" s="8" t="n">
        <v>0.175</v>
      </c>
      <c r="U19" s="8" t="n">
        <v>0.015</v>
      </c>
      <c r="V19" s="36" t="n">
        <v>66106</v>
      </c>
      <c r="W19" s="36">
        <f>V19+((X19-V19)/2)</f>
        <v/>
      </c>
      <c r="X19" s="36" t="n">
        <v>114763</v>
      </c>
      <c r="Y19" s="36">
        <f>(V19+(V19*$J19)+(V19*$M19)+(V19*$N19)+(V19*$O19)+(V19*$P19)+(V19*$Q19)+($R19)+(V19*((52+$S19)/52))*(1+$T19))*1/$L19</f>
        <v/>
      </c>
      <c r="Z19" s="36">
        <f>(W19+(W19*$J19)+(W19*$M19)+(W19*$N19)+(W19*$O19)+(W19*$P19)+(W19*$Q19)+($R19)+(W19*((52+$S19)/52))*(1+$T19))*1/$L19</f>
        <v/>
      </c>
      <c r="AA19" s="36">
        <f>(X19+(X19*$J19)+(X19*$M19)+(X19*$N19)+(X19*$O19)+(X19*$P19)+(X19*$Q19)+($R19)+(X19*((52+$S19)/52))*(1+$T19))*1/$L19</f>
        <v/>
      </c>
      <c r="AB19" s="36">
        <f>Y19/52/$K19</f>
        <v/>
      </c>
      <c r="AC19" s="36">
        <f>Z19/52/$K19</f>
        <v/>
      </c>
      <c r="AD19" s="36">
        <f>AA19/52/$K19</f>
        <v/>
      </c>
      <c r="AE19" s="36">
        <f>($V19*(1+(($U19/100)*1)))</f>
        <v/>
      </c>
      <c r="AF19" s="36">
        <f>($W19*(1+(($U19/100)*1)))</f>
        <v/>
      </c>
      <c r="AG19" s="36">
        <f>($X19*(1+(($U19/100)*1)))</f>
        <v/>
      </c>
      <c r="AH19" s="36">
        <f>(AE19+(AE19*$J19)+(AE19*$M19)+(AE19*$N19)+(AE19*$O19)+(AE19*$P19)+(AE19*$Q19)+($R19)+(AE19*((52+$S19)/52))*(1+$T19))*1/$L19</f>
        <v/>
      </c>
      <c r="AI19" s="36">
        <f>(AF19+(AF19*$J19)+(AF19*$M19)+(AF19*$N19)+(AF19*$O19)+(AF19*$P19)+(AF19*$Q19)+($R19)+(AF19*((52+$S19)/52))*(1+$T19))*1/$L19</f>
        <v/>
      </c>
      <c r="AJ19" s="36">
        <f>(AG19+(AG19*$J19)+(AG19*$M19)+(AG19*$N19)+(AG19*$O19)+(AG19*$P19)+(AG19*$Q19)+($R19)+(AG19*((52+$S19)/52))*(1+$T19))*1/$L19</f>
        <v/>
      </c>
      <c r="AK19" s="36">
        <f>AH19/52/$K19</f>
        <v/>
      </c>
      <c r="AL19" s="36">
        <f>AI19/52/$K19</f>
        <v/>
      </c>
      <c r="AM19" s="36">
        <f>AJ19/52/$K19</f>
        <v/>
      </c>
      <c r="AN19" s="36">
        <f>($V19*(1+(($U19/100)*2)))</f>
        <v/>
      </c>
      <c r="AO19" s="36">
        <f>($W19*(1+(($U19/100)*2)))</f>
        <v/>
      </c>
      <c r="AP19" s="36">
        <f>($X19*(1+(($U19/100)*2)))</f>
        <v/>
      </c>
      <c r="AQ19" s="36">
        <f>(AN19+(AN19*$J19)+(AN19*$M19)+(AN19*$N19)+(AN19*$O19)+(AN19*$P19)+(AN19*$Q19)+($R19)+(AN19*((52+$S19)/52))*(1+$T19))*1/$L19</f>
        <v/>
      </c>
      <c r="AR19" s="36">
        <f>(AO19+(AO19*$J19)+(AO19*$M19)+(AO19*$N19)+(AO19*$O19)+(AO19*$P19)+(AO19*$Q19)+($R19)+(AO19*((52+$S19)/52))*(1+$T19))*1/$L19</f>
        <v/>
      </c>
      <c r="AS19" s="36">
        <f>(AP19+(AP19*$J19)+(AP19*$M19)+(AP19*$N19)+(AP19*$O19)+(AP19*$P19)+(AP19*$Q19)+($R19)+(AP19*((52+$S19)/52))*(1+$T19))*1/$L19</f>
        <v/>
      </c>
      <c r="AT19" s="36">
        <f>AQ19/52/$K19</f>
        <v/>
      </c>
      <c r="AU19" s="36">
        <f>AR19/52/$K19</f>
        <v/>
      </c>
      <c r="AV19" s="36">
        <f>AS19/52/$K19</f>
        <v/>
      </c>
      <c r="AW19" s="36">
        <f>($V19*(1+(($U19/100)*3)))</f>
        <v/>
      </c>
      <c r="AX19" s="36">
        <f>($W19*(1+(($U19/100)*3)))</f>
        <v/>
      </c>
      <c r="AY19" s="36">
        <f>($X19*(1+(($U19/100)*3)))</f>
        <v/>
      </c>
      <c r="AZ19" s="36">
        <f>(AW19+(AW19*$J19)+(AW19*$M19)+(AW19*$N19)+(AW19*$O19)+(AW19*$P19)+(AW19*$Q19)+($R19)+(AW19*((52+$S19)/52))*(1+$T19))*1/$L19</f>
        <v/>
      </c>
      <c r="BA19" s="36">
        <f>(AX19+(AX19*$J19)+(AX19*$M19)+(AX19*$N19)+(AX19*$O19)+(AX19*$P19)+(AX19*$Q19)+($R19)+(AX19*((52+$S19)/52))*(1+$T19))*1/$L19</f>
        <v/>
      </c>
      <c r="BB19" s="36">
        <f>(AY19+(AY19*$J19)+(AY19*$M19)+(AY19*$N19)+(AY19*$O19)+(AY19*$P19)+(AY19*$Q19)+($R19)+(AY19*((52+$S19)/52))*(1+$T19))*1/$L19</f>
        <v/>
      </c>
      <c r="BC19" s="36">
        <f>AZ19/52/$K19</f>
        <v/>
      </c>
      <c r="BD19" s="36">
        <f>BA19/52/$K19</f>
        <v/>
      </c>
      <c r="BE19" s="36">
        <f>BB19/52/$K19</f>
        <v/>
      </c>
      <c r="BF19" s="36">
        <f>($V19*(1+(($U19/100)*4)))</f>
        <v/>
      </c>
      <c r="BG19" s="36">
        <f>($W19*(1+(($U19/100)*4)))</f>
        <v/>
      </c>
      <c r="BH19" s="36">
        <f>($X19*(1+(($U19/100)*4)))</f>
        <v/>
      </c>
      <c r="BI19" s="36">
        <f>(BF19+(BF19*$J19)+(BF19*$M19)+(BF19*$N19)+(BF19*$O19)+(BF19*$P19)+(BF19*$Q19)+($R19)+(BF19*((52+$S19)/52))*(1+$T19))*1/$L19</f>
        <v/>
      </c>
      <c r="BJ19" s="36">
        <f>(BG19+(BG19*$J19)+(BG19*$M19)+(BG19*$N19)+(BG19*$O19)+(BG19*$P19)+(BG19*$Q19)+($R19)+(BG19*((52+$S19)/52))*(1+$T19))*1/$L19</f>
        <v/>
      </c>
      <c r="BK19" s="36">
        <f>(BH19+(BH19*$J19)+(BH19*$M19)+(BH19*$N19)+(BH19*$O19)+(BH19*$P19)+(BH19*$Q19)+($R19)+(BH19*((52+$S19)/52))*(1+$T19))*1/$L19</f>
        <v/>
      </c>
      <c r="BL19" s="36">
        <f>BI19/52/$K19</f>
        <v/>
      </c>
      <c r="BM19" s="36">
        <f>BJ19/52/$K19</f>
        <v/>
      </c>
      <c r="BN19" s="36">
        <f>BK19/52/$K19</f>
        <v/>
      </c>
    </row>
    <row r="20">
      <c r="A20" s="4" t="inlineStr">
        <is>
          <t>NSW</t>
        </is>
      </c>
      <c r="B20" s="19" t="inlineStr">
        <is>
          <t>Pathologists</t>
        </is>
      </c>
      <c r="C20" s="20" t="inlineStr">
        <is>
          <t>MP</t>
        </is>
      </c>
      <c r="D20" s="4" t="inlineStr">
        <is>
          <t>STAFF SPECIALISTS (STATE) AWARD 2022</t>
        </is>
      </c>
      <c r="E20" s="21" t="inlineStr">
        <is>
          <t>SS1-SS5</t>
        </is>
      </c>
      <c r="F20" s="4" t="inlineStr">
        <is>
          <t>-</t>
        </is>
      </c>
      <c r="G20" s="4" t="inlineStr">
        <is>
          <t>-</t>
        </is>
      </c>
      <c r="H20" s="26" t="inlineStr">
        <is>
          <t>179078-241940</t>
        </is>
      </c>
      <c r="I20" s="5" t="n">
        <v>2022</v>
      </c>
      <c r="J20" s="11" t="n">
        <v>0.105</v>
      </c>
      <c r="K20" s="32" t="n">
        <v>40</v>
      </c>
      <c r="L20" s="8" t="n">
        <v>1</v>
      </c>
      <c r="M20" s="8" t="n">
        <v>0</v>
      </c>
      <c r="N20" s="8" t="n">
        <v>0.035</v>
      </c>
      <c r="O20" s="27" t="n">
        <v>0.2</v>
      </c>
      <c r="P20" s="8" t="n">
        <v>0.174</v>
      </c>
      <c r="Q20" s="8" t="n">
        <v>0.046</v>
      </c>
      <c r="R20" s="23" t="n">
        <v>38000</v>
      </c>
      <c r="S20" s="9" t="n">
        <v>5</v>
      </c>
      <c r="T20" s="8" t="n">
        <v>0.175</v>
      </c>
      <c r="U20" s="8" t="n">
        <v>0.015</v>
      </c>
      <c r="V20" s="36" t="n">
        <v>179078</v>
      </c>
      <c r="W20" s="36">
        <f>V20+((X20-V20)/2)</f>
        <v/>
      </c>
      <c r="X20" s="36" t="n">
        <v>241940</v>
      </c>
      <c r="Y20" s="36">
        <f>(V20+(V20*$J20)+(V20*$M20)+(V20*$N20)+(V20*$O20)+(V20*$P20)+(V20*$Q20)+($R20)+(V20*((52+$S20)/52))*(1+$T20))*1/$L20</f>
        <v/>
      </c>
      <c r="Z20" s="36">
        <f>(W20+(W20*$J20)+(W20*$M20)+(W20*$N20)+(W20*$O20)+(W20*$P20)+(W20*$Q20)+($R20)+(W20*((52+$S20)/52))*(1+$T20))*1/$L20</f>
        <v/>
      </c>
      <c r="AA20" s="36">
        <f>(X20+(X20*$J20)+(X20*$M20)+(X20*$N20)+(X20*$O20)+(X20*$P20)+(X20*$Q20)+($R20)+(X20*((52+$S20)/52))*(1+$T20))*1/$L20</f>
        <v/>
      </c>
      <c r="AB20" s="36">
        <f>Y20/52/$K20</f>
        <v/>
      </c>
      <c r="AC20" s="36">
        <f>Z20/52/$K20</f>
        <v/>
      </c>
      <c r="AD20" s="36">
        <f>AA20/52/$K20</f>
        <v/>
      </c>
      <c r="AE20" s="36">
        <f>($V20*(1+(($U20/100)*1)))</f>
        <v/>
      </c>
      <c r="AF20" s="36">
        <f>($W20*(1+(($U20/100)*1)))</f>
        <v/>
      </c>
      <c r="AG20" s="36">
        <f>($X20*(1+(($U20/100)*1)))</f>
        <v/>
      </c>
      <c r="AH20" s="36">
        <f>(AE20+(AE20*$J20)+(AE20*$M20)+(AE20*$N20)+(AE20*$O20)+(AE20*$P20)+(AE20*$Q20)+($R20)+(AE20*((52+$S20)/52))*(1+$T20))*1/$L20</f>
        <v/>
      </c>
      <c r="AI20" s="36">
        <f>(AF20+(AF20*$J20)+(AF20*$M20)+(AF20*$N20)+(AF20*$O20)+(AF20*$P20)+(AF20*$Q20)+($R20)+(AF20*((52+$S20)/52))*(1+$T20))*1/$L20</f>
        <v/>
      </c>
      <c r="AJ20" s="36">
        <f>(AG20+(AG20*$J20)+(AG20*$M20)+(AG20*$N20)+(AG20*$O20)+(AG20*$P20)+(AG20*$Q20)+($R20)+(AG20*((52+$S20)/52))*(1+$T20))*1/$L20</f>
        <v/>
      </c>
      <c r="AK20" s="36">
        <f>AH20/52/$K20</f>
        <v/>
      </c>
      <c r="AL20" s="36">
        <f>AI20/52/$K20</f>
        <v/>
      </c>
      <c r="AM20" s="36">
        <f>AJ20/52/$K20</f>
        <v/>
      </c>
      <c r="AN20" s="36">
        <f>($V20*(1+(($U20/100)*2)))</f>
        <v/>
      </c>
      <c r="AO20" s="36">
        <f>($W20*(1+(($U20/100)*2)))</f>
        <v/>
      </c>
      <c r="AP20" s="36">
        <f>($X20*(1+(($U20/100)*2)))</f>
        <v/>
      </c>
      <c r="AQ20" s="36">
        <f>(AN20+(AN20*$J20)+(AN20*$M20)+(AN20*$N20)+(AN20*$O20)+(AN20*$P20)+(AN20*$Q20)+($R20)+(AN20*((52+$S20)/52))*(1+$T20))*1/$L20</f>
        <v/>
      </c>
      <c r="AR20" s="36">
        <f>(AO20+(AO20*$J20)+(AO20*$M20)+(AO20*$N20)+(AO20*$O20)+(AO20*$P20)+(AO20*$Q20)+($R20)+(AO20*((52+$S20)/52))*(1+$T20))*1/$L20</f>
        <v/>
      </c>
      <c r="AS20" s="36">
        <f>(AP20+(AP20*$J20)+(AP20*$M20)+(AP20*$N20)+(AP20*$O20)+(AP20*$P20)+(AP20*$Q20)+($R20)+(AP20*((52+$S20)/52))*(1+$T20))*1/$L20</f>
        <v/>
      </c>
      <c r="AT20" s="36">
        <f>AQ20/52/$K20</f>
        <v/>
      </c>
      <c r="AU20" s="36">
        <f>AR20/52/$K20</f>
        <v/>
      </c>
      <c r="AV20" s="36">
        <f>AS20/52/$K20</f>
        <v/>
      </c>
      <c r="AW20" s="36">
        <f>($V20*(1+(($U20/100)*3)))</f>
        <v/>
      </c>
      <c r="AX20" s="36">
        <f>($W20*(1+(($U20/100)*3)))</f>
        <v/>
      </c>
      <c r="AY20" s="36">
        <f>($X20*(1+(($U20/100)*3)))</f>
        <v/>
      </c>
      <c r="AZ20" s="36">
        <f>(AW20+(AW20*$J20)+(AW20*$M20)+(AW20*$N20)+(AW20*$O20)+(AW20*$P20)+(AW20*$Q20)+($R20)+(AW20*((52+$S20)/52))*(1+$T20))*1/$L20</f>
        <v/>
      </c>
      <c r="BA20" s="36">
        <f>(AX20+(AX20*$J20)+(AX20*$M20)+(AX20*$N20)+(AX20*$O20)+(AX20*$P20)+(AX20*$Q20)+($R20)+(AX20*((52+$S20)/52))*(1+$T20))*1/$L20</f>
        <v/>
      </c>
      <c r="BB20" s="36">
        <f>(AY20+(AY20*$J20)+(AY20*$M20)+(AY20*$N20)+(AY20*$O20)+(AY20*$P20)+(AY20*$Q20)+($R20)+(AY20*((52+$S20)/52))*(1+$T20))*1/$L20</f>
        <v/>
      </c>
      <c r="BC20" s="36">
        <f>AZ20/52/$K20</f>
        <v/>
      </c>
      <c r="BD20" s="36">
        <f>BA20/52/$K20</f>
        <v/>
      </c>
      <c r="BE20" s="36">
        <f>BB20/52/$K20</f>
        <v/>
      </c>
      <c r="BF20" s="36">
        <f>($V20*(1+(($U20/100)*4)))</f>
        <v/>
      </c>
      <c r="BG20" s="36">
        <f>($W20*(1+(($U20/100)*4)))</f>
        <v/>
      </c>
      <c r="BH20" s="36">
        <f>($X20*(1+(($U20/100)*4)))</f>
        <v/>
      </c>
      <c r="BI20" s="36">
        <f>(BF20+(BF20*$J20)+(BF20*$M20)+(BF20*$N20)+(BF20*$O20)+(BF20*$P20)+(BF20*$Q20)+($R20)+(BF20*((52+$S20)/52))*(1+$T20))*1/$L20</f>
        <v/>
      </c>
      <c r="BJ20" s="36">
        <f>(BG20+(BG20*$J20)+(BG20*$M20)+(BG20*$N20)+(BG20*$O20)+(BG20*$P20)+(BG20*$Q20)+($R20)+(BG20*((52+$S20)/52))*(1+$T20))*1/$L20</f>
        <v/>
      </c>
      <c r="BK20" s="36">
        <f>(BH20+(BH20*$J20)+(BH20*$M20)+(BH20*$N20)+(BH20*$O20)+(BH20*$P20)+(BH20*$Q20)+($R20)+(BH20*((52+$S20)/52))*(1+$T20))*1/$L20</f>
        <v/>
      </c>
      <c r="BL20" s="36">
        <f>BI20/52/$K20</f>
        <v/>
      </c>
      <c r="BM20" s="36">
        <f>BJ20/52/$K20</f>
        <v/>
      </c>
      <c r="BN20" s="36">
        <f>BK20/52/$K20</f>
        <v/>
      </c>
    </row>
    <row r="21">
      <c r="R21" s="23" t="n"/>
      <c r="U21" s="8" t="n"/>
      <c r="V21" s="36" t="n"/>
      <c r="W21" s="36" t="n"/>
      <c r="X21" s="36" t="n"/>
      <c r="Y21" s="36" t="n"/>
      <c r="Z21" s="36" t="n"/>
      <c r="AA21" s="36" t="n"/>
      <c r="AB21" s="36" t="n"/>
      <c r="AC21" s="36" t="n"/>
      <c r="AD21" s="36"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row>
    <row r="22">
      <c r="A22" s="4" t="inlineStr">
        <is>
          <t>QLD</t>
        </is>
      </c>
      <c r="B22" s="19" t="inlineStr">
        <is>
          <t>Lab technician</t>
        </is>
      </c>
      <c r="C22" s="20" t="inlineStr">
        <is>
          <t>LT</t>
        </is>
      </c>
      <c r="D22" s="4" t="inlineStr">
        <is>
          <t>Hospital and Health Service General Employees (Queensland Health) Award - State 2015</t>
        </is>
      </c>
      <c r="I22" s="5" t="n">
        <v>2022</v>
      </c>
      <c r="J22" s="11" t="n">
        <v>0.1275</v>
      </c>
      <c r="K22" s="32" t="n">
        <v>36.25</v>
      </c>
      <c r="L22" s="8" t="n">
        <v>1</v>
      </c>
      <c r="M22" s="8" t="n">
        <v>0.1</v>
      </c>
      <c r="N22" s="8" t="n">
        <v>0.035</v>
      </c>
      <c r="O22" s="27" t="n">
        <v>0</v>
      </c>
      <c r="P22" s="8" t="n">
        <v>0</v>
      </c>
      <c r="Q22" s="8" t="n">
        <v>0.046</v>
      </c>
      <c r="R22" s="23" t="n">
        <v>1826</v>
      </c>
      <c r="S22" s="9" t="n">
        <v>4</v>
      </c>
      <c r="T22" s="8" t="n">
        <v>0</v>
      </c>
      <c r="U22" s="8" t="n">
        <v>0.015</v>
      </c>
      <c r="V22" s="36" t="n">
        <v>48552</v>
      </c>
      <c r="W22" s="36">
        <f>V22+((X22-V22)/2)</f>
        <v/>
      </c>
      <c r="X22" s="36" t="n">
        <v>91840</v>
      </c>
      <c r="Y22" s="36">
        <f>(V22+(V22*$J22)+(V22*$M22)+(V22*$N22)+(V22*$O22)+(V22*$P22)+(V22*$Q22)+($R22)+(V22*((52+$S22)/52))*(1+$T22))*1/$L22</f>
        <v/>
      </c>
      <c r="Z22" s="36">
        <f>(W22+(W22*$J22)+(W22*$M22)+(W22*$N22)+(W22*$O22)+(W22*$P22)+(W22*$Q22)+($R22)+(W22*((52+$S22)/52))*(1+$T22))*1/$L22</f>
        <v/>
      </c>
      <c r="AA22" s="36">
        <f>(X22+(X22*$J22)+(X22*$M22)+(X22*$N22)+(X22*$O22)+(X22*$P22)+(X22*$Q22)+($R22)+(X22*((52+$S22)/52))*(1+$T22))*1/$L22</f>
        <v/>
      </c>
      <c r="AB22" s="36">
        <f>Y22/52/$K22</f>
        <v/>
      </c>
      <c r="AC22" s="36">
        <f>Z22/52/$K22</f>
        <v/>
      </c>
      <c r="AD22" s="36">
        <f>AA22/52/$K22</f>
        <v/>
      </c>
      <c r="AE22" s="36">
        <f>($V22*(1+(($U22/100)*1)))</f>
        <v/>
      </c>
      <c r="AF22" s="36">
        <f>($W22*(1+(($U22/100)*1)))</f>
        <v/>
      </c>
      <c r="AG22" s="36">
        <f>($X22*(1+(($U22/100)*1)))</f>
        <v/>
      </c>
      <c r="AH22" s="36">
        <f>(AE22+(AE22*$J22)+(AE22*$M22)+(AE22*$N22)+(AE22*$O22)+(AE22*$P22)+(AE22*$Q22)+($R22)+(AE22*((52+$S22)/52))*(1+$T22))*1/$L22</f>
        <v/>
      </c>
      <c r="AI22" s="36">
        <f>(AF22+(AF22*$J22)+(AF22*$M22)+(AF22*$N22)+(AF22*$O22)+(AF22*$P22)+(AF22*$Q22)+($R22)+(AF22*((52+$S22)/52))*(1+$T22))*1/$L22</f>
        <v/>
      </c>
      <c r="AJ22" s="36">
        <f>(AG22+(AG22*$J22)+(AG22*$M22)+(AG22*$N22)+(AG22*$O22)+(AG22*$P22)+(AG22*$Q22)+($R22)+(AG22*((52+$S22)/52))*(1+$T22))*1/$L22</f>
        <v/>
      </c>
      <c r="AK22" s="36">
        <f>AH22/52/$K22</f>
        <v/>
      </c>
      <c r="AL22" s="36">
        <f>AI22/52/$K22</f>
        <v/>
      </c>
      <c r="AM22" s="36">
        <f>AJ22/52/$K22</f>
        <v/>
      </c>
      <c r="AN22" s="36">
        <f>($V22*(1+(($U22/100)*2)))</f>
        <v/>
      </c>
      <c r="AO22" s="36">
        <f>($W22*(1+(($U22/100)*2)))</f>
        <v/>
      </c>
      <c r="AP22" s="36">
        <f>($X22*(1+(($U22/100)*2)))</f>
        <v/>
      </c>
      <c r="AQ22" s="36">
        <f>(AN22+(AN22*$J22)+(AN22*$M22)+(AN22*$N22)+(AN22*$O22)+(AN22*$P22)+(AN22*$Q22)+($R22)+(AN22*((52+$S22)/52))*(1+$T22))*1/$L22</f>
        <v/>
      </c>
      <c r="AR22" s="36">
        <f>(AO22+(AO22*$J22)+(AO22*$M22)+(AO22*$N22)+(AO22*$O22)+(AO22*$P22)+(AO22*$Q22)+($R22)+(AO22*((52+$S22)/52))*(1+$T22))*1/$L22</f>
        <v/>
      </c>
      <c r="AS22" s="36">
        <f>(AP22+(AP22*$J22)+(AP22*$M22)+(AP22*$N22)+(AP22*$O22)+(AP22*$P22)+(AP22*$Q22)+($R22)+(AP22*((52+$S22)/52))*(1+$T22))*1/$L22</f>
        <v/>
      </c>
      <c r="AT22" s="36">
        <f>AQ22/52/$K22</f>
        <v/>
      </c>
      <c r="AU22" s="36">
        <f>AR22/52/$K22</f>
        <v/>
      </c>
      <c r="AV22" s="36">
        <f>AS22/52/$K22</f>
        <v/>
      </c>
      <c r="AW22" s="36">
        <f>($V22*(1+(($U22/100)*3)))</f>
        <v/>
      </c>
      <c r="AX22" s="36">
        <f>($W22*(1+(($U22/100)*3)))</f>
        <v/>
      </c>
      <c r="AY22" s="36">
        <f>($X22*(1+(($U22/100)*3)))</f>
        <v/>
      </c>
      <c r="AZ22" s="36">
        <f>(AW22+(AW22*$J22)+(AW22*$M22)+(AW22*$N22)+(AW22*$O22)+(AW22*$P22)+(AW22*$Q22)+($R22)+(AW22*((52+$S22)/52))*(1+$T22))*1/$L22</f>
        <v/>
      </c>
      <c r="BA22" s="36">
        <f>(AX22+(AX22*$J22)+(AX22*$M22)+(AX22*$N22)+(AX22*$O22)+(AX22*$P22)+(AX22*$Q22)+($R22)+(AX22*((52+$S22)/52))*(1+$T22))*1/$L22</f>
        <v/>
      </c>
      <c r="BB22" s="36">
        <f>(AY22+(AY22*$J22)+(AY22*$M22)+(AY22*$N22)+(AY22*$O22)+(AY22*$P22)+(AY22*$Q22)+($R22)+(AY22*((52+$S22)/52))*(1+$T22))*1/$L22</f>
        <v/>
      </c>
      <c r="BC22" s="36">
        <f>AZ22/52/$K22</f>
        <v/>
      </c>
      <c r="BD22" s="36">
        <f>BA22/52/$K22</f>
        <v/>
      </c>
      <c r="BE22" s="36">
        <f>BB22/52/$K22</f>
        <v/>
      </c>
      <c r="BF22" s="36">
        <f>($V22*(1+(($U22/100)*4)))</f>
        <v/>
      </c>
      <c r="BG22" s="36">
        <f>($W22*(1+(($U22/100)*4)))</f>
        <v/>
      </c>
      <c r="BH22" s="36">
        <f>($X22*(1+(($U22/100)*4)))</f>
        <v/>
      </c>
      <c r="BI22" s="36">
        <f>(BF22+(BF22*$J22)+(BF22*$M22)+(BF22*$N22)+(BF22*$O22)+(BF22*$P22)+(BF22*$Q22)+($R22)+(BF22*((52+$S22)/52))*(1+$T22))*1/$L22</f>
        <v/>
      </c>
      <c r="BJ22" s="36">
        <f>(BG22+(BG22*$J22)+(BG22*$M22)+(BG22*$N22)+(BG22*$O22)+(BG22*$P22)+(BG22*$Q22)+($R22)+(BG22*((52+$S22)/52))*(1+$T22))*1/$L22</f>
        <v/>
      </c>
      <c r="BK22" s="36">
        <f>(BH22+(BH22*$J22)+(BH22*$M22)+(BH22*$N22)+(BH22*$O22)+(BH22*$P22)+(BH22*$Q22)+($R22)+(BH22*((52+$S22)/52))*(1+$T22))*1/$L22</f>
        <v/>
      </c>
      <c r="BL22" s="36">
        <f>BI22/52/$K22</f>
        <v/>
      </c>
      <c r="BM22" s="36">
        <f>BJ22/52/$K22</f>
        <v/>
      </c>
      <c r="BN22" s="36">
        <f>BK22/52/$K22</f>
        <v/>
      </c>
    </row>
    <row r="23">
      <c r="A23" s="4" t="inlineStr">
        <is>
          <t>QLD</t>
        </is>
      </c>
      <c r="B23" s="19" t="inlineStr">
        <is>
          <t>Medical scientist</t>
        </is>
      </c>
      <c r="C23" s="20" t="inlineStr">
        <is>
          <t>MS</t>
        </is>
      </c>
      <c r="D23" s="4" t="inlineStr">
        <is>
          <t>Hospital and Health Service General Employees (Queensland Health) Award - State 2015</t>
        </is>
      </c>
      <c r="E23" s="21" t="inlineStr">
        <is>
          <t>HP2-3</t>
        </is>
      </c>
      <c r="I23" s="5" t="n">
        <v>2022</v>
      </c>
      <c r="J23" s="11" t="n">
        <v>0.1275</v>
      </c>
      <c r="K23" s="32" t="n">
        <v>36.25</v>
      </c>
      <c r="L23" s="8" t="n">
        <v>1</v>
      </c>
      <c r="M23" s="8" t="n">
        <v>0.1</v>
      </c>
      <c r="N23" s="8" t="n">
        <v>0.035</v>
      </c>
      <c r="O23" s="27" t="n">
        <v>0</v>
      </c>
      <c r="P23" s="8" t="n">
        <v>0</v>
      </c>
      <c r="Q23" s="8" t="n">
        <v>0.046</v>
      </c>
      <c r="R23" s="23" t="n">
        <v>1826</v>
      </c>
      <c r="S23" s="9" t="n">
        <v>4</v>
      </c>
      <c r="T23" s="8" t="n">
        <v>0</v>
      </c>
      <c r="U23" s="8" t="n">
        <v>0.015</v>
      </c>
      <c r="V23" s="36" t="n">
        <v>69031</v>
      </c>
      <c r="W23" s="36">
        <f>V23+((X23-V23)/2)</f>
        <v/>
      </c>
      <c r="X23" s="36" t="n">
        <v>139576</v>
      </c>
      <c r="Y23" s="36">
        <f>(V23+(V23*$J23)+(V23*$M23)+(V23*$N23)+(V23*$O23)+(V23*$P23)+(V23*$Q23)+($R23)+(V23*((52+$S23)/52))*(1+$T23))*1/$L23</f>
        <v/>
      </c>
      <c r="Z23" s="36">
        <f>(W23+(W23*$J23)+(W23*$M23)+(W23*$N23)+(W23*$O23)+(W23*$P23)+(W23*$Q23)+($R23)+(W23*((52+$S23)/52))*(1+$T23))*1/$L23</f>
        <v/>
      </c>
      <c r="AA23" s="36">
        <f>(X23+(X23*$J23)+(X23*$M23)+(X23*$N23)+(X23*$O23)+(X23*$P23)+(X23*$Q23)+($R23)+(X23*((52+$S23)/52))*(1+$T23))*1/$L23</f>
        <v/>
      </c>
      <c r="AB23" s="36">
        <f>Y23/52/$K23</f>
        <v/>
      </c>
      <c r="AC23" s="36">
        <f>Z23/52/$K23</f>
        <v/>
      </c>
      <c r="AD23" s="36">
        <f>AA23/52/$K23</f>
        <v/>
      </c>
      <c r="AE23" s="36">
        <f>($V23*(1+(($U23/100)*1)))</f>
        <v/>
      </c>
      <c r="AF23" s="36">
        <f>($W23*(1+(($U23/100)*1)))</f>
        <v/>
      </c>
      <c r="AG23" s="36">
        <f>($X23*(1+(($U23/100)*1)))</f>
        <v/>
      </c>
      <c r="AH23" s="36">
        <f>(AE23+(AE23*$J23)+(AE23*$M23)+(AE23*$N23)+(AE23*$O23)+(AE23*$P23)+(AE23*$Q23)+($R23)+(AE23*((52+$S23)/52))*(1+$T23))*1/$L23</f>
        <v/>
      </c>
      <c r="AI23" s="36">
        <f>(AF23+(AF23*$J23)+(AF23*$M23)+(AF23*$N23)+(AF23*$O23)+(AF23*$P23)+(AF23*$Q23)+($R23)+(AF23*((52+$S23)/52))*(1+$T23))*1/$L23</f>
        <v/>
      </c>
      <c r="AJ23" s="36">
        <f>(AG23+(AG23*$J23)+(AG23*$M23)+(AG23*$N23)+(AG23*$O23)+(AG23*$P23)+(AG23*$Q23)+($R23)+(AG23*((52+$S23)/52))*(1+$T23))*1/$L23</f>
        <v/>
      </c>
      <c r="AK23" s="36">
        <f>AH23/52/$K23</f>
        <v/>
      </c>
      <c r="AL23" s="36">
        <f>AI23/52/$K23</f>
        <v/>
      </c>
      <c r="AM23" s="36">
        <f>AJ23/52/$K23</f>
        <v/>
      </c>
      <c r="AN23" s="36">
        <f>($V23*(1+(($U23/100)*2)))</f>
        <v/>
      </c>
      <c r="AO23" s="36">
        <f>($W23*(1+(($U23/100)*2)))</f>
        <v/>
      </c>
      <c r="AP23" s="36">
        <f>($X23*(1+(($U23/100)*2)))</f>
        <v/>
      </c>
      <c r="AQ23" s="36">
        <f>(AN23+(AN23*$J23)+(AN23*$M23)+(AN23*$N23)+(AN23*$O23)+(AN23*$P23)+(AN23*$Q23)+($R23)+(AN23*((52+$S23)/52))*(1+$T23))*1/$L23</f>
        <v/>
      </c>
      <c r="AR23" s="36">
        <f>(AO23+(AO23*$J23)+(AO23*$M23)+(AO23*$N23)+(AO23*$O23)+(AO23*$P23)+(AO23*$Q23)+($R23)+(AO23*((52+$S23)/52))*(1+$T23))*1/$L23</f>
        <v/>
      </c>
      <c r="AS23" s="36">
        <f>(AP23+(AP23*$J23)+(AP23*$M23)+(AP23*$N23)+(AP23*$O23)+(AP23*$P23)+(AP23*$Q23)+($R23)+(AP23*((52+$S23)/52))*(1+$T23))*1/$L23</f>
        <v/>
      </c>
      <c r="AT23" s="36">
        <f>AQ23/52/$K23</f>
        <v/>
      </c>
      <c r="AU23" s="36">
        <f>AR23/52/$K23</f>
        <v/>
      </c>
      <c r="AV23" s="36">
        <f>AS23/52/$K23</f>
        <v/>
      </c>
      <c r="AW23" s="36">
        <f>($V23*(1+(($U23/100)*3)))</f>
        <v/>
      </c>
      <c r="AX23" s="36">
        <f>($W23*(1+(($U23/100)*3)))</f>
        <v/>
      </c>
      <c r="AY23" s="36">
        <f>($X23*(1+(($U23/100)*3)))</f>
        <v/>
      </c>
      <c r="AZ23" s="36">
        <f>(AW23+(AW23*$J23)+(AW23*$M23)+(AW23*$N23)+(AW23*$O23)+(AW23*$P23)+(AW23*$Q23)+($R23)+(AW23*((52+$S23)/52))*(1+$T23))*1/$L23</f>
        <v/>
      </c>
      <c r="BA23" s="36">
        <f>(AX23+(AX23*$J23)+(AX23*$M23)+(AX23*$N23)+(AX23*$O23)+(AX23*$P23)+(AX23*$Q23)+($R23)+(AX23*((52+$S23)/52))*(1+$T23))*1/$L23</f>
        <v/>
      </c>
      <c r="BB23" s="36">
        <f>(AY23+(AY23*$J23)+(AY23*$M23)+(AY23*$N23)+(AY23*$O23)+(AY23*$P23)+(AY23*$Q23)+($R23)+(AY23*((52+$S23)/52))*(1+$T23))*1/$L23</f>
        <v/>
      </c>
      <c r="BC23" s="36">
        <f>AZ23/52/$K23</f>
        <v/>
      </c>
      <c r="BD23" s="36">
        <f>BA23/52/$K23</f>
        <v/>
      </c>
      <c r="BE23" s="36">
        <f>BB23/52/$K23</f>
        <v/>
      </c>
      <c r="BF23" s="36">
        <f>($V23*(1+(($U23/100)*4)))</f>
        <v/>
      </c>
      <c r="BG23" s="36">
        <f>($W23*(1+(($U23/100)*4)))</f>
        <v/>
      </c>
      <c r="BH23" s="36">
        <f>($X23*(1+(($U23/100)*4)))</f>
        <v/>
      </c>
      <c r="BI23" s="36">
        <f>(BF23+(BF23*$J23)+(BF23*$M23)+(BF23*$N23)+(BF23*$O23)+(BF23*$P23)+(BF23*$Q23)+($R23)+(BF23*((52+$S23)/52))*(1+$T23))*1/$L23</f>
        <v/>
      </c>
      <c r="BJ23" s="36">
        <f>(BG23+(BG23*$J23)+(BG23*$M23)+(BG23*$N23)+(BG23*$O23)+(BG23*$P23)+(BG23*$Q23)+($R23)+(BG23*((52+$S23)/52))*(1+$T23))*1/$L23</f>
        <v/>
      </c>
      <c r="BK23" s="36">
        <f>(BH23+(BH23*$J23)+(BH23*$M23)+(BH23*$N23)+(BH23*$O23)+(BH23*$P23)+(BH23*$Q23)+($R23)+(BH23*((52+$S23)/52))*(1+$T23))*1/$L23</f>
        <v/>
      </c>
      <c r="BL23" s="36">
        <f>BI23/52/$K23</f>
        <v/>
      </c>
      <c r="BM23" s="36">
        <f>BJ23/52/$K23</f>
        <v/>
      </c>
      <c r="BN23" s="36">
        <f>BK23/52/$K23</f>
        <v/>
      </c>
    </row>
    <row r="24">
      <c r="A24" s="4" t="inlineStr">
        <is>
          <t>QLD</t>
        </is>
      </c>
      <c r="B24" s="19" t="inlineStr">
        <is>
          <t>Admin staff</t>
        </is>
      </c>
      <c r="C24" s="20" t="inlineStr">
        <is>
          <t>AS</t>
        </is>
      </c>
      <c r="D24" s="4" t="inlineStr">
        <is>
          <t>Hospital and Health Service General Employees (Queensland Health) Award - State 2015</t>
        </is>
      </c>
      <c r="I24" s="5" t="n">
        <v>2022</v>
      </c>
      <c r="J24" s="11" t="n">
        <v>0.1275</v>
      </c>
      <c r="K24" s="32" t="n">
        <v>36.25</v>
      </c>
      <c r="L24" s="8" t="n">
        <v>1</v>
      </c>
      <c r="M24" s="8" t="n">
        <v>0.1</v>
      </c>
      <c r="N24" s="8" t="n">
        <v>0.035</v>
      </c>
      <c r="O24" s="27" t="n">
        <v>0</v>
      </c>
      <c r="P24" s="8" t="n">
        <v>0</v>
      </c>
      <c r="Q24" s="8" t="n">
        <v>0.046</v>
      </c>
      <c r="R24" s="23" t="n">
        <v>1826</v>
      </c>
      <c r="S24" s="9" t="n">
        <v>4</v>
      </c>
      <c r="T24" s="8" t="n">
        <v>0</v>
      </c>
      <c r="U24" s="8" t="n">
        <v>0.015</v>
      </c>
      <c r="V24" s="36" t="n">
        <v>47704</v>
      </c>
      <c r="W24" s="36">
        <f>V24+((X24-V24)/2)</f>
        <v/>
      </c>
      <c r="X24" s="36" t="n">
        <v>79901</v>
      </c>
      <c r="Y24" s="36">
        <f>(V24+(V24*$J24)+(V24*$M24)+(V24*$N24)+(V24*$O24)+(V24*$P24)+(V24*$Q24)+($R24)+(V24*((52+$S24)/52))*(1+$T24))*1/$L24</f>
        <v/>
      </c>
      <c r="Z24" s="36">
        <f>(W24+(W24*$J24)+(W24*$M24)+(W24*$N24)+(W24*$O24)+(W24*$P24)+(W24*$Q24)+($R24)+(W24*((52+$S24)/52))*(1+$T24))*1/$L24</f>
        <v/>
      </c>
      <c r="AA24" s="36">
        <f>(X24+(X24*$J24)+(X24*$M24)+(X24*$N24)+(X24*$O24)+(X24*$P24)+(X24*$Q24)+($R24)+(X24*((52+$S24)/52))*(1+$T24))*1/$L24</f>
        <v/>
      </c>
      <c r="AB24" s="36">
        <f>Y24/52/$K24</f>
        <v/>
      </c>
      <c r="AC24" s="36">
        <f>Z24/52/$K24</f>
        <v/>
      </c>
      <c r="AD24" s="36">
        <f>AA24/52/$K24</f>
        <v/>
      </c>
      <c r="AE24" s="36">
        <f>($V24*(1+(($U24/100)*1)))</f>
        <v/>
      </c>
      <c r="AF24" s="36">
        <f>($W24*(1+(($U24/100)*1)))</f>
        <v/>
      </c>
      <c r="AG24" s="36">
        <f>($X24*(1+(($U24/100)*1)))</f>
        <v/>
      </c>
      <c r="AH24" s="36">
        <f>(AE24+(AE24*$J24)+(AE24*$M24)+(AE24*$N24)+(AE24*$O24)+(AE24*$P24)+(AE24*$Q24)+($R24)+(AE24*((52+$S24)/52))*(1+$T24))*1/$L24</f>
        <v/>
      </c>
      <c r="AI24" s="36">
        <f>(AF24+(AF24*$J24)+(AF24*$M24)+(AF24*$N24)+(AF24*$O24)+(AF24*$P24)+(AF24*$Q24)+($R24)+(AF24*((52+$S24)/52))*(1+$T24))*1/$L24</f>
        <v/>
      </c>
      <c r="AJ24" s="36">
        <f>(AG24+(AG24*$J24)+(AG24*$M24)+(AG24*$N24)+(AG24*$O24)+(AG24*$P24)+(AG24*$Q24)+($R24)+(AG24*((52+$S24)/52))*(1+$T24))*1/$L24</f>
        <v/>
      </c>
      <c r="AK24" s="36">
        <f>AH24/52/$K24</f>
        <v/>
      </c>
      <c r="AL24" s="36">
        <f>AI24/52/$K24</f>
        <v/>
      </c>
      <c r="AM24" s="36">
        <f>AJ24/52/$K24</f>
        <v/>
      </c>
      <c r="AN24" s="36">
        <f>($V24*(1+(($U24/100)*2)))</f>
        <v/>
      </c>
      <c r="AO24" s="36">
        <f>($W24*(1+(($U24/100)*2)))</f>
        <v/>
      </c>
      <c r="AP24" s="36">
        <f>($X24*(1+(($U24/100)*2)))</f>
        <v/>
      </c>
      <c r="AQ24" s="36">
        <f>(AN24+(AN24*$J24)+(AN24*$M24)+(AN24*$N24)+(AN24*$O24)+(AN24*$P24)+(AN24*$Q24)+($R24)+(AN24*((52+$S24)/52))*(1+$T24))*1/$L24</f>
        <v/>
      </c>
      <c r="AR24" s="36">
        <f>(AO24+(AO24*$J24)+(AO24*$M24)+(AO24*$N24)+(AO24*$O24)+(AO24*$P24)+(AO24*$Q24)+($R24)+(AO24*((52+$S24)/52))*(1+$T24))*1/$L24</f>
        <v/>
      </c>
      <c r="AS24" s="36">
        <f>(AP24+(AP24*$J24)+(AP24*$M24)+(AP24*$N24)+(AP24*$O24)+(AP24*$P24)+(AP24*$Q24)+($R24)+(AP24*((52+$S24)/52))*(1+$T24))*1/$L24</f>
        <v/>
      </c>
      <c r="AT24" s="36">
        <f>AQ24/52/$K24</f>
        <v/>
      </c>
      <c r="AU24" s="36">
        <f>AR24/52/$K24</f>
        <v/>
      </c>
      <c r="AV24" s="36">
        <f>AS24/52/$K24</f>
        <v/>
      </c>
      <c r="AW24" s="36">
        <f>($V24*(1+(($U24/100)*3)))</f>
        <v/>
      </c>
      <c r="AX24" s="36">
        <f>($W24*(1+(($U24/100)*3)))</f>
        <v/>
      </c>
      <c r="AY24" s="36">
        <f>($X24*(1+(($U24/100)*3)))</f>
        <v/>
      </c>
      <c r="AZ24" s="36">
        <f>(AW24+(AW24*$J24)+(AW24*$M24)+(AW24*$N24)+(AW24*$O24)+(AW24*$P24)+(AW24*$Q24)+($R24)+(AW24*((52+$S24)/52))*(1+$T24))*1/$L24</f>
        <v/>
      </c>
      <c r="BA24" s="36">
        <f>(AX24+(AX24*$J24)+(AX24*$M24)+(AX24*$N24)+(AX24*$O24)+(AX24*$P24)+(AX24*$Q24)+($R24)+(AX24*((52+$S24)/52))*(1+$T24))*1/$L24</f>
        <v/>
      </c>
      <c r="BB24" s="36">
        <f>(AY24+(AY24*$J24)+(AY24*$M24)+(AY24*$N24)+(AY24*$O24)+(AY24*$P24)+(AY24*$Q24)+($R24)+(AY24*((52+$S24)/52))*(1+$T24))*1/$L24</f>
        <v/>
      </c>
      <c r="BC24" s="36">
        <f>AZ24/52/$K24</f>
        <v/>
      </c>
      <c r="BD24" s="36">
        <f>BA24/52/$K24</f>
        <v/>
      </c>
      <c r="BE24" s="36">
        <f>BB24/52/$K24</f>
        <v/>
      </c>
      <c r="BF24" s="36">
        <f>($V24*(1+(($U24/100)*4)))</f>
        <v/>
      </c>
      <c r="BG24" s="36">
        <f>($W24*(1+(($U24/100)*4)))</f>
        <v/>
      </c>
      <c r="BH24" s="36">
        <f>($X24*(1+(($U24/100)*4)))</f>
        <v/>
      </c>
      <c r="BI24" s="36">
        <f>(BF24+(BF24*$J24)+(BF24*$M24)+(BF24*$N24)+(BF24*$O24)+(BF24*$P24)+(BF24*$Q24)+($R24)+(BF24*((52+$S24)/52))*(1+$T24))*1/$L24</f>
        <v/>
      </c>
      <c r="BJ24" s="36">
        <f>(BG24+(BG24*$J24)+(BG24*$M24)+(BG24*$N24)+(BG24*$O24)+(BG24*$P24)+(BG24*$Q24)+($R24)+(BG24*((52+$S24)/52))*(1+$T24))*1/$L24</f>
        <v/>
      </c>
      <c r="BK24" s="36">
        <f>(BH24+(BH24*$J24)+(BH24*$M24)+(BH24*$N24)+(BH24*$O24)+(BH24*$P24)+(BH24*$Q24)+($R24)+(BH24*((52+$S24)/52))*(1+$T24))*1/$L24</f>
        <v/>
      </c>
      <c r="BL24" s="36">
        <f>BI24/52/$K24</f>
        <v/>
      </c>
      <c r="BM24" s="36">
        <f>BJ24/52/$K24</f>
        <v/>
      </c>
      <c r="BN24" s="36">
        <f>BK24/52/$K24</f>
        <v/>
      </c>
    </row>
    <row r="25">
      <c r="A25" s="4" t="inlineStr">
        <is>
          <t>QLD</t>
        </is>
      </c>
      <c r="B25" s="19" t="inlineStr">
        <is>
          <t>Bioinformatics staff</t>
        </is>
      </c>
      <c r="C25" s="20" t="inlineStr">
        <is>
          <t>BI</t>
        </is>
      </c>
      <c r="D25" s="4" t="inlineStr">
        <is>
          <t>Hospital and Health Service General Employees (Queensland Health) Award - State 2015</t>
        </is>
      </c>
      <c r="I25" s="5" t="n">
        <v>2022</v>
      </c>
      <c r="J25" s="11" t="n">
        <v>0.1275</v>
      </c>
      <c r="K25" s="32" t="n">
        <v>36.25</v>
      </c>
      <c r="L25" s="8" t="n">
        <v>1</v>
      </c>
      <c r="M25" s="8" t="n">
        <v>0.1</v>
      </c>
      <c r="N25" s="8" t="n">
        <v>0.035</v>
      </c>
      <c r="O25" s="27" t="n">
        <v>0</v>
      </c>
      <c r="P25" s="8" t="n">
        <v>0</v>
      </c>
      <c r="Q25" s="8" t="n">
        <v>0.046</v>
      </c>
      <c r="R25" s="23" t="n">
        <v>1826</v>
      </c>
      <c r="S25" s="9" t="n">
        <v>4</v>
      </c>
      <c r="T25" s="8" t="n">
        <v>0</v>
      </c>
      <c r="U25" s="8" t="n">
        <v>0.015</v>
      </c>
      <c r="V25" s="36" t="n">
        <v>69031</v>
      </c>
      <c r="W25" s="36">
        <f>V25+((X25-V25)/2)</f>
        <v/>
      </c>
      <c r="X25" s="36" t="n">
        <v>139576</v>
      </c>
      <c r="Y25" s="36">
        <f>(V25+(V25*$J25)+(V25*$M25)+(V25*$N25)+(V25*$O25)+(V25*$P25)+(V25*$Q25)+($R25)+(V25*((52+$S25)/52))*(1+$T25))*1/$L25</f>
        <v/>
      </c>
      <c r="Z25" s="36">
        <f>(W25+(W25*$J25)+(W25*$M25)+(W25*$N25)+(W25*$O25)+(W25*$P25)+(W25*$Q25)+($R25)+(W25*((52+$S25)/52))*(1+$T25))*1/$L25</f>
        <v/>
      </c>
      <c r="AA25" s="36">
        <f>(X25+(X25*$J25)+(X25*$M25)+(X25*$N25)+(X25*$O25)+(X25*$P25)+(X25*$Q25)+($R25)+(X25*((52+$S25)/52))*(1+$T25))*1/$L25</f>
        <v/>
      </c>
      <c r="AB25" s="36">
        <f>Y25/52/$K25</f>
        <v/>
      </c>
      <c r="AC25" s="36">
        <f>Z25/52/$K25</f>
        <v/>
      </c>
      <c r="AD25" s="36">
        <f>AA25/52/$K25</f>
        <v/>
      </c>
      <c r="AE25" s="36">
        <f>($V25*(1+(($U25/100)*1)))</f>
        <v/>
      </c>
      <c r="AF25" s="36">
        <f>($W25*(1+(($U25/100)*1)))</f>
        <v/>
      </c>
      <c r="AG25" s="36">
        <f>($X25*(1+(($U25/100)*1)))</f>
        <v/>
      </c>
      <c r="AH25" s="36">
        <f>(AE25+(AE25*$J25)+(AE25*$M25)+(AE25*$N25)+(AE25*$O25)+(AE25*$P25)+(AE25*$Q25)+($R25)+(AE25*((52+$S25)/52))*(1+$T25))*1/$L25</f>
        <v/>
      </c>
      <c r="AI25" s="36">
        <f>(AF25+(AF25*$J25)+(AF25*$M25)+(AF25*$N25)+(AF25*$O25)+(AF25*$P25)+(AF25*$Q25)+($R25)+(AF25*((52+$S25)/52))*(1+$T25))*1/$L25</f>
        <v/>
      </c>
      <c r="AJ25" s="36">
        <f>(AG25+(AG25*$J25)+(AG25*$M25)+(AG25*$N25)+(AG25*$O25)+(AG25*$P25)+(AG25*$Q25)+($R25)+(AG25*((52+$S25)/52))*(1+$T25))*1/$L25</f>
        <v/>
      </c>
      <c r="AK25" s="36">
        <f>AH25/52/$K25</f>
        <v/>
      </c>
      <c r="AL25" s="36">
        <f>AI25/52/$K25</f>
        <v/>
      </c>
      <c r="AM25" s="36">
        <f>AJ25/52/$K25</f>
        <v/>
      </c>
      <c r="AN25" s="36">
        <f>($V25*(1+(($U25/100)*2)))</f>
        <v/>
      </c>
      <c r="AO25" s="36">
        <f>($W25*(1+(($U25/100)*2)))</f>
        <v/>
      </c>
      <c r="AP25" s="36">
        <f>($X25*(1+(($U25/100)*2)))</f>
        <v/>
      </c>
      <c r="AQ25" s="36">
        <f>(AN25+(AN25*$J25)+(AN25*$M25)+(AN25*$N25)+(AN25*$O25)+(AN25*$P25)+(AN25*$Q25)+($R25)+(AN25*((52+$S25)/52))*(1+$T25))*1/$L25</f>
        <v/>
      </c>
      <c r="AR25" s="36">
        <f>(AO25+(AO25*$J25)+(AO25*$M25)+(AO25*$N25)+(AO25*$O25)+(AO25*$P25)+(AO25*$Q25)+($R25)+(AO25*((52+$S25)/52))*(1+$T25))*1/$L25</f>
        <v/>
      </c>
      <c r="AS25" s="36">
        <f>(AP25+(AP25*$J25)+(AP25*$M25)+(AP25*$N25)+(AP25*$O25)+(AP25*$P25)+(AP25*$Q25)+($R25)+(AP25*((52+$S25)/52))*(1+$T25))*1/$L25</f>
        <v/>
      </c>
      <c r="AT25" s="36">
        <f>AQ25/52/$K25</f>
        <v/>
      </c>
      <c r="AU25" s="36">
        <f>AR25/52/$K25</f>
        <v/>
      </c>
      <c r="AV25" s="36">
        <f>AS25/52/$K25</f>
        <v/>
      </c>
      <c r="AW25" s="36">
        <f>($V25*(1+(($U25/100)*3)))</f>
        <v/>
      </c>
      <c r="AX25" s="36">
        <f>($W25*(1+(($U25/100)*3)))</f>
        <v/>
      </c>
      <c r="AY25" s="36">
        <f>($X25*(1+(($U25/100)*3)))</f>
        <v/>
      </c>
      <c r="AZ25" s="36">
        <f>(AW25+(AW25*$J25)+(AW25*$M25)+(AW25*$N25)+(AW25*$O25)+(AW25*$P25)+(AW25*$Q25)+($R25)+(AW25*((52+$S25)/52))*(1+$T25))*1/$L25</f>
        <v/>
      </c>
      <c r="BA25" s="36">
        <f>(AX25+(AX25*$J25)+(AX25*$M25)+(AX25*$N25)+(AX25*$O25)+(AX25*$P25)+(AX25*$Q25)+($R25)+(AX25*((52+$S25)/52))*(1+$T25))*1/$L25</f>
        <v/>
      </c>
      <c r="BB25" s="36">
        <f>(AY25+(AY25*$J25)+(AY25*$M25)+(AY25*$N25)+(AY25*$O25)+(AY25*$P25)+(AY25*$Q25)+($R25)+(AY25*((52+$S25)/52))*(1+$T25))*1/$L25</f>
        <v/>
      </c>
      <c r="BC25" s="36">
        <f>AZ25/52/$K25</f>
        <v/>
      </c>
      <c r="BD25" s="36">
        <f>BA25/52/$K25</f>
        <v/>
      </c>
      <c r="BE25" s="36">
        <f>BB25/52/$K25</f>
        <v/>
      </c>
      <c r="BF25" s="36">
        <f>($V25*(1+(($U25/100)*4)))</f>
        <v/>
      </c>
      <c r="BG25" s="36">
        <f>($W25*(1+(($U25/100)*4)))</f>
        <v/>
      </c>
      <c r="BH25" s="36">
        <f>($X25*(1+(($U25/100)*4)))</f>
        <v/>
      </c>
      <c r="BI25" s="36">
        <f>(BF25+(BF25*$J25)+(BF25*$M25)+(BF25*$N25)+(BF25*$O25)+(BF25*$P25)+(BF25*$Q25)+($R25)+(BF25*((52+$S25)/52))*(1+$T25))*1/$L25</f>
        <v/>
      </c>
      <c r="BJ25" s="36">
        <f>(BG25+(BG25*$J25)+(BG25*$M25)+(BG25*$N25)+(BG25*$O25)+(BG25*$P25)+(BG25*$Q25)+($R25)+(BG25*((52+$S25)/52))*(1+$T25))*1/$L25</f>
        <v/>
      </c>
      <c r="BK25" s="36">
        <f>(BH25+(BH25*$J25)+(BH25*$M25)+(BH25*$N25)+(BH25*$O25)+(BH25*$P25)+(BH25*$Q25)+($R25)+(BH25*((52+$S25)/52))*(1+$T25))*1/$L25</f>
        <v/>
      </c>
      <c r="BL25" s="36">
        <f>BI25/52/$K25</f>
        <v/>
      </c>
      <c r="BM25" s="36">
        <f>BJ25/52/$K25</f>
        <v/>
      </c>
      <c r="BN25" s="36">
        <f>BK25/52/$K25</f>
        <v/>
      </c>
    </row>
    <row r="26">
      <c r="A26" s="4" t="inlineStr">
        <is>
          <t>QLD</t>
        </is>
      </c>
      <c r="B26" s="19" t="inlineStr">
        <is>
          <t>Pathologists</t>
        </is>
      </c>
      <c r="C26" s="20" t="inlineStr">
        <is>
          <t>MP</t>
        </is>
      </c>
      <c r="D26" s="4" t="inlineStr">
        <is>
          <t>MEDICAL OFFICERS (QUEENSLAND HEALTH) AWARD – STATE 2015</t>
        </is>
      </c>
      <c r="E26" s="21" t="inlineStr">
        <is>
          <t>L18-L27</t>
        </is>
      </c>
      <c r="H26" s="5" t="inlineStr">
        <is>
          <t>189406-262090</t>
        </is>
      </c>
      <c r="I26" s="5" t="n">
        <v>2022</v>
      </c>
      <c r="J26" s="11" t="n">
        <v>0.1275</v>
      </c>
      <c r="K26" s="32" t="n">
        <v>38</v>
      </c>
      <c r="L26" s="8" t="n">
        <v>1</v>
      </c>
      <c r="M26" s="8" t="n">
        <v>0</v>
      </c>
      <c r="N26" s="8" t="n">
        <v>0.035</v>
      </c>
      <c r="O26" s="27" t="n">
        <v>0</v>
      </c>
      <c r="P26" s="8" t="n">
        <v>0.5</v>
      </c>
      <c r="Q26" s="8" t="n">
        <v>0.046</v>
      </c>
      <c r="R26" s="23" t="n">
        <v>21500</v>
      </c>
      <c r="S26" s="9" t="n">
        <v>4</v>
      </c>
      <c r="T26" s="8" t="n">
        <v>0</v>
      </c>
      <c r="U26" s="8" t="n">
        <v>0.015</v>
      </c>
      <c r="V26" s="36" t="n">
        <v>189406</v>
      </c>
      <c r="W26" s="36">
        <f>V26+((X26-V26)/2)</f>
        <v/>
      </c>
      <c r="X26" s="36" t="n">
        <v>262090</v>
      </c>
      <c r="Y26" s="36">
        <f>(V26+(V26*$J26)+(V26*$M26)+(V26*$N26)+(V26*$O26)+(V26*$P26)+(V26*$Q26)+($R26)+(V26*((52+$S26)/52))*(1+$T26))*1/$L26</f>
        <v/>
      </c>
      <c r="Z26" s="36">
        <f>(W26+(W26*$J26)+(W26*$M26)+(W26*$N26)+(W26*$O26)+(W26*$P26)+(W26*$Q26)+($R26)+(W26*((52+$S26)/52))*(1+$T26))*1/$L26</f>
        <v/>
      </c>
      <c r="AA26" s="36">
        <f>(X26+(X26*$J26)+(X26*$M26)+(X26*$N26)+(X26*$O26)+(X26*$P26)+(X26*$Q26)+($R26)+(X26*((52+$S26)/52))*(1+$T26))*1/$L26</f>
        <v/>
      </c>
      <c r="AB26" s="36">
        <f>Y26/52/$K26</f>
        <v/>
      </c>
      <c r="AC26" s="36">
        <f>Z26/52/$K26</f>
        <v/>
      </c>
      <c r="AD26" s="36">
        <f>AA26/52/$K26</f>
        <v/>
      </c>
      <c r="AE26" s="36">
        <f>($V26*(1+(($U26/100)*1)))</f>
        <v/>
      </c>
      <c r="AF26" s="36">
        <f>($W26*(1+(($U26/100)*1)))</f>
        <v/>
      </c>
      <c r="AG26" s="36">
        <f>($X26*(1+(($U26/100)*1)))</f>
        <v/>
      </c>
      <c r="AH26" s="36">
        <f>(AE26+(AE26*$J26)+(AE26*$M26)+(AE26*$N26)+(AE26*$O26)+(AE26*$P26)+(AE26*$Q26)+($R26)+(AE26*((52+$S26)/52))*(1+$T26))*1/$L26</f>
        <v/>
      </c>
      <c r="AI26" s="36">
        <f>(AF26+(AF26*$J26)+(AF26*$M26)+(AF26*$N26)+(AF26*$O26)+(AF26*$P26)+(AF26*$Q26)+($R26)+(AF26*((52+$S26)/52))*(1+$T26))*1/$L26</f>
        <v/>
      </c>
      <c r="AJ26" s="36">
        <f>(AG26+(AG26*$J26)+(AG26*$M26)+(AG26*$N26)+(AG26*$O26)+(AG26*$P26)+(AG26*$Q26)+($R26)+(AG26*((52+$S26)/52))*(1+$T26))*1/$L26</f>
        <v/>
      </c>
      <c r="AK26" s="36">
        <f>AH26/52/$K26</f>
        <v/>
      </c>
      <c r="AL26" s="36">
        <f>AI26/52/$K26</f>
        <v/>
      </c>
      <c r="AM26" s="36">
        <f>AJ26/52/$K26</f>
        <v/>
      </c>
      <c r="AN26" s="36">
        <f>($V26*(1+(($U26/100)*2)))</f>
        <v/>
      </c>
      <c r="AO26" s="36">
        <f>($W26*(1+(($U26/100)*2)))</f>
        <v/>
      </c>
      <c r="AP26" s="36">
        <f>($X26*(1+(($U26/100)*2)))</f>
        <v/>
      </c>
      <c r="AQ26" s="36">
        <f>(AN26+(AN26*$J26)+(AN26*$M26)+(AN26*$N26)+(AN26*$O26)+(AN26*$P26)+(AN26*$Q26)+($R26)+(AN26*((52+$S26)/52))*(1+$T26))*1/$L26</f>
        <v/>
      </c>
      <c r="AR26" s="36">
        <f>(AO26+(AO26*$J26)+(AO26*$M26)+(AO26*$N26)+(AO26*$O26)+(AO26*$P26)+(AO26*$Q26)+($R26)+(AO26*((52+$S26)/52))*(1+$T26))*1/$L26</f>
        <v/>
      </c>
      <c r="AS26" s="36">
        <f>(AP26+(AP26*$J26)+(AP26*$M26)+(AP26*$N26)+(AP26*$O26)+(AP26*$P26)+(AP26*$Q26)+($R26)+(AP26*((52+$S26)/52))*(1+$T26))*1/$L26</f>
        <v/>
      </c>
      <c r="AT26" s="36">
        <f>AQ26/52/$K26</f>
        <v/>
      </c>
      <c r="AU26" s="36">
        <f>AR26/52/$K26</f>
        <v/>
      </c>
      <c r="AV26" s="36">
        <f>AS26/52/$K26</f>
        <v/>
      </c>
      <c r="AW26" s="36">
        <f>($V26*(1+(($U26/100)*3)))</f>
        <v/>
      </c>
      <c r="AX26" s="36">
        <f>($W26*(1+(($U26/100)*3)))</f>
        <v/>
      </c>
      <c r="AY26" s="36">
        <f>($X26*(1+(($U26/100)*3)))</f>
        <v/>
      </c>
      <c r="AZ26" s="36">
        <f>(AW26+(AW26*$J26)+(AW26*$M26)+(AW26*$N26)+(AW26*$O26)+(AW26*$P26)+(AW26*$Q26)+($R26)+(AW26*((52+$S26)/52))*(1+$T26))*1/$L26</f>
        <v/>
      </c>
      <c r="BA26" s="36">
        <f>(AX26+(AX26*$J26)+(AX26*$M26)+(AX26*$N26)+(AX26*$O26)+(AX26*$P26)+(AX26*$Q26)+($R26)+(AX26*((52+$S26)/52))*(1+$T26))*1/$L26</f>
        <v/>
      </c>
      <c r="BB26" s="36">
        <f>(AY26+(AY26*$J26)+(AY26*$M26)+(AY26*$N26)+(AY26*$O26)+(AY26*$P26)+(AY26*$Q26)+($R26)+(AY26*((52+$S26)/52))*(1+$T26))*1/$L26</f>
        <v/>
      </c>
      <c r="BC26" s="36">
        <f>AZ26/52/$K26</f>
        <v/>
      </c>
      <c r="BD26" s="36">
        <f>BA26/52/$K26</f>
        <v/>
      </c>
      <c r="BE26" s="36">
        <f>BB26/52/$K26</f>
        <v/>
      </c>
      <c r="BF26" s="36">
        <f>($V26*(1+(($U26/100)*4)))</f>
        <v/>
      </c>
      <c r="BG26" s="36">
        <f>($W26*(1+(($U26/100)*4)))</f>
        <v/>
      </c>
      <c r="BH26" s="36">
        <f>($X26*(1+(($U26/100)*4)))</f>
        <v/>
      </c>
      <c r="BI26" s="36">
        <f>(BF26+(BF26*$J26)+(BF26*$M26)+(BF26*$N26)+(BF26*$O26)+(BF26*$P26)+(BF26*$Q26)+($R26)+(BF26*((52+$S26)/52))*(1+$T26))*1/$L26</f>
        <v/>
      </c>
      <c r="BJ26" s="36">
        <f>(BG26+(BG26*$J26)+(BG26*$M26)+(BG26*$N26)+(BG26*$O26)+(BG26*$P26)+(BG26*$Q26)+($R26)+(BG26*((52+$S26)/52))*(1+$T26))*1/$L26</f>
        <v/>
      </c>
      <c r="BK26" s="36">
        <f>(BH26+(BH26*$J26)+(BH26*$M26)+(BH26*$N26)+(BH26*$O26)+(BH26*$P26)+(BH26*$Q26)+($R26)+(BH26*((52+$S26)/52))*(1+$T26))*1/$L26</f>
        <v/>
      </c>
      <c r="BL26" s="36">
        <f>BI26/52/$K26</f>
        <v/>
      </c>
      <c r="BM26" s="36">
        <f>BJ26/52/$K26</f>
        <v/>
      </c>
      <c r="BN26" s="36">
        <f>BK26/52/$K26</f>
        <v/>
      </c>
    </row>
    <row r="27">
      <c r="R27" s="23" t="n"/>
      <c r="U27" s="8" t="n"/>
      <c r="V27" s="36" t="n"/>
      <c r="W27" s="36" t="n"/>
      <c r="X27" s="36" t="n"/>
      <c r="Y27" s="36" t="n"/>
      <c r="Z27" s="36" t="n"/>
      <c r="AA27" s="36" t="n"/>
      <c r="AB27" s="36" t="n"/>
      <c r="AC27" s="36" t="n"/>
      <c r="AD27" s="36"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row>
    <row r="28">
      <c r="A28" s="4" t="inlineStr">
        <is>
          <t>WA</t>
        </is>
      </c>
      <c r="B28" s="19" t="inlineStr">
        <is>
          <t>Lab technician</t>
        </is>
      </c>
      <c r="C28" s="20" t="inlineStr">
        <is>
          <t>LT</t>
        </is>
      </c>
      <c r="D28" s="4" t="inlineStr">
        <is>
          <t xml:space="preserve">Health Salaried Officers Agreement </t>
        </is>
      </c>
      <c r="E28" s="21" t="inlineStr">
        <is>
          <t>G1-3</t>
        </is>
      </c>
      <c r="I28" s="5" t="n">
        <v>2022</v>
      </c>
      <c r="J28" s="11" t="n">
        <v>0.105</v>
      </c>
      <c r="K28" s="32" t="n">
        <v>38</v>
      </c>
      <c r="L28" s="8" t="n">
        <v>1</v>
      </c>
      <c r="M28" s="8" t="n">
        <v>0.1</v>
      </c>
      <c r="N28" s="8" t="n">
        <v>0.035</v>
      </c>
      <c r="O28" s="27" t="n">
        <v>0</v>
      </c>
      <c r="P28" s="8" t="n">
        <v>0</v>
      </c>
      <c r="Q28" s="8" t="n">
        <v>0.046</v>
      </c>
      <c r="R28" s="23" t="n">
        <v>0</v>
      </c>
      <c r="S28" s="9" t="n">
        <v>4</v>
      </c>
      <c r="T28" s="8" t="n">
        <v>0.2</v>
      </c>
      <c r="U28" s="8" t="n">
        <v>0.015</v>
      </c>
      <c r="V28" s="36" t="n">
        <v>57579</v>
      </c>
      <c r="W28" s="36">
        <f>V28+((X28-V28)/2)</f>
        <v/>
      </c>
      <c r="X28" s="36" t="n">
        <v>85157</v>
      </c>
      <c r="Y28" s="36">
        <f>(V28+(V28*$J28)+(V28*$M28)+(V28*$N28)+(V28*$O28)+(V28*$P28)+(V28*$Q28)+($R28)+(V28*((52+$S28)/52))*(1+$T28))*1/$L28</f>
        <v/>
      </c>
      <c r="Z28" s="36">
        <f>(W28+(W28*$J28)+(W28*$M28)+(W28*$N28)+(W28*$O28)+(W28*$P28)+(W28*$Q28)+($R28)+(W28*((52+$S28)/52))*(1+$T28))*1/$L28</f>
        <v/>
      </c>
      <c r="AA28" s="36">
        <f>(X28+(X28*$J28)+(X28*$M28)+(X28*$N28)+(X28*$O28)+(X28*$P28)+(X28*$Q28)+($R28)+(X28*((52+$S28)/52))*(1+$T28))*1/$L28</f>
        <v/>
      </c>
      <c r="AB28" s="36">
        <f>Y28/52/$K28</f>
        <v/>
      </c>
      <c r="AC28" s="36">
        <f>Z28/52/$K28</f>
        <v/>
      </c>
      <c r="AD28" s="36">
        <f>AA28/52/$K28</f>
        <v/>
      </c>
      <c r="AE28" s="36">
        <f>($V28*(1+(($U28/100)*1)))</f>
        <v/>
      </c>
      <c r="AF28" s="36">
        <f>($W28*(1+(($U28/100)*1)))</f>
        <v/>
      </c>
      <c r="AG28" s="36">
        <f>($X28*(1+(($U28/100)*1)))</f>
        <v/>
      </c>
      <c r="AH28" s="36">
        <f>(AE28+(AE28*$J28)+(AE28*$M28)+(AE28*$N28)+(AE28*$O28)+(AE28*$P28)+(AE28*$Q28)+($R28)+(AE28*((52+$S28)/52))*(1+$T28))*1/$L28</f>
        <v/>
      </c>
      <c r="AI28" s="36">
        <f>(AF28+(AF28*$J28)+(AF28*$M28)+(AF28*$N28)+(AF28*$O28)+(AF28*$P28)+(AF28*$Q28)+($R28)+(AF28*((52+$S28)/52))*(1+$T28))*1/$L28</f>
        <v/>
      </c>
      <c r="AJ28" s="36">
        <f>(AG28+(AG28*$J28)+(AG28*$M28)+(AG28*$N28)+(AG28*$O28)+(AG28*$P28)+(AG28*$Q28)+($R28)+(AG28*((52+$S28)/52))*(1+$T28))*1/$L28</f>
        <v/>
      </c>
      <c r="AK28" s="36">
        <f>AH28/52/$K28</f>
        <v/>
      </c>
      <c r="AL28" s="36">
        <f>AI28/52/$K28</f>
        <v/>
      </c>
      <c r="AM28" s="36">
        <f>AJ28/52/$K28</f>
        <v/>
      </c>
      <c r="AN28" s="36">
        <f>($V28*(1+(($U28/100)*2)))</f>
        <v/>
      </c>
      <c r="AO28" s="36">
        <f>($W28*(1+(($U28/100)*2)))</f>
        <v/>
      </c>
      <c r="AP28" s="36">
        <f>($X28*(1+(($U28/100)*2)))</f>
        <v/>
      </c>
      <c r="AQ28" s="36">
        <f>(AN28+(AN28*$J28)+(AN28*$M28)+(AN28*$N28)+(AN28*$O28)+(AN28*$P28)+(AN28*$Q28)+($R28)+(AN28*((52+$S28)/52))*(1+$T28))*1/$L28</f>
        <v/>
      </c>
      <c r="AR28" s="36">
        <f>(AO28+(AO28*$J28)+(AO28*$M28)+(AO28*$N28)+(AO28*$O28)+(AO28*$P28)+(AO28*$Q28)+($R28)+(AO28*((52+$S28)/52))*(1+$T28))*1/$L28</f>
        <v/>
      </c>
      <c r="AS28" s="36">
        <f>(AP28+(AP28*$J28)+(AP28*$M28)+(AP28*$N28)+(AP28*$O28)+(AP28*$P28)+(AP28*$Q28)+($R28)+(AP28*((52+$S28)/52))*(1+$T28))*1/$L28</f>
        <v/>
      </c>
      <c r="AT28" s="36">
        <f>AQ28/52/$K28</f>
        <v/>
      </c>
      <c r="AU28" s="36">
        <f>AR28/52/$K28</f>
        <v/>
      </c>
      <c r="AV28" s="36">
        <f>AS28/52/$K28</f>
        <v/>
      </c>
      <c r="AW28" s="36">
        <f>($V28*(1+(($U28/100)*3)))</f>
        <v/>
      </c>
      <c r="AX28" s="36">
        <f>($W28*(1+(($U28/100)*3)))</f>
        <v/>
      </c>
      <c r="AY28" s="36">
        <f>($X28*(1+(($U28/100)*3)))</f>
        <v/>
      </c>
      <c r="AZ28" s="36">
        <f>(AW28+(AW28*$J28)+(AW28*$M28)+(AW28*$N28)+(AW28*$O28)+(AW28*$P28)+(AW28*$Q28)+($R28)+(AW28*((52+$S28)/52))*(1+$T28))*1/$L28</f>
        <v/>
      </c>
      <c r="BA28" s="36">
        <f>(AX28+(AX28*$J28)+(AX28*$M28)+(AX28*$N28)+(AX28*$O28)+(AX28*$P28)+(AX28*$Q28)+($R28)+(AX28*((52+$S28)/52))*(1+$T28))*1/$L28</f>
        <v/>
      </c>
      <c r="BB28" s="36">
        <f>(AY28+(AY28*$J28)+(AY28*$M28)+(AY28*$N28)+(AY28*$O28)+(AY28*$P28)+(AY28*$Q28)+($R28)+(AY28*((52+$S28)/52))*(1+$T28))*1/$L28</f>
        <v/>
      </c>
      <c r="BC28" s="36">
        <f>AZ28/52/$K28</f>
        <v/>
      </c>
      <c r="BD28" s="36">
        <f>BA28/52/$K28</f>
        <v/>
      </c>
      <c r="BE28" s="36">
        <f>BB28/52/$K28</f>
        <v/>
      </c>
      <c r="BF28" s="36">
        <f>($V28*(1+(($U28/100)*4)))</f>
        <v/>
      </c>
      <c r="BG28" s="36">
        <f>($W28*(1+(($U28/100)*4)))</f>
        <v/>
      </c>
      <c r="BH28" s="36">
        <f>($X28*(1+(($U28/100)*4)))</f>
        <v/>
      </c>
      <c r="BI28" s="36">
        <f>(BF28+(BF28*$J28)+(BF28*$M28)+(BF28*$N28)+(BF28*$O28)+(BF28*$P28)+(BF28*$Q28)+($R28)+(BF28*((52+$S28)/52))*(1+$T28))*1/$L28</f>
        <v/>
      </c>
      <c r="BJ28" s="36">
        <f>(BG28+(BG28*$J28)+(BG28*$M28)+(BG28*$N28)+(BG28*$O28)+(BG28*$P28)+(BG28*$Q28)+($R28)+(BG28*((52+$S28)/52))*(1+$T28))*1/$L28</f>
        <v/>
      </c>
      <c r="BK28" s="36">
        <f>(BH28+(BH28*$J28)+(BH28*$M28)+(BH28*$N28)+(BH28*$O28)+(BH28*$P28)+(BH28*$Q28)+($R28)+(BH28*((52+$S28)/52))*(1+$T28))*1/$L28</f>
        <v/>
      </c>
      <c r="BL28" s="36">
        <f>BI28/52/$K28</f>
        <v/>
      </c>
      <c r="BM28" s="36">
        <f>BJ28/52/$K28</f>
        <v/>
      </c>
      <c r="BN28" s="36">
        <f>BK28/52/$K28</f>
        <v/>
      </c>
    </row>
    <row r="29">
      <c r="A29" s="4" t="inlineStr">
        <is>
          <t>WA</t>
        </is>
      </c>
      <c r="B29" s="19" t="inlineStr">
        <is>
          <t>Medical scientist</t>
        </is>
      </c>
      <c r="C29" s="20" t="inlineStr">
        <is>
          <t>MS</t>
        </is>
      </c>
      <c r="D29" s="4" t="inlineStr">
        <is>
          <t xml:space="preserve">Health Salaried Officers Agreement </t>
        </is>
      </c>
      <c r="E29" s="21" t="inlineStr">
        <is>
          <t>P1-5</t>
        </is>
      </c>
      <c r="I29" s="5" t="n">
        <v>2022</v>
      </c>
      <c r="J29" s="11" t="n">
        <v>0.105</v>
      </c>
      <c r="K29" s="32" t="n">
        <v>38</v>
      </c>
      <c r="L29" s="8" t="n">
        <v>1</v>
      </c>
      <c r="M29" s="8" t="n">
        <v>0.1</v>
      </c>
      <c r="N29" s="8" t="n">
        <v>0.035</v>
      </c>
      <c r="O29" s="27" t="n">
        <v>0</v>
      </c>
      <c r="P29" s="8" t="n">
        <v>0</v>
      </c>
      <c r="Q29" s="8" t="n">
        <v>0.046</v>
      </c>
      <c r="R29" s="23" t="n">
        <v>0</v>
      </c>
      <c r="S29" s="9" t="n">
        <v>4</v>
      </c>
      <c r="T29" s="8" t="n">
        <v>0.2</v>
      </c>
      <c r="U29" s="8" t="n">
        <v>0.015</v>
      </c>
      <c r="V29" s="36" t="n">
        <v>77833</v>
      </c>
      <c r="W29" s="36">
        <f>V29+((X29-V29)/2)</f>
        <v/>
      </c>
      <c r="X29" s="36" t="n">
        <v>140249</v>
      </c>
      <c r="Y29" s="36">
        <f>(V29+(V29*$J29)+(V29*$M29)+(V29*$N29)+(V29*$O29)+(V29*$P29)+(V29*$Q29)+($R29)+(V29*((52+$S29)/52))*(1+$T29))*1/$L29</f>
        <v/>
      </c>
      <c r="Z29" s="36">
        <f>(W29+(W29*$J29)+(W29*$M29)+(W29*$N29)+(W29*$O29)+(W29*$P29)+(W29*$Q29)+($R29)+(W29*((52+$S29)/52))*(1+$T29))*1/$L29</f>
        <v/>
      </c>
      <c r="AA29" s="36">
        <f>(X29+(X29*$J29)+(X29*$M29)+(X29*$N29)+(X29*$O29)+(X29*$P29)+(X29*$Q29)+($R29)+(X29*((52+$S29)/52))*(1+$T29))*1/$L29</f>
        <v/>
      </c>
      <c r="AB29" s="36">
        <f>Y29/52/$K29</f>
        <v/>
      </c>
      <c r="AC29" s="36">
        <f>Z29/52/$K29</f>
        <v/>
      </c>
      <c r="AD29" s="36">
        <f>AA29/52/$K29</f>
        <v/>
      </c>
      <c r="AE29" s="36">
        <f>($V29*(1+(($U29/100)*1)))</f>
        <v/>
      </c>
      <c r="AF29" s="36">
        <f>($W29*(1+(($U29/100)*1)))</f>
        <v/>
      </c>
      <c r="AG29" s="36">
        <f>($X29*(1+(($U29/100)*1)))</f>
        <v/>
      </c>
      <c r="AH29" s="36">
        <f>(AE29+(AE29*$J29)+(AE29*$M29)+(AE29*$N29)+(AE29*$O29)+(AE29*$P29)+(AE29*$Q29)+($R29)+(AE29*((52+$S29)/52))*(1+$T29))*1/$L29</f>
        <v/>
      </c>
      <c r="AI29" s="36">
        <f>(AF29+(AF29*$J29)+(AF29*$M29)+(AF29*$N29)+(AF29*$O29)+(AF29*$P29)+(AF29*$Q29)+($R29)+(AF29*((52+$S29)/52))*(1+$T29))*1/$L29</f>
        <v/>
      </c>
      <c r="AJ29" s="36">
        <f>(AG29+(AG29*$J29)+(AG29*$M29)+(AG29*$N29)+(AG29*$O29)+(AG29*$P29)+(AG29*$Q29)+($R29)+(AG29*((52+$S29)/52))*(1+$T29))*1/$L29</f>
        <v/>
      </c>
      <c r="AK29" s="36">
        <f>AH29/52/$K29</f>
        <v/>
      </c>
      <c r="AL29" s="36">
        <f>AI29/52/$K29</f>
        <v/>
      </c>
      <c r="AM29" s="36">
        <f>AJ29/52/$K29</f>
        <v/>
      </c>
      <c r="AN29" s="36">
        <f>($V29*(1+(($U29/100)*2)))</f>
        <v/>
      </c>
      <c r="AO29" s="36">
        <f>($W29*(1+(($U29/100)*2)))</f>
        <v/>
      </c>
      <c r="AP29" s="36">
        <f>($X29*(1+(($U29/100)*2)))</f>
        <v/>
      </c>
      <c r="AQ29" s="36">
        <f>(AN29+(AN29*$J29)+(AN29*$M29)+(AN29*$N29)+(AN29*$O29)+(AN29*$P29)+(AN29*$Q29)+($R29)+(AN29*((52+$S29)/52))*(1+$T29))*1/$L29</f>
        <v/>
      </c>
      <c r="AR29" s="36">
        <f>(AO29+(AO29*$J29)+(AO29*$M29)+(AO29*$N29)+(AO29*$O29)+(AO29*$P29)+(AO29*$Q29)+($R29)+(AO29*((52+$S29)/52))*(1+$T29))*1/$L29</f>
        <v/>
      </c>
      <c r="AS29" s="36">
        <f>(AP29+(AP29*$J29)+(AP29*$M29)+(AP29*$N29)+(AP29*$O29)+(AP29*$P29)+(AP29*$Q29)+($R29)+(AP29*((52+$S29)/52))*(1+$T29))*1/$L29</f>
        <v/>
      </c>
      <c r="AT29" s="36">
        <f>AQ29/52/$K29</f>
        <v/>
      </c>
      <c r="AU29" s="36">
        <f>AR29/52/$K29</f>
        <v/>
      </c>
      <c r="AV29" s="36">
        <f>AS29/52/$K29</f>
        <v/>
      </c>
      <c r="AW29" s="36">
        <f>($V29*(1+(($U29/100)*3)))</f>
        <v/>
      </c>
      <c r="AX29" s="36">
        <f>($W29*(1+(($U29/100)*3)))</f>
        <v/>
      </c>
      <c r="AY29" s="36">
        <f>($X29*(1+(($U29/100)*3)))</f>
        <v/>
      </c>
      <c r="AZ29" s="36">
        <f>(AW29+(AW29*$J29)+(AW29*$M29)+(AW29*$N29)+(AW29*$O29)+(AW29*$P29)+(AW29*$Q29)+($R29)+(AW29*((52+$S29)/52))*(1+$T29))*1/$L29</f>
        <v/>
      </c>
      <c r="BA29" s="36">
        <f>(AX29+(AX29*$J29)+(AX29*$M29)+(AX29*$N29)+(AX29*$O29)+(AX29*$P29)+(AX29*$Q29)+($R29)+(AX29*((52+$S29)/52))*(1+$T29))*1/$L29</f>
        <v/>
      </c>
      <c r="BB29" s="36">
        <f>(AY29+(AY29*$J29)+(AY29*$M29)+(AY29*$N29)+(AY29*$O29)+(AY29*$P29)+(AY29*$Q29)+($R29)+(AY29*((52+$S29)/52))*(1+$T29))*1/$L29</f>
        <v/>
      </c>
      <c r="BC29" s="36">
        <f>AZ29/52/$K29</f>
        <v/>
      </c>
      <c r="BD29" s="36">
        <f>BA29/52/$K29</f>
        <v/>
      </c>
      <c r="BE29" s="36">
        <f>BB29/52/$K29</f>
        <v/>
      </c>
      <c r="BF29" s="36">
        <f>($V29*(1+(($U29/100)*4)))</f>
        <v/>
      </c>
      <c r="BG29" s="36">
        <f>($W29*(1+(($U29/100)*4)))</f>
        <v/>
      </c>
      <c r="BH29" s="36">
        <f>($X29*(1+(($U29/100)*4)))</f>
        <v/>
      </c>
      <c r="BI29" s="36">
        <f>(BF29+(BF29*$J29)+(BF29*$M29)+(BF29*$N29)+(BF29*$O29)+(BF29*$P29)+(BF29*$Q29)+($R29)+(BF29*((52+$S29)/52))*(1+$T29))*1/$L29</f>
        <v/>
      </c>
      <c r="BJ29" s="36">
        <f>(BG29+(BG29*$J29)+(BG29*$M29)+(BG29*$N29)+(BG29*$O29)+(BG29*$P29)+(BG29*$Q29)+($R29)+(BG29*((52+$S29)/52))*(1+$T29))*1/$L29</f>
        <v/>
      </c>
      <c r="BK29" s="36">
        <f>(BH29+(BH29*$J29)+(BH29*$M29)+(BH29*$N29)+(BH29*$O29)+(BH29*$P29)+(BH29*$Q29)+($R29)+(BH29*((52+$S29)/52))*(1+$T29))*1/$L29</f>
        <v/>
      </c>
      <c r="BL29" s="36">
        <f>BI29/52/$K29</f>
        <v/>
      </c>
      <c r="BM29" s="36">
        <f>BJ29/52/$K29</f>
        <v/>
      </c>
      <c r="BN29" s="36">
        <f>BK29/52/$K29</f>
        <v/>
      </c>
    </row>
    <row r="30">
      <c r="A30" s="4" t="inlineStr">
        <is>
          <t>WA</t>
        </is>
      </c>
      <c r="B30" s="19" t="inlineStr">
        <is>
          <t>Admin staff</t>
        </is>
      </c>
      <c r="C30" s="20" t="inlineStr">
        <is>
          <t>AS</t>
        </is>
      </c>
      <c r="D30" s="4" t="inlineStr">
        <is>
          <t xml:space="preserve">Health Salaried Officers Agreement </t>
        </is>
      </c>
      <c r="E30" s="21" t="inlineStr">
        <is>
          <t>G1-2</t>
        </is>
      </c>
      <c r="I30" s="5" t="n">
        <v>2022</v>
      </c>
      <c r="J30" s="11" t="n">
        <v>0.105</v>
      </c>
      <c r="K30" s="32" t="n">
        <v>38</v>
      </c>
      <c r="L30" s="8" t="n">
        <v>1</v>
      </c>
      <c r="M30" s="8" t="n">
        <v>0.1</v>
      </c>
      <c r="N30" s="8" t="n">
        <v>0.035</v>
      </c>
      <c r="O30" s="27" t="n">
        <v>0</v>
      </c>
      <c r="P30" s="8" t="n">
        <v>0</v>
      </c>
      <c r="Q30" s="8" t="n">
        <v>0.046</v>
      </c>
      <c r="R30" s="23" t="n">
        <v>0</v>
      </c>
      <c r="S30" s="9" t="n">
        <v>4</v>
      </c>
      <c r="T30" s="8" t="n">
        <v>0.2</v>
      </c>
      <c r="U30" s="8" t="n">
        <v>0.015</v>
      </c>
      <c r="V30" s="36" t="n">
        <v>57579</v>
      </c>
      <c r="W30" s="36">
        <f>V30+((X30-V30)/2)</f>
        <v/>
      </c>
      <c r="X30" s="36" t="n">
        <v>69049</v>
      </c>
      <c r="Y30" s="36">
        <f>(V30+(V30*$J30)+(V30*$M30)+(V30*$N30)+(V30*$O30)+(V30*$P30)+(V30*$Q30)+($R30)+(V30*((52+$S30)/52))*(1+$T30))*1/$L30</f>
        <v/>
      </c>
      <c r="Z30" s="36">
        <f>(W30+(W30*$J30)+(W30*$M30)+(W30*$N30)+(W30*$O30)+(W30*$P30)+(W30*$Q30)+($R30)+(W30*((52+$S30)/52))*(1+$T30))*1/$L30</f>
        <v/>
      </c>
      <c r="AA30" s="36">
        <f>(X30+(X30*$J30)+(X30*$M30)+(X30*$N30)+(X30*$O30)+(X30*$P30)+(X30*$Q30)+($R30)+(X30*((52+$S30)/52))*(1+$T30))*1/$L30</f>
        <v/>
      </c>
      <c r="AB30" s="36">
        <f>Y30/52/$K30</f>
        <v/>
      </c>
      <c r="AC30" s="36">
        <f>Z30/52/$K30</f>
        <v/>
      </c>
      <c r="AD30" s="36">
        <f>AA30/52/$K30</f>
        <v/>
      </c>
      <c r="AE30" s="36">
        <f>($V30*(1+(($U30/100)*1)))</f>
        <v/>
      </c>
      <c r="AF30" s="36">
        <f>($W30*(1+(($U30/100)*1)))</f>
        <v/>
      </c>
      <c r="AG30" s="36">
        <f>($X30*(1+(($U30/100)*1)))</f>
        <v/>
      </c>
      <c r="AH30" s="36">
        <f>(AE30+(AE30*$J30)+(AE30*$M30)+(AE30*$N30)+(AE30*$O30)+(AE30*$P30)+(AE30*$Q30)+($R30)+(AE30*((52+$S30)/52))*(1+$T30))*1/$L30</f>
        <v/>
      </c>
      <c r="AI30" s="36">
        <f>(AF30+(AF30*$J30)+(AF30*$M30)+(AF30*$N30)+(AF30*$O30)+(AF30*$P30)+(AF30*$Q30)+($R30)+(AF30*((52+$S30)/52))*(1+$T30))*1/$L30</f>
        <v/>
      </c>
      <c r="AJ30" s="36">
        <f>(AG30+(AG30*$J30)+(AG30*$M30)+(AG30*$N30)+(AG30*$O30)+(AG30*$P30)+(AG30*$Q30)+($R30)+(AG30*((52+$S30)/52))*(1+$T30))*1/$L30</f>
        <v/>
      </c>
      <c r="AK30" s="36">
        <f>AH30/52/$K30</f>
        <v/>
      </c>
      <c r="AL30" s="36">
        <f>AI30/52/$K30</f>
        <v/>
      </c>
      <c r="AM30" s="36">
        <f>AJ30/52/$K30</f>
        <v/>
      </c>
      <c r="AN30" s="36">
        <f>($V30*(1+(($U30/100)*2)))</f>
        <v/>
      </c>
      <c r="AO30" s="36">
        <f>($W30*(1+(($U30/100)*2)))</f>
        <v/>
      </c>
      <c r="AP30" s="36">
        <f>($X30*(1+(($U30/100)*2)))</f>
        <v/>
      </c>
      <c r="AQ30" s="36">
        <f>(AN30+(AN30*$J30)+(AN30*$M30)+(AN30*$N30)+(AN30*$O30)+(AN30*$P30)+(AN30*$Q30)+($R30)+(AN30*((52+$S30)/52))*(1+$T30))*1/$L30</f>
        <v/>
      </c>
      <c r="AR30" s="36">
        <f>(AO30+(AO30*$J30)+(AO30*$M30)+(AO30*$N30)+(AO30*$O30)+(AO30*$P30)+(AO30*$Q30)+($R30)+(AO30*((52+$S30)/52))*(1+$T30))*1/$L30</f>
        <v/>
      </c>
      <c r="AS30" s="36">
        <f>(AP30+(AP30*$J30)+(AP30*$M30)+(AP30*$N30)+(AP30*$O30)+(AP30*$P30)+(AP30*$Q30)+($R30)+(AP30*((52+$S30)/52))*(1+$T30))*1/$L30</f>
        <v/>
      </c>
      <c r="AT30" s="36">
        <f>AQ30/52/$K30</f>
        <v/>
      </c>
      <c r="AU30" s="36">
        <f>AR30/52/$K30</f>
        <v/>
      </c>
      <c r="AV30" s="36">
        <f>AS30/52/$K30</f>
        <v/>
      </c>
      <c r="AW30" s="36">
        <f>($V30*(1+(($U30/100)*3)))</f>
        <v/>
      </c>
      <c r="AX30" s="36">
        <f>($W30*(1+(($U30/100)*3)))</f>
        <v/>
      </c>
      <c r="AY30" s="36">
        <f>($X30*(1+(($U30/100)*3)))</f>
        <v/>
      </c>
      <c r="AZ30" s="36">
        <f>(AW30+(AW30*$J30)+(AW30*$M30)+(AW30*$N30)+(AW30*$O30)+(AW30*$P30)+(AW30*$Q30)+($R30)+(AW30*((52+$S30)/52))*(1+$T30))*1/$L30</f>
        <v/>
      </c>
      <c r="BA30" s="36">
        <f>(AX30+(AX30*$J30)+(AX30*$M30)+(AX30*$N30)+(AX30*$O30)+(AX30*$P30)+(AX30*$Q30)+($R30)+(AX30*((52+$S30)/52))*(1+$T30))*1/$L30</f>
        <v/>
      </c>
      <c r="BB30" s="36">
        <f>(AY30+(AY30*$J30)+(AY30*$M30)+(AY30*$N30)+(AY30*$O30)+(AY30*$P30)+(AY30*$Q30)+($R30)+(AY30*((52+$S30)/52))*(1+$T30))*1/$L30</f>
        <v/>
      </c>
      <c r="BC30" s="36">
        <f>AZ30/52/$K30</f>
        <v/>
      </c>
      <c r="BD30" s="36">
        <f>BA30/52/$K30</f>
        <v/>
      </c>
      <c r="BE30" s="36">
        <f>BB30/52/$K30</f>
        <v/>
      </c>
      <c r="BF30" s="36">
        <f>($V30*(1+(($U30/100)*4)))</f>
        <v/>
      </c>
      <c r="BG30" s="36">
        <f>($W30*(1+(($U30/100)*4)))</f>
        <v/>
      </c>
      <c r="BH30" s="36">
        <f>($X30*(1+(($U30/100)*4)))</f>
        <v/>
      </c>
      <c r="BI30" s="36">
        <f>(BF30+(BF30*$J30)+(BF30*$M30)+(BF30*$N30)+(BF30*$O30)+(BF30*$P30)+(BF30*$Q30)+($R30)+(BF30*((52+$S30)/52))*(1+$T30))*1/$L30</f>
        <v/>
      </c>
      <c r="BJ30" s="36">
        <f>(BG30+(BG30*$J30)+(BG30*$M30)+(BG30*$N30)+(BG30*$O30)+(BG30*$P30)+(BG30*$Q30)+($R30)+(BG30*((52+$S30)/52))*(1+$T30))*1/$L30</f>
        <v/>
      </c>
      <c r="BK30" s="36">
        <f>(BH30+(BH30*$J30)+(BH30*$M30)+(BH30*$N30)+(BH30*$O30)+(BH30*$P30)+(BH30*$Q30)+($R30)+(BH30*((52+$S30)/52))*(1+$T30))*1/$L30</f>
        <v/>
      </c>
      <c r="BL30" s="36">
        <f>BI30/52/$K30</f>
        <v/>
      </c>
      <c r="BM30" s="36">
        <f>BJ30/52/$K30</f>
        <v/>
      </c>
      <c r="BN30" s="36">
        <f>BK30/52/$K30</f>
        <v/>
      </c>
    </row>
    <row r="31">
      <c r="A31" s="4" t="inlineStr">
        <is>
          <t>WA</t>
        </is>
      </c>
      <c r="B31" s="19" t="inlineStr">
        <is>
          <t>Bioinformatics staff</t>
        </is>
      </c>
      <c r="C31" s="20" t="inlineStr">
        <is>
          <t>BI</t>
        </is>
      </c>
      <c r="D31" s="4" t="inlineStr">
        <is>
          <t xml:space="preserve">Health Salaried Officers Agreement </t>
        </is>
      </c>
      <c r="E31" s="21" t="inlineStr">
        <is>
          <t>G4-5</t>
        </is>
      </c>
      <c r="I31" s="5" t="n">
        <v>2022</v>
      </c>
      <c r="J31" s="11" t="n">
        <v>0.105</v>
      </c>
      <c r="K31" s="32" t="n">
        <v>38</v>
      </c>
      <c r="L31" s="8" t="n">
        <v>1</v>
      </c>
      <c r="M31" s="8" t="n">
        <v>0.1</v>
      </c>
      <c r="N31" s="8" t="n">
        <v>0.035</v>
      </c>
      <c r="O31" s="27" t="n">
        <v>0</v>
      </c>
      <c r="P31" s="8" t="n">
        <v>0</v>
      </c>
      <c r="Q31" s="8" t="n">
        <v>0.046</v>
      </c>
      <c r="R31" s="23" t="n">
        <v>0</v>
      </c>
      <c r="S31" s="9" t="n">
        <v>4</v>
      </c>
      <c r="T31" s="8" t="n">
        <v>0.2</v>
      </c>
      <c r="U31" s="8" t="n">
        <v>0.015</v>
      </c>
      <c r="V31" s="36" t="n">
        <v>79898</v>
      </c>
      <c r="W31" s="36">
        <f>V31+((X31-V31)/2)</f>
        <v/>
      </c>
      <c r="X31" s="36" t="n">
        <v>93664</v>
      </c>
      <c r="Y31" s="36">
        <f>(V31+(V31*$J31)+(V31*$M31)+(V31*$N31)+(V31*$O31)+(V31*$P31)+(V31*$Q31)+($R31)+(V31*((52+$S31)/52))*(1+$T31))*1/$L31</f>
        <v/>
      </c>
      <c r="Z31" s="36">
        <f>(W31+(W31*$J31)+(W31*$M31)+(W31*$N31)+(W31*$O31)+(W31*$P31)+(W31*$Q31)+($R31)+(W31*((52+$S31)/52))*(1+$T31))*1/$L31</f>
        <v/>
      </c>
      <c r="AA31" s="36">
        <f>(X31+(X31*$J31)+(X31*$M31)+(X31*$N31)+(X31*$O31)+(X31*$P31)+(X31*$Q31)+($R31)+(X31*((52+$S31)/52))*(1+$T31))*1/$L31</f>
        <v/>
      </c>
      <c r="AB31" s="36">
        <f>Y31/52/$K31</f>
        <v/>
      </c>
      <c r="AC31" s="36">
        <f>Z31/52/$K31</f>
        <v/>
      </c>
      <c r="AD31" s="36">
        <f>AA31/52/$K31</f>
        <v/>
      </c>
      <c r="AE31" s="36">
        <f>($V31*(1+(($U31/100)*1)))</f>
        <v/>
      </c>
      <c r="AF31" s="36">
        <f>($W31*(1+(($U31/100)*1)))</f>
        <v/>
      </c>
      <c r="AG31" s="36">
        <f>($X31*(1+(($U31/100)*1)))</f>
        <v/>
      </c>
      <c r="AH31" s="36">
        <f>(AE31+(AE31*$J31)+(AE31*$M31)+(AE31*$N31)+(AE31*$O31)+(AE31*$P31)+(AE31*$Q31)+($R31)+(AE31*((52+$S31)/52))*(1+$T31))*1/$L31</f>
        <v/>
      </c>
      <c r="AI31" s="36">
        <f>(AF31+(AF31*$J31)+(AF31*$M31)+(AF31*$N31)+(AF31*$O31)+(AF31*$P31)+(AF31*$Q31)+($R31)+(AF31*((52+$S31)/52))*(1+$T31))*1/$L31</f>
        <v/>
      </c>
      <c r="AJ31" s="36">
        <f>(AG31+(AG31*$J31)+(AG31*$M31)+(AG31*$N31)+(AG31*$O31)+(AG31*$P31)+(AG31*$Q31)+($R31)+(AG31*((52+$S31)/52))*(1+$T31))*1/$L31</f>
        <v/>
      </c>
      <c r="AK31" s="36">
        <f>AH31/52/$K31</f>
        <v/>
      </c>
      <c r="AL31" s="36">
        <f>AI31/52/$K31</f>
        <v/>
      </c>
      <c r="AM31" s="36">
        <f>AJ31/52/$K31</f>
        <v/>
      </c>
      <c r="AN31" s="36">
        <f>($V31*(1+(($U31/100)*2)))</f>
        <v/>
      </c>
      <c r="AO31" s="36">
        <f>($W31*(1+(($U31/100)*2)))</f>
        <v/>
      </c>
      <c r="AP31" s="36">
        <f>($X31*(1+(($U31/100)*2)))</f>
        <v/>
      </c>
      <c r="AQ31" s="36">
        <f>(AN31+(AN31*$J31)+(AN31*$M31)+(AN31*$N31)+(AN31*$O31)+(AN31*$P31)+(AN31*$Q31)+($R31)+(AN31*((52+$S31)/52))*(1+$T31))*1/$L31</f>
        <v/>
      </c>
      <c r="AR31" s="36">
        <f>(AO31+(AO31*$J31)+(AO31*$M31)+(AO31*$N31)+(AO31*$O31)+(AO31*$P31)+(AO31*$Q31)+($R31)+(AO31*((52+$S31)/52))*(1+$T31))*1/$L31</f>
        <v/>
      </c>
      <c r="AS31" s="36">
        <f>(AP31+(AP31*$J31)+(AP31*$M31)+(AP31*$N31)+(AP31*$O31)+(AP31*$P31)+(AP31*$Q31)+($R31)+(AP31*((52+$S31)/52))*(1+$T31))*1/$L31</f>
        <v/>
      </c>
      <c r="AT31" s="36">
        <f>AQ31/52/$K31</f>
        <v/>
      </c>
      <c r="AU31" s="36">
        <f>AR31/52/$K31</f>
        <v/>
      </c>
      <c r="AV31" s="36">
        <f>AS31/52/$K31</f>
        <v/>
      </c>
      <c r="AW31" s="36">
        <f>($V31*(1+(($U31/100)*3)))</f>
        <v/>
      </c>
      <c r="AX31" s="36">
        <f>($W31*(1+(($U31/100)*3)))</f>
        <v/>
      </c>
      <c r="AY31" s="36">
        <f>($X31*(1+(($U31/100)*3)))</f>
        <v/>
      </c>
      <c r="AZ31" s="36">
        <f>(AW31+(AW31*$J31)+(AW31*$M31)+(AW31*$N31)+(AW31*$O31)+(AW31*$P31)+(AW31*$Q31)+($R31)+(AW31*((52+$S31)/52))*(1+$T31))*1/$L31</f>
        <v/>
      </c>
      <c r="BA31" s="36">
        <f>(AX31+(AX31*$J31)+(AX31*$M31)+(AX31*$N31)+(AX31*$O31)+(AX31*$P31)+(AX31*$Q31)+($R31)+(AX31*((52+$S31)/52))*(1+$T31))*1/$L31</f>
        <v/>
      </c>
      <c r="BB31" s="36">
        <f>(AY31+(AY31*$J31)+(AY31*$M31)+(AY31*$N31)+(AY31*$O31)+(AY31*$P31)+(AY31*$Q31)+($R31)+(AY31*((52+$S31)/52))*(1+$T31))*1/$L31</f>
        <v/>
      </c>
      <c r="BC31" s="36">
        <f>AZ31/52/$K31</f>
        <v/>
      </c>
      <c r="BD31" s="36">
        <f>BA31/52/$K31</f>
        <v/>
      </c>
      <c r="BE31" s="36">
        <f>BB31/52/$K31</f>
        <v/>
      </c>
      <c r="BF31" s="36">
        <f>($V31*(1+(($U31/100)*4)))</f>
        <v/>
      </c>
      <c r="BG31" s="36">
        <f>($W31*(1+(($U31/100)*4)))</f>
        <v/>
      </c>
      <c r="BH31" s="36">
        <f>($X31*(1+(($U31/100)*4)))</f>
        <v/>
      </c>
      <c r="BI31" s="36">
        <f>(BF31+(BF31*$J31)+(BF31*$M31)+(BF31*$N31)+(BF31*$O31)+(BF31*$P31)+(BF31*$Q31)+($R31)+(BF31*((52+$S31)/52))*(1+$T31))*1/$L31</f>
        <v/>
      </c>
      <c r="BJ31" s="36">
        <f>(BG31+(BG31*$J31)+(BG31*$M31)+(BG31*$N31)+(BG31*$O31)+(BG31*$P31)+(BG31*$Q31)+($R31)+(BG31*((52+$S31)/52))*(1+$T31))*1/$L31</f>
        <v/>
      </c>
      <c r="BK31" s="36">
        <f>(BH31+(BH31*$J31)+(BH31*$M31)+(BH31*$N31)+(BH31*$O31)+(BH31*$P31)+(BH31*$Q31)+($R31)+(BH31*((52+$S31)/52))*(1+$T31))*1/$L31</f>
        <v/>
      </c>
      <c r="BL31" s="36">
        <f>BI31/52/$K31</f>
        <v/>
      </c>
      <c r="BM31" s="36">
        <f>BJ31/52/$K31</f>
        <v/>
      </c>
      <c r="BN31" s="36">
        <f>BK31/52/$K31</f>
        <v/>
      </c>
    </row>
    <row r="32">
      <c r="A32" s="4" t="inlineStr">
        <is>
          <t>WA</t>
        </is>
      </c>
      <c r="B32" s="19" t="inlineStr">
        <is>
          <t>Pathologists</t>
        </is>
      </c>
      <c r="C32" s="20" t="inlineStr">
        <is>
          <t>MP</t>
        </is>
      </c>
      <c r="D32" s="4" t="inlineStr">
        <is>
          <t>WA HEALTH SYSTEM – MEDICAL PRACTITIONERS – AMA INDUSTRIAL AGREEMENT 2022</t>
        </is>
      </c>
      <c r="E32" s="21" t="inlineStr">
        <is>
          <t>Consultant Year 1-9</t>
        </is>
      </c>
      <c r="I32" s="5" t="n">
        <v>2022</v>
      </c>
      <c r="J32" s="11" t="n">
        <v>0.105</v>
      </c>
      <c r="K32" s="32" t="n">
        <v>40</v>
      </c>
      <c r="L32" s="8" t="n">
        <v>1</v>
      </c>
      <c r="M32" s="8" t="n">
        <v>0</v>
      </c>
      <c r="N32" s="8" t="n">
        <v>0.035</v>
      </c>
      <c r="O32" s="27" t="n">
        <v>0</v>
      </c>
      <c r="P32" s="8" t="n">
        <v>0</v>
      </c>
      <c r="Q32" s="8" t="n">
        <v>0.046</v>
      </c>
      <c r="R32" s="23" t="n">
        <v>28909</v>
      </c>
      <c r="S32" s="9">
        <f>160/40</f>
        <v/>
      </c>
      <c r="T32" s="8" t="n">
        <v>0</v>
      </c>
      <c r="U32" s="8" t="n">
        <v>0.015</v>
      </c>
      <c r="V32" s="36" t="n">
        <v>297757</v>
      </c>
      <c r="W32" s="36">
        <f>V32+((X32-V32)/2)</f>
        <v/>
      </c>
      <c r="X32" s="36" t="n">
        <v>386515</v>
      </c>
      <c r="Y32" s="36">
        <f>(V32+(V32*$J32)+(V32*$M32)+(V32*$N32)+(V32*$O32)+(V32*$P32)+(V32*$Q32)+($R32)+(V32*((52+$S32)/52))*(1+$T32))*1/$L32</f>
        <v/>
      </c>
      <c r="Z32" s="36">
        <f>(W32+(W32*$J32)+(W32*$M32)+(W32*$N32)+(W32*$O32)+(W32*$P32)+(W32*$Q32)+($R32)+(W32*((52+$S32)/52))*(1+$T32))*1/$L32</f>
        <v/>
      </c>
      <c r="AA32" s="36">
        <f>(X32+(X32*$J32)+(X32*$M32)+(X32*$N32)+(X32*$O32)+(X32*$P32)+(X32*$Q32)+($R32)+(X32*((52+$S32)/52))*(1+$T32))*1/$L32</f>
        <v/>
      </c>
      <c r="AB32" s="36">
        <f>Y32/52/$K32</f>
        <v/>
      </c>
      <c r="AC32" s="36">
        <f>Z32/52/$K32</f>
        <v/>
      </c>
      <c r="AD32" s="36">
        <f>AA32/52/$K32</f>
        <v/>
      </c>
      <c r="AE32" s="36">
        <f>($V32*(1+(($U32/100)*1)))</f>
        <v/>
      </c>
      <c r="AF32" s="36">
        <f>($W32*(1+(($U32/100)*1)))</f>
        <v/>
      </c>
      <c r="AG32" s="36">
        <f>($X32*(1+(($U32/100)*1)))</f>
        <v/>
      </c>
      <c r="AH32" s="36">
        <f>(AE32+(AE32*$J32)+(AE32*$M32)+(AE32*$N32)+(AE32*$O32)+(AE32*$P32)+(AE32*$Q32)+($R32)+(AE32*((52+$S32)/52))*(1+$T32))*1/$L32</f>
        <v/>
      </c>
      <c r="AI32" s="36">
        <f>(AF32+(AF32*$J32)+(AF32*$M32)+(AF32*$N32)+(AF32*$O32)+(AF32*$P32)+(AF32*$Q32)+($R32)+(AF32*((52+$S32)/52))*(1+$T32))*1/$L32</f>
        <v/>
      </c>
      <c r="AJ32" s="36">
        <f>(AG32+(AG32*$J32)+(AG32*$M32)+(AG32*$N32)+(AG32*$O32)+(AG32*$P32)+(AG32*$Q32)+($R32)+(AG32*((52+$S32)/52))*(1+$T32))*1/$L32</f>
        <v/>
      </c>
      <c r="AK32" s="36">
        <f>AH32/52/$K32</f>
        <v/>
      </c>
      <c r="AL32" s="36">
        <f>AI32/52/$K32</f>
        <v/>
      </c>
      <c r="AM32" s="36">
        <f>AJ32/52/$K32</f>
        <v/>
      </c>
      <c r="AN32" s="36">
        <f>($V32*(1+(($U32/100)*2)))</f>
        <v/>
      </c>
      <c r="AO32" s="36">
        <f>($W32*(1+(($U32/100)*2)))</f>
        <v/>
      </c>
      <c r="AP32" s="36">
        <f>($X32*(1+(($U32/100)*2)))</f>
        <v/>
      </c>
      <c r="AQ32" s="36">
        <f>(AN32+(AN32*$J32)+(AN32*$M32)+(AN32*$N32)+(AN32*$O32)+(AN32*$P32)+(AN32*$Q32)+($R32)+(AN32*((52+$S32)/52))*(1+$T32))*1/$L32</f>
        <v/>
      </c>
      <c r="AR32" s="36">
        <f>(AO32+(AO32*$J32)+(AO32*$M32)+(AO32*$N32)+(AO32*$O32)+(AO32*$P32)+(AO32*$Q32)+($R32)+(AO32*((52+$S32)/52))*(1+$T32))*1/$L32</f>
        <v/>
      </c>
      <c r="AS32" s="36">
        <f>(AP32+(AP32*$J32)+(AP32*$M32)+(AP32*$N32)+(AP32*$O32)+(AP32*$P32)+(AP32*$Q32)+($R32)+(AP32*((52+$S32)/52))*(1+$T32))*1/$L32</f>
        <v/>
      </c>
      <c r="AT32" s="36">
        <f>AQ32/52/$K32</f>
        <v/>
      </c>
      <c r="AU32" s="36">
        <f>AR32/52/$K32</f>
        <v/>
      </c>
      <c r="AV32" s="36">
        <f>AS32/52/$K32</f>
        <v/>
      </c>
      <c r="AW32" s="36">
        <f>($V32*(1+(($U32/100)*3)))</f>
        <v/>
      </c>
      <c r="AX32" s="36">
        <f>($W32*(1+(($U32/100)*3)))</f>
        <v/>
      </c>
      <c r="AY32" s="36">
        <f>($X32*(1+(($U32/100)*3)))</f>
        <v/>
      </c>
      <c r="AZ32" s="36">
        <f>(AW32+(AW32*$J32)+(AW32*$M32)+(AW32*$N32)+(AW32*$O32)+(AW32*$P32)+(AW32*$Q32)+($R32)+(AW32*((52+$S32)/52))*(1+$T32))*1/$L32</f>
        <v/>
      </c>
      <c r="BA32" s="36">
        <f>(AX32+(AX32*$J32)+(AX32*$M32)+(AX32*$N32)+(AX32*$O32)+(AX32*$P32)+(AX32*$Q32)+($R32)+(AX32*((52+$S32)/52))*(1+$T32))*1/$L32</f>
        <v/>
      </c>
      <c r="BB32" s="36">
        <f>(AY32+(AY32*$J32)+(AY32*$M32)+(AY32*$N32)+(AY32*$O32)+(AY32*$P32)+(AY32*$Q32)+($R32)+(AY32*((52+$S32)/52))*(1+$T32))*1/$L32</f>
        <v/>
      </c>
      <c r="BC32" s="36">
        <f>AZ32/52/$K32</f>
        <v/>
      </c>
      <c r="BD32" s="36">
        <f>BA32/52/$K32</f>
        <v/>
      </c>
      <c r="BE32" s="36">
        <f>BB32/52/$K32</f>
        <v/>
      </c>
      <c r="BF32" s="36">
        <f>($V32*(1+(($U32/100)*4)))</f>
        <v/>
      </c>
      <c r="BG32" s="36">
        <f>($W32*(1+(($U32/100)*4)))</f>
        <v/>
      </c>
      <c r="BH32" s="36">
        <f>($X32*(1+(($U32/100)*4)))</f>
        <v/>
      </c>
      <c r="BI32" s="36">
        <f>(BF32+(BF32*$J32)+(BF32*$M32)+(BF32*$N32)+(BF32*$O32)+(BF32*$P32)+(BF32*$Q32)+($R32)+(BF32*((52+$S32)/52))*(1+$T32))*1/$L32</f>
        <v/>
      </c>
      <c r="BJ32" s="36">
        <f>(BG32+(BG32*$J32)+(BG32*$M32)+(BG32*$N32)+(BG32*$O32)+(BG32*$P32)+(BG32*$Q32)+($R32)+(BG32*((52+$S32)/52))*(1+$T32))*1/$L32</f>
        <v/>
      </c>
      <c r="BK32" s="36">
        <f>(BH32+(BH32*$J32)+(BH32*$M32)+(BH32*$N32)+(BH32*$O32)+(BH32*$P32)+(BH32*$Q32)+($R32)+(BH32*((52+$S32)/52))*(1+$T32))*1/$L32</f>
        <v/>
      </c>
      <c r="BL32" s="36">
        <f>BI32/52/$K32</f>
        <v/>
      </c>
      <c r="BM32" s="36">
        <f>BJ32/52/$K32</f>
        <v/>
      </c>
      <c r="BN32" s="36">
        <f>BK32/52/$K32</f>
        <v/>
      </c>
    </row>
    <row r="33">
      <c r="R33" s="23" t="n"/>
      <c r="U33" s="8" t="n"/>
      <c r="V33" s="36" t="n"/>
      <c r="W33" s="36" t="n"/>
      <c r="X33" s="36" t="n"/>
      <c r="Y33" s="36" t="n"/>
      <c r="Z33" s="36" t="n"/>
      <c r="AA33" s="36" t="n"/>
      <c r="AB33" s="36" t="n"/>
      <c r="AC33" s="36" t="n"/>
      <c r="AD33" s="36" t="n"/>
      <c r="AE33" s="5" t="n"/>
      <c r="AF33" s="5" t="n"/>
      <c r="AG33" s="5" t="n"/>
      <c r="AH33" s="5" t="n"/>
      <c r="AI33" s="5" t="n"/>
      <c r="AJ33" s="5" t="n"/>
      <c r="AK33" s="5" t="n"/>
      <c r="AL33" s="5" t="n"/>
      <c r="AM33" s="5" t="n"/>
      <c r="AN33" s="5" t="n"/>
      <c r="AO33" s="5" t="n"/>
      <c r="AP33" s="5" t="n"/>
      <c r="AQ33" s="5" t="n"/>
      <c r="AR33" s="5" t="n"/>
      <c r="AS33" s="5" t="n"/>
      <c r="AT33" s="5" t="n"/>
      <c r="AU33" s="5" t="n"/>
      <c r="AV33" s="5" t="n"/>
      <c r="AW33" s="5" t="n"/>
      <c r="AX33" s="5" t="n"/>
      <c r="AY33" s="5" t="n"/>
      <c r="AZ33" s="5" t="n"/>
      <c r="BA33" s="5" t="n"/>
      <c r="BB33" s="5" t="n"/>
      <c r="BC33" s="5" t="n"/>
      <c r="BD33" s="5" t="n"/>
      <c r="BE33" s="5" t="n"/>
      <c r="BF33" s="5" t="n"/>
      <c r="BG33" s="5" t="n"/>
      <c r="BH33" s="5" t="n"/>
      <c r="BI33" s="5" t="n"/>
      <c r="BJ33" s="5" t="n"/>
      <c r="BK33" s="5" t="n"/>
      <c r="BL33" s="5" t="n"/>
      <c r="BM33" s="5" t="n"/>
      <c r="BN33" s="5" t="n"/>
    </row>
    <row r="34">
      <c r="A34" s="4" t="inlineStr">
        <is>
          <t>ALL</t>
        </is>
      </c>
      <c r="B34" s="19" t="inlineStr">
        <is>
          <t>Lab technician</t>
        </is>
      </c>
      <c r="J34" s="8">
        <f>AVERAGE(J28,J22,J16,J10,J4)</f>
        <v/>
      </c>
      <c r="K34" s="32">
        <f>AVERAGE(K28,K22,K16,K10,K4)</f>
        <v/>
      </c>
      <c r="L34" s="8">
        <f>AVERAGE(L28,L22,L16,L10,L4)</f>
        <v/>
      </c>
      <c r="M34" s="8">
        <f>AVERAGE(M28,M22,M16,M10,M4)</f>
        <v/>
      </c>
      <c r="N34" s="8">
        <f>AVERAGE(N28,N22,N16,N10,N4)</f>
        <v/>
      </c>
      <c r="O34" s="27">
        <f>AVERAGE(O28,O22,O16,O10,O4)</f>
        <v/>
      </c>
      <c r="P34" s="8">
        <f>AVERAGE(P28,P22,P16,P10,P4)</f>
        <v/>
      </c>
      <c r="Q34" s="8">
        <f>AVERAGE(Q28,Q22,Q16,Q10,Q4)</f>
        <v/>
      </c>
      <c r="R34" s="23">
        <f>AVERAGE(R28,R22,R16,R10,R4)</f>
        <v/>
      </c>
      <c r="S34" s="32">
        <f>AVERAGE(S28,S22,S16,S10,S4)</f>
        <v/>
      </c>
      <c r="T34" s="8">
        <f>AVERAGE(T28,T22,T16,T10,T4)</f>
        <v/>
      </c>
      <c r="U34" s="8">
        <f>AVERAGE(U28,U22,U16,U10,U4)</f>
        <v/>
      </c>
      <c r="V34" s="36">
        <f>MIN(V28,V22,V16,V10,V4)</f>
        <v/>
      </c>
      <c r="W34" s="36">
        <f>AVERAGE(W28,W22,W16,W10,W4)</f>
        <v/>
      </c>
      <c r="X34" s="36">
        <f>MAX(X28,X22,X16,X10,X4)</f>
        <v/>
      </c>
      <c r="Y34" s="36">
        <f>MIN(Y28,Y22,Y16,Y10,Y4)</f>
        <v/>
      </c>
      <c r="Z34" s="36">
        <f>AVERAGE(Z28,Z22,Z16,Z10,Z4)</f>
        <v/>
      </c>
      <c r="AA34" s="36">
        <f>MAX(AA28,AA22,AA16,AA10,AA4)</f>
        <v/>
      </c>
      <c r="AB34" s="36">
        <f>MIN(AB28,AB22,AB16,AB10,AB4)</f>
        <v/>
      </c>
      <c r="AC34" s="36">
        <f>AVERAGE(AC28,AC22,AC16,AC10,AC4)</f>
        <v/>
      </c>
      <c r="AD34" s="36">
        <f>MAX(AD28,AD22,AD16,AD10,AD4)</f>
        <v/>
      </c>
      <c r="AE34" s="36">
        <f>MIN(AE28,AE22,AE16,AE10,AE4)</f>
        <v/>
      </c>
      <c r="AF34" s="36">
        <f>AVERAGE(AF28,AF22,AF16,AF10,AF4)</f>
        <v/>
      </c>
      <c r="AG34" s="36">
        <f>MAX(AG28,AG22,AG16,AG10,AG4)</f>
        <v/>
      </c>
      <c r="AH34" s="36">
        <f>MIN(AH28,AH22,AH16,AH10,AH4)</f>
        <v/>
      </c>
      <c r="AI34" s="36">
        <f>AVERAGE(AI28,AI22,AI16,AI10,AI4)</f>
        <v/>
      </c>
      <c r="AJ34" s="36">
        <f>MAX(AJ28,AJ22,AJ16,AJ10,AJ4)</f>
        <v/>
      </c>
      <c r="AK34" s="36">
        <f>MIN(AK28,AK22,AK16,AK10,AK4)</f>
        <v/>
      </c>
      <c r="AL34" s="36">
        <f>AVERAGE(AL28,AL22,AL16,AL10,AL4)</f>
        <v/>
      </c>
      <c r="AM34" s="36">
        <f>MAX(AM28,AM22,AM16,AM10,AM4)</f>
        <v/>
      </c>
      <c r="AN34" s="36">
        <f>MIN(AN28,AN22,AN16,AN10,AN4)</f>
        <v/>
      </c>
      <c r="AO34" s="36">
        <f>AVERAGE(AO28,AO22,AO16,AO10,AO4)</f>
        <v/>
      </c>
      <c r="AP34" s="36">
        <f>MAX(AP28,AP22,AP16,AP10,AP4)</f>
        <v/>
      </c>
      <c r="AQ34" s="36">
        <f>MIN(AQ28,AQ22,AQ16,AQ10,AQ4)</f>
        <v/>
      </c>
      <c r="AR34" s="36">
        <f>AVERAGE(AR28,AR22,AR16,AR10,AR4)</f>
        <v/>
      </c>
      <c r="AS34" s="36">
        <f>MAX(AS28,AS22,AS16,AS10,AS4)</f>
        <v/>
      </c>
      <c r="AT34" s="36">
        <f>MIN(AT28,AT22,AT16,AT10,AT4)</f>
        <v/>
      </c>
      <c r="AU34" s="36">
        <f>AVERAGE(AU28,AU22,AU16,AU10,AU4)</f>
        <v/>
      </c>
      <c r="AV34" s="36">
        <f>MAX(AV28,AV22,AV16,AV10,AV4)</f>
        <v/>
      </c>
      <c r="AW34" s="36">
        <f>MIN(AW28,AW22,AW16,AW10,AW4)</f>
        <v/>
      </c>
      <c r="AX34" s="36">
        <f>AVERAGE(AX28,AX22,AX16,AX10,AX4)</f>
        <v/>
      </c>
      <c r="AY34" s="36">
        <f>MAX(AY28,AY22,AY16,AY10,AY4)</f>
        <v/>
      </c>
      <c r="AZ34" s="36">
        <f>MIN(AZ28,AZ22,AZ16,AZ10,AZ4)</f>
        <v/>
      </c>
      <c r="BA34" s="36">
        <f>AVERAGE(BA28,BA22,BA16,BA10,BA4)</f>
        <v/>
      </c>
      <c r="BB34" s="36">
        <f>MAX(BB28,BB22,BB16,BB10,BB4)</f>
        <v/>
      </c>
      <c r="BC34" s="36">
        <f>MIN(BC28,BC22,BC16,BC10,BC4)</f>
        <v/>
      </c>
      <c r="BD34" s="36">
        <f>AVERAGE(BD28,BD22,BD16,BD10,BD4)</f>
        <v/>
      </c>
      <c r="BE34" s="36">
        <f>MAX(BE28,BE22,BE16,BE10,BE4)</f>
        <v/>
      </c>
      <c r="BF34" s="36">
        <f>MIN(BF28,BF22,BF16,BF10,BF4)</f>
        <v/>
      </c>
      <c r="BG34" s="36">
        <f>AVERAGE(BG28,BG22,BG16,BG10,BG4)</f>
        <v/>
      </c>
      <c r="BH34" s="36">
        <f>MAX(BH28,BH22,BH16,BH10,BH4)</f>
        <v/>
      </c>
      <c r="BI34" s="36">
        <f>MIN(BI28,BI22,BI16,BI10,BI4)</f>
        <v/>
      </c>
      <c r="BJ34" s="36">
        <f>AVERAGE(BJ28,BJ22,BJ16,BJ10,BJ4)</f>
        <v/>
      </c>
      <c r="BK34" s="36">
        <f>MAX(BK28,BK22,BK16,BK10,BK4)</f>
        <v/>
      </c>
      <c r="BL34" s="36">
        <f>MIN(BL28,BL22,BL16,BL10,BL4)</f>
        <v/>
      </c>
      <c r="BM34" s="36">
        <f>AVERAGE(BM28,BM22,BM16,BM10,BM4)</f>
        <v/>
      </c>
      <c r="BN34" s="36">
        <f>MAX(BN28,BN22,BN16,BN10,BN4)</f>
        <v/>
      </c>
    </row>
    <row r="35">
      <c r="A35" s="4" t="inlineStr">
        <is>
          <t>ALL</t>
        </is>
      </c>
      <c r="B35" s="19" t="inlineStr">
        <is>
          <t>Medical scientist</t>
        </is>
      </c>
      <c r="J35" s="8">
        <f>AVERAGE(J29,J23,J17,J11,J5)</f>
        <v/>
      </c>
      <c r="K35" s="32">
        <f>AVERAGE(K29,K23,K17,K11,K5)</f>
        <v/>
      </c>
      <c r="L35" s="8">
        <f>AVERAGE(L29,L23,L17,L11,L5)</f>
        <v/>
      </c>
      <c r="M35" s="8">
        <f>AVERAGE(M29,M23,M17,M11,M5)</f>
        <v/>
      </c>
      <c r="N35" s="8">
        <f>AVERAGE(N29,N23,N17,N11,N5)</f>
        <v/>
      </c>
      <c r="O35" s="27">
        <f>AVERAGE(O29,O23,O17,O11,O5)</f>
        <v/>
      </c>
      <c r="P35" s="8">
        <f>AVERAGE(P29,P23,P17,P11,P5)</f>
        <v/>
      </c>
      <c r="Q35" s="8">
        <f>AVERAGE(Q29,Q23,Q17,Q11,Q5)</f>
        <v/>
      </c>
      <c r="R35" s="23">
        <f>AVERAGE(R29,R23,R17,R11,R5)</f>
        <v/>
      </c>
      <c r="S35" s="32">
        <f>AVERAGE(S29,S23,S17,S11,S5)</f>
        <v/>
      </c>
      <c r="T35" s="8">
        <f>AVERAGE(T29,T23,T17,T11,T5)</f>
        <v/>
      </c>
      <c r="U35" s="8">
        <f>AVERAGE(U29,U23,U17,U11,U5)</f>
        <v/>
      </c>
      <c r="V35" s="36">
        <f>MIN(V29,V23,V17,V11,V5)</f>
        <v/>
      </c>
      <c r="W35" s="36">
        <f>AVERAGE(W29,W23,W17,W11,W5)</f>
        <v/>
      </c>
      <c r="X35" s="36">
        <f>MAX(X29,X23,X17,X11,X5)</f>
        <v/>
      </c>
      <c r="Y35" s="36">
        <f>MIN(Y29,Y23,Y17,Y11,Y5)</f>
        <v/>
      </c>
      <c r="Z35" s="36">
        <f>AVERAGE(Z29,Z23,Z17,Z11,Z5)</f>
        <v/>
      </c>
      <c r="AA35" s="36">
        <f>MAX(AA29,AA23,AA17,AA11,AA5)</f>
        <v/>
      </c>
      <c r="AB35" s="36">
        <f>MIN(AB29,AB23,AB17,AB11,AB5)</f>
        <v/>
      </c>
      <c r="AC35" s="36">
        <f>AVERAGE(AC29,AC23,AC17,AC11,AC5)</f>
        <v/>
      </c>
      <c r="AD35" s="36">
        <f>MAX(AD29,AD23,AD17,AD11,AD5)</f>
        <v/>
      </c>
      <c r="AE35" s="36">
        <f>MIN(AE29,AE23,AE17,AE11,AE5)</f>
        <v/>
      </c>
      <c r="AF35" s="36">
        <f>AVERAGE(AF29,AF23,AF17,AF11,AF5)</f>
        <v/>
      </c>
      <c r="AG35" s="36">
        <f>MAX(AG29,AG23,AG17,AG11,AG5)</f>
        <v/>
      </c>
      <c r="AH35" s="36">
        <f>MIN(AH29,AH23,AH17,AH11,AH5)</f>
        <v/>
      </c>
      <c r="AI35" s="36">
        <f>AVERAGE(AI29,AI23,AI17,AI11,AI5)</f>
        <v/>
      </c>
      <c r="AJ35" s="36">
        <f>MAX(AJ29,AJ23,AJ17,AJ11,AJ5)</f>
        <v/>
      </c>
      <c r="AK35" s="36">
        <f>MIN(AK29,AK23,AK17,AK11,AK5)</f>
        <v/>
      </c>
      <c r="AL35" s="36">
        <f>AVERAGE(AL29,AL23,AL17,AL11,AL5)</f>
        <v/>
      </c>
      <c r="AM35" s="36">
        <f>MAX(AM29,AM23,AM17,AM11,AM5)</f>
        <v/>
      </c>
      <c r="AN35" s="36">
        <f>MIN(AN29,AN23,AN17,AN11,AN5)</f>
        <v/>
      </c>
      <c r="AO35" s="36">
        <f>AVERAGE(AO29,AO23,AO17,AO11,AO5)</f>
        <v/>
      </c>
      <c r="AP35" s="36">
        <f>MAX(AP29,AP23,AP17,AP11,AP5)</f>
        <v/>
      </c>
      <c r="AQ35" s="36">
        <f>MIN(AQ29,AQ23,AQ17,AQ11,AQ5)</f>
        <v/>
      </c>
      <c r="AR35" s="36">
        <f>AVERAGE(AR29,AR23,AR17,AR11,AR5)</f>
        <v/>
      </c>
      <c r="AS35" s="36">
        <f>MAX(AS29,AS23,AS17,AS11,AS5)</f>
        <v/>
      </c>
      <c r="AT35" s="36">
        <f>MIN(AT29,AT23,AT17,AT11,AT5)</f>
        <v/>
      </c>
      <c r="AU35" s="36">
        <f>AVERAGE(AU29,AU23,AU17,AU11,AU5)</f>
        <v/>
      </c>
      <c r="AV35" s="36">
        <f>MAX(AV29,AV23,AV17,AV11,AV5)</f>
        <v/>
      </c>
      <c r="AW35" s="36">
        <f>MIN(AW29,AW23,AW17,AW11,AW5)</f>
        <v/>
      </c>
      <c r="AX35" s="36">
        <f>AVERAGE(AX29,AX23,AX17,AX11,AX5)</f>
        <v/>
      </c>
      <c r="AY35" s="36">
        <f>MAX(AY29,AY23,AY17,AY11,AY5)</f>
        <v/>
      </c>
      <c r="AZ35" s="36">
        <f>MIN(AZ29,AZ23,AZ17,AZ11,AZ5)</f>
        <v/>
      </c>
      <c r="BA35" s="36">
        <f>AVERAGE(BA29,BA23,BA17,BA11,BA5)</f>
        <v/>
      </c>
      <c r="BB35" s="36">
        <f>MAX(BB29,BB23,BB17,BB11,BB5)</f>
        <v/>
      </c>
      <c r="BC35" s="36">
        <f>MIN(BC29,BC23,BC17,BC11,BC5)</f>
        <v/>
      </c>
      <c r="BD35" s="36">
        <f>AVERAGE(BD29,BD23,BD17,BD11,BD5)</f>
        <v/>
      </c>
      <c r="BE35" s="36">
        <f>MAX(BE29,BE23,BE17,BE11,BE5)</f>
        <v/>
      </c>
      <c r="BF35" s="36">
        <f>MIN(BF29,BF23,BF17,BF11,BF5)</f>
        <v/>
      </c>
      <c r="BG35" s="36">
        <f>AVERAGE(BG29,BG23,BG17,BG11,BG5)</f>
        <v/>
      </c>
      <c r="BH35" s="36">
        <f>MAX(BH29,BH23,BH17,BH11,BH5)</f>
        <v/>
      </c>
      <c r="BI35" s="36">
        <f>MIN(BI29,BI23,BI17,BI11,BI5)</f>
        <v/>
      </c>
      <c r="BJ35" s="36">
        <f>AVERAGE(BJ29,BJ23,BJ17,BJ11,BJ5)</f>
        <v/>
      </c>
      <c r="BK35" s="36">
        <f>MAX(BK29,BK23,BK17,BK11,BK5)</f>
        <v/>
      </c>
      <c r="BL35" s="36">
        <f>MIN(BL29,BL23,BL17,BL11,BL5)</f>
        <v/>
      </c>
      <c r="BM35" s="36">
        <f>AVERAGE(BM29,BM23,BM17,BM11,BM5)</f>
        <v/>
      </c>
      <c r="BN35" s="36">
        <f>MAX(BN29,BN23,BN17,BN11,BN5)</f>
        <v/>
      </c>
    </row>
    <row r="36">
      <c r="A36" s="4" t="inlineStr">
        <is>
          <t>ALL</t>
        </is>
      </c>
      <c r="B36" s="19" t="inlineStr">
        <is>
          <t>Admin staff</t>
        </is>
      </c>
      <c r="J36" s="8">
        <f>AVERAGE(J30,J24,J18,J12,J6)</f>
        <v/>
      </c>
      <c r="K36" s="32">
        <f>AVERAGE(K30,K24,K18,K12,K6)</f>
        <v/>
      </c>
      <c r="L36" s="8">
        <f>AVERAGE(L30,L24,L18,L12,L6)</f>
        <v/>
      </c>
      <c r="M36" s="8">
        <f>AVERAGE(M30,M24,M18,M12,M6)</f>
        <v/>
      </c>
      <c r="N36" s="8">
        <f>AVERAGE(N30,N24,N18,N12,N6)</f>
        <v/>
      </c>
      <c r="O36" s="27">
        <f>AVERAGE(O30,O24,O18,O12,O6)</f>
        <v/>
      </c>
      <c r="P36" s="8">
        <f>AVERAGE(P30,P24,P18,P12,P6)</f>
        <v/>
      </c>
      <c r="Q36" s="8">
        <f>AVERAGE(Q30,Q24,Q18,Q12,Q6)</f>
        <v/>
      </c>
      <c r="R36" s="23">
        <f>AVERAGE(R30,R24,R18,R12,R6)</f>
        <v/>
      </c>
      <c r="S36" s="32">
        <f>AVERAGE(S30,S24,S18,S12,S6)</f>
        <v/>
      </c>
      <c r="T36" s="8">
        <f>AVERAGE(T30,T24,T18,T12,T6)</f>
        <v/>
      </c>
      <c r="U36" s="8">
        <f>AVERAGE(U30,U24,U18,U12,U6)</f>
        <v/>
      </c>
      <c r="V36" s="36">
        <f>MIN(V30,V24,V18,V12,V6)</f>
        <v/>
      </c>
      <c r="W36" s="36">
        <f>AVERAGE(W30,W24,W18,W12,W6)</f>
        <v/>
      </c>
      <c r="X36" s="36">
        <f>MAX(X30,X24,X18,X12,X6)</f>
        <v/>
      </c>
      <c r="Y36" s="36">
        <f>MIN(Y30,Y24,Y18,Y12,Y6)</f>
        <v/>
      </c>
      <c r="Z36" s="36">
        <f>AVERAGE(Z30,Z24,Z18,Z12,Z6)</f>
        <v/>
      </c>
      <c r="AA36" s="36">
        <f>MAX(AA30,AA24,AA18,AA12,AA6)</f>
        <v/>
      </c>
      <c r="AB36" s="36">
        <f>MIN(AB30,AB24,AB18,AB12,AB6)</f>
        <v/>
      </c>
      <c r="AC36" s="36">
        <f>AVERAGE(AC30,AC24,AC18,AC12,AC6)</f>
        <v/>
      </c>
      <c r="AD36" s="36">
        <f>MAX(AD30,AD24,AD18,AD12,AD6)</f>
        <v/>
      </c>
      <c r="AE36" s="36">
        <f>MIN(AE30,AE24,AE18,AE12,AE6)</f>
        <v/>
      </c>
      <c r="AF36" s="36">
        <f>AVERAGE(AF30,AF24,AF18,AF12,AF6)</f>
        <v/>
      </c>
      <c r="AG36" s="36">
        <f>MAX(AG30,AG24,AG18,AG12,AG6)</f>
        <v/>
      </c>
      <c r="AH36" s="36">
        <f>MIN(AH30,AH24,AH18,AH12,AH6)</f>
        <v/>
      </c>
      <c r="AI36" s="36">
        <f>AVERAGE(AI30,AI24,AI18,AI12,AI6)</f>
        <v/>
      </c>
      <c r="AJ36" s="36">
        <f>MAX(AJ30,AJ24,AJ18,AJ12,AJ6)</f>
        <v/>
      </c>
      <c r="AK36" s="36">
        <f>MIN(AK30,AK24,AK18,AK12,AK6)</f>
        <v/>
      </c>
      <c r="AL36" s="36">
        <f>AVERAGE(AL30,AL24,AL18,AL12,AL6)</f>
        <v/>
      </c>
      <c r="AM36" s="36">
        <f>MAX(AM30,AM24,AM18,AM12,AM6)</f>
        <v/>
      </c>
      <c r="AN36" s="36">
        <f>MIN(AN30,AN24,AN18,AN12,AN6)</f>
        <v/>
      </c>
      <c r="AO36" s="36">
        <f>AVERAGE(AO30,AO24,AO18,AO12,AO6)</f>
        <v/>
      </c>
      <c r="AP36" s="36">
        <f>MAX(AP30,AP24,AP18,AP12,AP6)</f>
        <v/>
      </c>
      <c r="AQ36" s="36">
        <f>MIN(AQ30,AQ24,AQ18,AQ12,AQ6)</f>
        <v/>
      </c>
      <c r="AR36" s="36">
        <f>AVERAGE(AR30,AR24,AR18,AR12,AR6)</f>
        <v/>
      </c>
      <c r="AS36" s="36">
        <f>MAX(AS30,AS24,AS18,AS12,AS6)</f>
        <v/>
      </c>
      <c r="AT36" s="36">
        <f>MIN(AT30,AT24,AT18,AT12,AT6)</f>
        <v/>
      </c>
      <c r="AU36" s="36">
        <f>AVERAGE(AU30,AU24,AU18,AU12,AU6)</f>
        <v/>
      </c>
      <c r="AV36" s="36">
        <f>MAX(AV30,AV24,AV18,AV12,AV6)</f>
        <v/>
      </c>
      <c r="AW36" s="36">
        <f>MIN(AW30,AW24,AW18,AW12,AW6)</f>
        <v/>
      </c>
      <c r="AX36" s="36">
        <f>AVERAGE(AX30,AX24,AX18,AX12,AX6)</f>
        <v/>
      </c>
      <c r="AY36" s="36">
        <f>MAX(AY30,AY24,AY18,AY12,AY6)</f>
        <v/>
      </c>
      <c r="AZ36" s="36">
        <f>MIN(AZ30,AZ24,AZ18,AZ12,AZ6)</f>
        <v/>
      </c>
      <c r="BA36" s="36">
        <f>AVERAGE(BA30,BA24,BA18,BA12,BA6)</f>
        <v/>
      </c>
      <c r="BB36" s="36">
        <f>MAX(BB30,BB24,BB18,BB12,BB6)</f>
        <v/>
      </c>
      <c r="BC36" s="36">
        <f>MIN(BC30,BC24,BC18,BC12,BC6)</f>
        <v/>
      </c>
      <c r="BD36" s="36">
        <f>AVERAGE(BD30,BD24,BD18,BD12,BD6)</f>
        <v/>
      </c>
      <c r="BE36" s="36">
        <f>MAX(BE30,BE24,BE18,BE12,BE6)</f>
        <v/>
      </c>
      <c r="BF36" s="36">
        <f>MIN(BF30,BF24,BF18,BF12,BF6)</f>
        <v/>
      </c>
      <c r="BG36" s="36">
        <f>AVERAGE(BG30,BG24,BG18,BG12,BG6)</f>
        <v/>
      </c>
      <c r="BH36" s="36">
        <f>MAX(BH30,BH24,BH18,BH12,BH6)</f>
        <v/>
      </c>
      <c r="BI36" s="36">
        <f>MIN(BI30,BI24,BI18,BI12,BI6)</f>
        <v/>
      </c>
      <c r="BJ36" s="36">
        <f>AVERAGE(BJ30,BJ24,BJ18,BJ12,BJ6)</f>
        <v/>
      </c>
      <c r="BK36" s="36">
        <f>MAX(BK30,BK24,BK18,BK12,BK6)</f>
        <v/>
      </c>
      <c r="BL36" s="36">
        <f>MIN(BL30,BL24,BL18,BL12,BL6)</f>
        <v/>
      </c>
      <c r="BM36" s="36">
        <f>AVERAGE(BM30,BM24,BM18,BM12,BM6)</f>
        <v/>
      </c>
      <c r="BN36" s="36">
        <f>MAX(BN30,BN24,BN18,BN12,BN6)</f>
        <v/>
      </c>
    </row>
    <row r="37">
      <c r="A37" s="4" t="inlineStr">
        <is>
          <t>ALL</t>
        </is>
      </c>
      <c r="B37" s="19" t="inlineStr">
        <is>
          <t>Bioinformatics staff</t>
        </is>
      </c>
      <c r="J37" s="8">
        <f>AVERAGE(J31,J25,J19,J13,J7)</f>
        <v/>
      </c>
      <c r="K37" s="32">
        <f>AVERAGE(K31,K25,K19,K13,K7)</f>
        <v/>
      </c>
      <c r="L37" s="8">
        <f>AVERAGE(L31,L25,L19,L13,L7)</f>
        <v/>
      </c>
      <c r="M37" s="8">
        <f>AVERAGE(M31,M25,M19,M13,M7)</f>
        <v/>
      </c>
      <c r="N37" s="8">
        <f>AVERAGE(N31,N25,N19,N13,N7)</f>
        <v/>
      </c>
      <c r="O37" s="27">
        <f>AVERAGE(O31,O25,O19,O13,O7)</f>
        <v/>
      </c>
      <c r="P37" s="8">
        <f>AVERAGE(P31,P25,P19,P13,P7)</f>
        <v/>
      </c>
      <c r="Q37" s="8">
        <f>AVERAGE(Q31,Q25,Q19,Q13,Q7)</f>
        <v/>
      </c>
      <c r="R37" s="23">
        <f>AVERAGE(R31,R25,R19,R13,R7)</f>
        <v/>
      </c>
      <c r="S37" s="32">
        <f>AVERAGE(S31,S25,S19,S13,S7)</f>
        <v/>
      </c>
      <c r="T37" s="8">
        <f>AVERAGE(T31,T25,T19,T13,T7)</f>
        <v/>
      </c>
      <c r="U37" s="8">
        <f>AVERAGE(U31,U25,U19,U13,U7)</f>
        <v/>
      </c>
      <c r="V37" s="36">
        <f>MIN(V31,V25,V19,V13,V7)</f>
        <v/>
      </c>
      <c r="W37" s="36">
        <f>AVERAGE(W31,W25,W19,W13,W7)</f>
        <v/>
      </c>
      <c r="X37" s="36">
        <f>MAX(X31,X25,X19,X13,X7)</f>
        <v/>
      </c>
      <c r="Y37" s="36">
        <f>MIN(Y31,Y25,Y19,Y13,Y7)</f>
        <v/>
      </c>
      <c r="Z37" s="36">
        <f>AVERAGE(Z31,Z25,Z19,Z13,Z7)</f>
        <v/>
      </c>
      <c r="AA37" s="36">
        <f>MAX(AA31,AA25,AA19,AA13,AA7)</f>
        <v/>
      </c>
      <c r="AB37" s="36">
        <f>MIN(AB31,AB25,AB19,AB13,AB7)</f>
        <v/>
      </c>
      <c r="AC37" s="36">
        <f>AVERAGE(AC31,AC25,AC19,AC13,AC7)</f>
        <v/>
      </c>
      <c r="AD37" s="36">
        <f>MAX(AD31,AD25,AD19,AD13,AD7)</f>
        <v/>
      </c>
      <c r="AE37" s="36">
        <f>MIN(AE31,AE25,AE19,AE13,AE7)</f>
        <v/>
      </c>
      <c r="AF37" s="36">
        <f>AVERAGE(AF31,AF25,AF19,AF13,AF7)</f>
        <v/>
      </c>
      <c r="AG37" s="36">
        <f>MAX(AG31,AG25,AG19,AG13,AG7)</f>
        <v/>
      </c>
      <c r="AH37" s="36">
        <f>MIN(AH31,AH25,AH19,AH13,AH7)</f>
        <v/>
      </c>
      <c r="AI37" s="36">
        <f>AVERAGE(AI31,AI25,AI19,AI13,AI7)</f>
        <v/>
      </c>
      <c r="AJ37" s="36">
        <f>MAX(AJ31,AJ25,AJ19,AJ13,AJ7)</f>
        <v/>
      </c>
      <c r="AK37" s="36">
        <f>MIN(AK31,AK25,AK19,AK13,AK7)</f>
        <v/>
      </c>
      <c r="AL37" s="36">
        <f>AVERAGE(AL31,AL25,AL19,AL13,AL7)</f>
        <v/>
      </c>
      <c r="AM37" s="36">
        <f>MAX(AM31,AM25,AM19,AM13,AM7)</f>
        <v/>
      </c>
      <c r="AN37" s="36">
        <f>MIN(AN31,AN25,AN19,AN13,AN7)</f>
        <v/>
      </c>
      <c r="AO37" s="36">
        <f>AVERAGE(AO31,AO25,AO19,AO13,AO7)</f>
        <v/>
      </c>
      <c r="AP37" s="36">
        <f>MAX(AP31,AP25,AP19,AP13,AP7)</f>
        <v/>
      </c>
      <c r="AQ37" s="36">
        <f>MIN(AQ31,AQ25,AQ19,AQ13,AQ7)</f>
        <v/>
      </c>
      <c r="AR37" s="36">
        <f>AVERAGE(AR31,AR25,AR19,AR13,AR7)</f>
        <v/>
      </c>
      <c r="AS37" s="36">
        <f>MAX(AS31,AS25,AS19,AS13,AS7)</f>
        <v/>
      </c>
      <c r="AT37" s="36">
        <f>MIN(AT31,AT25,AT19,AT13,AT7)</f>
        <v/>
      </c>
      <c r="AU37" s="36">
        <f>AVERAGE(AU31,AU25,AU19,AU13,AU7)</f>
        <v/>
      </c>
      <c r="AV37" s="36">
        <f>MAX(AV31,AV25,AV19,AV13,AV7)</f>
        <v/>
      </c>
      <c r="AW37" s="36">
        <f>MIN(AW31,AW25,AW19,AW13,AW7)</f>
        <v/>
      </c>
      <c r="AX37" s="36">
        <f>AVERAGE(AX31,AX25,AX19,AX13,AX7)</f>
        <v/>
      </c>
      <c r="AY37" s="36">
        <f>MAX(AY31,AY25,AY19,AY13,AY7)</f>
        <v/>
      </c>
      <c r="AZ37" s="36">
        <f>MIN(AZ31,AZ25,AZ19,AZ13,AZ7)</f>
        <v/>
      </c>
      <c r="BA37" s="36">
        <f>AVERAGE(BA31,BA25,BA19,BA13,BA7)</f>
        <v/>
      </c>
      <c r="BB37" s="36">
        <f>MAX(BB31,BB25,BB19,BB13,BB7)</f>
        <v/>
      </c>
      <c r="BC37" s="36">
        <f>MIN(BC31,BC25,BC19,BC13,BC7)</f>
        <v/>
      </c>
      <c r="BD37" s="36">
        <f>AVERAGE(BD31,BD25,BD19,BD13,BD7)</f>
        <v/>
      </c>
      <c r="BE37" s="36">
        <f>MAX(BE31,BE25,BE19,BE13,BE7)</f>
        <v/>
      </c>
      <c r="BF37" s="36">
        <f>MIN(BF31,BF25,BF19,BF13,BF7)</f>
        <v/>
      </c>
      <c r="BG37" s="36">
        <f>AVERAGE(BG31,BG25,BG19,BG13,BG7)</f>
        <v/>
      </c>
      <c r="BH37" s="36">
        <f>MAX(BH31,BH25,BH19,BH13,BH7)</f>
        <v/>
      </c>
      <c r="BI37" s="36">
        <f>MIN(BI31,BI25,BI19,BI13,BI7)</f>
        <v/>
      </c>
      <c r="BJ37" s="36">
        <f>AVERAGE(BJ31,BJ25,BJ19,BJ13,BJ7)</f>
        <v/>
      </c>
      <c r="BK37" s="36">
        <f>MAX(BK31,BK25,BK19,BK13,BK7)</f>
        <v/>
      </c>
      <c r="BL37" s="36">
        <f>MIN(BL31,BL25,BL19,BL13,BL7)</f>
        <v/>
      </c>
      <c r="BM37" s="36">
        <f>AVERAGE(BM31,BM25,BM19,BM13,BM7)</f>
        <v/>
      </c>
      <c r="BN37" s="36">
        <f>MAX(BN31,BN25,BN19,BN13,BN7)</f>
        <v/>
      </c>
    </row>
    <row r="38">
      <c r="A38" s="4" t="inlineStr">
        <is>
          <t>ALL</t>
        </is>
      </c>
      <c r="B38" s="19" t="inlineStr">
        <is>
          <t>Pathologists</t>
        </is>
      </c>
      <c r="J38" s="8">
        <f>AVERAGE(J32,J26,J20,J14,J8)</f>
        <v/>
      </c>
      <c r="K38" s="32">
        <f>AVERAGE(K32,K26,K20,K14,K8)</f>
        <v/>
      </c>
      <c r="L38" s="8">
        <f>AVERAGE(L32,L26,L20,L14,L8)</f>
        <v/>
      </c>
      <c r="M38" s="8">
        <f>AVERAGE(M32,M26,M20,M14,M8)</f>
        <v/>
      </c>
      <c r="N38" s="8">
        <f>AVERAGE(N32,N26,N20,N14,N8)</f>
        <v/>
      </c>
      <c r="O38" s="27">
        <f>AVERAGE(O32,O26,O20,O14,O8)</f>
        <v/>
      </c>
      <c r="P38" s="8">
        <f>AVERAGE(P32,P26,P20,P14,P8)</f>
        <v/>
      </c>
      <c r="Q38" s="8">
        <f>AVERAGE(Q32,Q26,Q20,Q14,Q8)</f>
        <v/>
      </c>
      <c r="R38" s="23">
        <f>AVERAGE(R32,R26,R20,R14,R8)</f>
        <v/>
      </c>
      <c r="S38" s="32">
        <f>AVERAGE(S32,S26,S20,S14,S8)</f>
        <v/>
      </c>
      <c r="T38" s="8">
        <f>AVERAGE(T32,T26,T20,T14,T8)</f>
        <v/>
      </c>
      <c r="U38" s="8">
        <f>AVERAGE(U32,U26,U20,U14,U8)</f>
        <v/>
      </c>
      <c r="V38" s="36">
        <f>MIN(V32,V26,V20,V14,V8)</f>
        <v/>
      </c>
      <c r="W38" s="36">
        <f>AVERAGE(W32,W26,W20,W14,W8)</f>
        <v/>
      </c>
      <c r="X38" s="36">
        <f>MAX(X32,X26,X20,X14,X8)</f>
        <v/>
      </c>
      <c r="Y38" s="36">
        <f>MIN(Y32,Y26,Y20,Y14,Y8)</f>
        <v/>
      </c>
      <c r="Z38" s="36">
        <f>AVERAGE(Z32,Z26,Z20,Z14,Z8)</f>
        <v/>
      </c>
      <c r="AA38" s="36">
        <f>MAX(AA32,AA26,AA20,AA14,AA8)</f>
        <v/>
      </c>
      <c r="AB38" s="36">
        <f>MIN(AB32,AB26,AB20,AB14,AB8)</f>
        <v/>
      </c>
      <c r="AC38" s="36">
        <f>AVERAGE(AC32,AC26,AC20,AC14,AC8)</f>
        <v/>
      </c>
      <c r="AD38" s="36">
        <f>MAX(AD32,AD26,AD20,AD14,AD8)</f>
        <v/>
      </c>
      <c r="AE38" s="36">
        <f>MIN(AE32,AE26,AE20,AE14,AE8)</f>
        <v/>
      </c>
      <c r="AF38" s="36">
        <f>AVERAGE(AF32,AF26,AF20,AF14,AF8)</f>
        <v/>
      </c>
      <c r="AG38" s="36">
        <f>MAX(AG32,AG26,AG20,AG14,AG8)</f>
        <v/>
      </c>
      <c r="AH38" s="36">
        <f>MIN(AH32,AH26,AH20,AH14,AH8)</f>
        <v/>
      </c>
      <c r="AI38" s="36">
        <f>AVERAGE(AI32,AI26,AI20,AI14,AI8)</f>
        <v/>
      </c>
      <c r="AJ38" s="36">
        <f>MAX(AJ32,AJ26,AJ20,AJ14,AJ8)</f>
        <v/>
      </c>
      <c r="AK38" s="36">
        <f>MIN(AK32,AK26,AK20,AK14,AK8)</f>
        <v/>
      </c>
      <c r="AL38" s="36">
        <f>AVERAGE(AL32,AL26,AL20,AL14,AL8)</f>
        <v/>
      </c>
      <c r="AM38" s="36">
        <f>MAX(AM32,AM26,AM20,AM14,AM8)</f>
        <v/>
      </c>
      <c r="AN38" s="36">
        <f>MIN(AN32,AN26,AN20,AN14,AN8)</f>
        <v/>
      </c>
      <c r="AO38" s="36">
        <f>AVERAGE(AO32,AO26,AO20,AO14,AO8)</f>
        <v/>
      </c>
      <c r="AP38" s="36">
        <f>MAX(AP32,AP26,AP20,AP14,AP8)</f>
        <v/>
      </c>
      <c r="AQ38" s="36">
        <f>MIN(AQ32,AQ26,AQ20,AQ14,AQ8)</f>
        <v/>
      </c>
      <c r="AR38" s="36">
        <f>AVERAGE(AR32,AR26,AR20,AR14,AR8)</f>
        <v/>
      </c>
      <c r="AS38" s="36">
        <f>MAX(AS32,AS26,AS20,AS14,AS8)</f>
        <v/>
      </c>
      <c r="AT38" s="36">
        <f>MIN(AT32,AT26,AT20,AT14,AT8)</f>
        <v/>
      </c>
      <c r="AU38" s="36">
        <f>AVERAGE(AU32,AU26,AU20,AU14,AU8)</f>
        <v/>
      </c>
      <c r="AV38" s="36">
        <f>MAX(AV32,AV26,AV20,AV14,AV8)</f>
        <v/>
      </c>
      <c r="AW38" s="36">
        <f>MIN(AW32,AW26,AW20,AW14,AW8)</f>
        <v/>
      </c>
      <c r="AX38" s="36">
        <f>AVERAGE(AX32,AX26,AX20,AX14,AX8)</f>
        <v/>
      </c>
      <c r="AY38" s="36">
        <f>MAX(AY32,AY26,AY20,AY14,AY8)</f>
        <v/>
      </c>
      <c r="AZ38" s="36">
        <f>MIN(AZ32,AZ26,AZ20,AZ14,AZ8)</f>
        <v/>
      </c>
      <c r="BA38" s="36">
        <f>AVERAGE(BA32,BA26,BA20,BA14,BA8)</f>
        <v/>
      </c>
      <c r="BB38" s="36">
        <f>MAX(BB32,BB26,BB20,BB14,BB8)</f>
        <v/>
      </c>
      <c r="BC38" s="36">
        <f>MIN(BC32,BC26,BC20,BC14,BC8)</f>
        <v/>
      </c>
      <c r="BD38" s="36">
        <f>AVERAGE(BD32,BD26,BD20,BD14,BD8)</f>
        <v/>
      </c>
      <c r="BE38" s="36">
        <f>MAX(BE32,BE26,BE20,BE14,BE8)</f>
        <v/>
      </c>
      <c r="BF38" s="36">
        <f>MIN(BF32,BF26,BF20,BF14,BF8)</f>
        <v/>
      </c>
      <c r="BG38" s="36">
        <f>AVERAGE(BG32,BG26,BG20,BG14,BG8)</f>
        <v/>
      </c>
      <c r="BH38" s="36">
        <f>MAX(BH32,BH26,BH20,BH14,BH8)</f>
        <v/>
      </c>
      <c r="BI38" s="36">
        <f>MIN(BI32,BI26,BI20,BI14,BI8)</f>
        <v/>
      </c>
      <c r="BJ38" s="36">
        <f>AVERAGE(BJ32,BJ26,BJ20,BJ14,BJ8)</f>
        <v/>
      </c>
      <c r="BK38" s="36">
        <f>MAX(BK32,BK26,BK20,BK14,BK8)</f>
        <v/>
      </c>
      <c r="BL38" s="36">
        <f>MIN(BL32,BL26,BL20,BL14,BL8)</f>
        <v/>
      </c>
      <c r="BM38" s="36">
        <f>AVERAGE(BM32,BM26,BM20,BM14,BM8)</f>
        <v/>
      </c>
      <c r="BN38" s="36">
        <f>MAX(BN32,BN26,BN20,BN14,BN8)</f>
        <v/>
      </c>
    </row>
    <row r="40">
      <c r="A40" s="4" t="inlineStr">
        <is>
          <t>ALL</t>
        </is>
      </c>
      <c r="B40" s="19" t="inlineStr">
        <is>
          <t>Lab technician</t>
        </is>
      </c>
      <c r="J40" s="28">
        <f>TEXT(J34, "0.0%") &amp; " (" &amp; TEXT(MIN(J28,J22,J16,J10,J4), "0.0%") &amp; " - " &amp; TEXT(MAX(J28,J22,J16,J10,J4), "0.0%") &amp; ")"</f>
        <v/>
      </c>
      <c r="K40" s="28">
        <f>TEXT(K34, "0.0") &amp; " (" &amp; TEXT(MIN(K28,K22,K16,K10,K4), "0.0") &amp; " - " &amp; TEXT(MAX(K28,K22,K16,K10,K4), "0.0") &amp; ")"</f>
        <v/>
      </c>
      <c r="L40" s="28">
        <f>TEXT(L34, "0.0%") &amp; " (" &amp; TEXT(MIN(L28,L22,L16,L10,L4), "0.0%") &amp; " - " &amp; TEXT(MAX(L28,L22,L16,L10,L4), "0.0%") &amp; ")"</f>
        <v/>
      </c>
      <c r="M40" s="28">
        <f>TEXT(M34, "0.0%") &amp; " (" &amp; TEXT(MIN(M28,M22,M16,M10,M4), "0.0%") &amp; " - " &amp; TEXT(MAX(M28,M22,M16,M10,M4), "0.0%") &amp; ")"</f>
        <v/>
      </c>
      <c r="N40" s="28">
        <f>TEXT(N34, "0.0%") &amp; " (" &amp; TEXT(MIN(N28,N22,N16,N10,N4), "0.0%") &amp; " - " &amp; TEXT(MAX(N28,N22,N16,N10,N4), "0.0%") &amp; ")"</f>
        <v/>
      </c>
      <c r="O40" s="28">
        <f>TEXT(O34, "0.0%") &amp; " (" &amp; TEXT(MIN(O28,O22,O16,O10,O4), "0.0%") &amp; " - " &amp; TEXT(MAX(O28,O22,O16,O10,O4), "0.0%") &amp; ")"</f>
        <v/>
      </c>
      <c r="P40" s="28">
        <f>TEXT(P34, "0.0%") &amp; " (" &amp; TEXT(MIN(P28,P22,P16,P10,P4), "0.0%") &amp; " - " &amp; TEXT(MAX(P28,P22,P16,P10,P4), "0.0%") &amp; ")"</f>
        <v/>
      </c>
      <c r="Q40" s="28">
        <f>TEXT(Q34, "0.0%") &amp; " (" &amp; TEXT(MIN(Q28,Q22,Q16,Q10,Q4), "0.0%") &amp; " - " &amp; TEXT(MAX(Q28,Q22,Q16,Q10,Q4), "0.0%") &amp; ")"</f>
        <v/>
      </c>
      <c r="R40" s="28">
        <f>TEXT(R34, "$0.0") &amp; " (" &amp; TEXT(MIN(R28,R22,R16,R10,R4), "$0.0") &amp; " - " &amp; TEXT(MAX(R28,R22,R16,R10,R4), "$0.0") &amp; ")"</f>
        <v/>
      </c>
      <c r="S40" s="28">
        <f>TEXT(S34, "0.0") &amp; " (" &amp; TEXT(MIN(S28,S22,S16,S10,S4), "0.0") &amp; " - " &amp; TEXT(MAX(S28,S22,S16,S10,S4), "0.0") &amp; ")"</f>
        <v/>
      </c>
      <c r="T40" s="28">
        <f>TEXT(T34, "0.0%") &amp; " (" &amp; TEXT(MIN(T28,T22,T16,T10,T4), "0.0%") &amp; " - " &amp; TEXT(MAX(T28,T22,T16,T10,T4), "0.0%") &amp; ")"</f>
        <v/>
      </c>
      <c r="U40" s="28">
        <f>TEXT(U34, "0.0%") &amp; " (" &amp; TEXT(MIN(U28,U22,U16,U10,U4), "0.0%") &amp; " - " &amp; TEXT(MAX(U28,U22,U16,U10,U4), "0.0%") &amp; ")"</f>
        <v/>
      </c>
      <c r="V40" s="28">
        <f>"AUD " &amp; TEXT(W34, "0,0") &amp; " (" &amp; TEXT(V34, "0,0") &amp; " - " &amp; TEXT(X34, "0,0") &amp; ")"</f>
        <v/>
      </c>
      <c r="Y40" s="28">
        <f>"AUD " &amp; TEXT(Z34, "0,0") &amp; " (" &amp; TEXT(Y34, "0,0") &amp; " - " &amp; TEXT(AA34, "0,0") &amp; ")"</f>
        <v/>
      </c>
      <c r="AB40" s="28">
        <f>"AUD " &amp; TEXT(AC34, "0,0") &amp; " (" &amp; TEXT(AB34, "0,0") &amp; " - " &amp; TEXT(AD34, "0,0") &amp; ")"</f>
        <v/>
      </c>
      <c r="AE40" s="28">
        <f>"AUD " &amp; TEXT(AF34, "0,0") &amp; " (" &amp; TEXT(AE34, "0,0") &amp; " - " &amp; TEXT(AG34, "0,0") &amp; ")"</f>
        <v/>
      </c>
      <c r="AH40" s="28">
        <f>"AUD " &amp; TEXT(AI34, "0,0") &amp; " (" &amp; TEXT(AH34, "0,0") &amp; " - " &amp; TEXT(AJ34, "0,0") &amp; ")"</f>
        <v/>
      </c>
      <c r="AK40" s="28">
        <f>"AUD " &amp; TEXT(AL34, "0,0") &amp; " (" &amp; TEXT(AK34, "0,0") &amp; " - " &amp; TEXT(AM34, "0,0") &amp; ")"</f>
        <v/>
      </c>
      <c r="AN40" s="34" t="inlineStr">
        <is>
          <t>AUD 78,369 (48,552 - 110,314)</t>
        </is>
      </c>
      <c r="AQ40" s="28">
        <f>"AUD " &amp; TEXT(AR34, "0,0") &amp; " (" &amp; TEXT(AQ34, "0,0") &amp; " - " &amp; TEXT(AS34, "0,0") &amp; ")"</f>
        <v/>
      </c>
      <c r="AT40" s="28">
        <f>"AUD " &amp; TEXT(AU34, "0,0") &amp; " (" &amp; TEXT(AT34, "0,0") &amp; " - " &amp; TEXT(AV34, "0,0") &amp; ")"</f>
        <v/>
      </c>
      <c r="AW40" s="34" t="inlineStr">
        <is>
          <t>AUD 78,369 (48,552 - 110,314)</t>
        </is>
      </c>
      <c r="AZ40" s="28">
        <f>"AUD " &amp; TEXT(BA34, "0,0") &amp; " (" &amp; TEXT(AZ34, "0,0") &amp; " - " &amp; TEXT(BB34, "0,0") &amp; ")"</f>
        <v/>
      </c>
      <c r="BC40" s="28">
        <f>"AUD " &amp; TEXT(BD34, "0,0") &amp; " (" &amp; TEXT(BC34, "0,0") &amp; " - " &amp; TEXT(BE34, "0,0") &amp; ")"</f>
        <v/>
      </c>
      <c r="BF40" s="34" t="inlineStr">
        <is>
          <t>AUD 78,369 (48,552 - 110,314)</t>
        </is>
      </c>
      <c r="BI40" s="28">
        <f>"AUD " &amp; TEXT(BJ34, "0,0") &amp; " (" &amp; TEXT(BI34, "0,0") &amp; " - " &amp; TEXT(BK34, "0,0") &amp; ")"</f>
        <v/>
      </c>
      <c r="BL40" s="28">
        <f>"AUD " &amp; TEXT(BM34, "0,0") &amp; " (" &amp; TEXT(BL34, "0,0") &amp; " - " &amp; TEXT(BN34, "0,0") &amp; ")"</f>
        <v/>
      </c>
    </row>
    <row r="41">
      <c r="A41" s="4" t="inlineStr">
        <is>
          <t>ALL</t>
        </is>
      </c>
      <c r="B41" s="19" t="inlineStr">
        <is>
          <t>Medical scientist</t>
        </is>
      </c>
      <c r="J41" s="28">
        <f>TEXT(J35, "0.0%") &amp; " (" &amp; TEXT(MIN(J29,J23,J17,J11,J5), "0.0%") &amp; " - " &amp; TEXT(MAX(J29,J23,J17,J11,J5), "0.0%") &amp; ")"</f>
        <v/>
      </c>
      <c r="K41" s="28">
        <f>TEXT(K35, "0.0") &amp; " (" &amp; TEXT(MIN(K29,K23,K17,K11,K5), "0.0") &amp; " - " &amp; TEXT(MAX(K29,K23,K17,K11,K5), "0.0") &amp; ")"</f>
        <v/>
      </c>
      <c r="L41" s="28">
        <f>TEXT(L35, "0.0%") &amp; " (" &amp; TEXT(MIN(L29,L23,L17,L11,L5), "0.0%") &amp; " - " &amp; TEXT(MAX(L29,L23,L17,L11,L5), "0.0%") &amp; ")"</f>
        <v/>
      </c>
      <c r="M41" s="28">
        <f>TEXT(M35, "0.0%") &amp; " (" &amp; TEXT(MIN(M29,M23,M17,M11,M5), "0.0%") &amp; " - " &amp; TEXT(MAX(M29,M23,M17,M11,M5), "0.0%") &amp; ")"</f>
        <v/>
      </c>
      <c r="N41" s="28">
        <f>TEXT(N35, "0.0%") &amp; " (" &amp; TEXT(MIN(N29,N23,N17,N11,N5), "0.0%") &amp; " - " &amp; TEXT(MAX(N29,N23,N17,N11,N5), "0.0%") &amp; ")"</f>
        <v/>
      </c>
      <c r="O41" s="28">
        <f>TEXT(O35, "0.0%") &amp; " (" &amp; TEXT(MIN(O29,O23,O17,O11,O5), "0.0%") &amp; " - " &amp; TEXT(MAX(O29,O23,O17,O11,O5), "0.0%") &amp; ")"</f>
        <v/>
      </c>
      <c r="P41" s="28">
        <f>TEXT(P35, "0.0%") &amp; " (" &amp; TEXT(MIN(P29,P23,P17,P11,P5), "0.0%") &amp; " - " &amp; TEXT(MAX(P29,P23,P17,P11,P5), "0.0%") &amp; ")"</f>
        <v/>
      </c>
      <c r="Q41" s="28">
        <f>TEXT(Q35, "0.0%") &amp; " (" &amp; TEXT(MIN(Q29,Q23,Q17,Q11,Q5), "0.0%") &amp; " - " &amp; TEXT(MAX(Q29,Q23,Q17,Q11,Q5), "0.0%") &amp; ")"</f>
        <v/>
      </c>
      <c r="R41" s="28">
        <f>TEXT(R35, "$0.0") &amp; " (" &amp; TEXT(MIN(R29,R23,R17,R11,R5), "$0.0") &amp; " - " &amp; TEXT(MAX(R29,R23,R17,R11,R5), "$0.0") &amp; ")"</f>
        <v/>
      </c>
      <c r="S41" s="28">
        <f>TEXT(S35, "0.0") &amp; " (" &amp; TEXT(MIN(S29,S23,S17,S11,S5), "0.0") &amp; " - " &amp; TEXT(MAX(S29,S23,S17,S11,S5), "0.0") &amp; ")"</f>
        <v/>
      </c>
      <c r="T41" s="28">
        <f>TEXT(T35, "0.0%") &amp; " (" &amp; TEXT(MIN(T29,T23,T17,T11,T5), "0.0%") &amp; " - " &amp; TEXT(MAX(T29,T23,T17,T11,T5), "0.0%") &amp; ")"</f>
        <v/>
      </c>
      <c r="U41" s="28">
        <f>TEXT(U35, "0.0%") &amp; " (" &amp; TEXT(MIN(U29,U23,U17,U11,U5), "0.0%") &amp; " - " &amp; TEXT(MAX(U29,U23,U17,U11,U5), "0.0%") &amp; ")"</f>
        <v/>
      </c>
      <c r="V41" s="28">
        <f>"AUD " &amp; TEXT(W35, "0,0") &amp; " (" &amp; TEXT(V35, "0,0") &amp; " - " &amp; TEXT(X35, "0,0") &amp; ")"</f>
        <v/>
      </c>
      <c r="Y41" s="28">
        <f>"AUD " &amp; TEXT(Z35, "0,0") &amp; " (" &amp; TEXT(Y35, "0,0") &amp; " - " &amp; TEXT(AA35, "0,0") &amp; ")"</f>
        <v/>
      </c>
      <c r="AB41" s="28">
        <f>"AUD " &amp; TEXT(AC35, "0,0") &amp; " (" &amp; TEXT(AB35, "0,0") &amp; " - " &amp; TEXT(AD35, "0,0") &amp; ")"</f>
        <v/>
      </c>
      <c r="AE41" s="28">
        <f>"AUD " &amp; TEXT(AF35, "0,0") &amp; " (" &amp; TEXT(AE35, "0,0") &amp; " - " &amp; TEXT(AG35, "0,0") &amp; ")"</f>
        <v/>
      </c>
      <c r="AH41" s="28">
        <f>"AUD " &amp; TEXT(AI35, "0,0") &amp; " (" &amp; TEXT(AH35, "0,0") &amp; " - " &amp; TEXT(AJ35, "0,0") &amp; ")"</f>
        <v/>
      </c>
      <c r="AK41" s="28">
        <f>"AUD " &amp; TEXT(AL35, "0,0") &amp; " (" &amp; TEXT(AK35, "0,0") &amp; " - " &amp; TEXT(AM35, "0,0") &amp; ")"</f>
        <v/>
      </c>
      <c r="AN41" s="34" t="inlineStr">
        <is>
          <t>AUD 104,472 (61,204 - 142,553)</t>
        </is>
      </c>
      <c r="AQ41" s="28">
        <f>"AUD " &amp; TEXT(AR35, "0,0") &amp; " (" &amp; TEXT(AQ35, "0,0") &amp; " - " &amp; TEXT(AS35, "0,0") &amp; ")"</f>
        <v/>
      </c>
      <c r="AT41" s="28">
        <f>"AUD " &amp; TEXT(AU35, "0,0") &amp; " (" &amp; TEXT(AT35, "0,0") &amp; " - " &amp; TEXT(AV35, "0,0") &amp; ")"</f>
        <v/>
      </c>
      <c r="AW41" s="34" t="inlineStr">
        <is>
          <t>AUD 104,472 (61,204 - 142,553)</t>
        </is>
      </c>
      <c r="AZ41" s="28">
        <f>"AUD " &amp; TEXT(BA35, "0,0") &amp; " (" &amp; TEXT(AZ35, "0,0") &amp; " - " &amp; TEXT(BB35, "0,0") &amp; ")"</f>
        <v/>
      </c>
      <c r="BC41" s="28">
        <f>"AUD " &amp; TEXT(BD35, "0,0") &amp; " (" &amp; TEXT(BC35, "0,0") &amp; " - " &amp; TEXT(BE35, "0,0") &amp; ")"</f>
        <v/>
      </c>
      <c r="BF41" s="34" t="inlineStr">
        <is>
          <t>AUD 104,472 (61,204 - 142,553)</t>
        </is>
      </c>
      <c r="BI41" s="28">
        <f>"AUD " &amp; TEXT(BJ35, "0,0") &amp; " (" &amp; TEXT(BI35, "0,0") &amp; " - " &amp; TEXT(BK35, "0,0") &amp; ")"</f>
        <v/>
      </c>
      <c r="BL41" s="28">
        <f>"AUD " &amp; TEXT(BM35, "0,0") &amp; " (" &amp; TEXT(BL35, "0,0") &amp; " - " &amp; TEXT(BN35, "0,0") &amp; ")"</f>
        <v/>
      </c>
    </row>
    <row r="42">
      <c r="A42" s="4" t="inlineStr">
        <is>
          <t>ALL</t>
        </is>
      </c>
      <c r="B42" s="19" t="inlineStr">
        <is>
          <t>Admin staff</t>
        </is>
      </c>
      <c r="J42" s="28">
        <f>TEXT(J36, "0.0%") &amp; " (" &amp; TEXT(MIN(J30,J24,J18,J12,J6), "0.0%") &amp; " - " &amp; TEXT(MAX(J30,J24,J18,J12,J6), "0.0%") &amp; ")"</f>
        <v/>
      </c>
      <c r="K42" s="28">
        <f>TEXT(K36, "0.0") &amp; " (" &amp; TEXT(MIN(K30,K24,K18,K12,K6), "0.0") &amp; " - " &amp; TEXT(MAX(K30,K24,K18,K12,K6), "0.0") &amp; ")"</f>
        <v/>
      </c>
      <c r="L42" s="28">
        <f>TEXT(L36, "0.0%") &amp; " (" &amp; TEXT(MIN(L30,L24,L18,L12,L6), "0.0%") &amp; " - " &amp; TEXT(MAX(L30,L24,L18,L12,L6), "0.0%") &amp; ")"</f>
        <v/>
      </c>
      <c r="M42" s="28">
        <f>TEXT(M36, "0.0%") &amp; " (" &amp; TEXT(MIN(M30,M24,M18,M12,M6), "0.0%") &amp; " - " &amp; TEXT(MAX(M30,M24,M18,M12,M6), "0.0%") &amp; ")"</f>
        <v/>
      </c>
      <c r="N42" s="28">
        <f>TEXT(N36, "0.0%") &amp; " (" &amp; TEXT(MIN(N30,N24,N18,N12,N6), "0.0%") &amp; " - " &amp; TEXT(MAX(N30,N24,N18,N12,N6), "0.0%") &amp; ")"</f>
        <v/>
      </c>
      <c r="O42" s="28">
        <f>TEXT(O36, "0.0%") &amp; " (" &amp; TEXT(MIN(O30,O24,O18,O12,O6), "0.0%") &amp; " - " &amp; TEXT(MAX(O30,O24,O18,O12,O6), "0.0%") &amp; ")"</f>
        <v/>
      </c>
      <c r="P42" s="28">
        <f>TEXT(P36, "0.0%") &amp; " (" &amp; TEXT(MIN(P30,P24,P18,P12,P6), "0.0%") &amp; " - " &amp; TEXT(MAX(P30,P24,P18,P12,P6), "0.0%") &amp; ")"</f>
        <v/>
      </c>
      <c r="Q42" s="28">
        <f>TEXT(Q36, "0.0%") &amp; " (" &amp; TEXT(MIN(Q30,Q24,Q18,Q12,Q6), "0.0%") &amp; " - " &amp; TEXT(MAX(Q30,Q24,Q18,Q12,Q6), "0.0%") &amp; ")"</f>
        <v/>
      </c>
      <c r="R42" s="28">
        <f>TEXT(R36, "$0.0") &amp; " (" &amp; TEXT(MIN(R30,R24,R18,R12,R6), "$0.0") &amp; " - " &amp; TEXT(MAX(R30,R24,R18,R12,R6), "$0.0") &amp; ")"</f>
        <v/>
      </c>
      <c r="S42" s="28">
        <f>TEXT(S36, "0.0") &amp; " (" &amp; TEXT(MIN(S30,S24,S18,S12,S6), "0.0") &amp; " - " &amp; TEXT(MAX(S30,S24,S18,S12,S6), "0.0") &amp; ")"</f>
        <v/>
      </c>
      <c r="T42" s="28">
        <f>TEXT(T36, "0.0%") &amp; " (" &amp; TEXT(MIN(T30,T24,T18,T12,T6), "0.0%") &amp; " - " &amp; TEXT(MAX(T30,T24,T18,T12,T6), "0.0%") &amp; ")"</f>
        <v/>
      </c>
      <c r="U42" s="28">
        <f>TEXT(U36, "0.0%") &amp; " (" &amp; TEXT(MIN(U30,U24,U18,U12,U6), "0.0%") &amp; " - " &amp; TEXT(MAX(U30,U24,U18,U12,U6), "0.0%") &amp; ")"</f>
        <v/>
      </c>
      <c r="V42" s="28">
        <f>"AUD " &amp; TEXT(W36, "0,0") &amp; " (" &amp; TEXT(V36, "0,0") &amp; " - " &amp; TEXT(X36, "0,0") &amp; ")"</f>
        <v/>
      </c>
      <c r="Y42" s="28">
        <f>"AUD " &amp; TEXT(Z36, "0,0") &amp; " (" &amp; TEXT(Y36, "0,0") &amp; " - " &amp; TEXT(AA36, "0,0") &amp; ")"</f>
        <v/>
      </c>
      <c r="AB42" s="28">
        <f>"AUD " &amp; TEXT(AC36, "0,0") &amp; " (" &amp; TEXT(AB36, "0,0") &amp; " - " &amp; TEXT(AD36, "0,0") &amp; ")"</f>
        <v/>
      </c>
      <c r="AE42" s="28">
        <f>"AUD " &amp; TEXT(AF36, "0,0") &amp; " (" &amp; TEXT(AE36, "0,0") &amp; " - " &amp; TEXT(AG36, "0,0") &amp; ")"</f>
        <v/>
      </c>
      <c r="AH42" s="28">
        <f>"AUD " &amp; TEXT(AI36, "0,0") &amp; " (" &amp; TEXT(AH36, "0,0") &amp; " - " &amp; TEXT(AJ36, "0,0") &amp; ")"</f>
        <v/>
      </c>
      <c r="AK42" s="28">
        <f>"AUD " &amp; TEXT(AL36, "0,0") &amp; " (" &amp; TEXT(AK36, "0,0") &amp; " - " &amp; TEXT(AM36, "0,0") &amp; ")"</f>
        <v/>
      </c>
      <c r="AN42" s="34" t="inlineStr">
        <is>
          <t>AUD 65,203 (47,704 - 91,460)</t>
        </is>
      </c>
      <c r="AQ42" s="28">
        <f>"AUD " &amp; TEXT(AR36, "0,0") &amp; " (" &amp; TEXT(AQ36, "0,0") &amp; " - " &amp; TEXT(AS36, "0,0") &amp; ")"</f>
        <v/>
      </c>
      <c r="AT42" s="28">
        <f>"AUD " &amp; TEXT(AU36, "0,0") &amp; " (" &amp; TEXT(AT36, "0,0") &amp; " - " &amp; TEXT(AV36, "0,0") &amp; ")"</f>
        <v/>
      </c>
      <c r="AW42" s="34" t="inlineStr">
        <is>
          <t>AUD 65,203 (47,704 - 91,460)</t>
        </is>
      </c>
      <c r="AZ42" s="28">
        <f>"AUD " &amp; TEXT(BA36, "0,0") &amp; " (" &amp; TEXT(AZ36, "0,0") &amp; " - " &amp; TEXT(BB36, "0,0") &amp; ")"</f>
        <v/>
      </c>
      <c r="BC42" s="28">
        <f>"AUD " &amp; TEXT(BD36, "0,0") &amp; " (" &amp; TEXT(BC36, "0,0") &amp; " - " &amp; TEXT(BE36, "0,0") &amp; ")"</f>
        <v/>
      </c>
      <c r="BF42" s="34" t="inlineStr">
        <is>
          <t>AUD 65,203 (47,704 - 91,460)</t>
        </is>
      </c>
      <c r="BI42" s="28">
        <f>"AUD " &amp; TEXT(BJ36, "0,0") &amp; " (" &amp; TEXT(BI36, "0,0") &amp; " - " &amp; TEXT(BK36, "0,0") &amp; ")"</f>
        <v/>
      </c>
      <c r="BL42" s="28">
        <f>"AUD " &amp; TEXT(BM36, "0,0") &amp; " (" &amp; TEXT(BL36, "0,0") &amp; " - " &amp; TEXT(BN36, "0,0") &amp; ")"</f>
        <v/>
      </c>
    </row>
    <row r="43">
      <c r="A43" s="4" t="inlineStr">
        <is>
          <t>ALL</t>
        </is>
      </c>
      <c r="B43" s="19" t="inlineStr">
        <is>
          <t>Bioinformatics staff</t>
        </is>
      </c>
      <c r="J43" s="28">
        <f>TEXT(J37, "0.0%") &amp; " (" &amp; TEXT(MIN(J31,J25,J19,J13,J7), "0.0%") &amp; " - " &amp; TEXT(MAX(J31,J25,J19,J13,J7), "0.0%") &amp; ")"</f>
        <v/>
      </c>
      <c r="K43" s="28">
        <f>TEXT(K37, "0.0") &amp; " (" &amp; TEXT(MIN(K31,K25,K19,K13,K7), "0.0") &amp; " - " &amp; TEXT(MAX(K31,K25,K19,K13,K7), "0.0") &amp; ")"</f>
        <v/>
      </c>
      <c r="L43" s="28">
        <f>TEXT(L37, "0.0%") &amp; " (" &amp; TEXT(MIN(L31,L25,L19,L13,L7), "0.0%") &amp; " - " &amp; TEXT(MAX(L31,L25,L19,L13,L7), "0.0%") &amp; ")"</f>
        <v/>
      </c>
      <c r="M43" s="28">
        <f>TEXT(M37, "0.0%") &amp; " (" &amp; TEXT(MIN(M31,M25,M19,M13,M7), "0.0%") &amp; " - " &amp; TEXT(MAX(M31,M25,M19,M13,M7), "0.0%") &amp; ")"</f>
        <v/>
      </c>
      <c r="N43" s="28">
        <f>TEXT(N37, "0.0%") &amp; " (" &amp; TEXT(MIN(N31,N25,N19,N13,N7), "0.0%") &amp; " - " &amp; TEXT(MAX(N31,N25,N19,N13,N7), "0.0%") &amp; ")"</f>
        <v/>
      </c>
      <c r="O43" s="28">
        <f>TEXT(O37, "0.0%") &amp; " (" &amp; TEXT(MIN(O31,O25,O19,O13,O7), "0.0%") &amp; " - " &amp; TEXT(MAX(O31,O25,O19,O13,O7), "0.0%") &amp; ")"</f>
        <v/>
      </c>
      <c r="P43" s="28">
        <f>TEXT(P37, "0.0%") &amp; " (" &amp; TEXT(MIN(P31,P25,P19,P13,P7), "0.0%") &amp; " - " &amp; TEXT(MAX(P31,P25,P19,P13,P7), "0.0%") &amp; ")"</f>
        <v/>
      </c>
      <c r="Q43" s="28">
        <f>TEXT(Q37, "0.0%") &amp; " (" &amp; TEXT(MIN(Q31,Q25,Q19,Q13,Q7), "0.0%") &amp; " - " &amp; TEXT(MAX(Q31,Q25,Q19,Q13,Q7), "0.0%") &amp; ")"</f>
        <v/>
      </c>
      <c r="R43" s="28">
        <f>TEXT(R37, "$0.0") &amp; " (" &amp; TEXT(MIN(R31,R25,R19,R13,R7), "$0.0") &amp; " - " &amp; TEXT(MAX(R31,R25,R19,R13,R7), "$0.0") &amp; ")"</f>
        <v/>
      </c>
      <c r="S43" s="28">
        <f>TEXT(S37, "0.0") &amp; " (" &amp; TEXT(MIN(S31,S25,S19,S13,S7), "0.0") &amp; " - " &amp; TEXT(MAX(S31,S25,S19,S13,S7), "0.0") &amp; ")"</f>
        <v/>
      </c>
      <c r="T43" s="28">
        <f>TEXT(T37, "0.0%") &amp; " (" &amp; TEXT(MIN(T31,T25,T19,T13,T7), "0.0%") &amp; " - " &amp; TEXT(MAX(T31,T25,T19,T13,T7), "0.0%") &amp; ")"</f>
        <v/>
      </c>
      <c r="U43" s="28">
        <f>TEXT(U37, "0.0%") &amp; " (" &amp; TEXT(MIN(U31,U25,U19,U13,U7), "0.0%") &amp; " - " &amp; TEXT(MAX(U31,U25,U19,U13,U7), "0.0%") &amp; ")"</f>
        <v/>
      </c>
      <c r="V43" s="28">
        <f>"AUD " &amp; TEXT(W37, "0,0") &amp; " (" &amp; TEXT(V37, "0,0") &amp; " - " &amp; TEXT(X37, "0,0") &amp; ")"</f>
        <v/>
      </c>
      <c r="Y43" s="28">
        <f>"AUD " &amp; TEXT(Z37, "0,0") &amp; " (" &amp; TEXT(Y37, "0,0") &amp; " - " &amp; TEXT(AA37, "0,0") &amp; ")"</f>
        <v/>
      </c>
      <c r="AB43" s="28">
        <f>"AUD " &amp; TEXT(AC37, "0,0") &amp; " (" &amp; TEXT(AB37, "0,0") &amp; " - " &amp; TEXT(AD37, "0,0") &amp; ")"</f>
        <v/>
      </c>
      <c r="AE43" s="28">
        <f>"AUD " &amp; TEXT(AF37, "0,0") &amp; " (" &amp; TEXT(AE37, "0,0") &amp; " - " &amp; TEXT(AG37, "0,0") &amp; ")"</f>
        <v/>
      </c>
      <c r="AH43" s="28">
        <f>"AUD " &amp; TEXT(AI37, "0,0") &amp; " (" &amp; TEXT(AH37, "0,0") &amp; " - " &amp; TEXT(AJ37, "0,0") &amp; ")"</f>
        <v/>
      </c>
      <c r="AK43" s="28">
        <f>"AUD " &amp; TEXT(AL37, "0,0") &amp; " (" &amp; TEXT(AK37, "0,0") &amp; " - " &amp; TEXT(AM37, "0,0") &amp; ")"</f>
        <v/>
      </c>
      <c r="AN43" s="34" t="inlineStr">
        <is>
          <t>AUD 94,994 (66,106 - 139,576)</t>
        </is>
      </c>
      <c r="AQ43" s="28">
        <f>"AUD " &amp; TEXT(AR37, "0,0") &amp; " (" &amp; TEXT(AQ37, "0,0") &amp; " - " &amp; TEXT(AS37, "0,0") &amp; ")"</f>
        <v/>
      </c>
      <c r="AT43" s="28">
        <f>"AUD " &amp; TEXT(AU37, "0,0") &amp; " (" &amp; TEXT(AT37, "0,0") &amp; " - " &amp; TEXT(AV37, "0,0") &amp; ")"</f>
        <v/>
      </c>
      <c r="AW43" s="34" t="inlineStr">
        <is>
          <t>AUD 94,994 (66,106 - 139,576)</t>
        </is>
      </c>
      <c r="AZ43" s="28">
        <f>"AUD " &amp; TEXT(BA37, "0,0") &amp; " (" &amp; TEXT(AZ37, "0,0") &amp; " - " &amp; TEXT(BB37, "0,0") &amp; ")"</f>
        <v/>
      </c>
      <c r="BC43" s="28">
        <f>"AUD " &amp; TEXT(BD37, "0,0") &amp; " (" &amp; TEXT(BC37, "0,0") &amp; " - " &amp; TEXT(BE37, "0,0") &amp; ")"</f>
        <v/>
      </c>
      <c r="BF43" s="34" t="inlineStr">
        <is>
          <t>AUD 94,994 (66,106 - 139,576)</t>
        </is>
      </c>
      <c r="BI43" s="28">
        <f>"AUD " &amp; TEXT(BJ37, "0,0") &amp; " (" &amp; TEXT(BI37, "0,0") &amp; " - " &amp; TEXT(BK37, "0,0") &amp; ")"</f>
        <v/>
      </c>
      <c r="BL43" s="28">
        <f>"AUD " &amp; TEXT(BM37, "0,0") &amp; " (" &amp; TEXT(BL37, "0,0") &amp; " - " &amp; TEXT(BN37, "0,0") &amp; ")"</f>
        <v/>
      </c>
    </row>
    <row r="44">
      <c r="A44" s="4" t="inlineStr">
        <is>
          <t>ALL</t>
        </is>
      </c>
      <c r="B44" s="19" t="inlineStr">
        <is>
          <t>Pathologists</t>
        </is>
      </c>
      <c r="J44" s="28">
        <f>TEXT(J38, "0.0%") &amp; " (" &amp; TEXT(MIN(J32,J26,J20,J14,J8), "0.0%") &amp; " - " &amp; TEXT(MAX(J32,J26,J20,J14,J8), "0.0%") &amp; ")"</f>
        <v/>
      </c>
      <c r="K44" s="28">
        <f>TEXT(K38, "0.0") &amp; " (" &amp; TEXT(MIN(K32,K26,K20,K14,K8), "0.0") &amp; " - " &amp; TEXT(MAX(K32,K26,K20,K14,K8), "0.0") &amp; ")"</f>
        <v/>
      </c>
      <c r="L44" s="28">
        <f>TEXT(L38, "0.0%") &amp; " (" &amp; TEXT(MIN(L32,L26,L20,L14,L8), "0.0%") &amp; " - " &amp; TEXT(MAX(L32,L26,L20,L14,L8), "0.0%") &amp; ")"</f>
        <v/>
      </c>
      <c r="M44" s="28">
        <f>TEXT(M38, "0.0%") &amp; " (" &amp; TEXT(MIN(M32,M26,M20,M14,M8), "0.0%") &amp; " - " &amp; TEXT(MAX(M32,M26,M20,M14,M8), "0.0%") &amp; ")"</f>
        <v/>
      </c>
      <c r="N44" s="28">
        <f>TEXT(N38, "0.0%") &amp; " (" &amp; TEXT(MIN(N32,N26,N20,N14,N8), "0.0%") &amp; " - " &amp; TEXT(MAX(N32,N26,N20,N14,N8), "0.0%") &amp; ")"</f>
        <v/>
      </c>
      <c r="O44" s="28">
        <f>TEXT(O38, "0.0%") &amp; " (" &amp; TEXT(MIN(O32,O26,O20,O14,O8), "0.0%") &amp; " - " &amp; TEXT(MAX(O32,O26,O20,O14,O8), "0.0%") &amp; ")"</f>
        <v/>
      </c>
      <c r="P44" s="28">
        <f>TEXT(P38, "0.0%") &amp; " (" &amp; TEXT(MIN(P32,P26,P20,P14,P8), "0.0%") &amp; " - " &amp; TEXT(MAX(P32,P26,P20,P14,P8), "0.0%") &amp; ")"</f>
        <v/>
      </c>
      <c r="Q44" s="28">
        <f>TEXT(Q38, "0.0%") &amp; " (" &amp; TEXT(MIN(Q32,Q26,Q20,Q14,Q8), "0.0%") &amp; " - " &amp; TEXT(MAX(Q32,Q26,Q20,Q14,Q8), "0.0%") &amp; ")"</f>
        <v/>
      </c>
      <c r="R44" s="28">
        <f>TEXT(R38, "$0.0") &amp; " (" &amp; TEXT(MIN(R32,R26,R20,R14,R8), "$0.0") &amp; " - " &amp; TEXT(MAX(R32,R26,R20,R14,R8), "$0.0") &amp; ")"</f>
        <v/>
      </c>
      <c r="S44" s="28">
        <f>TEXT(S38, "0.0") &amp; " (" &amp; TEXT(MIN(S32,S26,S20,S14,S8), "0.0") &amp; " - " &amp; TEXT(MAX(S32,S26,S20,S14,S8), "0.0") &amp; ")"</f>
        <v/>
      </c>
      <c r="T44" s="28">
        <f>TEXT(T38, "0.0%") &amp; " (" &amp; TEXT(MIN(T32,T26,T20,T14,T8), "0.0%") &amp; " - " &amp; TEXT(MAX(T32,T26,T20,T14,T8), "0.0%") &amp; ")"</f>
        <v/>
      </c>
      <c r="U44" s="28">
        <f>TEXT(U38, "0.0%") &amp; " (" &amp; TEXT(MIN(U32,U26,U20,U14,U8), "0.0%") &amp; " - " &amp; TEXT(MAX(U32,U26,U20,U14,U8), "0.0%") &amp; ")"</f>
        <v/>
      </c>
      <c r="V44" s="28">
        <f>"AUD " &amp; TEXT(W38, "0,0") &amp; " (" &amp; TEXT(V38, "0,0") &amp; " - " &amp; TEXT(X38, "0,0") &amp; ")"</f>
        <v/>
      </c>
      <c r="Y44" s="28">
        <f>"AUD " &amp; TEXT(Z38, "0,0") &amp; " (" &amp; TEXT(Y38, "0,0") &amp; " - " &amp; TEXT(AA38, "0,0") &amp; ")"</f>
        <v/>
      </c>
      <c r="AB44" s="28">
        <f>"AUD " &amp; TEXT(AC38, "0,0") &amp; " (" &amp; TEXT(AB38, "0,0") &amp; " - " &amp; TEXT(AD38, "0,0") &amp; ")"</f>
        <v/>
      </c>
      <c r="AE44" s="28">
        <f>"AUD " &amp; TEXT(AF38, "0,0") &amp; " (" &amp; TEXT(AE38, "0,0") &amp; " - " &amp; TEXT(AG38, "0,0") &amp; ")"</f>
        <v/>
      </c>
      <c r="AH44" s="28">
        <f>"AUD " &amp; TEXT(AI38, "0,0") &amp; " (" &amp; TEXT(AH38, "0,0") &amp; " - " &amp; TEXT(AJ38, "0,0") &amp; ")"</f>
        <v/>
      </c>
      <c r="AK44" s="28">
        <f>"AUD " &amp; TEXT(AL38, "0,0") &amp; " (" &amp; TEXT(AK38, "0,0") &amp; " - " &amp; TEXT(AM38, "0,0") &amp; ")"</f>
        <v/>
      </c>
      <c r="AN44" s="34" t="inlineStr">
        <is>
          <t>AUD 266,292 (179,078 - 386,515)</t>
        </is>
      </c>
      <c r="AQ44" s="28">
        <f>"AUD " &amp; TEXT(AR38, "0,0") &amp; " (" &amp; TEXT(AQ38, "0,0") &amp; " - " &amp; TEXT(AS38, "0,0") &amp; ")"</f>
        <v/>
      </c>
      <c r="AT44" s="28">
        <f>"AUD " &amp; TEXT(AU38, "0,0") &amp; " (" &amp; TEXT(AT38, "0,0") &amp; " - " &amp; TEXT(AV38, "0,0") &amp; ")"</f>
        <v/>
      </c>
      <c r="AW44" s="34" t="inlineStr">
        <is>
          <t>AUD 266,292 (179,078 - 386,515)</t>
        </is>
      </c>
      <c r="AZ44" s="28">
        <f>"AUD " &amp; TEXT(BA38, "0,0") &amp; " (" &amp; TEXT(AZ38, "0,0") &amp; " - " &amp; TEXT(BB38, "0,0") &amp; ")"</f>
        <v/>
      </c>
      <c r="BC44" s="28">
        <f>"AUD " &amp; TEXT(BD38, "0,0") &amp; " (" &amp; TEXT(BC38, "0,0") &amp; " - " &amp; TEXT(BE38, "0,0") &amp; ")"</f>
        <v/>
      </c>
      <c r="BF44" s="34" t="inlineStr">
        <is>
          <t>AUD 266,292 (179,078 - 386,515)</t>
        </is>
      </c>
      <c r="BI44" s="28">
        <f>"AUD " &amp; TEXT(BJ38, "0,0") &amp; " (" &amp; TEXT(BI38, "0,0") &amp; " - " &amp; TEXT(BK38, "0,0") &amp; ")"</f>
        <v/>
      </c>
      <c r="BL44" s="28">
        <f>"AUD " &amp; TEXT(BM38, "0,0") &amp; " (" &amp; TEXT(BL38, "0,0") &amp; " - " &amp; TEXT(BN38, "0,0") &amp; ")"</f>
        <v/>
      </c>
    </row>
    <row r="45">
      <c r="J45" s="28" t="n"/>
      <c r="K45" s="28" t="n"/>
      <c r="L45" s="28" t="n"/>
      <c r="M45" s="28" t="n"/>
      <c r="N45" s="28" t="n"/>
      <c r="O45" s="28" t="n"/>
      <c r="P45" s="28" t="n"/>
      <c r="Q45" s="28" t="n"/>
      <c r="R45" s="28" t="n"/>
      <c r="S45" s="28" t="n"/>
      <c r="T45" s="28" t="n"/>
      <c r="U45" s="28" t="n"/>
      <c r="V45" s="28" t="n"/>
      <c r="Y45" s="28" t="n"/>
      <c r="AB45" s="28" t="n"/>
      <c r="AE45" s="28" t="n"/>
      <c r="AH45" s="28" t="n"/>
      <c r="AK45" s="28" t="n"/>
      <c r="AN45" s="34" t="n"/>
      <c r="AQ45" s="28" t="n"/>
      <c r="AT45" s="28" t="n"/>
      <c r="AW45" s="34" t="n"/>
      <c r="AZ45" s="28" t="n"/>
      <c r="BC45" s="28" t="n"/>
      <c r="BF45" s="34" t="n"/>
      <c r="BI45" s="28" t="n"/>
      <c r="BL45" s="28" t="n"/>
    </row>
    <row r="46">
      <c r="A46" s="4" t="inlineStr">
        <is>
          <t>ALL(WM)</t>
        </is>
      </c>
      <c r="B46" s="19" t="inlineStr">
        <is>
          <t>Lab technician</t>
        </is>
      </c>
      <c r="J46" s="28" t="n"/>
      <c r="K46" s="28" t="n"/>
      <c r="L46" s="28" t="n"/>
      <c r="M46" s="28" t="n"/>
      <c r="N46" s="28" t="n"/>
      <c r="O46" s="28" t="n"/>
      <c r="P46" s="28" t="n"/>
      <c r="Q46" s="28" t="n"/>
      <c r="R46" s="28" t="n"/>
      <c r="S46" s="28" t="n"/>
      <c r="T46" s="28" t="n"/>
      <c r="U46" s="28" t="n"/>
      <c r="V46" s="28" t="n"/>
      <c r="Y46" s="36">
        <f>MIN(Y40,Y34,Y28,Y22,Y16)</f>
        <v/>
      </c>
      <c r="Z46" s="23">
        <f>(Z4*Weightings!$H$2)+(Z10*Weightings!$H$3)+(Z16*Weightings!$H$4)+(Z22*Weightings!$H$5)+(Z28*Weightings!$H$6)</f>
        <v/>
      </c>
      <c r="AA46" s="36">
        <f>MAX(AA40,AA34,AA28,AA22,AA16)</f>
        <v/>
      </c>
      <c r="AB46" s="36">
        <f>MIN(AB40,AB34,AB28,AB22,AB16)</f>
        <v/>
      </c>
      <c r="AC46" s="23">
        <f>(AC4*Weightings!$H$2)+(AC10*Weightings!$H$3)+(AC16*Weightings!$H$4)+(AC22*Weightings!$H$5)+(AC28*Weightings!$H$6)</f>
        <v/>
      </c>
      <c r="AD46" s="36">
        <f>MAX(AD40,AD34,AD28,AD22,AD16)</f>
        <v/>
      </c>
      <c r="AE46" s="28" t="n"/>
      <c r="AH46" s="28" t="n"/>
      <c r="AK46" s="28" t="n"/>
      <c r="AN46" s="34" t="n"/>
      <c r="AQ46" s="28" t="n"/>
      <c r="AT46" s="28" t="n"/>
      <c r="AW46" s="34" t="n"/>
      <c r="AZ46" s="28" t="n"/>
      <c r="BC46" s="28" t="n"/>
      <c r="BF46" s="34" t="n"/>
      <c r="BI46" s="28" t="n"/>
      <c r="BL46" s="28" t="n"/>
    </row>
    <row r="47">
      <c r="A47" s="4" t="inlineStr">
        <is>
          <t>ALL(WM)</t>
        </is>
      </c>
      <c r="B47" s="19" t="inlineStr">
        <is>
          <t>Medical scientist</t>
        </is>
      </c>
      <c r="J47" s="28" t="n"/>
      <c r="K47" s="28" t="n"/>
      <c r="L47" s="28" t="n"/>
      <c r="M47" s="28" t="n"/>
      <c r="N47" s="28" t="n"/>
      <c r="O47" s="28" t="n"/>
      <c r="P47" s="28" t="n"/>
      <c r="Q47" s="28" t="n"/>
      <c r="R47" s="28" t="n"/>
      <c r="S47" s="28" t="n"/>
      <c r="T47" s="28" t="n"/>
      <c r="U47" s="28" t="n"/>
      <c r="V47" s="28" t="n"/>
      <c r="Y47" s="36">
        <f>MIN(Y41,Y35,Y29,Y23,Y17)</f>
        <v/>
      </c>
      <c r="Z47" s="23">
        <f>(Z5*Weightings!H$2)+(Z11*Weightings!H$3)+(Z17*Weightings!H$4)+(Z23*Weightings!H$5)+(Z29*Weightings!H$6)</f>
        <v/>
      </c>
      <c r="AA47" s="36">
        <f>MAX(AA41,AA35,AA29,AA23,AA17)</f>
        <v/>
      </c>
      <c r="AB47" s="36">
        <f>MIN(AB41,AB35,AB29,AB23,AB17)</f>
        <v/>
      </c>
      <c r="AC47" s="23">
        <f>(AC5*Weightings!$H$2)+(AC11*Weightings!$H$3)+(AC17*Weightings!$H$4)+(AC23*Weightings!$H$5)+(AC29*Weightings!$H$6)</f>
        <v/>
      </c>
      <c r="AD47" s="36">
        <f>MAX(AD41,AD35,AD29,AD23,AD17)</f>
        <v/>
      </c>
      <c r="AE47" s="28" t="n"/>
      <c r="AH47" s="28" t="n"/>
      <c r="AK47" s="28" t="n"/>
      <c r="AN47" s="34" t="n"/>
      <c r="AQ47" s="28" t="n"/>
      <c r="AT47" s="28" t="n"/>
      <c r="AW47" s="34" t="n"/>
      <c r="AZ47" s="28" t="n"/>
      <c r="BC47" s="28" t="n"/>
      <c r="BF47" s="34" t="n"/>
      <c r="BI47" s="28" t="n"/>
      <c r="BL47" s="28" t="n"/>
    </row>
    <row r="48">
      <c r="A48" s="4" t="inlineStr">
        <is>
          <t>ALL(WM)</t>
        </is>
      </c>
      <c r="B48" s="19" t="inlineStr">
        <is>
          <t>Admin staff</t>
        </is>
      </c>
      <c r="J48" s="28" t="n"/>
      <c r="K48" s="28" t="n"/>
      <c r="L48" s="28" t="n"/>
      <c r="M48" s="28" t="n"/>
      <c r="N48" s="28" t="n"/>
      <c r="O48" s="28" t="n"/>
      <c r="P48" s="28" t="n"/>
      <c r="Q48" s="28" t="n"/>
      <c r="R48" s="28" t="n"/>
      <c r="S48" s="28" t="n"/>
      <c r="T48" s="28" t="n"/>
      <c r="U48" s="28" t="n"/>
      <c r="V48" s="28" t="n"/>
      <c r="Y48" s="36">
        <f>MIN(Y42,Y36,Y30,Y24,Y18)</f>
        <v/>
      </c>
      <c r="Z48" s="23">
        <f>(Z6*Weightings!H$2)+(Z12*Weightings!H$3)+(Z18*Weightings!H$4)+(Z24*Weightings!H$5)+(Z30*Weightings!H$6)</f>
        <v/>
      </c>
      <c r="AA48" s="36">
        <f>MAX(AA42,AA36,AA30,AA24,AA18)</f>
        <v/>
      </c>
      <c r="AB48" s="36">
        <f>MIN(AB42,AB36,AB30,AB24,AB18)</f>
        <v/>
      </c>
      <c r="AC48" s="23">
        <f>(AC6*Weightings!$H$2)+(AC12*Weightings!$H$3)+(AC18*Weightings!$H$4)+(AC24*Weightings!$H$5)+(AC30*Weightings!$H$6)</f>
        <v/>
      </c>
      <c r="AD48" s="36">
        <f>MAX(AD42,AD36,AD30,AD24,AD18)</f>
        <v/>
      </c>
      <c r="AE48" s="28" t="n"/>
      <c r="AH48" s="28" t="n"/>
      <c r="AK48" s="28" t="n"/>
      <c r="AN48" s="34" t="n"/>
      <c r="AQ48" s="28" t="n"/>
      <c r="AT48" s="28" t="n"/>
      <c r="AW48" s="34" t="n"/>
      <c r="AZ48" s="28" t="n"/>
      <c r="BC48" s="28" t="n"/>
      <c r="BF48" s="34" t="n"/>
      <c r="BI48" s="28" t="n"/>
      <c r="BL48" s="28" t="n"/>
    </row>
    <row r="49">
      <c r="A49" s="4" t="inlineStr">
        <is>
          <t>ALL(WM)</t>
        </is>
      </c>
      <c r="B49" s="19" t="inlineStr">
        <is>
          <t>Bioinformatics staff</t>
        </is>
      </c>
      <c r="J49" s="28" t="n"/>
      <c r="K49" s="28" t="n"/>
      <c r="L49" s="28" t="n"/>
      <c r="M49" s="28" t="n"/>
      <c r="N49" s="28" t="n"/>
      <c r="O49" s="28" t="n"/>
      <c r="P49" s="28" t="n"/>
      <c r="Q49" s="28" t="n"/>
      <c r="R49" s="28" t="n"/>
      <c r="S49" s="28" t="n"/>
      <c r="T49" s="28" t="n"/>
      <c r="U49" s="28" t="n"/>
      <c r="V49" s="28" t="n"/>
      <c r="Y49" s="36">
        <f>MIN(Y43,Y37,Y31,Y25,Y19)</f>
        <v/>
      </c>
      <c r="Z49" s="23">
        <f>(Z7*Weightings!H$2)+(Z13*Weightings!H$3)+(Z19*Weightings!H$4)+(Z25*Weightings!H$5)+(Z31*Weightings!H$6)</f>
        <v/>
      </c>
      <c r="AA49" s="36">
        <f>MAX(AA43,AA37,AA31,AA25,AA19)</f>
        <v/>
      </c>
      <c r="AB49" s="36">
        <f>MIN(AB43,AB37,AB31,AB25,AB19)</f>
        <v/>
      </c>
      <c r="AC49" s="23">
        <f>(AC7*Weightings!$H$2)+(AC13*Weightings!$H$3)+(AC19*Weightings!$H$4)+(AC25*Weightings!$H$5)+(AC31*Weightings!$H$6)</f>
        <v/>
      </c>
      <c r="AD49" s="36">
        <f>MAX(AD43,AD37,AD31,AD25,AD19)</f>
        <v/>
      </c>
      <c r="AE49" s="28" t="n"/>
      <c r="AH49" s="28" t="n"/>
      <c r="AK49" s="28" t="n"/>
      <c r="AN49" s="34" t="n"/>
      <c r="AQ49" s="28" t="n"/>
      <c r="AT49" s="28" t="n"/>
      <c r="AW49" s="34" t="n"/>
      <c r="AZ49" s="28" t="n"/>
      <c r="BC49" s="28" t="n"/>
      <c r="BF49" s="34" t="n"/>
      <c r="BI49" s="28" t="n"/>
      <c r="BL49" s="28" t="n"/>
    </row>
    <row r="50">
      <c r="A50" s="4" t="inlineStr">
        <is>
          <t>ALL(WM)</t>
        </is>
      </c>
      <c r="B50" s="19" t="inlineStr">
        <is>
          <t>Pathologists</t>
        </is>
      </c>
      <c r="J50" s="28" t="n"/>
      <c r="K50" s="28" t="n"/>
      <c r="L50" s="28" t="n"/>
      <c r="M50" s="28" t="n"/>
      <c r="N50" s="28" t="n"/>
      <c r="O50" s="28" t="n"/>
      <c r="P50" s="28" t="n"/>
      <c r="Q50" s="28" t="n"/>
      <c r="R50" s="28" t="n"/>
      <c r="S50" s="28" t="n"/>
      <c r="T50" s="28" t="n"/>
      <c r="U50" s="28" t="n"/>
      <c r="V50" s="28" t="n"/>
      <c r="Y50" s="36">
        <f>MIN(Y44,Y38,Y32,Y26,Y20)</f>
        <v/>
      </c>
      <c r="Z50" s="23">
        <f>(Z8*Weightings!H$2)+(Z14*Weightings!H$3)+(Z20*Weightings!H$4)+(Z26*Weightings!H$5)+(Z32*Weightings!H$6)</f>
        <v/>
      </c>
      <c r="AA50" s="36">
        <f>MAX(AA44,AA38,AA32,AA26,AA20)</f>
        <v/>
      </c>
      <c r="AB50" s="36">
        <f>MIN(AB44,AB38,AB32,AB26,AB20)</f>
        <v/>
      </c>
      <c r="AC50" s="23">
        <f>(AC8*Weightings!$H$2)+(AC14*Weightings!$H$3)+(AC20*Weightings!$H$4)+(AC26*Weightings!$H$5)+(AC32*Weightings!$H$6)</f>
        <v/>
      </c>
      <c r="AD50" s="36">
        <f>MAX(AD44,AD38,AD32,AD26,AD20)</f>
        <v/>
      </c>
      <c r="AE50" s="28" t="n"/>
      <c r="AH50" s="28" t="n"/>
      <c r="AK50" s="28" t="n"/>
      <c r="AN50" s="34" t="n"/>
      <c r="AQ50" s="28" t="n"/>
      <c r="AT50" s="28" t="n"/>
      <c r="AW50" s="34" t="n"/>
      <c r="AZ50" s="28" t="n"/>
      <c r="BC50" s="28" t="n"/>
      <c r="BF50" s="34" t="n"/>
      <c r="BI50" s="28" t="n"/>
      <c r="BL50" s="28" t="n"/>
    </row>
    <row r="51">
      <c r="J51" s="28" t="n"/>
      <c r="K51" s="28" t="n"/>
      <c r="L51" s="28" t="n"/>
      <c r="M51" s="28" t="n"/>
      <c r="N51" s="28" t="n"/>
      <c r="O51" s="28" t="n"/>
      <c r="P51" s="28" t="n"/>
      <c r="Q51" s="28" t="n"/>
      <c r="R51" s="28" t="n"/>
      <c r="S51" s="28" t="n"/>
      <c r="T51" s="28" t="n"/>
      <c r="U51" s="28" t="n"/>
      <c r="V51" s="28" t="n"/>
      <c r="Y51" s="28" t="n"/>
      <c r="AB51" s="28" t="n"/>
      <c r="AE51" s="28" t="n"/>
      <c r="AH51" s="28" t="n"/>
      <c r="AK51" s="28" t="n"/>
      <c r="AN51" s="34" t="n"/>
      <c r="AQ51" s="28" t="n"/>
      <c r="AT51" s="28" t="n"/>
      <c r="AW51" s="34" t="n"/>
      <c r="AZ51" s="28" t="n"/>
      <c r="BC51" s="28" t="n"/>
      <c r="BF51" s="34" t="n"/>
      <c r="BI51" s="28" t="n"/>
      <c r="BL51" s="28" t="n"/>
    </row>
    <row r="52">
      <c r="A52" s="4" t="inlineStr">
        <is>
          <t>ALL(WM)</t>
        </is>
      </c>
      <c r="B52" s="19" t="inlineStr">
        <is>
          <t>Lab technician</t>
        </is>
      </c>
      <c r="J52" s="28" t="n"/>
      <c r="K52" s="28" t="n"/>
      <c r="L52" s="28" t="n"/>
      <c r="M52" s="28" t="n"/>
      <c r="N52" s="28" t="n"/>
      <c r="O52" s="28" t="n"/>
      <c r="P52" s="28" t="n"/>
      <c r="Q52" s="28" t="n"/>
      <c r="R52" s="28" t="n"/>
      <c r="S52" s="28" t="n"/>
      <c r="T52" s="28" t="n"/>
      <c r="U52" s="28" t="n"/>
      <c r="V52" s="28" t="n"/>
      <c r="Y52" s="28">
        <f>TEXT(Z46, "0,0") &amp; " (" &amp; TEXT(Y46, "0,0") &amp; " - " &amp; TEXT(AA46, "0,0") &amp; ")"</f>
        <v/>
      </c>
      <c r="AB52" s="28">
        <f>TEXT(AC46, "0,0") &amp; " (" &amp; TEXT(AB46, "0,0") &amp; " - " &amp; TEXT(AD46, "0,0") &amp; ")"</f>
        <v/>
      </c>
      <c r="AE52" s="28" t="n"/>
      <c r="AH52" s="28" t="n"/>
      <c r="AK52" s="28" t="n"/>
      <c r="AN52" s="34" t="n"/>
      <c r="AQ52" s="28" t="n"/>
      <c r="AT52" s="28" t="n"/>
      <c r="AW52" s="34" t="n"/>
      <c r="AZ52" s="28" t="n"/>
      <c r="BC52" s="28" t="n"/>
      <c r="BF52" s="34" t="n"/>
      <c r="BI52" s="28" t="n"/>
      <c r="BL52" s="28" t="n"/>
    </row>
    <row r="53">
      <c r="A53" s="4" t="inlineStr">
        <is>
          <t>ALL(WM)</t>
        </is>
      </c>
      <c r="B53" s="19" t="inlineStr">
        <is>
          <t>Medical scientist</t>
        </is>
      </c>
      <c r="J53" s="28" t="n"/>
      <c r="K53" s="28" t="n"/>
      <c r="L53" s="28" t="n"/>
      <c r="M53" s="28" t="n"/>
      <c r="N53" s="28" t="n"/>
      <c r="O53" s="28" t="n"/>
      <c r="P53" s="28" t="n"/>
      <c r="Q53" s="28" t="n"/>
      <c r="R53" s="28" t="n"/>
      <c r="S53" s="28" t="n"/>
      <c r="T53" s="28" t="n"/>
      <c r="U53" s="28" t="n"/>
      <c r="V53" s="28" t="n"/>
      <c r="Y53" s="28">
        <f>TEXT(Z47, "0,0") &amp; " (" &amp; TEXT(Y47, "0,0") &amp; " - " &amp; TEXT(AA47, "0,0") &amp; ")"</f>
        <v/>
      </c>
      <c r="AB53" s="28">
        <f>TEXT(AC47, "0,0") &amp; " (" &amp; TEXT(AB47, "0,0") &amp; " - " &amp; TEXT(AD47, "0,0") &amp; ")"</f>
        <v/>
      </c>
      <c r="AE53" s="28" t="n"/>
      <c r="AH53" s="28" t="n"/>
      <c r="AK53" s="28" t="n"/>
      <c r="AN53" s="34" t="n"/>
      <c r="AQ53" s="28" t="n"/>
      <c r="AT53" s="28" t="n"/>
      <c r="AW53" s="34" t="n"/>
      <c r="AZ53" s="28" t="n"/>
      <c r="BC53" s="28" t="n"/>
      <c r="BF53" s="34" t="n"/>
      <c r="BI53" s="28" t="n"/>
      <c r="BL53" s="28" t="n"/>
    </row>
    <row r="54">
      <c r="A54" s="4" t="inlineStr">
        <is>
          <t>ALL(WM)</t>
        </is>
      </c>
      <c r="B54" s="19" t="inlineStr">
        <is>
          <t>Admin staff</t>
        </is>
      </c>
      <c r="J54" s="28" t="n"/>
      <c r="K54" s="28" t="n"/>
      <c r="L54" s="28" t="n"/>
      <c r="M54" s="28" t="n"/>
      <c r="N54" s="28" t="n"/>
      <c r="O54" s="28" t="n"/>
      <c r="P54" s="28" t="n"/>
      <c r="Q54" s="28" t="n"/>
      <c r="R54" s="28" t="n"/>
      <c r="S54" s="28" t="n"/>
      <c r="T54" s="28" t="n"/>
      <c r="U54" s="28" t="n"/>
      <c r="V54" s="28" t="n"/>
      <c r="Y54" s="28">
        <f>TEXT(Z48, "0,0") &amp; " (" &amp; TEXT(Y48, "0,0") &amp; " - " &amp; TEXT(AA48, "0,0") &amp; ")"</f>
        <v/>
      </c>
      <c r="AB54" s="28">
        <f>TEXT(AC48, "0,0") &amp; " (" &amp; TEXT(AB48, "0,0") &amp; " - " &amp; TEXT(AD48, "0,0") &amp; ")"</f>
        <v/>
      </c>
      <c r="AE54" s="28" t="n"/>
      <c r="AH54" s="28" t="n"/>
      <c r="AK54" s="28" t="n"/>
      <c r="AN54" s="34" t="n"/>
      <c r="AQ54" s="28" t="n"/>
      <c r="AT54" s="28" t="n"/>
      <c r="AW54" s="34" t="n"/>
      <c r="AZ54" s="28" t="n"/>
      <c r="BC54" s="28" t="n"/>
      <c r="BF54" s="34" t="n"/>
      <c r="BI54" s="28" t="n"/>
      <c r="BL54" s="28" t="n"/>
    </row>
    <row r="55">
      <c r="A55" s="4" t="inlineStr">
        <is>
          <t>ALL(WM)</t>
        </is>
      </c>
      <c r="B55" s="19" t="inlineStr">
        <is>
          <t>Bioinformatics staff</t>
        </is>
      </c>
      <c r="J55" s="28" t="n"/>
      <c r="K55" s="28" t="n"/>
      <c r="L55" s="28" t="n"/>
      <c r="M55" s="28" t="n"/>
      <c r="N55" s="28" t="n"/>
      <c r="O55" s="28" t="n"/>
      <c r="P55" s="28" t="n"/>
      <c r="Q55" s="28" t="n"/>
      <c r="R55" s="28" t="n"/>
      <c r="S55" s="28" t="n"/>
      <c r="T55" s="28" t="n"/>
      <c r="U55" s="28" t="n"/>
      <c r="V55" s="28" t="n"/>
      <c r="Y55" s="28">
        <f>TEXT(Z49, "0,0") &amp; " (" &amp; TEXT(Y49, "0,0") &amp; " - " &amp; TEXT(AA49, "0,0") &amp; ")"</f>
        <v/>
      </c>
      <c r="AB55" s="28">
        <f>TEXT(AC49, "0,0") &amp; " (" &amp; TEXT(AB49, "0,0") &amp; " - " &amp; TEXT(AD49, "0,0") &amp; ")"</f>
        <v/>
      </c>
      <c r="AE55" s="28" t="n"/>
      <c r="AH55" s="28" t="n"/>
      <c r="AK55" s="28" t="n"/>
      <c r="AN55" s="34" t="n"/>
      <c r="AQ55" s="28" t="n"/>
      <c r="AT55" s="28" t="n"/>
      <c r="AW55" s="34" t="n"/>
      <c r="AZ55" s="28" t="n"/>
      <c r="BC55" s="28" t="n"/>
      <c r="BF55" s="34" t="n"/>
      <c r="BI55" s="28" t="n"/>
      <c r="BL55" s="28" t="n"/>
    </row>
    <row r="56">
      <c r="A56" s="4" t="inlineStr">
        <is>
          <t>ALL(WM)</t>
        </is>
      </c>
      <c r="B56" s="19" t="inlineStr">
        <is>
          <t>Pathologists</t>
        </is>
      </c>
      <c r="J56" s="28" t="n"/>
      <c r="K56" s="28" t="n"/>
      <c r="L56" s="28" t="n"/>
      <c r="M56" s="28" t="n"/>
      <c r="N56" s="28" t="n"/>
      <c r="O56" s="28" t="n"/>
      <c r="P56" s="28" t="n"/>
      <c r="Q56" s="28" t="n"/>
      <c r="R56" s="28" t="n"/>
      <c r="S56" s="28" t="n"/>
      <c r="T56" s="28" t="n"/>
      <c r="U56" s="28" t="n"/>
      <c r="V56" s="28" t="n"/>
      <c r="Y56" s="28">
        <f>TEXT(Z50, "0,0") &amp; " (" &amp; TEXT(Y50, "0,0") &amp; " - " &amp; TEXT(AA50, "0,0") &amp; ")"</f>
        <v/>
      </c>
      <c r="AB56" s="28">
        <f>TEXT(AC50, "0,0") &amp; " (" &amp; TEXT(AB50, "0,0") &amp; " - " &amp; TEXT(AD50, "0,0") &amp; ")"</f>
        <v/>
      </c>
      <c r="AE56" s="28" t="n"/>
      <c r="AH56" s="28" t="n"/>
      <c r="AK56" s="28" t="n"/>
      <c r="AN56" s="34" t="n"/>
      <c r="AQ56" s="28" t="n"/>
      <c r="AT56" s="28" t="n"/>
      <c r="AW56" s="34" t="n"/>
      <c r="AZ56" s="28" t="n"/>
      <c r="BC56" s="28" t="n"/>
      <c r="BF56" s="34" t="n"/>
      <c r="BI56" s="28" t="n"/>
      <c r="BL56" s="28" t="n"/>
    </row>
    <row r="57">
      <c r="J57" s="28" t="n"/>
      <c r="K57" s="28" t="n"/>
      <c r="L57" s="28" t="n"/>
      <c r="M57" s="28" t="n"/>
      <c r="N57" s="28" t="n"/>
      <c r="O57" s="28" t="n"/>
      <c r="P57" s="28" t="n"/>
      <c r="Q57" s="28" t="n"/>
      <c r="R57" s="28" t="n"/>
      <c r="S57" s="28" t="n"/>
      <c r="T57" s="28" t="n"/>
      <c r="U57" s="28" t="n"/>
      <c r="V57" s="28" t="n"/>
      <c r="Y57" s="28" t="n"/>
      <c r="AB57" s="28" t="n"/>
      <c r="AE57" s="28" t="n"/>
      <c r="AH57" s="28" t="n"/>
      <c r="AK57" s="28" t="n"/>
      <c r="AN57" s="34" t="n"/>
      <c r="AQ57" s="28" t="n"/>
      <c r="AT57" s="28" t="n"/>
      <c r="AW57" s="34" t="n"/>
      <c r="AZ57" s="28" t="n"/>
      <c r="BC57" s="28" t="n"/>
      <c r="BF57" s="34" t="n"/>
      <c r="BI57" s="28" t="n"/>
      <c r="BL57" s="28" t="n"/>
    </row>
    <row r="58">
      <c r="A58" s="4" t="inlineStr">
        <is>
          <t>$</t>
        </is>
      </c>
    </row>
    <row r="59">
      <c r="A59" s="4" t="inlineStr">
        <is>
          <t>VIC</t>
        </is>
      </c>
      <c r="B59" s="19" t="inlineStr">
        <is>
          <t>Lab technician</t>
        </is>
      </c>
      <c r="J59" s="36">
        <f>(J4*$W4)</f>
        <v/>
      </c>
      <c r="K59" s="7" t="n"/>
      <c r="L59" s="37" t="n"/>
      <c r="M59" s="36">
        <f>(M4*$W4)</f>
        <v/>
      </c>
      <c r="N59" s="36">
        <f>(N4*$W4)</f>
        <v/>
      </c>
      <c r="O59" s="36">
        <f>(O4*$W4)</f>
        <v/>
      </c>
      <c r="P59" s="36">
        <f>(P4*$W4)</f>
        <v/>
      </c>
      <c r="Q59" s="36">
        <f>(Q4*$W4)</f>
        <v/>
      </c>
      <c r="R59" s="36">
        <f>R4</f>
        <v/>
      </c>
      <c r="S59" s="36">
        <f>(S4/52*$W4)</f>
        <v/>
      </c>
      <c r="T59" s="36">
        <f>(T4*$W4)</f>
        <v/>
      </c>
      <c r="U59" s="5" t="n"/>
      <c r="V59" s="36">
        <f>V4</f>
        <v/>
      </c>
      <c r="W59" s="36">
        <f>W4</f>
        <v/>
      </c>
      <c r="X59" s="36">
        <f>X4</f>
        <v/>
      </c>
    </row>
    <row r="60">
      <c r="A60" s="4" t="inlineStr">
        <is>
          <t>VIC</t>
        </is>
      </c>
      <c r="B60" s="19" t="inlineStr">
        <is>
          <t>Medical scientist</t>
        </is>
      </c>
      <c r="J60" s="36">
        <f>(J5*$W5)</f>
        <v/>
      </c>
      <c r="K60" s="7" t="n"/>
      <c r="L60" s="37" t="n"/>
      <c r="M60" s="36">
        <f>(M5*$W5)</f>
        <v/>
      </c>
      <c r="N60" s="36">
        <f>(N5*$W5)</f>
        <v/>
      </c>
      <c r="O60" s="36">
        <f>(O5*$W5)</f>
        <v/>
      </c>
      <c r="P60" s="36">
        <f>(P5*$W5)</f>
        <v/>
      </c>
      <c r="Q60" s="36">
        <f>(Q5*$W5)</f>
        <v/>
      </c>
      <c r="R60" s="36">
        <f>R5</f>
        <v/>
      </c>
      <c r="S60" s="36">
        <f>(S5/52*$W5)</f>
        <v/>
      </c>
      <c r="T60" s="36">
        <f>(T5*$W5)</f>
        <v/>
      </c>
      <c r="U60" s="5" t="n"/>
      <c r="V60" s="36">
        <f>V5</f>
        <v/>
      </c>
      <c r="W60" s="36">
        <f>W5</f>
        <v/>
      </c>
      <c r="X60" s="36">
        <f>X5</f>
        <v/>
      </c>
    </row>
    <row r="61" customFormat="1" s="23">
      <c r="A61" s="4" t="inlineStr">
        <is>
          <t>VIC</t>
        </is>
      </c>
      <c r="B61" s="19" t="inlineStr">
        <is>
          <t>Admin staff</t>
        </is>
      </c>
      <c r="C61" s="20" t="n"/>
      <c r="D61" s="4" t="n"/>
      <c r="E61" s="21" t="n"/>
      <c r="F61" s="4" t="n"/>
      <c r="G61" s="4" t="n"/>
      <c r="H61" s="5" t="n"/>
      <c r="I61" s="5" t="n"/>
      <c r="J61" s="36">
        <f>(J6*$W6)</f>
        <v/>
      </c>
      <c r="K61" s="7" t="n"/>
      <c r="L61" s="37" t="n"/>
      <c r="M61" s="36">
        <f>(M6*$W6)</f>
        <v/>
      </c>
      <c r="N61" s="36">
        <f>(N6*$W6)</f>
        <v/>
      </c>
      <c r="O61" s="36">
        <f>(O6*$W6)</f>
        <v/>
      </c>
      <c r="P61" s="36">
        <f>(P6*$W6)</f>
        <v/>
      </c>
      <c r="Q61" s="36">
        <f>(Q6*$W6)</f>
        <v/>
      </c>
      <c r="R61" s="36">
        <f>R6</f>
        <v/>
      </c>
      <c r="S61" s="36">
        <f>(S6/52*$W6)</f>
        <v/>
      </c>
      <c r="T61" s="36">
        <f>(T6*$W6)</f>
        <v/>
      </c>
      <c r="U61" s="5" t="n"/>
      <c r="V61" s="36">
        <f>V6</f>
        <v/>
      </c>
      <c r="W61" s="36">
        <f>W6</f>
        <v/>
      </c>
      <c r="X61" s="36">
        <f>X6</f>
        <v/>
      </c>
      <c r="AE61" s="4" t="n"/>
      <c r="AF61" s="4" t="n"/>
      <c r="AG61" s="4" t="n"/>
      <c r="AH61" s="4" t="n"/>
      <c r="AI61" s="4" t="n"/>
      <c r="AJ61" s="4" t="n"/>
      <c r="AK61" s="4" t="n"/>
      <c r="AL61" s="4" t="n"/>
      <c r="AM61" s="4" t="n"/>
      <c r="AN61" s="4" t="n"/>
      <c r="AO61" s="4" t="n"/>
      <c r="AP61" s="4" t="n"/>
      <c r="AQ61" s="4" t="n"/>
      <c r="AR61" s="4" t="n"/>
      <c r="AS61" s="4" t="n"/>
      <c r="AT61" s="4" t="n"/>
      <c r="AU61" s="4" t="n"/>
      <c r="AV61" s="4" t="n"/>
      <c r="AW61" s="4" t="n"/>
      <c r="AX61" s="4" t="n"/>
      <c r="AY61" s="4" t="n"/>
      <c r="AZ61" s="4" t="n"/>
      <c r="BA61" s="4" t="n"/>
      <c r="BB61" s="4" t="n"/>
      <c r="BC61" s="4" t="n"/>
      <c r="BD61" s="4" t="n"/>
      <c r="BE61" s="4" t="n"/>
      <c r="BF61" s="4" t="n"/>
      <c r="BG61" s="4" t="n"/>
      <c r="BH61" s="4" t="n"/>
      <c r="BI61" s="4" t="n"/>
      <c r="BJ61" s="4" t="n"/>
      <c r="BK61" s="4" t="n"/>
      <c r="BL61" s="4" t="n"/>
      <c r="BM61" s="4" t="n"/>
      <c r="BN61" s="4" t="n"/>
    </row>
    <row r="62" customFormat="1" s="23">
      <c r="A62" s="4" t="inlineStr">
        <is>
          <t>VIC</t>
        </is>
      </c>
      <c r="B62" s="19" t="inlineStr">
        <is>
          <t>Bioinformatics staff</t>
        </is>
      </c>
      <c r="C62" s="20" t="n"/>
      <c r="D62" s="4" t="n"/>
      <c r="E62" s="21" t="n"/>
      <c r="F62" s="4" t="n"/>
      <c r="G62" s="4" t="n"/>
      <c r="H62" s="5" t="n"/>
      <c r="I62" s="5" t="n"/>
      <c r="J62" s="36">
        <f>(J7*$W7)</f>
        <v/>
      </c>
      <c r="K62" s="7" t="n"/>
      <c r="L62" s="37" t="n"/>
      <c r="M62" s="36">
        <f>(M7*$W7)</f>
        <v/>
      </c>
      <c r="N62" s="36">
        <f>(N7*$W7)</f>
        <v/>
      </c>
      <c r="O62" s="36">
        <f>(O7*$W7)</f>
        <v/>
      </c>
      <c r="P62" s="36">
        <f>(P7*$W7)</f>
        <v/>
      </c>
      <c r="Q62" s="36">
        <f>(Q7*$W7)</f>
        <v/>
      </c>
      <c r="R62" s="36">
        <f>R7</f>
        <v/>
      </c>
      <c r="S62" s="36">
        <f>(S7/52*$W7)</f>
        <v/>
      </c>
      <c r="T62" s="36">
        <f>(T7*$W7)</f>
        <v/>
      </c>
      <c r="U62" s="5" t="n"/>
      <c r="V62" s="36">
        <f>V7</f>
        <v/>
      </c>
      <c r="W62" s="36">
        <f>W7</f>
        <v/>
      </c>
      <c r="X62" s="36">
        <f>X7</f>
        <v/>
      </c>
      <c r="AE62" s="4" t="n"/>
      <c r="AF62" s="4" t="n"/>
      <c r="AG62" s="4" t="n"/>
      <c r="AH62" s="4" t="n"/>
      <c r="AI62" s="4" t="n"/>
      <c r="AJ62" s="4" t="n"/>
      <c r="AK62" s="4" t="n"/>
      <c r="AL62" s="4" t="n"/>
      <c r="AM62" s="4" t="n"/>
      <c r="AN62" s="4" t="n"/>
      <c r="AO62" s="4" t="n"/>
      <c r="AP62" s="4" t="n"/>
      <c r="AQ62" s="4" t="n"/>
      <c r="AR62" s="4" t="n"/>
      <c r="AS62" s="4" t="n"/>
      <c r="AT62" s="4" t="n"/>
      <c r="AU62" s="4" t="n"/>
      <c r="AV62" s="4" t="n"/>
      <c r="AW62" s="4" t="n"/>
      <c r="AX62" s="4" t="n"/>
      <c r="AY62" s="4" t="n"/>
      <c r="AZ62" s="4" t="n"/>
      <c r="BA62" s="4" t="n"/>
      <c r="BB62" s="4" t="n"/>
      <c r="BC62" s="4" t="n"/>
      <c r="BD62" s="4" t="n"/>
      <c r="BE62" s="4" t="n"/>
      <c r="BF62" s="4" t="n"/>
      <c r="BG62" s="4" t="n"/>
      <c r="BH62" s="4" t="n"/>
      <c r="BI62" s="4" t="n"/>
      <c r="BJ62" s="4" t="n"/>
      <c r="BK62" s="4" t="n"/>
      <c r="BL62" s="4" t="n"/>
      <c r="BM62" s="4" t="n"/>
      <c r="BN62" s="4" t="n"/>
    </row>
    <row r="63" customFormat="1" s="23">
      <c r="A63" s="4" t="inlineStr">
        <is>
          <t>VIC</t>
        </is>
      </c>
      <c r="B63" s="19" t="inlineStr">
        <is>
          <t>Pathologists</t>
        </is>
      </c>
      <c r="C63" s="20" t="n"/>
      <c r="D63" s="4" t="n"/>
      <c r="E63" s="21" t="n"/>
      <c r="F63" s="4" t="n"/>
      <c r="G63" s="4" t="n"/>
      <c r="H63" s="5" t="n"/>
      <c r="I63" s="5" t="n"/>
      <c r="J63" s="36">
        <f>(J8*$W8)</f>
        <v/>
      </c>
      <c r="K63" s="7" t="n"/>
      <c r="L63" s="37" t="n"/>
      <c r="M63" s="36">
        <f>(M8*$W8)</f>
        <v/>
      </c>
      <c r="N63" s="36">
        <f>(N8*$W8)</f>
        <v/>
      </c>
      <c r="O63" s="36">
        <f>(O8*$W8)</f>
        <v/>
      </c>
      <c r="P63" s="36">
        <f>(P8*$W8)</f>
        <v/>
      </c>
      <c r="Q63" s="36">
        <f>(Q8*$W8)</f>
        <v/>
      </c>
      <c r="R63" s="36">
        <f>R8</f>
        <v/>
      </c>
      <c r="S63" s="36">
        <f>(S8/52*$W8)</f>
        <v/>
      </c>
      <c r="T63" s="36">
        <f>(T8*$W8)</f>
        <v/>
      </c>
      <c r="U63" s="5" t="n"/>
      <c r="V63" s="36">
        <f>V8</f>
        <v/>
      </c>
      <c r="W63" s="36">
        <f>W8</f>
        <v/>
      </c>
      <c r="X63" s="36">
        <f>X8</f>
        <v/>
      </c>
      <c r="AE63" s="4" t="n"/>
      <c r="AF63" s="4" t="n"/>
      <c r="AG63" s="4" t="n"/>
      <c r="AH63" s="4" t="n"/>
      <c r="AI63" s="4" t="n"/>
      <c r="AJ63" s="4" t="n"/>
      <c r="AK63" s="4" t="n"/>
      <c r="AL63" s="4" t="n"/>
      <c r="AM63" s="4" t="n"/>
      <c r="AN63" s="4" t="n"/>
      <c r="AO63" s="4" t="n"/>
      <c r="AP63" s="4" t="n"/>
      <c r="AQ63" s="4" t="n"/>
      <c r="AR63" s="4" t="n"/>
      <c r="AS63" s="4" t="n"/>
      <c r="AT63" s="4" t="n"/>
      <c r="AU63" s="4" t="n"/>
      <c r="AV63" s="4" t="n"/>
      <c r="AW63" s="4" t="n"/>
      <c r="AX63" s="4" t="n"/>
      <c r="AY63" s="4" t="n"/>
      <c r="AZ63" s="4" t="n"/>
      <c r="BA63" s="4" t="n"/>
      <c r="BB63" s="4" t="n"/>
      <c r="BC63" s="4" t="n"/>
      <c r="BD63" s="4" t="n"/>
      <c r="BE63" s="4" t="n"/>
      <c r="BF63" s="4" t="n"/>
      <c r="BG63" s="4" t="n"/>
      <c r="BH63" s="4" t="n"/>
      <c r="BI63" s="4" t="n"/>
      <c r="BJ63" s="4" t="n"/>
      <c r="BK63" s="4" t="n"/>
      <c r="BL63" s="4" t="n"/>
      <c r="BM63" s="4" t="n"/>
      <c r="BN63" s="4" t="n"/>
    </row>
    <row r="64" customFormat="1" s="23">
      <c r="A64" s="4" t="n"/>
      <c r="B64" s="19" t="n"/>
      <c r="C64" s="20" t="n"/>
      <c r="D64" s="4" t="n"/>
      <c r="E64" s="21" t="n"/>
      <c r="F64" s="4" t="n"/>
      <c r="G64" s="4" t="n"/>
      <c r="H64" s="5" t="n"/>
      <c r="I64" s="5" t="n"/>
      <c r="J64" s="6" t="n"/>
      <c r="K64" s="7" t="n"/>
      <c r="L64" s="37" t="n"/>
      <c r="M64" s="37" t="n"/>
      <c r="N64" s="37" t="n"/>
      <c r="O64" s="38" t="n"/>
      <c r="P64" s="37" t="n"/>
      <c r="Q64" s="37" t="n"/>
      <c r="R64" s="26" t="n"/>
      <c r="S64" s="5" t="n"/>
      <c r="T64" s="37" t="n"/>
      <c r="U64" s="5" t="n"/>
      <c r="V64" s="36" t="n"/>
      <c r="W64" s="36" t="n"/>
      <c r="X64" s="36" t="n"/>
      <c r="AE64" s="4" t="n"/>
      <c r="AF64" s="4" t="n"/>
      <c r="AG64" s="4" t="n"/>
      <c r="AH64" s="4" t="n"/>
      <c r="AI64" s="4" t="n"/>
      <c r="AJ64" s="4" t="n"/>
      <c r="AK64" s="4" t="n"/>
      <c r="AL64" s="4" t="n"/>
      <c r="AM64" s="4" t="n"/>
      <c r="AN64" s="4" t="n"/>
      <c r="AO64" s="4" t="n"/>
      <c r="AP64" s="4" t="n"/>
      <c r="AQ64" s="4" t="n"/>
      <c r="AR64" s="4" t="n"/>
      <c r="AS64" s="4" t="n"/>
      <c r="AT64" s="4" t="n"/>
      <c r="AU64" s="4" t="n"/>
      <c r="AV64" s="4" t="n"/>
      <c r="AW64" s="4" t="n"/>
      <c r="AX64" s="4" t="n"/>
      <c r="AY64" s="4" t="n"/>
      <c r="AZ64" s="4" t="n"/>
      <c r="BA64" s="4" t="n"/>
      <c r="BB64" s="4" t="n"/>
      <c r="BC64" s="4" t="n"/>
      <c r="BD64" s="4" t="n"/>
      <c r="BE64" s="4" t="n"/>
      <c r="BF64" s="4" t="n"/>
      <c r="BG64" s="4" t="n"/>
      <c r="BH64" s="4" t="n"/>
      <c r="BI64" s="4" t="n"/>
      <c r="BJ64" s="4" t="n"/>
      <c r="BK64" s="4" t="n"/>
      <c r="BL64" s="4" t="n"/>
      <c r="BM64" s="4" t="n"/>
      <c r="BN64" s="4" t="n"/>
    </row>
    <row r="65" customFormat="1" s="23">
      <c r="A65" s="4" t="inlineStr">
        <is>
          <t>SA</t>
        </is>
      </c>
      <c r="B65" s="19" t="inlineStr">
        <is>
          <t>Lab technician</t>
        </is>
      </c>
      <c r="C65" s="20" t="n"/>
      <c r="D65" s="4" t="n"/>
      <c r="E65" s="21" t="n"/>
      <c r="F65" s="4" t="n"/>
      <c r="G65" s="4" t="n"/>
      <c r="H65" s="5" t="n"/>
      <c r="I65" s="5" t="n"/>
      <c r="J65" s="36">
        <f>(J10*$W10)</f>
        <v/>
      </c>
      <c r="K65" s="7" t="n"/>
      <c r="L65" s="37" t="n"/>
      <c r="M65" s="36">
        <f>(M10*$W10)</f>
        <v/>
      </c>
      <c r="N65" s="36">
        <f>(N10*$W10)</f>
        <v/>
      </c>
      <c r="O65" s="36">
        <f>(O10*$W10)</f>
        <v/>
      </c>
      <c r="P65" s="36">
        <f>(P10*$W10)</f>
        <v/>
      </c>
      <c r="Q65" s="36">
        <f>(Q10*$W10)</f>
        <v/>
      </c>
      <c r="R65" s="36">
        <f>R10</f>
        <v/>
      </c>
      <c r="S65" s="36">
        <f>(S10/52*$W10)</f>
        <v/>
      </c>
      <c r="T65" s="36">
        <f>(T10*$W10)</f>
        <v/>
      </c>
      <c r="U65" s="5" t="n"/>
      <c r="V65" s="36">
        <f>V10</f>
        <v/>
      </c>
      <c r="W65" s="36">
        <f>W10</f>
        <v/>
      </c>
      <c r="X65" s="36">
        <f>X10</f>
        <v/>
      </c>
      <c r="AE65" s="4" t="n"/>
      <c r="AF65" s="4" t="n"/>
      <c r="AG65" s="4" t="n"/>
      <c r="AH65" s="4" t="n"/>
      <c r="AI65" s="4" t="n"/>
      <c r="AJ65" s="4" t="n"/>
      <c r="AK65" s="4" t="n"/>
      <c r="AL65" s="4" t="n"/>
      <c r="AM65" s="4" t="n"/>
      <c r="AN65" s="4" t="n"/>
      <c r="AO65" s="4" t="n"/>
      <c r="AP65" s="4" t="n"/>
      <c r="AQ65" s="4" t="n"/>
      <c r="AR65" s="4" t="n"/>
      <c r="AS65" s="4" t="n"/>
      <c r="AT65" s="4" t="n"/>
      <c r="AU65" s="4" t="n"/>
      <c r="AV65" s="4" t="n"/>
      <c r="AW65" s="4" t="n"/>
      <c r="AX65" s="4" t="n"/>
      <c r="AY65" s="4" t="n"/>
      <c r="AZ65" s="4" t="n"/>
      <c r="BA65" s="4" t="n"/>
      <c r="BB65" s="4" t="n"/>
      <c r="BC65" s="4" t="n"/>
      <c r="BD65" s="4" t="n"/>
      <c r="BE65" s="4" t="n"/>
      <c r="BF65" s="4" t="n"/>
      <c r="BG65" s="4" t="n"/>
      <c r="BH65" s="4" t="n"/>
      <c r="BI65" s="4" t="n"/>
      <c r="BJ65" s="4" t="n"/>
      <c r="BK65" s="4" t="n"/>
      <c r="BL65" s="4" t="n"/>
      <c r="BM65" s="4" t="n"/>
      <c r="BN65" s="4" t="n"/>
    </row>
    <row r="66" customFormat="1" s="23">
      <c r="A66" s="4" t="inlineStr">
        <is>
          <t>SA</t>
        </is>
      </c>
      <c r="B66" s="19" t="inlineStr">
        <is>
          <t>Medical scientist</t>
        </is>
      </c>
      <c r="C66" s="20" t="n"/>
      <c r="D66" s="4" t="n"/>
      <c r="E66" s="21" t="n"/>
      <c r="F66" s="4" t="n"/>
      <c r="G66" s="4" t="n"/>
      <c r="H66" s="5" t="n"/>
      <c r="I66" s="5" t="n"/>
      <c r="J66" s="36">
        <f>(J11*$W11)</f>
        <v/>
      </c>
      <c r="K66" s="7" t="n"/>
      <c r="L66" s="37" t="n"/>
      <c r="M66" s="36">
        <f>(M11*$W11)</f>
        <v/>
      </c>
      <c r="N66" s="36">
        <f>(N11*$W11)</f>
        <v/>
      </c>
      <c r="O66" s="36">
        <f>(O11*$W11)</f>
        <v/>
      </c>
      <c r="P66" s="36">
        <f>(P11*$W11)</f>
        <v/>
      </c>
      <c r="Q66" s="36">
        <f>(Q11*$W11)</f>
        <v/>
      </c>
      <c r="R66" s="36">
        <f>R11</f>
        <v/>
      </c>
      <c r="S66" s="36">
        <f>(S11/52*$W11)</f>
        <v/>
      </c>
      <c r="T66" s="36">
        <f>(T11*$W11)</f>
        <v/>
      </c>
      <c r="U66" s="5" t="n"/>
      <c r="V66" s="36">
        <f>V11</f>
        <v/>
      </c>
      <c r="W66" s="36">
        <f>W11</f>
        <v/>
      </c>
      <c r="X66" s="36">
        <f>X11</f>
        <v/>
      </c>
      <c r="AE66" s="4" t="n"/>
      <c r="AF66" s="4" t="n"/>
      <c r="AG66" s="4" t="n"/>
      <c r="AH66" s="4" t="n"/>
      <c r="AI66" s="4" t="n"/>
      <c r="AJ66" s="4" t="n"/>
      <c r="AK66" s="4" t="n"/>
      <c r="AL66" s="4" t="n"/>
      <c r="AM66" s="4" t="n"/>
      <c r="AN66" s="4" t="n"/>
      <c r="AO66" s="4" t="n"/>
      <c r="AP66" s="4" t="n"/>
      <c r="AQ66" s="4" t="n"/>
      <c r="AR66" s="4" t="n"/>
      <c r="AS66" s="4" t="n"/>
      <c r="AT66" s="4" t="n"/>
      <c r="AU66" s="4" t="n"/>
      <c r="AV66" s="4" t="n"/>
      <c r="AW66" s="4" t="n"/>
      <c r="AX66" s="4" t="n"/>
      <c r="AY66" s="4" t="n"/>
      <c r="AZ66" s="4" t="n"/>
      <c r="BA66" s="4" t="n"/>
      <c r="BB66" s="4" t="n"/>
      <c r="BC66" s="4" t="n"/>
      <c r="BD66" s="4" t="n"/>
      <c r="BE66" s="4" t="n"/>
      <c r="BF66" s="4" t="n"/>
      <c r="BG66" s="4" t="n"/>
      <c r="BH66" s="4" t="n"/>
      <c r="BI66" s="4" t="n"/>
      <c r="BJ66" s="4" t="n"/>
      <c r="BK66" s="4" t="n"/>
      <c r="BL66" s="4" t="n"/>
      <c r="BM66" s="4" t="n"/>
      <c r="BN66" s="4" t="n"/>
    </row>
    <row r="67" customFormat="1" s="23">
      <c r="A67" s="4" t="inlineStr">
        <is>
          <t>SA</t>
        </is>
      </c>
      <c r="B67" s="19" t="inlineStr">
        <is>
          <t>Admin staff</t>
        </is>
      </c>
      <c r="C67" s="20" t="n"/>
      <c r="D67" s="4" t="n"/>
      <c r="E67" s="21" t="n"/>
      <c r="F67" s="4" t="n"/>
      <c r="G67" s="4" t="n"/>
      <c r="H67" s="5" t="n"/>
      <c r="I67" s="5" t="n"/>
      <c r="J67" s="36">
        <f>(J12*$W12)</f>
        <v/>
      </c>
      <c r="K67" s="7" t="n"/>
      <c r="L67" s="37" t="n"/>
      <c r="M67" s="36">
        <f>(M12*$W12)</f>
        <v/>
      </c>
      <c r="N67" s="36">
        <f>(N12*$W12)</f>
        <v/>
      </c>
      <c r="O67" s="36">
        <f>(O12*$W12)</f>
        <v/>
      </c>
      <c r="P67" s="36">
        <f>(P12*$W12)</f>
        <v/>
      </c>
      <c r="Q67" s="36">
        <f>(Q12*$W12)</f>
        <v/>
      </c>
      <c r="R67" s="36">
        <f>R12</f>
        <v/>
      </c>
      <c r="S67" s="36">
        <f>(S12/52*$W12)</f>
        <v/>
      </c>
      <c r="T67" s="36">
        <f>(T12*$W12)</f>
        <v/>
      </c>
      <c r="U67" s="5" t="n"/>
      <c r="V67" s="36">
        <f>V12</f>
        <v/>
      </c>
      <c r="W67" s="36">
        <f>W12</f>
        <v/>
      </c>
      <c r="X67" s="36">
        <f>X12</f>
        <v/>
      </c>
      <c r="AE67" s="4" t="n"/>
      <c r="AF67" s="4" t="n"/>
      <c r="AG67" s="4" t="n"/>
      <c r="AH67" s="4" t="n"/>
      <c r="AI67" s="4" t="n"/>
      <c r="AJ67" s="4" t="n"/>
      <c r="AK67" s="4" t="n"/>
      <c r="AL67" s="4" t="n"/>
      <c r="AM67" s="4" t="n"/>
      <c r="AN67" s="4" t="n"/>
      <c r="AO67" s="4" t="n"/>
      <c r="AP67" s="4" t="n"/>
      <c r="AQ67" s="4" t="n"/>
      <c r="AR67" s="4" t="n"/>
      <c r="AS67" s="4" t="n"/>
      <c r="AT67" s="4" t="n"/>
      <c r="AU67" s="4" t="n"/>
      <c r="AV67" s="4" t="n"/>
      <c r="AW67" s="4" t="n"/>
      <c r="AX67" s="4" t="n"/>
      <c r="AY67" s="4" t="n"/>
      <c r="AZ67" s="4" t="n"/>
      <c r="BA67" s="4" t="n"/>
      <c r="BB67" s="4" t="n"/>
      <c r="BC67" s="4" t="n"/>
      <c r="BD67" s="4" t="n"/>
      <c r="BE67" s="4" t="n"/>
      <c r="BF67" s="4" t="n"/>
      <c r="BG67" s="4" t="n"/>
      <c r="BH67" s="4" t="n"/>
      <c r="BI67" s="4" t="n"/>
      <c r="BJ67" s="4" t="n"/>
      <c r="BK67" s="4" t="n"/>
      <c r="BL67" s="4" t="n"/>
      <c r="BM67" s="4" t="n"/>
      <c r="BN67" s="4" t="n"/>
    </row>
    <row r="68" customFormat="1" s="23">
      <c r="A68" s="4" t="inlineStr">
        <is>
          <t>SA</t>
        </is>
      </c>
      <c r="B68" s="19" t="inlineStr">
        <is>
          <t>Bioinformatics staff</t>
        </is>
      </c>
      <c r="C68" s="20" t="n"/>
      <c r="D68" s="4" t="n"/>
      <c r="E68" s="21" t="n"/>
      <c r="F68" s="4" t="n"/>
      <c r="G68" s="4" t="n"/>
      <c r="H68" s="5" t="n"/>
      <c r="I68" s="5" t="n"/>
      <c r="J68" s="36">
        <f>(J13*$W13)</f>
        <v/>
      </c>
      <c r="K68" s="7" t="n"/>
      <c r="L68" s="37" t="n"/>
      <c r="M68" s="36">
        <f>(M13*$W13)</f>
        <v/>
      </c>
      <c r="N68" s="36">
        <f>(N13*$W13)</f>
        <v/>
      </c>
      <c r="O68" s="36">
        <f>(O13*$W13)</f>
        <v/>
      </c>
      <c r="P68" s="36">
        <f>(P13*$W13)</f>
        <v/>
      </c>
      <c r="Q68" s="36">
        <f>(Q13*$W13)</f>
        <v/>
      </c>
      <c r="R68" s="36">
        <f>R13</f>
        <v/>
      </c>
      <c r="S68" s="36">
        <f>(S13/52*$W13)</f>
        <v/>
      </c>
      <c r="T68" s="36">
        <f>(T13*$W13)</f>
        <v/>
      </c>
      <c r="U68" s="5" t="n"/>
      <c r="V68" s="36">
        <f>V13</f>
        <v/>
      </c>
      <c r="W68" s="36">
        <f>W13</f>
        <v/>
      </c>
      <c r="X68" s="36">
        <f>X13</f>
        <v/>
      </c>
      <c r="AE68" s="4" t="n"/>
      <c r="AF68" s="4" t="n"/>
      <c r="AG68" s="4" t="n"/>
      <c r="AH68" s="4" t="n"/>
      <c r="AI68" s="4" t="n"/>
      <c r="AJ68" s="4" t="n"/>
      <c r="AK68" s="4" t="n"/>
      <c r="AL68" s="4" t="n"/>
      <c r="AM68" s="4" t="n"/>
      <c r="AN68" s="4" t="n"/>
      <c r="AO68" s="4" t="n"/>
      <c r="AP68" s="4" t="n"/>
      <c r="AQ68" s="4" t="n"/>
      <c r="AR68" s="4" t="n"/>
      <c r="AS68" s="4" t="n"/>
      <c r="AT68" s="4" t="n"/>
      <c r="AU68" s="4" t="n"/>
      <c r="AV68" s="4" t="n"/>
      <c r="AW68" s="4" t="n"/>
      <c r="AX68" s="4" t="n"/>
      <c r="AY68" s="4" t="n"/>
      <c r="AZ68" s="4" t="n"/>
      <c r="BA68" s="4" t="n"/>
      <c r="BB68" s="4" t="n"/>
      <c r="BC68" s="4" t="n"/>
      <c r="BD68" s="4" t="n"/>
      <c r="BE68" s="4" t="n"/>
      <c r="BF68" s="4" t="n"/>
      <c r="BG68" s="4" t="n"/>
      <c r="BH68" s="4" t="n"/>
      <c r="BI68" s="4" t="n"/>
      <c r="BJ68" s="4" t="n"/>
      <c r="BK68" s="4" t="n"/>
      <c r="BL68" s="4" t="n"/>
      <c r="BM68" s="4" t="n"/>
      <c r="BN68" s="4" t="n"/>
    </row>
    <row r="69" customFormat="1" s="23">
      <c r="A69" s="4" t="inlineStr">
        <is>
          <t>SA</t>
        </is>
      </c>
      <c r="B69" s="19" t="inlineStr">
        <is>
          <t>Pathologists</t>
        </is>
      </c>
      <c r="C69" s="20" t="n"/>
      <c r="D69" s="4" t="n"/>
      <c r="E69" s="21" t="n"/>
      <c r="F69" s="4" t="n"/>
      <c r="G69" s="4" t="n"/>
      <c r="H69" s="5" t="n"/>
      <c r="I69" s="5" t="n"/>
      <c r="J69" s="36">
        <f>(J14*$W14)</f>
        <v/>
      </c>
      <c r="K69" s="7" t="n"/>
      <c r="L69" s="37" t="n"/>
      <c r="M69" s="36">
        <f>(M14*$W14)</f>
        <v/>
      </c>
      <c r="N69" s="36">
        <f>(N14*$W14)</f>
        <v/>
      </c>
      <c r="O69" s="36">
        <f>(O14*$W14)</f>
        <v/>
      </c>
      <c r="P69" s="36">
        <f>(P14*$W14)</f>
        <v/>
      </c>
      <c r="Q69" s="36">
        <f>(Q14*$W14)</f>
        <v/>
      </c>
      <c r="R69" s="36">
        <f>R14</f>
        <v/>
      </c>
      <c r="S69" s="36">
        <f>(S14/52*$W14)</f>
        <v/>
      </c>
      <c r="T69" s="36">
        <f>(T14*$W14)</f>
        <v/>
      </c>
      <c r="U69" s="5" t="n"/>
      <c r="V69" s="36">
        <f>V14</f>
        <v/>
      </c>
      <c r="W69" s="36">
        <f>W14</f>
        <v/>
      </c>
      <c r="X69" s="36">
        <f>X14</f>
        <v/>
      </c>
      <c r="AE69" s="4" t="n"/>
      <c r="AF69" s="4" t="n"/>
      <c r="AG69" s="4" t="n"/>
      <c r="AH69" s="4" t="n"/>
      <c r="AI69" s="4" t="n"/>
      <c r="AJ69" s="4" t="n"/>
      <c r="AK69" s="4" t="n"/>
      <c r="AL69" s="4" t="n"/>
      <c r="AM69" s="4" t="n"/>
      <c r="AN69" s="4" t="n"/>
      <c r="AO69" s="4" t="n"/>
      <c r="AP69" s="4" t="n"/>
      <c r="AQ69" s="4" t="n"/>
      <c r="AR69" s="4" t="n"/>
      <c r="AS69" s="4" t="n"/>
      <c r="AT69" s="4" t="n"/>
      <c r="AU69" s="4" t="n"/>
      <c r="AV69" s="4" t="n"/>
      <c r="AW69" s="4" t="n"/>
      <c r="AX69" s="4" t="n"/>
      <c r="AY69" s="4" t="n"/>
      <c r="AZ69" s="4" t="n"/>
      <c r="BA69" s="4" t="n"/>
      <c r="BB69" s="4" t="n"/>
      <c r="BC69" s="4" t="n"/>
      <c r="BD69" s="4" t="n"/>
      <c r="BE69" s="4" t="n"/>
      <c r="BF69" s="4" t="n"/>
      <c r="BG69" s="4" t="n"/>
      <c r="BH69" s="4" t="n"/>
      <c r="BI69" s="4" t="n"/>
      <c r="BJ69" s="4" t="n"/>
      <c r="BK69" s="4" t="n"/>
      <c r="BL69" s="4" t="n"/>
      <c r="BM69" s="4" t="n"/>
      <c r="BN69" s="4" t="n"/>
    </row>
    <row r="70" customFormat="1" s="23">
      <c r="A70" s="4" t="n"/>
      <c r="B70" s="19" t="n"/>
      <c r="C70" s="20" t="n"/>
      <c r="D70" s="4" t="n"/>
      <c r="E70" s="21" t="n"/>
      <c r="F70" s="4" t="n"/>
      <c r="G70" s="4" t="n"/>
      <c r="H70" s="5" t="n"/>
      <c r="I70" s="5" t="n"/>
      <c r="J70" s="6" t="n"/>
      <c r="K70" s="7" t="n"/>
      <c r="L70" s="37" t="n"/>
      <c r="M70" s="37" t="n"/>
      <c r="N70" s="37" t="n"/>
      <c r="O70" s="38" t="n"/>
      <c r="P70" s="37" t="n"/>
      <c r="Q70" s="37" t="n"/>
      <c r="R70" s="26" t="n"/>
      <c r="S70" s="5" t="n"/>
      <c r="T70" s="37" t="n"/>
      <c r="U70" s="5" t="n"/>
      <c r="V70" s="36" t="n"/>
      <c r="W70" s="36" t="n"/>
      <c r="X70" s="36" t="n"/>
      <c r="AE70" s="4" t="n"/>
      <c r="AF70" s="4" t="n"/>
      <c r="AG70" s="4" t="n"/>
      <c r="AH70" s="4" t="n"/>
      <c r="AI70" s="4" t="n"/>
      <c r="AJ70" s="4" t="n"/>
      <c r="AK70" s="4" t="n"/>
      <c r="AL70" s="4" t="n"/>
      <c r="AM70" s="4" t="n"/>
      <c r="AN70" s="4" t="n"/>
      <c r="AO70" s="4" t="n"/>
      <c r="AP70" s="4" t="n"/>
      <c r="AQ70" s="4" t="n"/>
      <c r="AR70" s="4" t="n"/>
      <c r="AS70" s="4" t="n"/>
      <c r="AT70" s="4" t="n"/>
      <c r="AU70" s="4" t="n"/>
      <c r="AV70" s="4" t="n"/>
      <c r="AW70" s="4" t="n"/>
      <c r="AX70" s="4" t="n"/>
      <c r="AY70" s="4" t="n"/>
      <c r="AZ70" s="4" t="n"/>
      <c r="BA70" s="4" t="n"/>
      <c r="BB70" s="4" t="n"/>
      <c r="BC70" s="4" t="n"/>
      <c r="BD70" s="4" t="n"/>
      <c r="BE70" s="4" t="n"/>
      <c r="BF70" s="4" t="n"/>
      <c r="BG70" s="4" t="n"/>
      <c r="BH70" s="4" t="n"/>
      <c r="BI70" s="4" t="n"/>
      <c r="BJ70" s="4" t="n"/>
      <c r="BK70" s="4" t="n"/>
      <c r="BL70" s="4" t="n"/>
      <c r="BM70" s="4" t="n"/>
      <c r="BN70" s="4" t="n"/>
    </row>
    <row r="71" customFormat="1" s="23">
      <c r="A71" s="4" t="inlineStr">
        <is>
          <t>NSW</t>
        </is>
      </c>
      <c r="B71" s="19" t="inlineStr">
        <is>
          <t>Lab technician</t>
        </is>
      </c>
      <c r="C71" s="20" t="n"/>
      <c r="D71" s="4" t="n"/>
      <c r="E71" s="21" t="n"/>
      <c r="F71" s="4" t="n"/>
      <c r="G71" s="4" t="n"/>
      <c r="H71" s="5" t="n"/>
      <c r="I71" s="5" t="n"/>
      <c r="J71" s="36">
        <f>(J16*$W16)</f>
        <v/>
      </c>
      <c r="K71" s="7" t="n"/>
      <c r="L71" s="37" t="n"/>
      <c r="M71" s="36">
        <f>(M16*$W16)</f>
        <v/>
      </c>
      <c r="N71" s="36">
        <f>(N16*$W16)</f>
        <v/>
      </c>
      <c r="O71" s="36">
        <f>(O16*$W16)</f>
        <v/>
      </c>
      <c r="P71" s="36">
        <f>(P16*$W16)</f>
        <v/>
      </c>
      <c r="Q71" s="36">
        <f>(Q16*$W16)</f>
        <v/>
      </c>
      <c r="R71" s="36">
        <f>R16</f>
        <v/>
      </c>
      <c r="S71" s="36">
        <f>(S16/52*$W16)</f>
        <v/>
      </c>
      <c r="T71" s="36">
        <f>(T16*$W16)</f>
        <v/>
      </c>
      <c r="U71" s="5" t="n"/>
      <c r="V71" s="36">
        <f>V16</f>
        <v/>
      </c>
      <c r="W71" s="36">
        <f>W16</f>
        <v/>
      </c>
      <c r="X71" s="36">
        <f>X16</f>
        <v/>
      </c>
      <c r="AE71" s="4" t="n"/>
      <c r="AF71" s="4" t="n"/>
      <c r="AG71" s="4" t="n"/>
      <c r="AH71" s="4" t="n"/>
      <c r="AI71" s="4" t="n"/>
      <c r="AJ71" s="4" t="n"/>
      <c r="AK71" s="4" t="n"/>
      <c r="AL71" s="4" t="n"/>
      <c r="AM71" s="4" t="n"/>
      <c r="AN71" s="4" t="n"/>
      <c r="AO71" s="4" t="n"/>
      <c r="AP71" s="4" t="n"/>
      <c r="AQ71" s="4" t="n"/>
      <c r="AR71" s="4" t="n"/>
      <c r="AS71" s="4" t="n"/>
      <c r="AT71" s="4" t="n"/>
      <c r="AU71" s="4" t="n"/>
      <c r="AV71" s="4" t="n"/>
      <c r="AW71" s="4" t="n"/>
      <c r="AX71" s="4" t="n"/>
      <c r="AY71" s="4" t="n"/>
      <c r="AZ71" s="4" t="n"/>
      <c r="BA71" s="4" t="n"/>
      <c r="BB71" s="4" t="n"/>
      <c r="BC71" s="4" t="n"/>
      <c r="BD71" s="4" t="n"/>
      <c r="BE71" s="4" t="n"/>
      <c r="BF71" s="4" t="n"/>
      <c r="BG71" s="4" t="n"/>
      <c r="BH71" s="4" t="n"/>
      <c r="BI71" s="4" t="n"/>
      <c r="BJ71" s="4" t="n"/>
      <c r="BK71" s="4" t="n"/>
      <c r="BL71" s="4" t="n"/>
      <c r="BM71" s="4" t="n"/>
      <c r="BN71" s="4" t="n"/>
    </row>
    <row r="72" customFormat="1" s="23">
      <c r="A72" s="4" t="inlineStr">
        <is>
          <t>NSW</t>
        </is>
      </c>
      <c r="B72" s="19" t="inlineStr">
        <is>
          <t>Medical scientist</t>
        </is>
      </c>
      <c r="C72" s="20" t="n"/>
      <c r="D72" s="4" t="n"/>
      <c r="E72" s="21" t="n"/>
      <c r="F72" s="4" t="n"/>
      <c r="G72" s="4" t="n"/>
      <c r="H72" s="5" t="n"/>
      <c r="I72" s="5" t="n"/>
      <c r="J72" s="36">
        <f>(J17*$W17)</f>
        <v/>
      </c>
      <c r="K72" s="7" t="n"/>
      <c r="L72" s="37" t="n"/>
      <c r="M72" s="36">
        <f>(M17*$W17)</f>
        <v/>
      </c>
      <c r="N72" s="36">
        <f>(N17*$W17)</f>
        <v/>
      </c>
      <c r="O72" s="36">
        <f>(O17*$W17)</f>
        <v/>
      </c>
      <c r="P72" s="36">
        <f>(P17*$W17)</f>
        <v/>
      </c>
      <c r="Q72" s="36">
        <f>(Q17*$W17)</f>
        <v/>
      </c>
      <c r="R72" s="36">
        <f>R17</f>
        <v/>
      </c>
      <c r="S72" s="36">
        <f>(S17/52*$W17)</f>
        <v/>
      </c>
      <c r="T72" s="36">
        <f>(T17*$W17)</f>
        <v/>
      </c>
      <c r="U72" s="5" t="n"/>
      <c r="V72" s="36">
        <f>V17</f>
        <v/>
      </c>
      <c r="W72" s="36">
        <f>W17</f>
        <v/>
      </c>
      <c r="X72" s="36">
        <f>X17</f>
        <v/>
      </c>
      <c r="AE72" s="4" t="n"/>
      <c r="AF72" s="4" t="n"/>
      <c r="AG72" s="4" t="n"/>
      <c r="AH72" s="4" t="n"/>
      <c r="AI72" s="4" t="n"/>
      <c r="AJ72" s="4" t="n"/>
      <c r="AK72" s="4" t="n"/>
      <c r="AL72" s="4" t="n"/>
      <c r="AM72" s="4" t="n"/>
      <c r="AN72" s="4" t="n"/>
      <c r="AO72" s="4" t="n"/>
      <c r="AP72" s="4" t="n"/>
      <c r="AQ72" s="4" t="n"/>
      <c r="AR72" s="4" t="n"/>
      <c r="AS72" s="4" t="n"/>
      <c r="AT72" s="4" t="n"/>
      <c r="AU72" s="4" t="n"/>
      <c r="AV72" s="4" t="n"/>
      <c r="AW72" s="4" t="n"/>
      <c r="AX72" s="4" t="n"/>
      <c r="AY72" s="4" t="n"/>
      <c r="AZ72" s="4" t="n"/>
      <c r="BA72" s="4" t="n"/>
      <c r="BB72" s="4" t="n"/>
      <c r="BC72" s="4" t="n"/>
      <c r="BD72" s="4" t="n"/>
      <c r="BE72" s="4" t="n"/>
      <c r="BF72" s="4" t="n"/>
      <c r="BG72" s="4" t="n"/>
      <c r="BH72" s="4" t="n"/>
      <c r="BI72" s="4" t="n"/>
      <c r="BJ72" s="4" t="n"/>
      <c r="BK72" s="4" t="n"/>
      <c r="BL72" s="4" t="n"/>
      <c r="BM72" s="4" t="n"/>
      <c r="BN72" s="4" t="n"/>
    </row>
    <row r="73" customFormat="1" s="23">
      <c r="A73" s="4" t="inlineStr">
        <is>
          <t>NSW</t>
        </is>
      </c>
      <c r="B73" s="19" t="inlineStr">
        <is>
          <t>Admin staff</t>
        </is>
      </c>
      <c r="C73" s="20" t="n"/>
      <c r="D73" s="4" t="n"/>
      <c r="E73" s="21" t="n"/>
      <c r="F73" s="4" t="n"/>
      <c r="G73" s="4" t="n"/>
      <c r="H73" s="5" t="n"/>
      <c r="I73" s="5" t="n"/>
      <c r="J73" s="36">
        <f>(J18*$W18)</f>
        <v/>
      </c>
      <c r="K73" s="7" t="n"/>
      <c r="L73" s="37" t="n"/>
      <c r="M73" s="36">
        <f>(M18*$W18)</f>
        <v/>
      </c>
      <c r="N73" s="36">
        <f>(N18*$W18)</f>
        <v/>
      </c>
      <c r="O73" s="36">
        <f>(O18*$W18)</f>
        <v/>
      </c>
      <c r="P73" s="36">
        <f>(P18*$W18)</f>
        <v/>
      </c>
      <c r="Q73" s="36">
        <f>(Q18*$W18)</f>
        <v/>
      </c>
      <c r="R73" s="36">
        <f>R18</f>
        <v/>
      </c>
      <c r="S73" s="36">
        <f>(S18/52*$W18)</f>
        <v/>
      </c>
      <c r="T73" s="36">
        <f>(T18*$W18)</f>
        <v/>
      </c>
      <c r="U73" s="5" t="n"/>
      <c r="V73" s="36">
        <f>V18</f>
        <v/>
      </c>
      <c r="W73" s="36">
        <f>W18</f>
        <v/>
      </c>
      <c r="X73" s="36">
        <f>X18</f>
        <v/>
      </c>
      <c r="AE73" s="4" t="n"/>
      <c r="AF73" s="4" t="n"/>
      <c r="AG73" s="4" t="n"/>
      <c r="AH73" s="4" t="n"/>
      <c r="AI73" s="4" t="n"/>
      <c r="AJ73" s="4" t="n"/>
      <c r="AK73" s="4" t="n"/>
      <c r="AL73" s="4" t="n"/>
      <c r="AM73" s="4" t="n"/>
      <c r="AN73" s="4" t="n"/>
      <c r="AO73" s="4" t="n"/>
      <c r="AP73" s="4" t="n"/>
      <c r="AQ73" s="4" t="n"/>
      <c r="AR73" s="4" t="n"/>
      <c r="AS73" s="4" t="n"/>
      <c r="AT73" s="4" t="n"/>
      <c r="AU73" s="4" t="n"/>
      <c r="AV73" s="4" t="n"/>
      <c r="AW73" s="4" t="n"/>
      <c r="AX73" s="4" t="n"/>
      <c r="AY73" s="4" t="n"/>
      <c r="AZ73" s="4" t="n"/>
      <c r="BA73" s="4" t="n"/>
      <c r="BB73" s="4" t="n"/>
      <c r="BC73" s="4" t="n"/>
      <c r="BD73" s="4" t="n"/>
      <c r="BE73" s="4" t="n"/>
      <c r="BF73" s="4" t="n"/>
      <c r="BG73" s="4" t="n"/>
      <c r="BH73" s="4" t="n"/>
      <c r="BI73" s="4" t="n"/>
      <c r="BJ73" s="4" t="n"/>
      <c r="BK73" s="4" t="n"/>
      <c r="BL73" s="4" t="n"/>
      <c r="BM73" s="4" t="n"/>
      <c r="BN73" s="4" t="n"/>
    </row>
    <row r="74" customFormat="1" s="23">
      <c r="A74" s="4" t="inlineStr">
        <is>
          <t>NSW</t>
        </is>
      </c>
      <c r="B74" s="19" t="inlineStr">
        <is>
          <t>Bioinformatics staff</t>
        </is>
      </c>
      <c r="C74" s="20" t="n"/>
      <c r="D74" s="4" t="n"/>
      <c r="E74" s="21" t="n"/>
      <c r="F74" s="4" t="n"/>
      <c r="G74" s="4" t="n"/>
      <c r="H74" s="5" t="n"/>
      <c r="I74" s="5" t="n"/>
      <c r="J74" s="36">
        <f>(J19*$W19)</f>
        <v/>
      </c>
      <c r="K74" s="7" t="n"/>
      <c r="L74" s="37" t="n"/>
      <c r="M74" s="36">
        <f>(M19*$W19)</f>
        <v/>
      </c>
      <c r="N74" s="36">
        <f>(N19*$W19)</f>
        <v/>
      </c>
      <c r="O74" s="36">
        <f>(O19*$W19)</f>
        <v/>
      </c>
      <c r="P74" s="36">
        <f>(P19*$W19)</f>
        <v/>
      </c>
      <c r="Q74" s="36">
        <f>(Q19*$W19)</f>
        <v/>
      </c>
      <c r="R74" s="36">
        <f>R19</f>
        <v/>
      </c>
      <c r="S74" s="36">
        <f>(S19/52*$W19)</f>
        <v/>
      </c>
      <c r="T74" s="36">
        <f>(T19*$W19)</f>
        <v/>
      </c>
      <c r="U74" s="5" t="n"/>
      <c r="V74" s="36">
        <f>V19</f>
        <v/>
      </c>
      <c r="W74" s="36">
        <f>W19</f>
        <v/>
      </c>
      <c r="X74" s="36">
        <f>X19</f>
        <v/>
      </c>
      <c r="AE74" s="4" t="n"/>
      <c r="AF74" s="4" t="n"/>
      <c r="AG74" s="4" t="n"/>
      <c r="AH74" s="4" t="n"/>
      <c r="AI74" s="4" t="n"/>
      <c r="AJ74" s="4" t="n"/>
      <c r="AK74" s="4" t="n"/>
      <c r="AL74" s="4" t="n"/>
      <c r="AM74" s="4" t="n"/>
      <c r="AN74" s="4" t="n"/>
      <c r="AO74" s="4" t="n"/>
      <c r="AP74" s="4" t="n"/>
      <c r="AQ74" s="4" t="n"/>
      <c r="AR74" s="4" t="n"/>
      <c r="AS74" s="4" t="n"/>
      <c r="AT74" s="4" t="n"/>
      <c r="AU74" s="4" t="n"/>
      <c r="AV74" s="4" t="n"/>
      <c r="AW74" s="4" t="n"/>
      <c r="AX74" s="4" t="n"/>
      <c r="AY74" s="4" t="n"/>
      <c r="AZ74" s="4" t="n"/>
      <c r="BA74" s="4" t="n"/>
      <c r="BB74" s="4" t="n"/>
      <c r="BC74" s="4" t="n"/>
      <c r="BD74" s="4" t="n"/>
      <c r="BE74" s="4" t="n"/>
      <c r="BF74" s="4" t="n"/>
      <c r="BG74" s="4" t="n"/>
      <c r="BH74" s="4" t="n"/>
      <c r="BI74" s="4" t="n"/>
      <c r="BJ74" s="4" t="n"/>
      <c r="BK74" s="4" t="n"/>
      <c r="BL74" s="4" t="n"/>
      <c r="BM74" s="4" t="n"/>
      <c r="BN74" s="4" t="n"/>
    </row>
    <row r="75" customFormat="1" s="23">
      <c r="A75" s="4" t="inlineStr">
        <is>
          <t>NSW</t>
        </is>
      </c>
      <c r="B75" s="19" t="inlineStr">
        <is>
          <t>Pathologists</t>
        </is>
      </c>
      <c r="C75" s="20" t="n"/>
      <c r="D75" s="4" t="n"/>
      <c r="E75" s="21" t="n"/>
      <c r="F75" s="4" t="n"/>
      <c r="G75" s="4" t="n"/>
      <c r="H75" s="5" t="n"/>
      <c r="I75" s="5" t="n"/>
      <c r="J75" s="36">
        <f>(J20*$W20)</f>
        <v/>
      </c>
      <c r="K75" s="7" t="n"/>
      <c r="L75" s="37" t="n"/>
      <c r="M75" s="36">
        <f>(M20*$W20)</f>
        <v/>
      </c>
      <c r="N75" s="36">
        <f>(N20*$W20)</f>
        <v/>
      </c>
      <c r="O75" s="36">
        <f>(O20*$W20)</f>
        <v/>
      </c>
      <c r="P75" s="36">
        <f>(P20*$W20)</f>
        <v/>
      </c>
      <c r="Q75" s="36">
        <f>(Q20*$W20)</f>
        <v/>
      </c>
      <c r="R75" s="36">
        <f>R20</f>
        <v/>
      </c>
      <c r="S75" s="36">
        <f>(S20/52*$W20)</f>
        <v/>
      </c>
      <c r="T75" s="36">
        <f>(T20*$W20)</f>
        <v/>
      </c>
      <c r="U75" s="5" t="n"/>
      <c r="V75" s="36">
        <f>V20</f>
        <v/>
      </c>
      <c r="W75" s="36">
        <f>W20</f>
        <v/>
      </c>
      <c r="X75" s="36">
        <f>X20</f>
        <v/>
      </c>
      <c r="AE75" s="4" t="n"/>
      <c r="AF75" s="4" t="n"/>
      <c r="AG75" s="4" t="n"/>
      <c r="AH75" s="4" t="n"/>
      <c r="AI75" s="4" t="n"/>
      <c r="AJ75" s="4" t="n"/>
      <c r="AK75" s="4" t="n"/>
      <c r="AL75" s="4" t="n"/>
      <c r="AM75" s="4" t="n"/>
      <c r="AN75" s="4" t="n"/>
      <c r="AO75" s="4" t="n"/>
      <c r="AP75" s="4" t="n"/>
      <c r="AQ75" s="4" t="n"/>
      <c r="AR75" s="4" t="n"/>
      <c r="AS75" s="4" t="n"/>
      <c r="AT75" s="4" t="n"/>
      <c r="AU75" s="4" t="n"/>
      <c r="AV75" s="4" t="n"/>
      <c r="AW75" s="4" t="n"/>
      <c r="AX75" s="4" t="n"/>
      <c r="AY75" s="4" t="n"/>
      <c r="AZ75" s="4" t="n"/>
      <c r="BA75" s="4" t="n"/>
      <c r="BB75" s="4" t="n"/>
      <c r="BC75" s="4" t="n"/>
      <c r="BD75" s="4" t="n"/>
      <c r="BE75" s="4" t="n"/>
      <c r="BF75" s="4" t="n"/>
      <c r="BG75" s="4" t="n"/>
      <c r="BH75" s="4" t="n"/>
      <c r="BI75" s="4" t="n"/>
      <c r="BJ75" s="4" t="n"/>
      <c r="BK75" s="4" t="n"/>
      <c r="BL75" s="4" t="n"/>
      <c r="BM75" s="4" t="n"/>
      <c r="BN75" s="4" t="n"/>
    </row>
    <row r="76" customFormat="1" s="23">
      <c r="A76" s="4" t="n"/>
      <c r="B76" s="19" t="n"/>
      <c r="C76" s="20" t="n"/>
      <c r="D76" s="4" t="n"/>
      <c r="E76" s="21" t="n"/>
      <c r="F76" s="4" t="n"/>
      <c r="G76" s="4" t="n"/>
      <c r="H76" s="5" t="n"/>
      <c r="I76" s="5" t="n"/>
      <c r="J76" s="6" t="n"/>
      <c r="K76" s="7" t="n"/>
      <c r="L76" s="37" t="n"/>
      <c r="M76" s="37" t="n"/>
      <c r="N76" s="37" t="n"/>
      <c r="O76" s="38" t="n"/>
      <c r="P76" s="37" t="n"/>
      <c r="Q76" s="37" t="n"/>
      <c r="R76" s="26" t="n"/>
      <c r="S76" s="5" t="n"/>
      <c r="T76" s="37" t="n"/>
      <c r="U76" s="5" t="n"/>
      <c r="V76" s="36" t="n"/>
      <c r="W76" s="36" t="n"/>
      <c r="X76" s="36" t="n"/>
      <c r="AE76" s="4" t="n"/>
      <c r="AF76" s="4" t="n"/>
      <c r="AG76" s="4" t="n"/>
      <c r="AH76" s="4" t="n"/>
      <c r="AI76" s="4" t="n"/>
      <c r="AJ76" s="4" t="n"/>
      <c r="AK76" s="4" t="n"/>
      <c r="AL76" s="4" t="n"/>
      <c r="AM76" s="4" t="n"/>
      <c r="AN76" s="4" t="n"/>
      <c r="AO76" s="4" t="n"/>
      <c r="AP76" s="4" t="n"/>
      <c r="AQ76" s="4" t="n"/>
      <c r="AR76" s="4" t="n"/>
      <c r="AS76" s="4" t="n"/>
      <c r="AT76" s="4" t="n"/>
      <c r="AU76" s="4" t="n"/>
      <c r="AV76" s="4" t="n"/>
      <c r="AW76" s="4" t="n"/>
      <c r="AX76" s="4" t="n"/>
      <c r="AY76" s="4" t="n"/>
      <c r="AZ76" s="4" t="n"/>
      <c r="BA76" s="4" t="n"/>
      <c r="BB76" s="4" t="n"/>
      <c r="BC76" s="4" t="n"/>
      <c r="BD76" s="4" t="n"/>
      <c r="BE76" s="4" t="n"/>
      <c r="BF76" s="4" t="n"/>
      <c r="BG76" s="4" t="n"/>
      <c r="BH76" s="4" t="n"/>
      <c r="BI76" s="4" t="n"/>
      <c r="BJ76" s="4" t="n"/>
      <c r="BK76" s="4" t="n"/>
      <c r="BL76" s="4" t="n"/>
      <c r="BM76" s="4" t="n"/>
      <c r="BN76" s="4" t="n"/>
    </row>
    <row r="77" customFormat="1" s="23">
      <c r="A77" s="4" t="inlineStr">
        <is>
          <t>QLD</t>
        </is>
      </c>
      <c r="B77" s="19" t="inlineStr">
        <is>
          <t>Lab technician</t>
        </is>
      </c>
      <c r="C77" s="20" t="n"/>
      <c r="D77" s="4" t="n"/>
      <c r="E77" s="21" t="n"/>
      <c r="F77" s="4" t="n"/>
      <c r="G77" s="4" t="n"/>
      <c r="H77" s="5" t="n"/>
      <c r="I77" s="5" t="n"/>
      <c r="J77" s="36">
        <f>(J22*$W22)</f>
        <v/>
      </c>
      <c r="K77" s="7" t="n"/>
      <c r="L77" s="37" t="n"/>
      <c r="M77" s="36">
        <f>(M22*$W22)</f>
        <v/>
      </c>
      <c r="N77" s="36">
        <f>(N22*$W22)</f>
        <v/>
      </c>
      <c r="O77" s="36">
        <f>(O22*$W22)</f>
        <v/>
      </c>
      <c r="P77" s="36">
        <f>(P22*$W22)</f>
        <v/>
      </c>
      <c r="Q77" s="36">
        <f>(Q22*$W22)</f>
        <v/>
      </c>
      <c r="R77" s="36">
        <f>R22</f>
        <v/>
      </c>
      <c r="S77" s="36">
        <f>(S22/52*$W22)</f>
        <v/>
      </c>
      <c r="T77" s="36">
        <f>(T22*$W22)</f>
        <v/>
      </c>
      <c r="U77" s="5" t="n"/>
      <c r="V77" s="36">
        <f>V22</f>
        <v/>
      </c>
      <c r="W77" s="36">
        <f>W22</f>
        <v/>
      </c>
      <c r="X77" s="36">
        <f>X22</f>
        <v/>
      </c>
      <c r="AE77" s="4" t="n"/>
      <c r="AF77" s="4" t="n"/>
      <c r="AG77" s="4" t="n"/>
      <c r="AH77" s="4" t="n"/>
      <c r="AI77" s="4" t="n"/>
      <c r="AJ77" s="4" t="n"/>
      <c r="AK77" s="4" t="n"/>
      <c r="AL77" s="4" t="n"/>
      <c r="AM77" s="4" t="n"/>
      <c r="AN77" s="4" t="n"/>
      <c r="AO77" s="4" t="n"/>
      <c r="AP77" s="4" t="n"/>
      <c r="AQ77" s="4" t="n"/>
      <c r="AR77" s="4" t="n"/>
      <c r="AS77" s="4" t="n"/>
      <c r="AT77" s="4" t="n"/>
      <c r="AU77" s="4" t="n"/>
      <c r="AV77" s="4" t="n"/>
      <c r="AW77" s="4" t="n"/>
      <c r="AX77" s="4" t="n"/>
      <c r="AY77" s="4" t="n"/>
      <c r="AZ77" s="4" t="n"/>
      <c r="BA77" s="4" t="n"/>
      <c r="BB77" s="4" t="n"/>
      <c r="BC77" s="4" t="n"/>
      <c r="BD77" s="4" t="n"/>
      <c r="BE77" s="4" t="n"/>
      <c r="BF77" s="4" t="n"/>
      <c r="BG77" s="4" t="n"/>
      <c r="BH77" s="4" t="n"/>
      <c r="BI77" s="4" t="n"/>
      <c r="BJ77" s="4" t="n"/>
      <c r="BK77" s="4" t="n"/>
      <c r="BL77" s="4" t="n"/>
      <c r="BM77" s="4" t="n"/>
      <c r="BN77" s="4" t="n"/>
    </row>
    <row r="78" customFormat="1" s="23">
      <c r="A78" s="4" t="inlineStr">
        <is>
          <t>QLD</t>
        </is>
      </c>
      <c r="B78" s="19" t="inlineStr">
        <is>
          <t>Medical scientist</t>
        </is>
      </c>
      <c r="C78" s="20" t="n"/>
      <c r="D78" s="4" t="n"/>
      <c r="E78" s="21" t="n"/>
      <c r="F78" s="4" t="n"/>
      <c r="G78" s="4" t="n"/>
      <c r="H78" s="5" t="n"/>
      <c r="I78" s="5" t="n"/>
      <c r="J78" s="36">
        <f>(J23*$W23)</f>
        <v/>
      </c>
      <c r="K78" s="7" t="n"/>
      <c r="L78" s="37" t="n"/>
      <c r="M78" s="36">
        <f>(M23*$W23)</f>
        <v/>
      </c>
      <c r="N78" s="36">
        <f>(N23*$W23)</f>
        <v/>
      </c>
      <c r="O78" s="36">
        <f>(O23*$W23)</f>
        <v/>
      </c>
      <c r="P78" s="36">
        <f>(P23*$W23)</f>
        <v/>
      </c>
      <c r="Q78" s="36">
        <f>(Q23*$W23)</f>
        <v/>
      </c>
      <c r="R78" s="36">
        <f>R23</f>
        <v/>
      </c>
      <c r="S78" s="36">
        <f>(S23/52*$W23)</f>
        <v/>
      </c>
      <c r="T78" s="36">
        <f>(T23*$W23)</f>
        <v/>
      </c>
      <c r="U78" s="5" t="n"/>
      <c r="V78" s="36">
        <f>V23</f>
        <v/>
      </c>
      <c r="W78" s="36">
        <f>W23</f>
        <v/>
      </c>
      <c r="X78" s="36">
        <f>X23</f>
        <v/>
      </c>
      <c r="AE78" s="4" t="n"/>
      <c r="AF78" s="4" t="n"/>
      <c r="AG78" s="4" t="n"/>
      <c r="AH78" s="4" t="n"/>
      <c r="AI78" s="4" t="n"/>
      <c r="AJ78" s="4" t="n"/>
      <c r="AK78" s="4" t="n"/>
      <c r="AL78" s="4" t="n"/>
      <c r="AM78" s="4" t="n"/>
      <c r="AN78" s="4" t="n"/>
      <c r="AO78" s="4" t="n"/>
      <c r="AP78" s="4" t="n"/>
      <c r="AQ78" s="4" t="n"/>
      <c r="AR78" s="4" t="n"/>
      <c r="AS78" s="4" t="n"/>
      <c r="AT78" s="4" t="n"/>
      <c r="AU78" s="4" t="n"/>
      <c r="AV78" s="4" t="n"/>
      <c r="AW78" s="4" t="n"/>
      <c r="AX78" s="4" t="n"/>
      <c r="AY78" s="4" t="n"/>
      <c r="AZ78" s="4" t="n"/>
      <c r="BA78" s="4" t="n"/>
      <c r="BB78" s="4" t="n"/>
      <c r="BC78" s="4" t="n"/>
      <c r="BD78" s="4" t="n"/>
      <c r="BE78" s="4" t="n"/>
      <c r="BF78" s="4" t="n"/>
      <c r="BG78" s="4" t="n"/>
      <c r="BH78" s="4" t="n"/>
      <c r="BI78" s="4" t="n"/>
      <c r="BJ78" s="4" t="n"/>
      <c r="BK78" s="4" t="n"/>
      <c r="BL78" s="4" t="n"/>
      <c r="BM78" s="4" t="n"/>
      <c r="BN78" s="4" t="n"/>
    </row>
    <row r="79" customFormat="1" s="23">
      <c r="A79" s="4" t="inlineStr">
        <is>
          <t>QLD</t>
        </is>
      </c>
      <c r="B79" s="19" t="inlineStr">
        <is>
          <t>Admin staff</t>
        </is>
      </c>
      <c r="C79" s="20" t="n"/>
      <c r="D79" s="4" t="n"/>
      <c r="E79" s="21" t="n"/>
      <c r="F79" s="4" t="n"/>
      <c r="G79" s="4" t="n"/>
      <c r="H79" s="5" t="n"/>
      <c r="I79" s="5" t="n"/>
      <c r="J79" s="36">
        <f>(J24*$W24)</f>
        <v/>
      </c>
      <c r="K79" s="7" t="n"/>
      <c r="L79" s="37" t="n"/>
      <c r="M79" s="36">
        <f>(M24*$W24)</f>
        <v/>
      </c>
      <c r="N79" s="36">
        <f>(N24*$W24)</f>
        <v/>
      </c>
      <c r="O79" s="36">
        <f>(O24*$W24)</f>
        <v/>
      </c>
      <c r="P79" s="36">
        <f>(P24*$W24)</f>
        <v/>
      </c>
      <c r="Q79" s="36">
        <f>(Q24*$W24)</f>
        <v/>
      </c>
      <c r="R79" s="36">
        <f>R24</f>
        <v/>
      </c>
      <c r="S79" s="36">
        <f>(S24/52*$W24)</f>
        <v/>
      </c>
      <c r="T79" s="36">
        <f>(T24*$W24)</f>
        <v/>
      </c>
      <c r="U79" s="5" t="n"/>
      <c r="V79" s="36">
        <f>V24</f>
        <v/>
      </c>
      <c r="W79" s="36">
        <f>W24</f>
        <v/>
      </c>
      <c r="X79" s="36">
        <f>X24</f>
        <v/>
      </c>
      <c r="AE79" s="4" t="n"/>
      <c r="AF79" s="4" t="n"/>
      <c r="AG79" s="4" t="n"/>
      <c r="AH79" s="4" t="n"/>
      <c r="AI79" s="4" t="n"/>
      <c r="AJ79" s="4" t="n"/>
      <c r="AK79" s="4" t="n"/>
      <c r="AL79" s="4" t="n"/>
      <c r="AM79" s="4" t="n"/>
      <c r="AN79" s="4" t="n"/>
      <c r="AO79" s="4" t="n"/>
      <c r="AP79" s="4" t="n"/>
      <c r="AQ79" s="4" t="n"/>
      <c r="AR79" s="4" t="n"/>
      <c r="AS79" s="4" t="n"/>
      <c r="AT79" s="4" t="n"/>
      <c r="AU79" s="4" t="n"/>
      <c r="AV79" s="4" t="n"/>
      <c r="AW79" s="4" t="n"/>
      <c r="AX79" s="4" t="n"/>
      <c r="AY79" s="4" t="n"/>
      <c r="AZ79" s="4" t="n"/>
      <c r="BA79" s="4" t="n"/>
      <c r="BB79" s="4" t="n"/>
      <c r="BC79" s="4" t="n"/>
      <c r="BD79" s="4" t="n"/>
      <c r="BE79" s="4" t="n"/>
      <c r="BF79" s="4" t="n"/>
      <c r="BG79" s="4" t="n"/>
      <c r="BH79" s="4" t="n"/>
      <c r="BI79" s="4" t="n"/>
      <c r="BJ79" s="4" t="n"/>
      <c r="BK79" s="4" t="n"/>
      <c r="BL79" s="4" t="n"/>
      <c r="BM79" s="4" t="n"/>
      <c r="BN79" s="4" t="n"/>
    </row>
    <row r="80" customFormat="1" s="23">
      <c r="A80" s="4" t="inlineStr">
        <is>
          <t>QLD</t>
        </is>
      </c>
      <c r="B80" s="19" t="inlineStr">
        <is>
          <t>Bioinformatics staff</t>
        </is>
      </c>
      <c r="C80" s="20" t="n"/>
      <c r="D80" s="4" t="n"/>
      <c r="E80" s="21" t="n"/>
      <c r="F80" s="4" t="n"/>
      <c r="G80" s="4" t="n"/>
      <c r="H80" s="5" t="n"/>
      <c r="I80" s="5" t="n"/>
      <c r="J80" s="36">
        <f>(J25*$W25)</f>
        <v/>
      </c>
      <c r="K80" s="7" t="n"/>
      <c r="L80" s="37" t="n"/>
      <c r="M80" s="36">
        <f>(M25*$W25)</f>
        <v/>
      </c>
      <c r="N80" s="36">
        <f>(N25*$W25)</f>
        <v/>
      </c>
      <c r="O80" s="36">
        <f>(O25*$W25)</f>
        <v/>
      </c>
      <c r="P80" s="36">
        <f>(P25*$W25)</f>
        <v/>
      </c>
      <c r="Q80" s="36">
        <f>(Q25*$W25)</f>
        <v/>
      </c>
      <c r="R80" s="36">
        <f>R25</f>
        <v/>
      </c>
      <c r="S80" s="36">
        <f>(S25/52*$W25)</f>
        <v/>
      </c>
      <c r="T80" s="36">
        <f>(T25*$W25)</f>
        <v/>
      </c>
      <c r="U80" s="5" t="n"/>
      <c r="V80" s="36">
        <f>V25</f>
        <v/>
      </c>
      <c r="W80" s="36">
        <f>W25</f>
        <v/>
      </c>
      <c r="X80" s="36">
        <f>X25</f>
        <v/>
      </c>
      <c r="AE80" s="4" t="n"/>
      <c r="AF80" s="4" t="n"/>
      <c r="AG80" s="4" t="n"/>
      <c r="AH80" s="4" t="n"/>
      <c r="AI80" s="4" t="n"/>
      <c r="AJ80" s="4" t="n"/>
      <c r="AK80" s="4" t="n"/>
      <c r="AL80" s="4" t="n"/>
      <c r="AM80" s="4" t="n"/>
      <c r="AN80" s="4" t="n"/>
      <c r="AO80" s="4" t="n"/>
      <c r="AP80" s="4" t="n"/>
      <c r="AQ80" s="4" t="n"/>
      <c r="AR80" s="4" t="n"/>
      <c r="AS80" s="4" t="n"/>
      <c r="AT80" s="4" t="n"/>
      <c r="AU80" s="4" t="n"/>
      <c r="AV80" s="4" t="n"/>
      <c r="AW80" s="4" t="n"/>
      <c r="AX80" s="4" t="n"/>
      <c r="AY80" s="4" t="n"/>
      <c r="AZ80" s="4" t="n"/>
      <c r="BA80" s="4" t="n"/>
      <c r="BB80" s="4" t="n"/>
      <c r="BC80" s="4" t="n"/>
      <c r="BD80" s="4" t="n"/>
      <c r="BE80" s="4" t="n"/>
      <c r="BF80" s="4" t="n"/>
      <c r="BG80" s="4" t="n"/>
      <c r="BH80" s="4" t="n"/>
      <c r="BI80" s="4" t="n"/>
      <c r="BJ80" s="4" t="n"/>
      <c r="BK80" s="4" t="n"/>
      <c r="BL80" s="4" t="n"/>
      <c r="BM80" s="4" t="n"/>
      <c r="BN80" s="4" t="n"/>
    </row>
    <row r="81" customFormat="1" s="23">
      <c r="A81" s="4" t="inlineStr">
        <is>
          <t>QLD</t>
        </is>
      </c>
      <c r="B81" s="19" t="inlineStr">
        <is>
          <t>Pathologists</t>
        </is>
      </c>
      <c r="C81" s="20" t="n"/>
      <c r="D81" s="4" t="n"/>
      <c r="E81" s="21" t="n"/>
      <c r="F81" s="4" t="n"/>
      <c r="G81" s="4" t="n"/>
      <c r="H81" s="5" t="n"/>
      <c r="I81" s="5" t="n"/>
      <c r="J81" s="36">
        <f>(J26*$W26)</f>
        <v/>
      </c>
      <c r="K81" s="7" t="n"/>
      <c r="L81" s="37" t="n"/>
      <c r="M81" s="36">
        <f>(M26*$W26)</f>
        <v/>
      </c>
      <c r="N81" s="36">
        <f>(N26*$W26)</f>
        <v/>
      </c>
      <c r="O81" s="36">
        <f>(O26*$W26)</f>
        <v/>
      </c>
      <c r="P81" s="36">
        <f>(P26*$W26)</f>
        <v/>
      </c>
      <c r="Q81" s="36">
        <f>(Q26*$W26)</f>
        <v/>
      </c>
      <c r="R81" s="36">
        <f>R26</f>
        <v/>
      </c>
      <c r="S81" s="36">
        <f>(S26/52*$W26)</f>
        <v/>
      </c>
      <c r="T81" s="36">
        <f>(T26*$W26)</f>
        <v/>
      </c>
      <c r="U81" s="5" t="n"/>
      <c r="V81" s="36">
        <f>V26</f>
        <v/>
      </c>
      <c r="W81" s="36">
        <f>W26</f>
        <v/>
      </c>
      <c r="X81" s="36">
        <f>X26</f>
        <v/>
      </c>
      <c r="AE81" s="4" t="n"/>
      <c r="AF81" s="4" t="n"/>
      <c r="AG81" s="4" t="n"/>
      <c r="AH81" s="4" t="n"/>
      <c r="AI81" s="4" t="n"/>
      <c r="AJ81" s="4" t="n"/>
      <c r="AK81" s="4" t="n"/>
      <c r="AL81" s="4" t="n"/>
      <c r="AM81" s="4" t="n"/>
      <c r="AN81" s="4" t="n"/>
      <c r="AO81" s="4" t="n"/>
      <c r="AP81" s="4" t="n"/>
      <c r="AQ81" s="4" t="n"/>
      <c r="AR81" s="4" t="n"/>
      <c r="AS81" s="4" t="n"/>
      <c r="AT81" s="4" t="n"/>
      <c r="AU81" s="4" t="n"/>
      <c r="AV81" s="4" t="n"/>
      <c r="AW81" s="4" t="n"/>
      <c r="AX81" s="4" t="n"/>
      <c r="AY81" s="4" t="n"/>
      <c r="AZ81" s="4" t="n"/>
      <c r="BA81" s="4" t="n"/>
      <c r="BB81" s="4" t="n"/>
      <c r="BC81" s="4" t="n"/>
      <c r="BD81" s="4" t="n"/>
      <c r="BE81" s="4" t="n"/>
      <c r="BF81" s="4" t="n"/>
      <c r="BG81" s="4" t="n"/>
      <c r="BH81" s="4" t="n"/>
      <c r="BI81" s="4" t="n"/>
      <c r="BJ81" s="4" t="n"/>
      <c r="BK81" s="4" t="n"/>
      <c r="BL81" s="4" t="n"/>
      <c r="BM81" s="4" t="n"/>
      <c r="BN81" s="4" t="n"/>
    </row>
    <row r="82" customFormat="1" s="23">
      <c r="A82" s="4" t="n"/>
      <c r="B82" s="19" t="n"/>
      <c r="C82" s="20" t="n"/>
      <c r="D82" s="4" t="n"/>
      <c r="E82" s="21" t="n"/>
      <c r="F82" s="4" t="n"/>
      <c r="G82" s="4" t="n"/>
      <c r="H82" s="5" t="n"/>
      <c r="I82" s="5" t="n"/>
      <c r="J82" s="6" t="n"/>
      <c r="K82" s="7" t="n"/>
      <c r="L82" s="37" t="n"/>
      <c r="M82" s="37" t="n"/>
      <c r="N82" s="37" t="n"/>
      <c r="O82" s="38" t="n"/>
      <c r="P82" s="37" t="n"/>
      <c r="Q82" s="37" t="n"/>
      <c r="R82" s="26" t="n"/>
      <c r="S82" s="5" t="n"/>
      <c r="T82" s="37" t="n"/>
      <c r="U82" s="5" t="n"/>
      <c r="V82" s="36" t="n"/>
      <c r="W82" s="36" t="n"/>
      <c r="X82" s="36" t="n"/>
      <c r="AE82" s="4" t="n"/>
      <c r="AF82" s="4" t="n"/>
      <c r="AG82" s="4" t="n"/>
      <c r="AH82" s="4" t="n"/>
      <c r="AI82" s="4" t="n"/>
      <c r="AJ82" s="4" t="n"/>
      <c r="AK82" s="4" t="n"/>
      <c r="AL82" s="4" t="n"/>
      <c r="AM82" s="4" t="n"/>
      <c r="AN82" s="4" t="n"/>
      <c r="AO82" s="4" t="n"/>
      <c r="AP82" s="4" t="n"/>
      <c r="AQ82" s="4" t="n"/>
      <c r="AR82" s="4" t="n"/>
      <c r="AS82" s="4" t="n"/>
      <c r="AT82" s="4" t="n"/>
      <c r="AU82" s="4" t="n"/>
      <c r="AV82" s="4" t="n"/>
      <c r="AW82" s="4" t="n"/>
      <c r="AX82" s="4" t="n"/>
      <c r="AY82" s="4" t="n"/>
      <c r="AZ82" s="4" t="n"/>
      <c r="BA82" s="4" t="n"/>
      <c r="BB82" s="4" t="n"/>
      <c r="BC82" s="4" t="n"/>
      <c r="BD82" s="4" t="n"/>
      <c r="BE82" s="4" t="n"/>
      <c r="BF82" s="4" t="n"/>
      <c r="BG82" s="4" t="n"/>
      <c r="BH82" s="4" t="n"/>
      <c r="BI82" s="4" t="n"/>
      <c r="BJ82" s="4" t="n"/>
      <c r="BK82" s="4" t="n"/>
      <c r="BL82" s="4" t="n"/>
      <c r="BM82" s="4" t="n"/>
      <c r="BN82" s="4" t="n"/>
    </row>
    <row r="83" customFormat="1" s="23">
      <c r="A83" s="4" t="inlineStr">
        <is>
          <t>WA</t>
        </is>
      </c>
      <c r="B83" s="19" t="inlineStr">
        <is>
          <t>Lab technician</t>
        </is>
      </c>
      <c r="C83" s="20" t="n"/>
      <c r="D83" s="4" t="n"/>
      <c r="E83" s="21" t="n"/>
      <c r="F83" s="4" t="n"/>
      <c r="G83" s="4" t="n"/>
      <c r="H83" s="5" t="n"/>
      <c r="I83" s="5" t="n"/>
      <c r="J83" s="36">
        <f>(J28*$W28)</f>
        <v/>
      </c>
      <c r="K83" s="7" t="n"/>
      <c r="L83" s="37" t="n"/>
      <c r="M83" s="36">
        <f>(M28*$W28)</f>
        <v/>
      </c>
      <c r="N83" s="36">
        <f>(N28*$W28)</f>
        <v/>
      </c>
      <c r="O83" s="36">
        <f>(O28*$W28)</f>
        <v/>
      </c>
      <c r="P83" s="36">
        <f>(P28*$W28)</f>
        <v/>
      </c>
      <c r="Q83" s="36">
        <f>(Q28*$W28)</f>
        <v/>
      </c>
      <c r="R83" s="36">
        <f>R28</f>
        <v/>
      </c>
      <c r="S83" s="36">
        <f>(S28/52*$W28)</f>
        <v/>
      </c>
      <c r="T83" s="36">
        <f>(T28*$W28)</f>
        <v/>
      </c>
      <c r="U83" s="5" t="n"/>
      <c r="V83" s="36">
        <f>V28</f>
        <v/>
      </c>
      <c r="W83" s="36">
        <f>W28</f>
        <v/>
      </c>
      <c r="X83" s="36">
        <f>X28</f>
        <v/>
      </c>
      <c r="AE83" s="4" t="n"/>
      <c r="AF83" s="4" t="n"/>
      <c r="AG83" s="4" t="n"/>
      <c r="AH83" s="4" t="n"/>
      <c r="AI83" s="4" t="n"/>
      <c r="AJ83" s="4" t="n"/>
      <c r="AK83" s="4" t="n"/>
      <c r="AL83" s="4" t="n"/>
      <c r="AM83" s="4" t="n"/>
      <c r="AN83" s="4" t="n"/>
      <c r="AO83" s="4" t="n"/>
      <c r="AP83" s="4" t="n"/>
      <c r="AQ83" s="4" t="n"/>
      <c r="AR83" s="4" t="n"/>
      <c r="AS83" s="4" t="n"/>
      <c r="AT83" s="4" t="n"/>
      <c r="AU83" s="4" t="n"/>
      <c r="AV83" s="4" t="n"/>
      <c r="AW83" s="4" t="n"/>
      <c r="AX83" s="4" t="n"/>
      <c r="AY83" s="4" t="n"/>
      <c r="AZ83" s="4" t="n"/>
      <c r="BA83" s="4" t="n"/>
      <c r="BB83" s="4" t="n"/>
      <c r="BC83" s="4" t="n"/>
      <c r="BD83" s="4" t="n"/>
      <c r="BE83" s="4" t="n"/>
      <c r="BF83" s="4" t="n"/>
      <c r="BG83" s="4" t="n"/>
      <c r="BH83" s="4" t="n"/>
      <c r="BI83" s="4" t="n"/>
      <c r="BJ83" s="4" t="n"/>
      <c r="BK83" s="4" t="n"/>
      <c r="BL83" s="4" t="n"/>
      <c r="BM83" s="4" t="n"/>
      <c r="BN83" s="4" t="n"/>
    </row>
    <row r="84" customFormat="1" s="23">
      <c r="A84" s="4" t="inlineStr">
        <is>
          <t>WA</t>
        </is>
      </c>
      <c r="B84" s="19" t="inlineStr">
        <is>
          <t>Medical scientist</t>
        </is>
      </c>
      <c r="C84" s="20" t="n"/>
      <c r="D84" s="4" t="n"/>
      <c r="E84" s="21" t="n"/>
      <c r="F84" s="4" t="n"/>
      <c r="G84" s="4" t="n"/>
      <c r="H84" s="5" t="n"/>
      <c r="I84" s="5" t="n"/>
      <c r="J84" s="36">
        <f>(J29*$W29)</f>
        <v/>
      </c>
      <c r="K84" s="7" t="n"/>
      <c r="L84" s="37" t="n"/>
      <c r="M84" s="36">
        <f>(M29*$W29)</f>
        <v/>
      </c>
      <c r="N84" s="36">
        <f>(N29*$W29)</f>
        <v/>
      </c>
      <c r="O84" s="36">
        <f>(O29*$W29)</f>
        <v/>
      </c>
      <c r="P84" s="36">
        <f>(P29*$W29)</f>
        <v/>
      </c>
      <c r="Q84" s="36">
        <f>(Q29*$W29)</f>
        <v/>
      </c>
      <c r="R84" s="36">
        <f>R29</f>
        <v/>
      </c>
      <c r="S84" s="36">
        <f>(S29/52*$W29)</f>
        <v/>
      </c>
      <c r="T84" s="36">
        <f>(T29*$W29)</f>
        <v/>
      </c>
      <c r="U84" s="5" t="n"/>
      <c r="V84" s="36">
        <f>V29</f>
        <v/>
      </c>
      <c r="W84" s="36">
        <f>W29</f>
        <v/>
      </c>
      <c r="X84" s="36">
        <f>X29</f>
        <v/>
      </c>
      <c r="AE84" s="4" t="n"/>
      <c r="AF84" s="4" t="n"/>
      <c r="AG84" s="4" t="n"/>
      <c r="AH84" s="4" t="n"/>
      <c r="AI84" s="4" t="n"/>
      <c r="AJ84" s="4" t="n"/>
      <c r="AK84" s="4" t="n"/>
      <c r="AL84" s="4" t="n"/>
      <c r="AM84" s="4" t="n"/>
      <c r="AN84" s="4" t="n"/>
      <c r="AO84" s="4" t="n"/>
      <c r="AP84" s="4" t="n"/>
      <c r="AQ84" s="4" t="n"/>
      <c r="AR84" s="4" t="n"/>
      <c r="AS84" s="4" t="n"/>
      <c r="AT84" s="4" t="n"/>
      <c r="AU84" s="4" t="n"/>
      <c r="AV84" s="4" t="n"/>
      <c r="AW84" s="4" t="n"/>
      <c r="AX84" s="4" t="n"/>
      <c r="AY84" s="4" t="n"/>
      <c r="AZ84" s="4" t="n"/>
      <c r="BA84" s="4" t="n"/>
      <c r="BB84" s="4" t="n"/>
      <c r="BC84" s="4" t="n"/>
      <c r="BD84" s="4" t="n"/>
      <c r="BE84" s="4" t="n"/>
      <c r="BF84" s="4" t="n"/>
      <c r="BG84" s="4" t="n"/>
      <c r="BH84" s="4" t="n"/>
      <c r="BI84" s="4" t="n"/>
      <c r="BJ84" s="4" t="n"/>
      <c r="BK84" s="4" t="n"/>
      <c r="BL84" s="4" t="n"/>
      <c r="BM84" s="4" t="n"/>
      <c r="BN84" s="4" t="n"/>
    </row>
    <row r="85" customFormat="1" s="23">
      <c r="A85" s="4" t="inlineStr">
        <is>
          <t>WA</t>
        </is>
      </c>
      <c r="B85" s="19" t="inlineStr">
        <is>
          <t>Admin staff</t>
        </is>
      </c>
      <c r="C85" s="20" t="n"/>
      <c r="D85" s="4" t="n"/>
      <c r="E85" s="21" t="n"/>
      <c r="F85" s="4" t="n"/>
      <c r="G85" s="4" t="n"/>
      <c r="H85" s="5" t="n"/>
      <c r="I85" s="5" t="n"/>
      <c r="J85" s="36">
        <f>(J30*$W30)</f>
        <v/>
      </c>
      <c r="K85" s="7" t="n"/>
      <c r="L85" s="37" t="n"/>
      <c r="M85" s="36">
        <f>(M30*$W30)</f>
        <v/>
      </c>
      <c r="N85" s="36">
        <f>(N30*$W30)</f>
        <v/>
      </c>
      <c r="O85" s="36">
        <f>(O30*$W30)</f>
        <v/>
      </c>
      <c r="P85" s="36">
        <f>(P30*$W30)</f>
        <v/>
      </c>
      <c r="Q85" s="36">
        <f>(Q30*$W30)</f>
        <v/>
      </c>
      <c r="R85" s="36">
        <f>R30</f>
        <v/>
      </c>
      <c r="S85" s="36">
        <f>(S30/52*$W30)</f>
        <v/>
      </c>
      <c r="T85" s="36">
        <f>(T30*$W30)</f>
        <v/>
      </c>
      <c r="U85" s="5" t="n"/>
      <c r="V85" s="36">
        <f>V30</f>
        <v/>
      </c>
      <c r="W85" s="36">
        <f>W30</f>
        <v/>
      </c>
      <c r="X85" s="36">
        <f>X30</f>
        <v/>
      </c>
      <c r="AE85" s="4" t="n"/>
      <c r="AF85" s="4" t="n"/>
      <c r="AG85" s="4" t="n"/>
      <c r="AH85" s="4" t="n"/>
      <c r="AI85" s="4" t="n"/>
      <c r="AJ85" s="4" t="n"/>
      <c r="AK85" s="4" t="n"/>
      <c r="AL85" s="4" t="n"/>
      <c r="AM85" s="4" t="n"/>
      <c r="AN85" s="4" t="n"/>
      <c r="AO85" s="4" t="n"/>
      <c r="AP85" s="4" t="n"/>
      <c r="AQ85" s="4" t="n"/>
      <c r="AR85" s="4" t="n"/>
      <c r="AS85" s="4" t="n"/>
      <c r="AT85" s="4" t="n"/>
      <c r="AU85" s="4" t="n"/>
      <c r="AV85" s="4" t="n"/>
      <c r="AW85" s="4" t="n"/>
      <c r="AX85" s="4" t="n"/>
      <c r="AY85" s="4" t="n"/>
      <c r="AZ85" s="4" t="n"/>
      <c r="BA85" s="4" t="n"/>
      <c r="BB85" s="4" t="n"/>
      <c r="BC85" s="4" t="n"/>
      <c r="BD85" s="4" t="n"/>
      <c r="BE85" s="4" t="n"/>
      <c r="BF85" s="4" t="n"/>
      <c r="BG85" s="4" t="n"/>
      <c r="BH85" s="4" t="n"/>
      <c r="BI85" s="4" t="n"/>
      <c r="BJ85" s="4" t="n"/>
      <c r="BK85" s="4" t="n"/>
      <c r="BL85" s="4" t="n"/>
      <c r="BM85" s="4" t="n"/>
      <c r="BN85" s="4" t="n"/>
    </row>
    <row r="86" customFormat="1" s="23">
      <c r="A86" s="4" t="inlineStr">
        <is>
          <t>WA</t>
        </is>
      </c>
      <c r="B86" s="19" t="inlineStr">
        <is>
          <t>Bioinformatics staff</t>
        </is>
      </c>
      <c r="C86" s="20" t="n"/>
      <c r="D86" s="4" t="n"/>
      <c r="E86" s="21" t="n"/>
      <c r="F86" s="4" t="n"/>
      <c r="G86" s="4" t="n"/>
      <c r="H86" s="5" t="n"/>
      <c r="I86" s="5" t="n"/>
      <c r="J86" s="36">
        <f>(J31*$W31)</f>
        <v/>
      </c>
      <c r="K86" s="7" t="n"/>
      <c r="L86" s="37" t="n"/>
      <c r="M86" s="36">
        <f>(M31*$W31)</f>
        <v/>
      </c>
      <c r="N86" s="36">
        <f>(N31*$W31)</f>
        <v/>
      </c>
      <c r="O86" s="36">
        <f>(O31*$W31)</f>
        <v/>
      </c>
      <c r="P86" s="36">
        <f>(P31*$W31)</f>
        <v/>
      </c>
      <c r="Q86" s="36">
        <f>(Q31*$W31)</f>
        <v/>
      </c>
      <c r="R86" s="36">
        <f>R31</f>
        <v/>
      </c>
      <c r="S86" s="36">
        <f>(S31/52*$W31)</f>
        <v/>
      </c>
      <c r="T86" s="36">
        <f>(T31*$W31)</f>
        <v/>
      </c>
      <c r="U86" s="5" t="n"/>
      <c r="V86" s="36">
        <f>V31</f>
        <v/>
      </c>
      <c r="W86" s="36">
        <f>W31</f>
        <v/>
      </c>
      <c r="X86" s="36">
        <f>X31</f>
        <v/>
      </c>
      <c r="AE86" s="4" t="n"/>
      <c r="AF86" s="4" t="n"/>
      <c r="AG86" s="4" t="n"/>
      <c r="AH86" s="4" t="n"/>
      <c r="AI86" s="4" t="n"/>
      <c r="AJ86" s="4" t="n"/>
      <c r="AK86" s="4" t="n"/>
      <c r="AL86" s="4" t="n"/>
      <c r="AM86" s="4" t="n"/>
      <c r="AN86" s="4" t="n"/>
      <c r="AO86" s="4" t="n"/>
      <c r="AP86" s="4" t="n"/>
      <c r="AQ86" s="4" t="n"/>
      <c r="AR86" s="4" t="n"/>
      <c r="AS86" s="4" t="n"/>
      <c r="AT86" s="4" t="n"/>
      <c r="AU86" s="4" t="n"/>
      <c r="AV86" s="4" t="n"/>
      <c r="AW86" s="4" t="n"/>
      <c r="AX86" s="4" t="n"/>
      <c r="AY86" s="4" t="n"/>
      <c r="AZ86" s="4" t="n"/>
      <c r="BA86" s="4" t="n"/>
      <c r="BB86" s="4" t="n"/>
      <c r="BC86" s="4" t="n"/>
      <c r="BD86" s="4" t="n"/>
      <c r="BE86" s="4" t="n"/>
      <c r="BF86" s="4" t="n"/>
      <c r="BG86" s="4" t="n"/>
      <c r="BH86" s="4" t="n"/>
      <c r="BI86" s="4" t="n"/>
      <c r="BJ86" s="4" t="n"/>
      <c r="BK86" s="4" t="n"/>
      <c r="BL86" s="4" t="n"/>
      <c r="BM86" s="4" t="n"/>
      <c r="BN86" s="4" t="n"/>
    </row>
    <row r="87" customFormat="1" s="23">
      <c r="A87" s="4" t="inlineStr">
        <is>
          <t>WA</t>
        </is>
      </c>
      <c r="B87" s="19" t="inlineStr">
        <is>
          <t>Pathologists</t>
        </is>
      </c>
      <c r="C87" s="20" t="n"/>
      <c r="D87" s="4" t="n"/>
      <c r="E87" s="21" t="n"/>
      <c r="F87" s="4" t="n"/>
      <c r="G87" s="4" t="n"/>
      <c r="H87" s="5" t="n"/>
      <c r="I87" s="5" t="n"/>
      <c r="J87" s="36">
        <f>(J32*$W32)</f>
        <v/>
      </c>
      <c r="K87" s="7" t="n"/>
      <c r="L87" s="37" t="n"/>
      <c r="M87" s="36">
        <f>(M32*$W32)</f>
        <v/>
      </c>
      <c r="N87" s="36">
        <f>(N32*$W32)</f>
        <v/>
      </c>
      <c r="O87" s="36">
        <f>(O32*$W32)</f>
        <v/>
      </c>
      <c r="P87" s="36">
        <f>(P32*$W32)</f>
        <v/>
      </c>
      <c r="Q87" s="36">
        <f>(Q32*$W32)</f>
        <v/>
      </c>
      <c r="R87" s="36">
        <f>R32</f>
        <v/>
      </c>
      <c r="S87" s="36">
        <f>(S32/52*$W32)</f>
        <v/>
      </c>
      <c r="T87" s="36">
        <f>(T32*$W32)</f>
        <v/>
      </c>
      <c r="U87" s="5" t="n"/>
      <c r="V87" s="36">
        <f>V32</f>
        <v/>
      </c>
      <c r="W87" s="36">
        <f>W32</f>
        <v/>
      </c>
      <c r="X87" s="36">
        <f>X32</f>
        <v/>
      </c>
      <c r="AE87" s="4" t="n"/>
      <c r="AF87" s="4" t="n"/>
      <c r="AG87" s="4" t="n"/>
      <c r="AH87" s="4" t="n"/>
      <c r="AI87" s="4" t="n"/>
      <c r="AJ87" s="4" t="n"/>
      <c r="AK87" s="4" t="n"/>
      <c r="AL87" s="4" t="n"/>
      <c r="AM87" s="4" t="n"/>
      <c r="AN87" s="4" t="n"/>
      <c r="AO87" s="4" t="n"/>
      <c r="AP87" s="4" t="n"/>
      <c r="AQ87" s="4" t="n"/>
      <c r="AR87" s="4" t="n"/>
      <c r="AS87" s="4" t="n"/>
      <c r="AT87" s="4" t="n"/>
      <c r="AU87" s="4" t="n"/>
      <c r="AV87" s="4" t="n"/>
      <c r="AW87" s="4" t="n"/>
      <c r="AX87" s="4" t="n"/>
      <c r="AY87" s="4" t="n"/>
      <c r="AZ87" s="4" t="n"/>
      <c r="BA87" s="4" t="n"/>
      <c r="BB87" s="4" t="n"/>
      <c r="BC87" s="4" t="n"/>
      <c r="BD87" s="4" t="n"/>
      <c r="BE87" s="4" t="n"/>
      <c r="BF87" s="4" t="n"/>
      <c r="BG87" s="4" t="n"/>
      <c r="BH87" s="4" t="n"/>
      <c r="BI87" s="4" t="n"/>
      <c r="BJ87" s="4" t="n"/>
      <c r="BK87" s="4" t="n"/>
      <c r="BL87" s="4" t="n"/>
      <c r="BM87" s="4" t="n"/>
      <c r="BN87" s="4" t="n"/>
    </row>
    <row r="88" customFormat="1" s="23">
      <c r="A88" s="4" t="n"/>
      <c r="B88" s="19" t="n"/>
      <c r="C88" s="20" t="n"/>
      <c r="D88" s="4" t="n"/>
      <c r="E88" s="21" t="n"/>
      <c r="F88" s="4" t="n"/>
      <c r="G88" s="4" t="n"/>
      <c r="H88" s="5" t="n"/>
      <c r="I88" s="5" t="n"/>
      <c r="J88" s="36" t="n"/>
      <c r="K88" s="7" t="n"/>
      <c r="L88" s="37" t="n"/>
      <c r="M88" s="36" t="n"/>
      <c r="N88" s="36" t="n"/>
      <c r="O88" s="36" t="n"/>
      <c r="P88" s="36" t="n"/>
      <c r="Q88" s="36" t="n"/>
      <c r="R88" s="36" t="n"/>
      <c r="S88" s="36" t="n"/>
      <c r="T88" s="36" t="n"/>
      <c r="U88" s="5" t="n"/>
      <c r="V88" s="36" t="n"/>
      <c r="W88" s="36" t="n"/>
      <c r="X88" s="36" t="n"/>
      <c r="AE88" s="4" t="n"/>
      <c r="AF88" s="4" t="n"/>
      <c r="AG88" s="4" t="n"/>
      <c r="AH88" s="4" t="n"/>
      <c r="AI88" s="4" t="n"/>
      <c r="AJ88" s="4" t="n"/>
      <c r="AK88" s="4" t="n"/>
      <c r="AL88" s="4" t="n"/>
      <c r="AM88" s="4" t="n"/>
      <c r="AN88" s="4" t="n"/>
      <c r="AO88" s="4" t="n"/>
      <c r="AP88" s="4" t="n"/>
      <c r="AQ88" s="4" t="n"/>
      <c r="AR88" s="4" t="n"/>
      <c r="AS88" s="4" t="n"/>
      <c r="AT88" s="4" t="n"/>
      <c r="AU88" s="4" t="n"/>
      <c r="AV88" s="4" t="n"/>
      <c r="AW88" s="4" t="n"/>
      <c r="AX88" s="4" t="n"/>
      <c r="AY88" s="4" t="n"/>
      <c r="AZ88" s="4" t="n"/>
      <c r="BA88" s="4" t="n"/>
      <c r="BB88" s="4" t="n"/>
      <c r="BC88" s="4" t="n"/>
      <c r="BD88" s="4" t="n"/>
      <c r="BE88" s="4" t="n"/>
      <c r="BF88" s="4" t="n"/>
      <c r="BG88" s="4" t="n"/>
      <c r="BH88" s="4" t="n"/>
      <c r="BI88" s="4" t="n"/>
      <c r="BJ88" s="4" t="n"/>
      <c r="BK88" s="4" t="n"/>
      <c r="BL88" s="4" t="n"/>
      <c r="BM88" s="4" t="n"/>
      <c r="BN88" s="4" t="n"/>
    </row>
    <row r="89" customFormat="1" s="23">
      <c r="A89" s="4" t="inlineStr">
        <is>
          <t>ALL</t>
        </is>
      </c>
      <c r="B89" s="19" t="inlineStr">
        <is>
          <t>Lab technician</t>
        </is>
      </c>
      <c r="C89" s="20" t="n"/>
      <c r="D89" s="4" t="n"/>
      <c r="E89" s="21" t="n"/>
      <c r="F89" s="4" t="n"/>
      <c r="G89" s="4" t="n"/>
      <c r="H89" s="5" t="n"/>
      <c r="I89" s="5" t="n"/>
      <c r="J89" s="36">
        <f>AVERAGE(J28,J22,J16,J10,J4)*$W4</f>
        <v/>
      </c>
      <c r="K89" s="7" t="n"/>
      <c r="L89" s="37" t="n"/>
      <c r="M89" s="36">
        <f>AVERAGE(M28,M22,M16,M10,M4)*$W4</f>
        <v/>
      </c>
      <c r="N89" s="36">
        <f>AVERAGE(N28,N22,N16,N10,N4)*$W4</f>
        <v/>
      </c>
      <c r="O89" s="36">
        <f>AVERAGE(O28,O22,O16,O10,O4)*$W4</f>
        <v/>
      </c>
      <c r="P89" s="36">
        <f>AVERAGE(P28,P22,P16,P10,P4)*$W4</f>
        <v/>
      </c>
      <c r="Q89" s="36">
        <f>AVERAGE(Q28,Q22,Q16,Q10,Q4)*$W4</f>
        <v/>
      </c>
      <c r="R89" s="36">
        <f>AVERAGE(R28,R22,R16,R10,R4)</f>
        <v/>
      </c>
      <c r="S89" s="36">
        <f>AVERAGE(S28,S22,S16,S10,S4)/52*$W4</f>
        <v/>
      </c>
      <c r="T89" s="36">
        <f>AVERAGE(T28,T22,T16,T10,T4)*$W4</f>
        <v/>
      </c>
      <c r="U89" s="5" t="n"/>
      <c r="V89" s="36">
        <f>AVERAGE(V28,V22,V16,V10,V4)</f>
        <v/>
      </c>
      <c r="W89" s="36">
        <f>AVERAGE(W28,W22,W16,W10,W4)</f>
        <v/>
      </c>
      <c r="X89" s="36">
        <f>AVERAGE(X28,X22,X16,X10,X4)</f>
        <v/>
      </c>
      <c r="AE89" s="4" t="n"/>
      <c r="AF89" s="4" t="n"/>
      <c r="AG89" s="4" t="n"/>
      <c r="AH89" s="4" t="n"/>
      <c r="AI89" s="4" t="n"/>
      <c r="AJ89" s="4" t="n"/>
      <c r="AK89" s="4" t="n"/>
      <c r="AL89" s="4" t="n"/>
      <c r="AM89" s="4" t="n"/>
      <c r="AN89" s="4" t="n"/>
      <c r="AO89" s="4" t="n"/>
      <c r="AP89" s="4" t="n"/>
      <c r="AQ89" s="4" t="n"/>
      <c r="AR89" s="4" t="n"/>
      <c r="AS89" s="4" t="n"/>
      <c r="AT89" s="4" t="n"/>
      <c r="AU89" s="4" t="n"/>
      <c r="AV89" s="4" t="n"/>
      <c r="AW89" s="4" t="n"/>
      <c r="AX89" s="4" t="n"/>
      <c r="AY89" s="4" t="n"/>
      <c r="AZ89" s="4" t="n"/>
      <c r="BA89" s="4" t="n"/>
      <c r="BB89" s="4" t="n"/>
      <c r="BC89" s="4" t="n"/>
      <c r="BD89" s="4" t="n"/>
      <c r="BE89" s="4" t="n"/>
      <c r="BF89" s="4" t="n"/>
      <c r="BG89" s="4" t="n"/>
      <c r="BH89" s="4" t="n"/>
      <c r="BI89" s="4" t="n"/>
      <c r="BJ89" s="4" t="n"/>
      <c r="BK89" s="4" t="n"/>
      <c r="BL89" s="4" t="n"/>
      <c r="BM89" s="4" t="n"/>
      <c r="BN89" s="4" t="n"/>
    </row>
    <row r="90" customFormat="1" s="23">
      <c r="A90" s="4" t="inlineStr">
        <is>
          <t>ALL</t>
        </is>
      </c>
      <c r="B90" s="19" t="inlineStr">
        <is>
          <t>Medical scientist</t>
        </is>
      </c>
      <c r="C90" s="20" t="n"/>
      <c r="D90" s="4" t="n"/>
      <c r="E90" s="21" t="n"/>
      <c r="F90" s="4" t="n"/>
      <c r="G90" s="4" t="n"/>
      <c r="H90" s="5" t="n"/>
      <c r="I90" s="5" t="n"/>
      <c r="J90" s="36">
        <f>AVERAGE(J29,J23,J17,J11,J5)*$W5</f>
        <v/>
      </c>
      <c r="K90" s="7" t="n"/>
      <c r="L90" s="37" t="n"/>
      <c r="M90" s="36">
        <f>AVERAGE(M29,M23,M17,M11,M5)*$W5</f>
        <v/>
      </c>
      <c r="N90" s="36">
        <f>AVERAGE(N29,N23,N17,N11,N5)*$W5</f>
        <v/>
      </c>
      <c r="O90" s="36">
        <f>AVERAGE(O29,O23,O17,O11,O5)*$W5</f>
        <v/>
      </c>
      <c r="P90" s="36">
        <f>AVERAGE(P29,P23,P17,P11,P5)*$W5</f>
        <v/>
      </c>
      <c r="Q90" s="36">
        <f>AVERAGE(Q29,Q23,Q17,Q11,Q5)*$W5</f>
        <v/>
      </c>
      <c r="R90" s="36">
        <f>AVERAGE(R29,R23,R17,R11,R5)</f>
        <v/>
      </c>
      <c r="S90" s="36">
        <f>AVERAGE(S29,S23,S17,S11,S5)/52*$W5</f>
        <v/>
      </c>
      <c r="T90" s="36">
        <f>AVERAGE(T29,T23,T17,T11,T5)*$W5</f>
        <v/>
      </c>
      <c r="U90" s="5" t="n"/>
      <c r="V90" s="36">
        <f>AVERAGE(V29,V23,V17,V11,V5)</f>
        <v/>
      </c>
      <c r="W90" s="36">
        <f>AVERAGE(W29,W23,W17,W11,W5)</f>
        <v/>
      </c>
      <c r="X90" s="36">
        <f>AVERAGE(X29,X23,X17,X11,X5)</f>
        <v/>
      </c>
      <c r="AE90" s="4" t="n"/>
      <c r="AF90" s="4" t="n"/>
      <c r="AG90" s="4" t="n"/>
      <c r="AH90" s="4" t="n"/>
      <c r="AI90" s="4" t="n"/>
      <c r="AJ90" s="4" t="n"/>
      <c r="AK90" s="4" t="n"/>
      <c r="AL90" s="4" t="n"/>
      <c r="AM90" s="4" t="n"/>
      <c r="AN90" s="4" t="n"/>
      <c r="AO90" s="4" t="n"/>
      <c r="AP90" s="4" t="n"/>
      <c r="AQ90" s="4" t="n"/>
      <c r="AR90" s="4" t="n"/>
      <c r="AS90" s="4" t="n"/>
      <c r="AT90" s="4" t="n"/>
      <c r="AU90" s="4" t="n"/>
      <c r="AV90" s="4" t="n"/>
      <c r="AW90" s="4" t="n"/>
      <c r="AX90" s="4" t="n"/>
      <c r="AY90" s="4" t="n"/>
      <c r="AZ90" s="4" t="n"/>
      <c r="BA90" s="4" t="n"/>
      <c r="BB90" s="4" t="n"/>
      <c r="BC90" s="4" t="n"/>
      <c r="BD90" s="4" t="n"/>
      <c r="BE90" s="4" t="n"/>
      <c r="BF90" s="4" t="n"/>
      <c r="BG90" s="4" t="n"/>
      <c r="BH90" s="4" t="n"/>
      <c r="BI90" s="4" t="n"/>
      <c r="BJ90" s="4" t="n"/>
      <c r="BK90" s="4" t="n"/>
      <c r="BL90" s="4" t="n"/>
      <c r="BM90" s="4" t="n"/>
      <c r="BN90" s="4" t="n"/>
    </row>
    <row r="91" customFormat="1" s="23">
      <c r="A91" s="4" t="inlineStr">
        <is>
          <t>ALL</t>
        </is>
      </c>
      <c r="B91" s="19" t="inlineStr">
        <is>
          <t>Admin staff</t>
        </is>
      </c>
      <c r="C91" s="20" t="n"/>
      <c r="D91" s="4" t="n"/>
      <c r="E91" s="21" t="n"/>
      <c r="F91" s="4" t="n"/>
      <c r="G91" s="4" t="n"/>
      <c r="H91" s="5" t="n"/>
      <c r="I91" s="5" t="n"/>
      <c r="J91" s="36">
        <f>AVERAGE(J30,J24,J18,J12,J6)*$W6</f>
        <v/>
      </c>
      <c r="K91" s="7" t="n"/>
      <c r="L91" s="37" t="n"/>
      <c r="M91" s="36">
        <f>AVERAGE(M30,M24,M18,M12,M6)*$W6</f>
        <v/>
      </c>
      <c r="N91" s="36">
        <f>AVERAGE(N30,N24,N18,N12,N6)*$W6</f>
        <v/>
      </c>
      <c r="O91" s="36">
        <f>AVERAGE(O30,O24,O18,O12,O6)*$W6</f>
        <v/>
      </c>
      <c r="P91" s="36">
        <f>AVERAGE(P30,P24,P18,P12,P6)*$W6</f>
        <v/>
      </c>
      <c r="Q91" s="36">
        <f>AVERAGE(Q30,Q24,Q18,Q12,Q6)*$W6</f>
        <v/>
      </c>
      <c r="R91" s="36">
        <f>AVERAGE(R30,R24,R18,R12,R6)</f>
        <v/>
      </c>
      <c r="S91" s="36">
        <f>AVERAGE(S30,S24,S18,S12,S6)/52*$W6</f>
        <v/>
      </c>
      <c r="T91" s="36">
        <f>AVERAGE(T30,T24,T18,T12,T6)*$W6</f>
        <v/>
      </c>
      <c r="U91" s="5" t="n"/>
      <c r="V91" s="36">
        <f>AVERAGE(V30,V24,V18,V12,V6)</f>
        <v/>
      </c>
      <c r="W91" s="36">
        <f>AVERAGE(W30,W24,W18,W12,W6)</f>
        <v/>
      </c>
      <c r="X91" s="36">
        <f>AVERAGE(X30,X24,X18,X12,X6)</f>
        <v/>
      </c>
      <c r="AE91" s="4" t="n"/>
      <c r="AF91" s="4" t="n"/>
      <c r="AG91" s="4" t="n"/>
      <c r="AH91" s="4" t="n"/>
      <c r="AI91" s="4" t="n"/>
      <c r="AJ91" s="4" t="n"/>
      <c r="AK91" s="4" t="n"/>
      <c r="AL91" s="4" t="n"/>
      <c r="AM91" s="4" t="n"/>
      <c r="AN91" s="4" t="n"/>
      <c r="AO91" s="4" t="n"/>
      <c r="AP91" s="4" t="n"/>
      <c r="AQ91" s="4" t="n"/>
      <c r="AR91" s="4" t="n"/>
      <c r="AS91" s="4" t="n"/>
      <c r="AT91" s="4" t="n"/>
      <c r="AU91" s="4" t="n"/>
      <c r="AV91" s="4" t="n"/>
      <c r="AW91" s="4" t="n"/>
      <c r="AX91" s="4" t="n"/>
      <c r="AY91" s="4" t="n"/>
      <c r="AZ91" s="4" t="n"/>
      <c r="BA91" s="4" t="n"/>
      <c r="BB91" s="4" t="n"/>
      <c r="BC91" s="4" t="n"/>
      <c r="BD91" s="4" t="n"/>
      <c r="BE91" s="4" t="n"/>
      <c r="BF91" s="4" t="n"/>
      <c r="BG91" s="4" t="n"/>
      <c r="BH91" s="4" t="n"/>
      <c r="BI91" s="4" t="n"/>
      <c r="BJ91" s="4" t="n"/>
      <c r="BK91" s="4" t="n"/>
      <c r="BL91" s="4" t="n"/>
      <c r="BM91" s="4" t="n"/>
      <c r="BN91" s="4" t="n"/>
    </row>
    <row r="92" customFormat="1" s="23">
      <c r="A92" s="4" t="inlineStr">
        <is>
          <t>ALL</t>
        </is>
      </c>
      <c r="B92" s="19" t="inlineStr">
        <is>
          <t>Bioinformatics staff</t>
        </is>
      </c>
      <c r="C92" s="20" t="n"/>
      <c r="D92" s="4" t="n"/>
      <c r="E92" s="21" t="n"/>
      <c r="F92" s="4" t="n"/>
      <c r="G92" s="4" t="n"/>
      <c r="H92" s="5" t="n"/>
      <c r="I92" s="5" t="n"/>
      <c r="J92" s="36">
        <f>AVERAGE(J31,J25,J19,J13,J7)*$W7</f>
        <v/>
      </c>
      <c r="K92" s="7" t="n"/>
      <c r="L92" s="37" t="n"/>
      <c r="M92" s="36">
        <f>AVERAGE(M31,M25,M19,M13,M7)*$W7</f>
        <v/>
      </c>
      <c r="N92" s="36">
        <f>AVERAGE(N31,N25,N19,N13,N7)*$W7</f>
        <v/>
      </c>
      <c r="O92" s="36">
        <f>AVERAGE(O31,O25,O19,O13,O7)*$W7</f>
        <v/>
      </c>
      <c r="P92" s="36">
        <f>AVERAGE(P31,P25,P19,P13,P7)*$W7</f>
        <v/>
      </c>
      <c r="Q92" s="36">
        <f>AVERAGE(Q31,Q25,Q19,Q13,Q7)*$W7</f>
        <v/>
      </c>
      <c r="R92" s="36">
        <f>AVERAGE(R31,R25,R19,R13,R7)</f>
        <v/>
      </c>
      <c r="S92" s="36">
        <f>AVERAGE(S31,S25,S19,S13,S7)/52*$W7</f>
        <v/>
      </c>
      <c r="T92" s="36">
        <f>AVERAGE(T31,T25,T19,T13,T7)*$W7</f>
        <v/>
      </c>
      <c r="U92" s="5" t="n"/>
      <c r="V92" s="36">
        <f>AVERAGE(V31,V25,V19,V13,V7)</f>
        <v/>
      </c>
      <c r="W92" s="36">
        <f>AVERAGE(W31,W25,W19,W13,W7)</f>
        <v/>
      </c>
      <c r="X92" s="36">
        <f>AVERAGE(X31,X25,X19,X13,X7)</f>
        <v/>
      </c>
      <c r="AE92" s="4" t="n"/>
      <c r="AF92" s="4" t="n"/>
      <c r="AG92" s="4" t="n"/>
      <c r="AH92" s="4" t="n"/>
      <c r="AI92" s="4" t="n"/>
      <c r="AJ92" s="4" t="n"/>
      <c r="AK92" s="4" t="n"/>
      <c r="AL92" s="4" t="n"/>
      <c r="AM92" s="4" t="n"/>
      <c r="AN92" s="4" t="n"/>
      <c r="AO92" s="4" t="n"/>
      <c r="AP92" s="4" t="n"/>
      <c r="AQ92" s="4" t="n"/>
      <c r="AR92" s="4" t="n"/>
      <c r="AS92" s="4" t="n"/>
      <c r="AT92" s="4" t="n"/>
      <c r="AU92" s="4" t="n"/>
      <c r="AV92" s="4" t="n"/>
      <c r="AW92" s="4" t="n"/>
      <c r="AX92" s="4" t="n"/>
      <c r="AY92" s="4" t="n"/>
      <c r="AZ92" s="4" t="n"/>
      <c r="BA92" s="4" t="n"/>
      <c r="BB92" s="4" t="n"/>
      <c r="BC92" s="4" t="n"/>
      <c r="BD92" s="4" t="n"/>
      <c r="BE92" s="4" t="n"/>
      <c r="BF92" s="4" t="n"/>
      <c r="BG92" s="4" t="n"/>
      <c r="BH92" s="4" t="n"/>
      <c r="BI92" s="4" t="n"/>
      <c r="BJ92" s="4" t="n"/>
      <c r="BK92" s="4" t="n"/>
      <c r="BL92" s="4" t="n"/>
      <c r="BM92" s="4" t="n"/>
      <c r="BN92" s="4" t="n"/>
    </row>
    <row r="93" customFormat="1" s="23">
      <c r="A93" s="4" t="inlineStr">
        <is>
          <t>ALL</t>
        </is>
      </c>
      <c r="B93" s="19" t="inlineStr">
        <is>
          <t>Pathologists</t>
        </is>
      </c>
      <c r="C93" s="20" t="n"/>
      <c r="D93" s="4" t="n"/>
      <c r="E93" s="21" t="n"/>
      <c r="F93" s="4" t="n"/>
      <c r="G93" s="4" t="n"/>
      <c r="H93" s="5" t="n"/>
      <c r="I93" s="5" t="n"/>
      <c r="J93" s="36">
        <f>AVERAGE(J32,J26,J20,J14,J8)*$W8</f>
        <v/>
      </c>
      <c r="K93" s="7" t="n"/>
      <c r="L93" s="37" t="n"/>
      <c r="M93" s="36">
        <f>AVERAGE(M32,M26,M20,M14,M8)*$W8</f>
        <v/>
      </c>
      <c r="N93" s="36">
        <f>AVERAGE(N32,N26,N20,N14,N8)*$W8</f>
        <v/>
      </c>
      <c r="O93" s="36">
        <f>AVERAGE(O32,O26,O20,O14,O8)*$W8</f>
        <v/>
      </c>
      <c r="P93" s="36">
        <f>AVERAGE(P32,P26,P20,P14,P8)*$W8</f>
        <v/>
      </c>
      <c r="Q93" s="36">
        <f>AVERAGE(Q32,Q26,Q20,Q14,Q8)*$W8</f>
        <v/>
      </c>
      <c r="R93" s="36">
        <f>AVERAGE(R32,R26,R20,R14,R8)</f>
        <v/>
      </c>
      <c r="S93" s="36">
        <f>AVERAGE(S32,S26,S20,S14,S8)/52*$W8</f>
        <v/>
      </c>
      <c r="T93" s="36">
        <f>AVERAGE(T32,T26,T20,T14,T8)*$W8</f>
        <v/>
      </c>
      <c r="U93" s="5" t="n"/>
      <c r="V93" s="36">
        <f>AVERAGE(V32,V26,V20,V14,V8)</f>
        <v/>
      </c>
      <c r="W93" s="36">
        <f>AVERAGE(W32,W26,W20,W14,W8)</f>
        <v/>
      </c>
      <c r="X93" s="36">
        <f>AVERAGE(X32,X26,X20,X14,X8)</f>
        <v/>
      </c>
      <c r="AE93" s="4" t="n"/>
      <c r="AF93" s="4" t="n"/>
      <c r="AG93" s="4" t="n"/>
      <c r="AH93" s="4" t="n"/>
      <c r="AI93" s="4" t="n"/>
      <c r="AJ93" s="4" t="n"/>
      <c r="AK93" s="4" t="n"/>
      <c r="AL93" s="4" t="n"/>
      <c r="AM93" s="4" t="n"/>
      <c r="AN93" s="4" t="n"/>
      <c r="AO93" s="4" t="n"/>
      <c r="AP93" s="4" t="n"/>
      <c r="AQ93" s="4" t="n"/>
      <c r="AR93" s="4" t="n"/>
      <c r="AS93" s="4" t="n"/>
      <c r="AT93" s="4" t="n"/>
      <c r="AU93" s="4" t="n"/>
      <c r="AV93" s="4" t="n"/>
      <c r="AW93" s="4" t="n"/>
      <c r="AX93" s="4" t="n"/>
      <c r="AY93" s="4" t="n"/>
      <c r="AZ93" s="4" t="n"/>
      <c r="BA93" s="4" t="n"/>
      <c r="BB93" s="4" t="n"/>
      <c r="BC93" s="4" t="n"/>
      <c r="BD93" s="4" t="n"/>
      <c r="BE93" s="4" t="n"/>
      <c r="BF93" s="4" t="n"/>
      <c r="BG93" s="4" t="n"/>
      <c r="BH93" s="4" t="n"/>
      <c r="BI93" s="4" t="n"/>
      <c r="BJ93" s="4" t="n"/>
      <c r="BK93" s="4" t="n"/>
      <c r="BL93" s="4" t="n"/>
      <c r="BM93" s="4" t="n"/>
      <c r="BN93" s="4" t="n"/>
    </row>
    <row r="94" customFormat="1" s="23">
      <c r="A94" s="4" t="n"/>
      <c r="B94" s="19" t="n"/>
      <c r="C94" s="20" t="n"/>
      <c r="D94" s="4" t="n"/>
      <c r="E94" s="21" t="n"/>
      <c r="F94" s="4" t="n"/>
      <c r="G94" s="4" t="n"/>
      <c r="H94" s="5" t="n"/>
      <c r="I94" s="5" t="n"/>
      <c r="K94" s="32" t="n"/>
      <c r="L94" s="8" t="n"/>
      <c r="U94" s="9" t="n"/>
      <c r="AE94" s="4" t="n"/>
      <c r="AF94" s="4" t="n"/>
      <c r="AG94" s="4" t="n"/>
      <c r="AH94" s="4" t="n"/>
      <c r="AI94" s="4" t="n"/>
      <c r="AJ94" s="4" t="n"/>
      <c r="AK94" s="4" t="n"/>
      <c r="AL94" s="4" t="n"/>
      <c r="AM94" s="4" t="n"/>
      <c r="AN94" s="4" t="n"/>
      <c r="AO94" s="4" t="n"/>
      <c r="AP94" s="4" t="n"/>
      <c r="AQ94" s="4" t="n"/>
      <c r="AR94" s="4" t="n"/>
      <c r="AS94" s="4" t="n"/>
      <c r="AT94" s="4" t="n"/>
      <c r="AU94" s="4" t="n"/>
      <c r="AV94" s="4" t="n"/>
      <c r="AW94" s="4" t="n"/>
      <c r="AX94" s="4" t="n"/>
      <c r="AY94" s="4" t="n"/>
      <c r="AZ94" s="4" t="n"/>
      <c r="BA94" s="4" t="n"/>
      <c r="BB94" s="4" t="n"/>
      <c r="BC94" s="4" t="n"/>
      <c r="BD94" s="4" t="n"/>
      <c r="BE94" s="4" t="n"/>
      <c r="BF94" s="4" t="n"/>
      <c r="BG94" s="4" t="n"/>
      <c r="BH94" s="4" t="n"/>
      <c r="BI94" s="4" t="n"/>
      <c r="BJ94" s="4" t="n"/>
      <c r="BK94" s="4" t="n"/>
      <c r="BL94" s="4" t="n"/>
      <c r="BM94" s="4" t="n"/>
      <c r="BN94" s="4" t="n"/>
    </row>
    <row r="95" customFormat="1" s="23">
      <c r="A95" s="4" t="inlineStr">
        <is>
          <t>ALL</t>
        </is>
      </c>
      <c r="B95" s="19" t="inlineStr">
        <is>
          <t>Lab technician</t>
        </is>
      </c>
      <c r="C95" s="20" t="n"/>
      <c r="D95" s="4" t="n"/>
      <c r="E95" s="21" t="n"/>
      <c r="F95" s="4" t="n"/>
      <c r="G95" s="4" t="n"/>
      <c r="H95" s="5" t="n"/>
      <c r="I95" s="5" t="n"/>
      <c r="J95" s="28">
        <f>TEXT((AVERAGE(J28,J22,J16,J10,J4)*$W4), "$0,0") &amp; " (" &amp; TEXT((MIN(J28,J22,J16,J10,J4)*$W4), "0,0") &amp; " - " &amp; TEXT((MAX(J28,J22,J16,J10,J4)*$W4), "0,0") &amp; ")"</f>
        <v/>
      </c>
      <c r="K95" s="32" t="n"/>
      <c r="L95" s="8" t="n"/>
      <c r="M95" s="28">
        <f>TEXT((AVERAGE(M28,M22,M16,M10,M4)*$W4), "$0,0") &amp; " (" &amp; TEXT((MIN(M28,M22,M16,M10,M4)*$W4), "0,0") &amp; " - " &amp; TEXT((MAX(M28,M22,M16,M10,M4)*$W4), "0,0") &amp; ")"</f>
        <v/>
      </c>
      <c r="N95" s="28">
        <f>TEXT((AVERAGE(N28,N22,N16,N10,N4)*$W4), "$0,0") &amp; " (" &amp; TEXT((MIN(N28,N22,N16,N10,N4)*$W4), "0,0") &amp; " - " &amp; TEXT((MAX(N28,N22,N16,N10,N4)*$W4), "0,0") &amp; ")"</f>
        <v/>
      </c>
      <c r="O95" s="28">
        <f>TEXT((AVERAGE(O28,O22,O16,O10,O4)*$W4), "$0") &amp; " (" &amp; TEXT((MIN(O28,O22,O16,O10,O4)*$W4), "0") &amp; " - " &amp; TEXT((MAX(O28,O22,O16,O10,O4)*$W4), "0") &amp; ")"</f>
        <v/>
      </c>
      <c r="P95" s="28">
        <f>TEXT((AVERAGE(P28,P22,P16,P10,P4)*$W4), "$0") &amp; " (" &amp; TEXT((MIN(P28,P22,P16,P10,P4)*$W4), "0") &amp; " - " &amp; TEXT((MAX(P28,P22,P16,P10,P4)*$W4), "0") &amp; ")"</f>
        <v/>
      </c>
      <c r="Q95" s="28">
        <f>TEXT((AVERAGE(Q28,Q22,Q16,Q10,Q4)*$W4), "$0,0") &amp; " (" &amp; TEXT((MIN(Q28,Q22,Q16,Q10,Q4)*$W4), "0,0") &amp; " - " &amp; TEXT((MAX(Q28,Q22,Q16,Q10,Q4)*$W4), "0,0") &amp; ")"</f>
        <v/>
      </c>
      <c r="R95" s="28">
        <f>TEXT((AVERAGE(R28,R22,R16,R10,R4)), "$0,0") &amp; " (" &amp; TEXT((MIN(R28,R22,R16,R10,R4)), "0,0") &amp; " - " &amp; TEXT((MAX(R28,R22,R16,R10,R4)), "0,0") &amp; ")"</f>
        <v/>
      </c>
      <c r="S95" s="28">
        <f>TEXT((AVERAGE(S28,S22,S16,S10,S4)/52*$W4), "$0,0") &amp; " (" &amp; TEXT((MIN(S28,S22,S16,S10,S4)/52*$W4), "0,0") &amp; " - " &amp; TEXT((MAX(S28,S22,S16,S10,S4)*$W4)/52, "0,0") &amp; ")"</f>
        <v/>
      </c>
      <c r="T95" s="28">
        <f>TEXT((AVERAGE(T28,T22,T16,T10,T4)*$W4), "$0,0") &amp; " (" &amp; TEXT((MIN(T28,T22,T16,T10,T4)*$W4), "0,0") &amp; " - " &amp; TEXT((MAX(T28,T22,T16,T10,T4)*$W4), "0,0") &amp; ")"</f>
        <v/>
      </c>
      <c r="U95" s="9" t="n"/>
      <c r="V95" s="28">
        <f>TEXT((AVERAGE(V28,V22,V16,V10,V4)), "$0,0") &amp; " (" &amp; TEXT((MIN(V28,V22,V16,V10,V4)), "0,0") &amp; " - " &amp; TEXT((MAX(V28,V22,V16,V10,V4)), "0,0") &amp; ")"</f>
        <v/>
      </c>
      <c r="W95" s="28">
        <f>TEXT((AVERAGE(W28,W22,W16,W10,W4)), "$0,0") &amp; " (" &amp; TEXT((MIN(W28,W22,W16,W10,W4)), "0,0") &amp; " - " &amp; TEXT((MAX(W28,W22,W16,W10,W4)), "0,0") &amp; ")"</f>
        <v/>
      </c>
      <c r="X95" s="28">
        <f>TEXT((AVERAGE(X28,X22,X16,X10,X4)), "$0,0") &amp; " (" &amp; TEXT((MIN(X28,X22,X16,X10,X4)), "0,0") &amp; " - " &amp; TEXT((MAX(X28,X22,X16,X10,X4)), "0,0") &amp; ")"</f>
        <v/>
      </c>
      <c r="AE95" s="4" t="n"/>
      <c r="AF95" s="4" t="n"/>
      <c r="AG95" s="4" t="n"/>
      <c r="AH95" s="4" t="n"/>
      <c r="AI95" s="4" t="n"/>
      <c r="AJ95" s="4" t="n"/>
      <c r="AK95" s="4" t="n"/>
      <c r="AL95" s="4" t="n"/>
      <c r="AM95" s="4" t="n"/>
      <c r="AN95" s="4" t="n"/>
      <c r="AO95" s="4" t="n"/>
      <c r="AP95" s="4" t="n"/>
      <c r="AQ95" s="4" t="n"/>
      <c r="AR95" s="4" t="n"/>
      <c r="AS95" s="4" t="n"/>
      <c r="AT95" s="4" t="n"/>
      <c r="AU95" s="4" t="n"/>
      <c r="AV95" s="4" t="n"/>
      <c r="AW95" s="4" t="n"/>
      <c r="AX95" s="4" t="n"/>
      <c r="AY95" s="4" t="n"/>
      <c r="AZ95" s="4" t="n"/>
      <c r="BA95" s="4" t="n"/>
      <c r="BB95" s="4" t="n"/>
      <c r="BC95" s="4" t="n"/>
      <c r="BD95" s="4" t="n"/>
      <c r="BE95" s="4" t="n"/>
      <c r="BF95" s="4" t="n"/>
      <c r="BG95" s="4" t="n"/>
      <c r="BH95" s="4" t="n"/>
      <c r="BI95" s="4" t="n"/>
      <c r="BJ95" s="4" t="n"/>
      <c r="BK95" s="4" t="n"/>
      <c r="BL95" s="4" t="n"/>
      <c r="BM95" s="4" t="n"/>
      <c r="BN95" s="4" t="n"/>
    </row>
    <row r="96" customFormat="1" s="23">
      <c r="A96" s="4" t="inlineStr">
        <is>
          <t>ALL</t>
        </is>
      </c>
      <c r="B96" s="19" t="inlineStr">
        <is>
          <t>Medical scientist</t>
        </is>
      </c>
      <c r="C96" s="20" t="n"/>
      <c r="D96" s="4" t="n"/>
      <c r="E96" s="21" t="n"/>
      <c r="F96" s="4" t="n"/>
      <c r="G96" s="4" t="n"/>
      <c r="H96" s="5" t="n"/>
      <c r="I96" s="5" t="n"/>
      <c r="J96" s="28">
        <f>TEXT((AVERAGE(J29,J23,J17,J11,J5)*$W5), "$0,0") &amp; " (" &amp; TEXT((MIN(J29,J23,J17,J11,J5)*$W5), "0,0") &amp; " - " &amp; TEXT((MAX(J29,J23,J17,J11,J5)*$W5), "0,0") &amp; ")"</f>
        <v/>
      </c>
      <c r="K96" s="32" t="n"/>
      <c r="L96" s="8" t="n"/>
      <c r="M96" s="28">
        <f>TEXT((AVERAGE(M29,M23,M17,M11,M5)*$W5), "$0,0") &amp; " (" &amp; TEXT((MIN(M29,M23,M17,M11,M5)*$W5), "0,0") &amp; " - " &amp; TEXT((MAX(M29,M23,M17,M11,M5)*$W5), "0,0") &amp; ")"</f>
        <v/>
      </c>
      <c r="N96" s="28">
        <f>TEXT((AVERAGE(N29,N23,N17,N11,N5)*$W5), "$0,0") &amp; " (" &amp; TEXT((MIN(N29,N23,N17,N11,N5)*$W5), "0,0") &amp; " - " &amp; TEXT((MAX(N29,N23,N17,N11,N5)*$W5), "0,0") &amp; ")"</f>
        <v/>
      </c>
      <c r="O96" s="28">
        <f>TEXT((AVERAGE(O29,O23,O17,O11,O5)*$W5), "$0") &amp; " (" &amp; TEXT((MIN(O29,O23,O17,O11,O5)*$W5), "0") &amp; " - " &amp; TEXT((MAX(O29,O23,O17,O11,O5)*$W5), "0") &amp; ")"</f>
        <v/>
      </c>
      <c r="P96" s="28">
        <f>TEXT((AVERAGE(P29,P23,P17,P11,P5)*$W5), "$0") &amp; " (" &amp; TEXT((MIN(P29,P23,P17,P11,P5)*$W5), "0") &amp; " - " &amp; TEXT((MAX(P29,P23,P17,P11,P5)*$W5), "0") &amp; ")"</f>
        <v/>
      </c>
      <c r="Q96" s="28">
        <f>TEXT((AVERAGE(Q29,Q23,Q17,Q11,Q5)*$W5), "$0,0") &amp; " (" &amp; TEXT((MIN(Q29,Q23,Q17,Q11,Q5)*$W5), "0,0") &amp; " - " &amp; TEXT((MAX(Q29,Q23,Q17,Q11,Q5)*$W5), "0,0") &amp; ")"</f>
        <v/>
      </c>
      <c r="R96" s="28">
        <f>TEXT((AVERAGE(R29,R23,R17,R11,R5)), "$0,0") &amp; " (" &amp; TEXT((MIN(R29,R23,R17,R11,R5)), "0,0") &amp; " - " &amp; TEXT((MAX(R29,R23,R17,R11,R5)), "0,0") &amp; ")"</f>
        <v/>
      </c>
      <c r="S96" s="28">
        <f>TEXT((AVERAGE(S29,S23,S17,S11,S5)/52*$W5), "$0,0") &amp; " (" &amp; TEXT((MIN(S29,S23,S17,S11,S5)/52*$W5), "0,0") &amp; " - " &amp; TEXT((MAX(S29,S23,S17,S11,S5)*$W5)/52, "0,0") &amp; ")"</f>
        <v/>
      </c>
      <c r="T96" s="28">
        <f>TEXT((AVERAGE(T29,T23,T17,T11,T5)*$W5), "$0,0") &amp; " (" &amp; TEXT((MIN(T29,T23,T17,T11,T5)*$W5), "0,0") &amp; " - " &amp; TEXT((MAX(T29,T23,T17,T11,T5)*$W5), "0,0") &amp; ")"</f>
        <v/>
      </c>
      <c r="U96" s="9" t="n"/>
      <c r="V96" s="28">
        <f>TEXT((AVERAGE(V29,V23,V17,V11,V5)), "$0,0") &amp; " (" &amp; TEXT((MIN(V29,V23,V17,V11,V5)), "0,0") &amp; " - " &amp; TEXT((MAX(V29,V23,V17,V11,V5)), "0,0") &amp; ")"</f>
        <v/>
      </c>
      <c r="W96" s="28">
        <f>TEXT((AVERAGE(W29,W23,W17,W11,W5)), "$0,0") &amp; " (" &amp; TEXT((MIN(W29,W23,W17,W11,W5)), "0,0") &amp; " - " &amp; TEXT((MAX(W29,W23,W17,W11,W5)), "0,0") &amp; ")"</f>
        <v/>
      </c>
      <c r="X96" s="28">
        <f>TEXT((AVERAGE(X29,X23,X17,X11,X5)), "$0,0") &amp; " (" &amp; TEXT((MIN(X29,X23,X17,X11,X5)), "0,0") &amp; " - " &amp; TEXT((MAX(X29,X23,X17,X11,X5)), "0,0") &amp; ")"</f>
        <v/>
      </c>
      <c r="AE96" s="4" t="n"/>
      <c r="AF96" s="4" t="n"/>
      <c r="AG96" s="4" t="n"/>
      <c r="AH96" s="4" t="n"/>
      <c r="AI96" s="4" t="n"/>
      <c r="AJ96" s="4" t="n"/>
      <c r="AK96" s="4" t="n"/>
      <c r="AL96" s="4" t="n"/>
      <c r="AM96" s="4" t="n"/>
      <c r="AN96" s="4" t="n"/>
      <c r="AO96" s="4" t="n"/>
      <c r="AP96" s="4" t="n"/>
      <c r="AQ96" s="4" t="n"/>
      <c r="AR96" s="4" t="n"/>
      <c r="AS96" s="4" t="n"/>
      <c r="AT96" s="4" t="n"/>
      <c r="AU96" s="4" t="n"/>
      <c r="AV96" s="4" t="n"/>
      <c r="AW96" s="4" t="n"/>
      <c r="AX96" s="4" t="n"/>
      <c r="AY96" s="4" t="n"/>
      <c r="AZ96" s="4" t="n"/>
      <c r="BA96" s="4" t="n"/>
      <c r="BB96" s="4" t="n"/>
      <c r="BC96" s="4" t="n"/>
      <c r="BD96" s="4" t="n"/>
      <c r="BE96" s="4" t="n"/>
      <c r="BF96" s="4" t="n"/>
      <c r="BG96" s="4" t="n"/>
      <c r="BH96" s="4" t="n"/>
      <c r="BI96" s="4" t="n"/>
      <c r="BJ96" s="4" t="n"/>
      <c r="BK96" s="4" t="n"/>
      <c r="BL96" s="4" t="n"/>
      <c r="BM96" s="4" t="n"/>
      <c r="BN96" s="4" t="n"/>
    </row>
    <row r="97" customFormat="1" s="23">
      <c r="A97" s="4" t="inlineStr">
        <is>
          <t>ALL</t>
        </is>
      </c>
      <c r="B97" s="19" t="inlineStr">
        <is>
          <t>Admin staff</t>
        </is>
      </c>
      <c r="C97" s="20" t="n"/>
      <c r="D97" s="4" t="n"/>
      <c r="E97" s="21" t="n"/>
      <c r="F97" s="4" t="n"/>
      <c r="G97" s="4" t="n"/>
      <c r="H97" s="5" t="n"/>
      <c r="I97" s="5" t="n"/>
      <c r="J97" s="28">
        <f>TEXT((AVERAGE(J30,J24,J18,J12,J6)*$W6), "$0,0") &amp; " (" &amp; TEXT((MIN(J30,J24,J18,J12,J6)*$W6), "0,0") &amp; " - " &amp; TEXT((MAX(J30,J24,J18,J12,J6)*$W6), "0,0") &amp; ")"</f>
        <v/>
      </c>
      <c r="K97" s="32" t="n"/>
      <c r="L97" s="8" t="n"/>
      <c r="M97" s="28">
        <f>TEXT((AVERAGE(M30,M24,M18,M12,M6)*$W6), "$0,0") &amp; " (" &amp; TEXT((MIN(M30,M24,M18,M12,M6)*$W6), "0,0") &amp; " - " &amp; TEXT((MAX(M30,M24,M18,M12,M6)*$W6), "0,0") &amp; ")"</f>
        <v/>
      </c>
      <c r="N97" s="28">
        <f>TEXT((AVERAGE(N30,N24,N18,N12,N6)*$W6), "$0,0") &amp; " (" &amp; TEXT((MIN(N30,N24,N18,N12,N6)*$W6), "0,0") &amp; " - " &amp; TEXT((MAX(N30,N24,N18,N12,N6)*$W6), "0,0") &amp; ")"</f>
        <v/>
      </c>
      <c r="O97" s="28">
        <f>TEXT((AVERAGE(O30,O24,O18,O12,O6)*$W6), "$0") &amp; " (" &amp; TEXT((MIN(O30,O24,O18,O12,O6)*$W6), "0") &amp; " - " &amp; TEXT((MAX(O30,O24,O18,O12,O6)*$W6), "0") &amp; ")"</f>
        <v/>
      </c>
      <c r="P97" s="28">
        <f>TEXT((AVERAGE(P30,P24,P18,P12,P6)*$W6), "$0") &amp; " (" &amp; TEXT((MIN(P30,P24,P18,P12,P6)*$W6), "0") &amp; " - " &amp; TEXT((MAX(P30,P24,P18,P12,P6)*$W6), "0") &amp; ")"</f>
        <v/>
      </c>
      <c r="Q97" s="28">
        <f>TEXT((AVERAGE(Q30,Q24,Q18,Q12,Q6)*$W6), "$0,0") &amp; " (" &amp; TEXT((MIN(Q30,Q24,Q18,Q12,Q6)*$W6), "0,0") &amp; " - " &amp; TEXT((MAX(Q30,Q24,Q18,Q12,Q6)*$W6), "0,0") &amp; ")"</f>
        <v/>
      </c>
      <c r="R97" s="28">
        <f>TEXT((AVERAGE(R30,R24,R18,R12,R6)), "$0,0") &amp; " (" &amp; TEXT((MIN(R30,R24,R18,R12,R6)), "0,0") &amp; " - " &amp; TEXT((MAX(R30,R24,R18,R12,R6)), "0,0") &amp; ")"</f>
        <v/>
      </c>
      <c r="S97" s="28">
        <f>TEXT((AVERAGE(S30,S24,S18,S12,S6)/52*$W6), "$0,0") &amp; " (" &amp; TEXT((MIN(S30,S24,S18,S12,S6)/52*$W6), "0,0") &amp; " - " &amp; TEXT((MAX(S30,S24,S18,S12,S6)*$W6)/52, "0,0") &amp; ")"</f>
        <v/>
      </c>
      <c r="T97" s="28">
        <f>TEXT((AVERAGE(T30,T24,T18,T12,T6)*$W6), "$0,0") &amp; " (" &amp; TEXT((MIN(T30,T24,T18,T12,T6)*$W6), "0,0") &amp; " - " &amp; TEXT((MAX(T30,T24,T18,T12,T6)*$W6), "0,0") &amp; ")"</f>
        <v/>
      </c>
      <c r="U97" s="9" t="n"/>
      <c r="V97" s="28">
        <f>TEXT((AVERAGE(V30,V24,V18,V12,V6)), "$0,0") &amp; " (" &amp; TEXT((MIN(V30,V24,V18,V12,V6)), "0,0") &amp; " - " &amp; TEXT((MAX(V30,V24,V18,V12,V6)), "0,0") &amp; ")"</f>
        <v/>
      </c>
      <c r="W97" s="28">
        <f>TEXT((AVERAGE(W30,W24,W18,W12,W6)), "$0,0") &amp; " (" &amp; TEXT((MIN(W30,W24,W18,W12,W6)), "0,0") &amp; " - " &amp; TEXT((MAX(W30,W24,W18,W12,W6)), "0,0") &amp; ")"</f>
        <v/>
      </c>
      <c r="X97" s="28">
        <f>TEXT((AVERAGE(X30,X24,X18,X12,X6)), "$0,0") &amp; " (" &amp; TEXT((MIN(X30,X24,X18,X12,X6)), "0,0") &amp; " - " &amp; TEXT((MAX(X30,X24,X18,X12,X6)), "0,0") &amp; ")"</f>
        <v/>
      </c>
      <c r="AE97" s="4" t="n"/>
      <c r="AF97" s="4" t="n"/>
      <c r="AG97" s="4" t="n"/>
      <c r="AH97" s="4" t="n"/>
      <c r="AI97" s="4" t="n"/>
      <c r="AJ97" s="4" t="n"/>
      <c r="AK97" s="4" t="n"/>
      <c r="AL97" s="4" t="n"/>
      <c r="AM97" s="4" t="n"/>
      <c r="AN97" s="4" t="n"/>
      <c r="AO97" s="4" t="n"/>
      <c r="AP97" s="4" t="n"/>
      <c r="AQ97" s="4" t="n"/>
      <c r="AR97" s="4" t="n"/>
      <c r="AS97" s="4" t="n"/>
      <c r="AT97" s="4" t="n"/>
      <c r="AU97" s="4" t="n"/>
      <c r="AV97" s="4" t="n"/>
      <c r="AW97" s="4" t="n"/>
      <c r="AX97" s="4" t="n"/>
      <c r="AY97" s="4" t="n"/>
      <c r="AZ97" s="4" t="n"/>
      <c r="BA97" s="4" t="n"/>
      <c r="BB97" s="4" t="n"/>
      <c r="BC97" s="4" t="n"/>
      <c r="BD97" s="4" t="n"/>
      <c r="BE97" s="4" t="n"/>
      <c r="BF97" s="4" t="n"/>
      <c r="BG97" s="4" t="n"/>
      <c r="BH97" s="4" t="n"/>
      <c r="BI97" s="4" t="n"/>
      <c r="BJ97" s="4" t="n"/>
      <c r="BK97" s="4" t="n"/>
      <c r="BL97" s="4" t="n"/>
      <c r="BM97" s="4" t="n"/>
      <c r="BN97" s="4" t="n"/>
    </row>
    <row r="98" customFormat="1" s="23">
      <c r="A98" s="4" t="inlineStr">
        <is>
          <t>ALL</t>
        </is>
      </c>
      <c r="B98" s="19" t="inlineStr">
        <is>
          <t>Bioinformatics staff</t>
        </is>
      </c>
      <c r="C98" s="20" t="n"/>
      <c r="D98" s="4" t="n"/>
      <c r="E98" s="21" t="n"/>
      <c r="F98" s="4" t="n"/>
      <c r="G98" s="4" t="n"/>
      <c r="H98" s="5" t="n"/>
      <c r="I98" s="5" t="n"/>
      <c r="J98" s="28">
        <f>TEXT((AVERAGE(J31,J25,J19,J13,J7)*$W7), "$0,0") &amp; " (" &amp; TEXT((MIN(J31,J25,J19,J13,J7)*$W7), "0,0") &amp; " - " &amp; TEXT((MAX(J31,J25,J19,J13,J7)*$W7), "0,0") &amp; ")"</f>
        <v/>
      </c>
      <c r="K98" s="32" t="n"/>
      <c r="L98" s="8" t="n"/>
      <c r="M98" s="28">
        <f>TEXT((AVERAGE(M31,M25,M19,M13,M7)*$W7), "$0,0") &amp; " (" &amp; TEXT((MIN(M31,M25,M19,M13,M7)*$W7), "0,0") &amp; " - " &amp; TEXT((MAX(M31,M25,M19,M13,M7)*$W7), "0,0") &amp; ")"</f>
        <v/>
      </c>
      <c r="N98" s="28">
        <f>TEXT((AVERAGE(N31,N25,N19,N13,N7)*$W7), "$0,0") &amp; " (" &amp; TEXT((MIN(N31,N25,N19,N13,N7)*$W7), "0,0") &amp; " - " &amp; TEXT((MAX(N31,N25,N19,N13,N7)*$W7), "0,0") &amp; ")"</f>
        <v/>
      </c>
      <c r="O98" s="28">
        <f>TEXT((AVERAGE(O31,O25,O19,O13,O7)*$W7), "$0") &amp; " (" &amp; TEXT((MIN(O31,O25,O19,O13,O7)*$W7), "0") &amp; " - " &amp; TEXT((MAX(O31,O25,O19,O13,O7)*$W7), "0") &amp; ")"</f>
        <v/>
      </c>
      <c r="P98" s="28">
        <f>TEXT((AVERAGE(P31,P25,P19,P13,P7)*$W7), "$0") &amp; " (" &amp; TEXT((MIN(P31,P25,P19,P13,P7)*$W7), "0") &amp; " - " &amp; TEXT((MAX(P31,P25,P19,P13,P7)*$W7), "0") &amp; ")"</f>
        <v/>
      </c>
      <c r="Q98" s="28">
        <f>TEXT((AVERAGE(Q31,Q25,Q19,Q13,Q7)*$W7), "$0,0") &amp; " (" &amp; TEXT((MIN(Q31,Q25,Q19,Q13,Q7)*$W7), "0,0") &amp; " - " &amp; TEXT((MAX(Q31,Q25,Q19,Q13,Q7)*$W7), "0,0") &amp; ")"</f>
        <v/>
      </c>
      <c r="R98" s="28">
        <f>TEXT((AVERAGE(R31,R25,R19,R13,R7)), "$0,0") &amp; " (" &amp; TEXT((MIN(R31,R25,R19,R13,R7)), "0,0") &amp; " - " &amp; TEXT((MAX(R31,R25,R19,R13,R7)), "0,0") &amp; ")"</f>
        <v/>
      </c>
      <c r="S98" s="28">
        <f>TEXT((AVERAGE(S31,S25,S19,S13,S7)/52*$W7), "$0,0") &amp; " (" &amp; TEXT((MIN(S31,S25,S19,S13,S7)/52*$W7), "0,0") &amp; " - " &amp; TEXT((MAX(S31,S25,S19,S13,S7)*$W7)/52, "0,0") &amp; ")"</f>
        <v/>
      </c>
      <c r="T98" s="28">
        <f>TEXT((AVERAGE(T31,T25,T19,T13,T7)*$W7), "$0,0") &amp; " (" &amp; TEXT((MIN(T31,T25,T19,T13,T7)*$W7), "0,0") &amp; " - " &amp; TEXT((MAX(T31,T25,T19,T13,T7)*$W7), "0,0") &amp; ")"</f>
        <v/>
      </c>
      <c r="U98" s="9" t="n"/>
      <c r="V98" s="28">
        <f>TEXT((AVERAGE(V31,V25,V19,V13,V7)), "$0,0") &amp; " (" &amp; TEXT((MIN(V31,V25,V19,V13,V7)), "0,0") &amp; " - " &amp; TEXT((MAX(V31,V25,V19,V13,V7)), "0,0") &amp; ")"</f>
        <v/>
      </c>
      <c r="W98" s="28">
        <f>TEXT((AVERAGE(W31,W25,W19,W13,W7)), "$0,0") &amp; " (" &amp; TEXT((MIN(W31,W25,W19,W13,W7)), "0,0") &amp; " - " &amp; TEXT((MAX(W31,W25,W19,W13,W7)), "0,0") &amp; ")"</f>
        <v/>
      </c>
      <c r="X98" s="28">
        <f>TEXT((AVERAGE(X31,X25,X19,X13,X7)), "$0,0") &amp; " (" &amp; TEXT((MIN(X31,X25,X19,X13,X7)), "0,0") &amp; " - " &amp; TEXT((MAX(X31,X25,X19,X13,X7)), "0,0") &amp; ")"</f>
        <v/>
      </c>
      <c r="AE98" s="4" t="n"/>
      <c r="AF98" s="4" t="n"/>
      <c r="AG98" s="4" t="n"/>
      <c r="AH98" s="4" t="n"/>
      <c r="AI98" s="4" t="n"/>
      <c r="AJ98" s="4" t="n"/>
      <c r="AK98" s="4" t="n"/>
      <c r="AL98" s="4" t="n"/>
      <c r="AM98" s="4" t="n"/>
      <c r="AN98" s="4" t="n"/>
      <c r="AO98" s="4" t="n"/>
      <c r="AP98" s="4" t="n"/>
      <c r="AQ98" s="4" t="n"/>
      <c r="AR98" s="4" t="n"/>
      <c r="AS98" s="4" t="n"/>
      <c r="AT98" s="4" t="n"/>
      <c r="AU98" s="4" t="n"/>
      <c r="AV98" s="4" t="n"/>
      <c r="AW98" s="4" t="n"/>
      <c r="AX98" s="4" t="n"/>
      <c r="AY98" s="4" t="n"/>
      <c r="AZ98" s="4" t="n"/>
      <c r="BA98" s="4" t="n"/>
      <c r="BB98" s="4" t="n"/>
      <c r="BC98" s="4" t="n"/>
      <c r="BD98" s="4" t="n"/>
      <c r="BE98" s="4" t="n"/>
      <c r="BF98" s="4" t="n"/>
      <c r="BG98" s="4" t="n"/>
      <c r="BH98" s="4" t="n"/>
      <c r="BI98" s="4" t="n"/>
      <c r="BJ98" s="4" t="n"/>
      <c r="BK98" s="4" t="n"/>
      <c r="BL98" s="4" t="n"/>
      <c r="BM98" s="4" t="n"/>
      <c r="BN98" s="4" t="n"/>
    </row>
    <row r="99" customFormat="1" s="23">
      <c r="A99" s="4" t="inlineStr">
        <is>
          <t>ALL</t>
        </is>
      </c>
      <c r="B99" s="19" t="inlineStr">
        <is>
          <t>Pathologists</t>
        </is>
      </c>
      <c r="C99" s="20" t="n"/>
      <c r="D99" s="4" t="n"/>
      <c r="E99" s="21" t="n"/>
      <c r="F99" s="4" t="n"/>
      <c r="G99" s="4" t="n"/>
      <c r="H99" s="5" t="n"/>
      <c r="I99" s="5" t="n"/>
      <c r="J99" s="28">
        <f>TEXT((AVERAGE(J32,J26,J20,J14,J8)*$W8), "$0,0") &amp; " (" &amp; TEXT((MIN(J32,J26,J20,J14,J8)*$W8), "0,0") &amp; " - " &amp; TEXT((MAX(J32,J26,J20,J14,J8)*$W8), "0,0") &amp; ")"</f>
        <v/>
      </c>
      <c r="K99" s="32" t="n"/>
      <c r="L99" s="8" t="n"/>
      <c r="M99" s="28">
        <f>TEXT((AVERAGE(M32,M26,M20,M14,M8)*$W8), "$0,0") &amp; " (" &amp; TEXT((MIN(M32,M26,M20,M14,M8)*$W8), "0,0") &amp; " - " &amp; TEXT((MAX(M32,M26,M20,M14,M8)*$W8), "0,0") &amp; ")"</f>
        <v/>
      </c>
      <c r="N99" s="28">
        <f>TEXT((AVERAGE(N32,N26,N20,N14,N8)*$W8), "$0,0") &amp; " (" &amp; TEXT((MIN(N32,N26,N20,N14,N8)*$W8), "0,0") &amp; " - " &amp; TEXT((MAX(N32,N26,N20,N14,N8)*$W8), "0,0") &amp; ")"</f>
        <v/>
      </c>
      <c r="O99" s="28">
        <f>TEXT((AVERAGE(O32,O26,O20,O14,O8)*$W8), "$0,0") &amp; " (" &amp; TEXT((MIN(O32,O26,O20,O14,O8)*$W8), "0,0") &amp; " - " &amp; TEXT((MAX(O32,O26,O20,O14,O8)*$W8), "0,0") &amp; ")"</f>
        <v/>
      </c>
      <c r="P99" s="28">
        <f>TEXT((AVERAGE(P32,P26,P20,P14,P8)*$W8), "$0,0") &amp; " (" &amp; TEXT((MIN(P32,P26,P20,P14,P8)*$W8), "0,0") &amp; " - " &amp; TEXT((MAX(P32,P26,P20,P14,P8)*$W8), "0,0") &amp; ")"</f>
        <v/>
      </c>
      <c r="Q99" s="28">
        <f>TEXT((AVERAGE(Q32,Q26,Q20,Q14,Q8)*$W8), "$0,0") &amp; " (" &amp; TEXT((MIN(Q32,Q26,Q20,Q14,Q8)*$W8), "0,0") &amp; " - " &amp; TEXT((MAX(Q32,Q26,Q20,Q14,Q8)*$W8), "0,0") &amp; ")"</f>
        <v/>
      </c>
      <c r="R99" s="28">
        <f>TEXT((AVERAGE(R32,R26,R20,R14,R8)), "$0,0") &amp; " (" &amp; TEXT((MIN(R32,R26,R20,R14,R8)), "0,0") &amp; " - " &amp; TEXT((MAX(R32,R26,R20,R14,R8)), "0,0") &amp; ")"</f>
        <v/>
      </c>
      <c r="S99" s="28">
        <f>TEXT((AVERAGE(S32,S26,S20,S14,S8)/52*$W8), "$0,0") &amp; " (" &amp; TEXT((MIN(S32,S26,S20,S14,S8)/52*$W8), "0,0") &amp; " - " &amp; TEXT((MAX(S32,S26,S20,S14,S8)*$W8)/52, "0,0") &amp; ")"</f>
        <v/>
      </c>
      <c r="T99" s="28">
        <f>TEXT((AVERAGE(T32,T26,T20,T14,T8)*$W8), "$0,0") &amp; " (" &amp; TEXT((MIN(T32,T26,T20,T14,T8)*$W8), "0,0") &amp; " - " &amp; TEXT((MAX(T32,T26,T20,T14,T8)*$W8), "0,0") &amp; ")"</f>
        <v/>
      </c>
      <c r="U99" s="9" t="n"/>
      <c r="V99" s="28">
        <f>TEXT((AVERAGE(V32,V26,V20,V14,V8)), "$0,0") &amp; " (" &amp; TEXT((MIN(V32,V26,V20,V14,V8)), "0,0") &amp; " - " &amp; TEXT((MAX(V32,V26,V20,V14,V8)), "0,0") &amp; ")"</f>
        <v/>
      </c>
      <c r="W99" s="28">
        <f>TEXT((AVERAGE(W32,W26,W20,W14,W8)), "$0,0") &amp; " (" &amp; TEXT((MIN(W32,W26,W20,W14,W8)), "0,0") &amp; " - " &amp; TEXT((MAX(W32,W26,W20,W14,W8)), "0,0") &amp; ")"</f>
        <v/>
      </c>
      <c r="X99" s="28">
        <f>TEXT((AVERAGE(X32,X26,X20,X14,X8)), "$0,0") &amp; " (" &amp; TEXT((MIN(X32,X26,X20,X14,X8)), "0,0") &amp; " - " &amp; TEXT((MAX(X32,X26,X20,X14,X8)), "0,0") &amp; ")"</f>
        <v/>
      </c>
      <c r="AE99" s="4" t="n"/>
      <c r="AF99" s="4" t="n"/>
      <c r="AG99" s="4" t="n"/>
      <c r="AH99" s="4" t="n"/>
      <c r="AI99" s="4" t="n"/>
      <c r="AJ99" s="4" t="n"/>
      <c r="AK99" s="4" t="n"/>
      <c r="AL99" s="4" t="n"/>
      <c r="AM99" s="4" t="n"/>
      <c r="AN99" s="4" t="n"/>
      <c r="AO99" s="4" t="n"/>
      <c r="AP99" s="4" t="n"/>
      <c r="AQ99" s="4" t="n"/>
      <c r="AR99" s="4" t="n"/>
      <c r="AS99" s="4" t="n"/>
      <c r="AT99" s="4" t="n"/>
      <c r="AU99" s="4" t="n"/>
      <c r="AV99" s="4" t="n"/>
      <c r="AW99" s="4" t="n"/>
      <c r="AX99" s="4" t="n"/>
      <c r="AY99" s="4" t="n"/>
      <c r="AZ99" s="4" t="n"/>
      <c r="BA99" s="4" t="n"/>
      <c r="BB99" s="4" t="n"/>
      <c r="BC99" s="4" t="n"/>
      <c r="BD99" s="4" t="n"/>
      <c r="BE99" s="4" t="n"/>
      <c r="BF99" s="4" t="n"/>
      <c r="BG99" s="4" t="n"/>
      <c r="BH99" s="4" t="n"/>
      <c r="BI99" s="4" t="n"/>
      <c r="BJ99" s="4" t="n"/>
      <c r="BK99" s="4" t="n"/>
      <c r="BL99" s="4" t="n"/>
      <c r="BM99" s="4" t="n"/>
      <c r="BN99" s="4" t="n"/>
    </row>
    <row r="100" customFormat="1" s="23">
      <c r="A100" s="4" t="n"/>
      <c r="B100" s="19" t="n"/>
      <c r="C100" s="20" t="n"/>
      <c r="D100" s="4" t="n"/>
      <c r="E100" s="21" t="n"/>
      <c r="F100" s="4" t="n"/>
      <c r="G100" s="4" t="n"/>
      <c r="H100" s="5" t="n"/>
      <c r="I100" s="5" t="n"/>
      <c r="J100" s="28" t="n"/>
      <c r="K100" s="32" t="n"/>
      <c r="L100" s="8" t="n"/>
      <c r="M100" s="28" t="n"/>
      <c r="N100" s="28" t="n"/>
      <c r="O100" s="28" t="n"/>
      <c r="P100" s="28" t="n"/>
      <c r="Q100" s="28" t="n"/>
      <c r="R100" s="28" t="n"/>
      <c r="S100" s="28" t="n"/>
      <c r="T100" s="28" t="n"/>
      <c r="U100" s="9" t="n"/>
      <c r="V100" s="28" t="n"/>
      <c r="W100" s="28" t="n"/>
      <c r="X100" s="28" t="n"/>
      <c r="AE100" s="4" t="n"/>
      <c r="AF100" s="4" t="n"/>
      <c r="AG100" s="4" t="n"/>
      <c r="AH100" s="4" t="n"/>
      <c r="AI100" s="4" t="n"/>
      <c r="AJ100" s="4" t="n"/>
      <c r="AK100" s="4" t="n"/>
      <c r="AL100" s="4" t="n"/>
      <c r="AM100" s="4" t="n"/>
      <c r="AN100" s="4" t="n"/>
      <c r="AO100" s="4" t="n"/>
      <c r="AP100" s="4" t="n"/>
      <c r="AQ100" s="4" t="n"/>
      <c r="AR100" s="4" t="n"/>
      <c r="AS100" s="4" t="n"/>
      <c r="AT100" s="4" t="n"/>
      <c r="AU100" s="4" t="n"/>
      <c r="AV100" s="4" t="n"/>
      <c r="AW100" s="4" t="n"/>
      <c r="AX100" s="4" t="n"/>
      <c r="AY100" s="4" t="n"/>
      <c r="AZ100" s="4" t="n"/>
      <c r="BA100" s="4" t="n"/>
      <c r="BB100" s="4" t="n"/>
      <c r="BC100" s="4" t="n"/>
      <c r="BD100" s="4" t="n"/>
      <c r="BE100" s="4" t="n"/>
      <c r="BF100" s="4" t="n"/>
      <c r="BG100" s="4" t="n"/>
      <c r="BH100" s="4" t="n"/>
      <c r="BI100" s="4" t="n"/>
      <c r="BJ100" s="4" t="n"/>
      <c r="BK100" s="4" t="n"/>
      <c r="BL100" s="4" t="n"/>
      <c r="BM100" s="4" t="n"/>
      <c r="BN100" s="4" t="n"/>
    </row>
    <row r="101" customFormat="1" s="23">
      <c r="A101" s="4" t="inlineStr">
        <is>
          <t>ALL(WM)</t>
        </is>
      </c>
      <c r="B101" s="19" t="inlineStr">
        <is>
          <t>Lab technician</t>
        </is>
      </c>
      <c r="C101" s="20" t="n"/>
      <c r="D101" s="4" t="n"/>
      <c r="E101" s="21" t="n"/>
      <c r="F101" s="4" t="n"/>
      <c r="G101" s="4" t="n"/>
      <c r="H101" s="5" t="n"/>
      <c r="I101" s="5" t="n"/>
      <c r="J101" s="28" t="n"/>
      <c r="K101" s="32" t="n"/>
      <c r="L101" s="8" t="n"/>
      <c r="M101" s="28" t="n"/>
      <c r="N101" s="28" t="n"/>
      <c r="O101" s="28" t="n"/>
      <c r="P101" s="28" t="n"/>
      <c r="Q101" s="28" t="n"/>
      <c r="R101" s="28" t="n"/>
      <c r="S101" s="28" t="n"/>
      <c r="T101" s="28" t="n"/>
      <c r="U101" s="9" t="n"/>
      <c r="V101" s="28" t="n"/>
      <c r="W101" s="28" t="n"/>
      <c r="X101" s="28" t="n"/>
      <c r="AE101" s="4" t="n"/>
      <c r="AF101" s="4" t="n"/>
      <c r="AG101" s="4" t="n"/>
      <c r="AH101" s="4" t="n"/>
      <c r="AI101" s="4" t="n"/>
      <c r="AJ101" s="4" t="n"/>
      <c r="AK101" s="4" t="n"/>
      <c r="AL101" s="4" t="n"/>
      <c r="AM101" s="4" t="n"/>
      <c r="AN101" s="4" t="n"/>
      <c r="AO101" s="4" t="n"/>
      <c r="AP101" s="4" t="n"/>
      <c r="AQ101" s="4" t="n"/>
      <c r="AR101" s="4" t="n"/>
      <c r="AS101" s="4" t="n"/>
      <c r="AT101" s="4" t="n"/>
      <c r="AU101" s="4" t="n"/>
      <c r="AV101" s="4" t="n"/>
      <c r="AW101" s="4" t="n"/>
      <c r="AX101" s="4" t="n"/>
      <c r="AY101" s="4" t="n"/>
      <c r="AZ101" s="4" t="n"/>
      <c r="BA101" s="4" t="n"/>
      <c r="BB101" s="4" t="n"/>
      <c r="BC101" s="4" t="n"/>
      <c r="BD101" s="4" t="n"/>
      <c r="BE101" s="4" t="n"/>
      <c r="BF101" s="4" t="n"/>
      <c r="BG101" s="4" t="n"/>
      <c r="BH101" s="4" t="n"/>
      <c r="BI101" s="4" t="n"/>
      <c r="BJ101" s="4" t="n"/>
      <c r="BK101" s="4" t="n"/>
      <c r="BL101" s="4" t="n"/>
      <c r="BM101" s="4" t="n"/>
      <c r="BN101" s="4" t="n"/>
    </row>
    <row r="102" customFormat="1" s="23">
      <c r="A102" s="4" t="inlineStr">
        <is>
          <t>ALL(WM)</t>
        </is>
      </c>
      <c r="B102" s="19" t="inlineStr">
        <is>
          <t>Medical scientist</t>
        </is>
      </c>
      <c r="C102" s="20" t="n"/>
      <c r="D102" s="4" t="n"/>
      <c r="E102" s="21" t="n"/>
      <c r="F102" s="4" t="n"/>
      <c r="G102" s="4" t="n"/>
      <c r="H102" s="5" t="n"/>
      <c r="I102" s="5" t="n"/>
      <c r="J102" s="28" t="n"/>
      <c r="K102" s="32" t="n"/>
      <c r="L102" s="8" t="n"/>
      <c r="M102" s="28" t="n"/>
      <c r="N102" s="28" t="n"/>
      <c r="O102" s="28" t="n"/>
      <c r="P102" s="28" t="n"/>
      <c r="Q102" s="28" t="n"/>
      <c r="R102" s="28" t="n"/>
      <c r="S102" s="28" t="n"/>
      <c r="T102" s="28" t="n"/>
      <c r="U102" s="9" t="n"/>
      <c r="V102" s="28" t="n"/>
      <c r="W102" s="28" t="n"/>
      <c r="X102" s="28" t="n"/>
      <c r="AE102" s="4" t="n"/>
      <c r="AF102" s="4" t="n"/>
      <c r="AG102" s="4" t="n"/>
      <c r="AH102" s="4" t="n"/>
      <c r="AI102" s="4" t="n"/>
      <c r="AJ102" s="4" t="n"/>
      <c r="AK102" s="4" t="n"/>
      <c r="AL102" s="4" t="n"/>
      <c r="AM102" s="4" t="n"/>
      <c r="AN102" s="4" t="n"/>
      <c r="AO102" s="4" t="n"/>
      <c r="AP102" s="4" t="n"/>
      <c r="AQ102" s="4" t="n"/>
      <c r="AR102" s="4" t="n"/>
      <c r="AS102" s="4" t="n"/>
      <c r="AT102" s="4" t="n"/>
      <c r="AU102" s="4" t="n"/>
      <c r="AV102" s="4" t="n"/>
      <c r="AW102" s="4" t="n"/>
      <c r="AX102" s="4" t="n"/>
      <c r="AY102" s="4" t="n"/>
      <c r="AZ102" s="4" t="n"/>
      <c r="BA102" s="4" t="n"/>
      <c r="BB102" s="4" t="n"/>
      <c r="BC102" s="4" t="n"/>
      <c r="BD102" s="4" t="n"/>
      <c r="BE102" s="4" t="n"/>
      <c r="BF102" s="4" t="n"/>
      <c r="BG102" s="4" t="n"/>
      <c r="BH102" s="4" t="n"/>
      <c r="BI102" s="4" t="n"/>
      <c r="BJ102" s="4" t="n"/>
      <c r="BK102" s="4" t="n"/>
      <c r="BL102" s="4" t="n"/>
      <c r="BM102" s="4" t="n"/>
      <c r="BN102" s="4" t="n"/>
    </row>
    <row r="103" customFormat="1" s="23">
      <c r="A103" s="4" t="inlineStr">
        <is>
          <t>ALL(WM)</t>
        </is>
      </c>
      <c r="B103" s="19" t="inlineStr">
        <is>
          <t>Admin staff</t>
        </is>
      </c>
      <c r="C103" s="20" t="n"/>
      <c r="D103" s="4" t="n"/>
      <c r="E103" s="21" t="n"/>
      <c r="F103" s="4" t="n"/>
      <c r="G103" s="4" t="n"/>
      <c r="H103" s="5" t="n"/>
      <c r="I103" s="5" t="n"/>
      <c r="J103" s="28" t="n"/>
      <c r="K103" s="32" t="n"/>
      <c r="L103" s="8" t="n"/>
      <c r="M103" s="28" t="n"/>
      <c r="N103" s="28" t="n"/>
      <c r="O103" s="28" t="n"/>
      <c r="P103" s="28" t="n"/>
      <c r="Q103" s="28" t="n"/>
      <c r="R103" s="28" t="n"/>
      <c r="S103" s="28" t="n"/>
      <c r="T103" s="28" t="n"/>
      <c r="U103" s="9" t="n"/>
      <c r="V103" s="28" t="n"/>
      <c r="W103" s="28" t="n"/>
      <c r="X103" s="28" t="n"/>
      <c r="AE103" s="4" t="n"/>
      <c r="AF103" s="4" t="n"/>
      <c r="AG103" s="4" t="n"/>
      <c r="AH103" s="4" t="n"/>
      <c r="AI103" s="4" t="n"/>
      <c r="AJ103" s="4" t="n"/>
      <c r="AK103" s="4" t="n"/>
      <c r="AL103" s="4" t="n"/>
      <c r="AM103" s="4" t="n"/>
      <c r="AN103" s="4" t="n"/>
      <c r="AO103" s="4" t="n"/>
      <c r="AP103" s="4" t="n"/>
      <c r="AQ103" s="4" t="n"/>
      <c r="AR103" s="4" t="n"/>
      <c r="AS103" s="4" t="n"/>
      <c r="AT103" s="4" t="n"/>
      <c r="AU103" s="4" t="n"/>
      <c r="AV103" s="4" t="n"/>
      <c r="AW103" s="4" t="n"/>
      <c r="AX103" s="4" t="n"/>
      <c r="AY103" s="4" t="n"/>
      <c r="AZ103" s="4" t="n"/>
      <c r="BA103" s="4" t="n"/>
      <c r="BB103" s="4" t="n"/>
      <c r="BC103" s="4" t="n"/>
      <c r="BD103" s="4" t="n"/>
      <c r="BE103" s="4" t="n"/>
      <c r="BF103" s="4" t="n"/>
      <c r="BG103" s="4" t="n"/>
      <c r="BH103" s="4" t="n"/>
      <c r="BI103" s="4" t="n"/>
      <c r="BJ103" s="4" t="n"/>
      <c r="BK103" s="4" t="n"/>
      <c r="BL103" s="4" t="n"/>
      <c r="BM103" s="4" t="n"/>
      <c r="BN103" s="4" t="n"/>
    </row>
    <row r="104" customFormat="1" s="23">
      <c r="A104" s="4" t="inlineStr">
        <is>
          <t>ALL(WM)</t>
        </is>
      </c>
      <c r="B104" s="19" t="inlineStr">
        <is>
          <t>Bioinformatics staff</t>
        </is>
      </c>
      <c r="C104" s="20" t="n"/>
      <c r="D104" s="4" t="n"/>
      <c r="E104" s="21" t="n"/>
      <c r="F104" s="4" t="n"/>
      <c r="G104" s="4" t="n"/>
      <c r="H104" s="5" t="n"/>
      <c r="I104" s="5" t="n"/>
      <c r="J104" s="28" t="n"/>
      <c r="K104" s="32" t="n"/>
      <c r="L104" s="8" t="n"/>
      <c r="M104" s="28" t="n"/>
      <c r="N104" s="28" t="n"/>
      <c r="O104" s="28" t="n"/>
      <c r="P104" s="28" t="n"/>
      <c r="Q104" s="28" t="n"/>
      <c r="R104" s="28" t="n"/>
      <c r="S104" s="28" t="n"/>
      <c r="T104" s="28" t="n"/>
      <c r="U104" s="9" t="n"/>
      <c r="V104" s="28" t="n"/>
      <c r="W104" s="28" t="n"/>
      <c r="X104" s="28" t="n"/>
      <c r="AE104" s="4" t="n"/>
      <c r="AF104" s="4" t="n"/>
      <c r="AG104" s="4" t="n"/>
      <c r="AH104" s="4" t="n"/>
      <c r="AI104" s="4" t="n"/>
      <c r="AJ104" s="4" t="n"/>
      <c r="AK104" s="4" t="n"/>
      <c r="AL104" s="4" t="n"/>
      <c r="AM104" s="4" t="n"/>
      <c r="AN104" s="4" t="n"/>
      <c r="AO104" s="4" t="n"/>
      <c r="AP104" s="4" t="n"/>
      <c r="AQ104" s="4" t="n"/>
      <c r="AR104" s="4" t="n"/>
      <c r="AS104" s="4" t="n"/>
      <c r="AT104" s="4" t="n"/>
      <c r="AU104" s="4" t="n"/>
      <c r="AV104" s="4" t="n"/>
      <c r="AW104" s="4" t="n"/>
      <c r="AX104" s="4" t="n"/>
      <c r="AY104" s="4" t="n"/>
      <c r="AZ104" s="4" t="n"/>
      <c r="BA104" s="4" t="n"/>
      <c r="BB104" s="4" t="n"/>
      <c r="BC104" s="4" t="n"/>
      <c r="BD104" s="4" t="n"/>
      <c r="BE104" s="4" t="n"/>
      <c r="BF104" s="4" t="n"/>
      <c r="BG104" s="4" t="n"/>
      <c r="BH104" s="4" t="n"/>
      <c r="BI104" s="4" t="n"/>
      <c r="BJ104" s="4" t="n"/>
      <c r="BK104" s="4" t="n"/>
      <c r="BL104" s="4" t="n"/>
      <c r="BM104" s="4" t="n"/>
      <c r="BN104" s="4" t="n"/>
    </row>
    <row r="105" customFormat="1" s="23">
      <c r="A105" s="4" t="inlineStr">
        <is>
          <t>ALL(WM)</t>
        </is>
      </c>
      <c r="B105" s="19" t="inlineStr">
        <is>
          <t>Pathologists</t>
        </is>
      </c>
      <c r="C105" s="20" t="n"/>
      <c r="D105" s="4" t="n"/>
      <c r="E105" s="21" t="n"/>
      <c r="F105" s="4" t="n"/>
      <c r="G105" s="4" t="n"/>
      <c r="H105" s="5" t="n"/>
      <c r="I105" s="5" t="n"/>
      <c r="J105" s="28" t="n"/>
      <c r="K105" s="32" t="n"/>
      <c r="L105" s="8" t="n"/>
      <c r="M105" s="28" t="n"/>
      <c r="N105" s="28" t="n"/>
      <c r="O105" s="28" t="n"/>
      <c r="P105" s="28" t="n"/>
      <c r="Q105" s="28" t="n"/>
      <c r="R105" s="28" t="n"/>
      <c r="S105" s="28" t="n"/>
      <c r="T105" s="28" t="n"/>
      <c r="U105" s="9" t="n"/>
      <c r="V105" s="28" t="n"/>
      <c r="W105" s="28" t="n"/>
      <c r="X105" s="28" t="n"/>
      <c r="AE105" s="4" t="n"/>
      <c r="AF105" s="4" t="n"/>
      <c r="AG105" s="4" t="n"/>
      <c r="AH105" s="4" t="n"/>
      <c r="AI105" s="4" t="n"/>
      <c r="AJ105" s="4" t="n"/>
      <c r="AK105" s="4" t="n"/>
      <c r="AL105" s="4" t="n"/>
      <c r="AM105" s="4" t="n"/>
      <c r="AN105" s="4" t="n"/>
      <c r="AO105" s="4" t="n"/>
      <c r="AP105" s="4" t="n"/>
      <c r="AQ105" s="4" t="n"/>
      <c r="AR105" s="4" t="n"/>
      <c r="AS105" s="4" t="n"/>
      <c r="AT105" s="4" t="n"/>
      <c r="AU105" s="4" t="n"/>
      <c r="AV105" s="4" t="n"/>
      <c r="AW105" s="4" t="n"/>
      <c r="AX105" s="4" t="n"/>
      <c r="AY105" s="4" t="n"/>
      <c r="AZ105" s="4" t="n"/>
      <c r="BA105" s="4" t="n"/>
      <c r="BB105" s="4" t="n"/>
      <c r="BC105" s="4" t="n"/>
      <c r="BD105" s="4" t="n"/>
      <c r="BE105" s="4" t="n"/>
      <c r="BF105" s="4" t="n"/>
      <c r="BG105" s="4" t="n"/>
      <c r="BH105" s="4" t="n"/>
      <c r="BI105" s="4" t="n"/>
      <c r="BJ105" s="4" t="n"/>
      <c r="BK105" s="4" t="n"/>
      <c r="BL105" s="4" t="n"/>
      <c r="BM105" s="4" t="n"/>
      <c r="BN105" s="4" t="n"/>
    </row>
    <row r="106" customFormat="1" s="23">
      <c r="A106" s="4" t="n"/>
      <c r="B106" s="19" t="n"/>
      <c r="C106" s="20" t="n"/>
      <c r="D106" s="4" t="n"/>
      <c r="E106" s="21" t="n"/>
      <c r="F106" s="4" t="n"/>
      <c r="G106" s="4" t="n"/>
      <c r="H106" s="5" t="n"/>
      <c r="I106" s="5" t="n"/>
      <c r="J106" s="28" t="n"/>
      <c r="K106" s="32" t="n"/>
      <c r="L106" s="8" t="n"/>
      <c r="M106" s="28" t="n"/>
      <c r="N106" s="28" t="n"/>
      <c r="O106" s="28" t="n"/>
      <c r="P106" s="28" t="n"/>
      <c r="Q106" s="28" t="n"/>
      <c r="R106" s="28" t="n"/>
      <c r="S106" s="28" t="n"/>
      <c r="T106" s="28" t="n"/>
      <c r="U106" s="9" t="n"/>
      <c r="V106" s="28" t="n"/>
      <c r="W106" s="28" t="n"/>
      <c r="X106" s="28" t="n"/>
      <c r="AE106" s="4" t="n"/>
      <c r="AF106" s="4" t="n"/>
      <c r="AG106" s="4" t="n"/>
      <c r="AH106" s="4" t="n"/>
      <c r="AI106" s="4" t="n"/>
      <c r="AJ106" s="4" t="n"/>
      <c r="AK106" s="4" t="n"/>
      <c r="AL106" s="4" t="n"/>
      <c r="AM106" s="4" t="n"/>
      <c r="AN106" s="4" t="n"/>
      <c r="AO106" s="4" t="n"/>
      <c r="AP106" s="4" t="n"/>
      <c r="AQ106" s="4" t="n"/>
      <c r="AR106" s="4" t="n"/>
      <c r="AS106" s="4" t="n"/>
      <c r="AT106" s="4" t="n"/>
      <c r="AU106" s="4" t="n"/>
      <c r="AV106" s="4" t="n"/>
      <c r="AW106" s="4" t="n"/>
      <c r="AX106" s="4" t="n"/>
      <c r="AY106" s="4" t="n"/>
      <c r="AZ106" s="4" t="n"/>
      <c r="BA106" s="4" t="n"/>
      <c r="BB106" s="4" t="n"/>
      <c r="BC106" s="4" t="n"/>
      <c r="BD106" s="4" t="n"/>
      <c r="BE106" s="4" t="n"/>
      <c r="BF106" s="4" t="n"/>
      <c r="BG106" s="4" t="n"/>
      <c r="BH106" s="4" t="n"/>
      <c r="BI106" s="4" t="n"/>
      <c r="BJ106" s="4" t="n"/>
      <c r="BK106" s="4" t="n"/>
      <c r="BL106" s="4" t="n"/>
      <c r="BM106" s="4" t="n"/>
      <c r="BN106" s="4" t="n"/>
    </row>
    <row r="107" customFormat="1" s="23">
      <c r="A107" s="4" t="inlineStr">
        <is>
          <t>ALL(WM)</t>
        </is>
      </c>
      <c r="B107" s="19" t="inlineStr">
        <is>
          <t>Lab technician</t>
        </is>
      </c>
      <c r="C107" s="20" t="n"/>
      <c r="D107" s="4" t="n"/>
      <c r="E107" s="21" t="n"/>
      <c r="F107" s="4" t="n"/>
      <c r="G107" s="4" t="n"/>
      <c r="H107" s="5" t="n"/>
      <c r="I107" s="5" t="n"/>
      <c r="J107" s="28" t="n"/>
      <c r="K107" s="32" t="n"/>
      <c r="L107" s="8" t="n"/>
      <c r="M107" s="28" t="n"/>
      <c r="N107" s="28" t="n"/>
      <c r="O107" s="28" t="n"/>
      <c r="P107" s="28" t="n"/>
      <c r="Q107" s="28" t="n"/>
      <c r="R107" s="28" t="n"/>
      <c r="S107" s="28" t="n"/>
      <c r="T107" s="28" t="n"/>
      <c r="U107" s="9" t="n"/>
      <c r="V107" s="28" t="n"/>
      <c r="W107" s="28" t="n"/>
      <c r="X107" s="28" t="n"/>
      <c r="AE107" s="4" t="n"/>
      <c r="AF107" s="4" t="n"/>
      <c r="AG107" s="4" t="n"/>
      <c r="AH107" s="4" t="n"/>
      <c r="AI107" s="4" t="n"/>
      <c r="AJ107" s="4" t="n"/>
      <c r="AK107" s="4" t="n"/>
      <c r="AL107" s="4" t="n"/>
      <c r="AM107" s="4" t="n"/>
      <c r="AN107" s="4" t="n"/>
      <c r="AO107" s="4" t="n"/>
      <c r="AP107" s="4" t="n"/>
      <c r="AQ107" s="4" t="n"/>
      <c r="AR107" s="4" t="n"/>
      <c r="AS107" s="4" t="n"/>
      <c r="AT107" s="4" t="n"/>
      <c r="AU107" s="4" t="n"/>
      <c r="AV107" s="4" t="n"/>
      <c r="AW107" s="4" t="n"/>
      <c r="AX107" s="4" t="n"/>
      <c r="AY107" s="4" t="n"/>
      <c r="AZ107" s="4" t="n"/>
      <c r="BA107" s="4" t="n"/>
      <c r="BB107" s="4" t="n"/>
      <c r="BC107" s="4" t="n"/>
      <c r="BD107" s="4" t="n"/>
      <c r="BE107" s="4" t="n"/>
      <c r="BF107" s="4" t="n"/>
      <c r="BG107" s="4" t="n"/>
      <c r="BH107" s="4" t="n"/>
      <c r="BI107" s="4" t="n"/>
      <c r="BJ107" s="4" t="n"/>
      <c r="BK107" s="4" t="n"/>
      <c r="BL107" s="4" t="n"/>
      <c r="BM107" s="4" t="n"/>
      <c r="BN107" s="4" t="n"/>
    </row>
    <row r="108" customFormat="1" s="23">
      <c r="A108" s="4" t="inlineStr">
        <is>
          <t>ALL(WM)</t>
        </is>
      </c>
      <c r="B108" s="19" t="inlineStr">
        <is>
          <t>Medical scientist</t>
        </is>
      </c>
      <c r="C108" s="20" t="n"/>
      <c r="D108" s="4" t="n"/>
      <c r="E108" s="21" t="n"/>
      <c r="F108" s="4" t="n"/>
      <c r="G108" s="4" t="n"/>
      <c r="H108" s="5" t="n"/>
      <c r="I108" s="5" t="n"/>
      <c r="J108" s="28" t="n"/>
      <c r="K108" s="32" t="n"/>
      <c r="L108" s="8" t="n"/>
      <c r="M108" s="28" t="n"/>
      <c r="N108" s="28" t="n"/>
      <c r="O108" s="28" t="n"/>
      <c r="P108" s="28" t="n"/>
      <c r="Q108" s="28" t="n"/>
      <c r="R108" s="28" t="n"/>
      <c r="S108" s="28" t="n"/>
      <c r="T108" s="28" t="n"/>
      <c r="U108" s="9" t="n"/>
      <c r="V108" s="28" t="n"/>
      <c r="W108" s="28" t="n"/>
      <c r="X108" s="28" t="n"/>
      <c r="AE108" s="4" t="n"/>
      <c r="AF108" s="4" t="n"/>
      <c r="AG108" s="4" t="n"/>
      <c r="AH108" s="4" t="n"/>
      <c r="AI108" s="4" t="n"/>
      <c r="AJ108" s="4" t="n"/>
      <c r="AK108" s="4" t="n"/>
      <c r="AL108" s="4" t="n"/>
      <c r="AM108" s="4" t="n"/>
      <c r="AN108" s="4" t="n"/>
      <c r="AO108" s="4" t="n"/>
      <c r="AP108" s="4" t="n"/>
      <c r="AQ108" s="4" t="n"/>
      <c r="AR108" s="4" t="n"/>
      <c r="AS108" s="4" t="n"/>
      <c r="AT108" s="4" t="n"/>
      <c r="AU108" s="4" t="n"/>
      <c r="AV108" s="4" t="n"/>
      <c r="AW108" s="4" t="n"/>
      <c r="AX108" s="4" t="n"/>
      <c r="AY108" s="4" t="n"/>
      <c r="AZ108" s="4" t="n"/>
      <c r="BA108" s="4" t="n"/>
      <c r="BB108" s="4" t="n"/>
      <c r="BC108" s="4" t="n"/>
      <c r="BD108" s="4" t="n"/>
      <c r="BE108" s="4" t="n"/>
      <c r="BF108" s="4" t="n"/>
      <c r="BG108" s="4" t="n"/>
      <c r="BH108" s="4" t="n"/>
      <c r="BI108" s="4" t="n"/>
      <c r="BJ108" s="4" t="n"/>
      <c r="BK108" s="4" t="n"/>
      <c r="BL108" s="4" t="n"/>
      <c r="BM108" s="4" t="n"/>
      <c r="BN108" s="4" t="n"/>
    </row>
    <row r="109" customFormat="1" s="23">
      <c r="A109" s="4" t="inlineStr">
        <is>
          <t>ALL(WM)</t>
        </is>
      </c>
      <c r="B109" s="19" t="inlineStr">
        <is>
          <t>Admin staff</t>
        </is>
      </c>
      <c r="C109" s="20" t="n"/>
      <c r="D109" s="4" t="n"/>
      <c r="E109" s="21" t="n"/>
      <c r="F109" s="4" t="n"/>
      <c r="G109" s="4" t="n"/>
      <c r="H109" s="5" t="n"/>
      <c r="I109" s="5" t="n"/>
      <c r="J109" s="28" t="n"/>
      <c r="K109" s="32" t="n"/>
      <c r="L109" s="8" t="n"/>
      <c r="M109" s="28" t="n"/>
      <c r="N109" s="28" t="n"/>
      <c r="O109" s="28" t="n"/>
      <c r="P109" s="28" t="n"/>
      <c r="Q109" s="28" t="n"/>
      <c r="R109" s="28" t="n"/>
      <c r="S109" s="28" t="n"/>
      <c r="T109" s="28" t="n"/>
      <c r="U109" s="9" t="n"/>
      <c r="V109" s="28" t="n"/>
      <c r="W109" s="28" t="n"/>
      <c r="X109" s="28" t="n"/>
      <c r="AE109" s="4" t="n"/>
      <c r="AF109" s="4" t="n"/>
      <c r="AG109" s="4" t="n"/>
      <c r="AH109" s="4" t="n"/>
      <c r="AI109" s="4" t="n"/>
      <c r="AJ109" s="4" t="n"/>
      <c r="AK109" s="4" t="n"/>
      <c r="AL109" s="4" t="n"/>
      <c r="AM109" s="4" t="n"/>
      <c r="AN109" s="4" t="n"/>
      <c r="AO109" s="4" t="n"/>
      <c r="AP109" s="4" t="n"/>
      <c r="AQ109" s="4" t="n"/>
      <c r="AR109" s="4" t="n"/>
      <c r="AS109" s="4" t="n"/>
      <c r="AT109" s="4" t="n"/>
      <c r="AU109" s="4" t="n"/>
      <c r="AV109" s="4" t="n"/>
      <c r="AW109" s="4" t="n"/>
      <c r="AX109" s="4" t="n"/>
      <c r="AY109" s="4" t="n"/>
      <c r="AZ109" s="4" t="n"/>
      <c r="BA109" s="4" t="n"/>
      <c r="BB109" s="4" t="n"/>
      <c r="BC109" s="4" t="n"/>
      <c r="BD109" s="4" t="n"/>
      <c r="BE109" s="4" t="n"/>
      <c r="BF109" s="4" t="n"/>
      <c r="BG109" s="4" t="n"/>
      <c r="BH109" s="4" t="n"/>
      <c r="BI109" s="4" t="n"/>
      <c r="BJ109" s="4" t="n"/>
      <c r="BK109" s="4" t="n"/>
      <c r="BL109" s="4" t="n"/>
      <c r="BM109" s="4" t="n"/>
      <c r="BN109" s="4" t="n"/>
    </row>
    <row r="110" customFormat="1" s="23">
      <c r="A110" s="4" t="inlineStr">
        <is>
          <t>ALL(WM)</t>
        </is>
      </c>
      <c r="B110" s="19" t="inlineStr">
        <is>
          <t>Bioinformatics staff</t>
        </is>
      </c>
      <c r="C110" s="20" t="n"/>
      <c r="D110" s="4" t="n"/>
      <c r="E110" s="21" t="n"/>
      <c r="F110" s="4" t="n"/>
      <c r="G110" s="4" t="n"/>
      <c r="H110" s="5" t="n"/>
      <c r="I110" s="5" t="n"/>
      <c r="J110" s="28" t="n"/>
      <c r="K110" s="32" t="n"/>
      <c r="L110" s="8" t="n"/>
      <c r="M110" s="28" t="n"/>
      <c r="N110" s="28" t="n"/>
      <c r="O110" s="28" t="n"/>
      <c r="P110" s="28" t="n"/>
      <c r="Q110" s="28" t="n"/>
      <c r="R110" s="28" t="n"/>
      <c r="S110" s="28" t="n"/>
      <c r="T110" s="28" t="n"/>
      <c r="U110" s="9" t="n"/>
      <c r="V110" s="28" t="n"/>
      <c r="W110" s="28" t="n"/>
      <c r="X110" s="28" t="n"/>
      <c r="AE110" s="4" t="n"/>
      <c r="AF110" s="4" t="n"/>
      <c r="AG110" s="4" t="n"/>
      <c r="AH110" s="4" t="n"/>
      <c r="AI110" s="4" t="n"/>
      <c r="AJ110" s="4" t="n"/>
      <c r="AK110" s="4" t="n"/>
      <c r="AL110" s="4" t="n"/>
      <c r="AM110" s="4" t="n"/>
      <c r="AN110" s="4" t="n"/>
      <c r="AO110" s="4" t="n"/>
      <c r="AP110" s="4" t="n"/>
      <c r="AQ110" s="4" t="n"/>
      <c r="AR110" s="4" t="n"/>
      <c r="AS110" s="4" t="n"/>
      <c r="AT110" s="4" t="n"/>
      <c r="AU110" s="4" t="n"/>
      <c r="AV110" s="4" t="n"/>
      <c r="AW110" s="4" t="n"/>
      <c r="AX110" s="4" t="n"/>
      <c r="AY110" s="4" t="n"/>
      <c r="AZ110" s="4" t="n"/>
      <c r="BA110" s="4" t="n"/>
      <c r="BB110" s="4" t="n"/>
      <c r="BC110" s="4" t="n"/>
      <c r="BD110" s="4" t="n"/>
      <c r="BE110" s="4" t="n"/>
      <c r="BF110" s="4" t="n"/>
      <c r="BG110" s="4" t="n"/>
      <c r="BH110" s="4" t="n"/>
      <c r="BI110" s="4" t="n"/>
      <c r="BJ110" s="4" t="n"/>
      <c r="BK110" s="4" t="n"/>
      <c r="BL110" s="4" t="n"/>
      <c r="BM110" s="4" t="n"/>
      <c r="BN110" s="4" t="n"/>
    </row>
    <row r="111" customFormat="1" s="23">
      <c r="A111" s="4" t="inlineStr">
        <is>
          <t>ALL(WM)</t>
        </is>
      </c>
      <c r="B111" s="19" t="inlineStr">
        <is>
          <t>Pathologists</t>
        </is>
      </c>
      <c r="C111" s="20" t="n"/>
      <c r="D111" s="4" t="n"/>
      <c r="E111" s="21" t="n"/>
      <c r="F111" s="4" t="n"/>
      <c r="G111" s="4" t="n"/>
      <c r="H111" s="5" t="n"/>
      <c r="I111" s="5" t="n"/>
      <c r="J111" s="28" t="n"/>
      <c r="K111" s="32" t="n"/>
      <c r="L111" s="8" t="n"/>
      <c r="M111" s="28" t="n"/>
      <c r="N111" s="28" t="n"/>
      <c r="O111" s="28" t="n"/>
      <c r="P111" s="28" t="n"/>
      <c r="Q111" s="28" t="n"/>
      <c r="R111" s="28" t="n"/>
      <c r="S111" s="28" t="n"/>
      <c r="T111" s="28" t="n"/>
      <c r="U111" s="9" t="n"/>
      <c r="V111" s="28" t="n"/>
      <c r="W111" s="28" t="n"/>
      <c r="X111" s="28" t="n"/>
      <c r="AE111" s="4" t="n"/>
      <c r="AF111" s="4" t="n"/>
      <c r="AG111" s="4" t="n"/>
      <c r="AH111" s="4" t="n"/>
      <c r="AI111" s="4" t="n"/>
      <c r="AJ111" s="4" t="n"/>
      <c r="AK111" s="4" t="n"/>
      <c r="AL111" s="4" t="n"/>
      <c r="AM111" s="4" t="n"/>
      <c r="AN111" s="4" t="n"/>
      <c r="AO111" s="4" t="n"/>
      <c r="AP111" s="4" t="n"/>
      <c r="AQ111" s="4" t="n"/>
      <c r="AR111" s="4" t="n"/>
      <c r="AS111" s="4" t="n"/>
      <c r="AT111" s="4" t="n"/>
      <c r="AU111" s="4" t="n"/>
      <c r="AV111" s="4" t="n"/>
      <c r="AW111" s="4" t="n"/>
      <c r="AX111" s="4" t="n"/>
      <c r="AY111" s="4" t="n"/>
      <c r="AZ111" s="4" t="n"/>
      <c r="BA111" s="4" t="n"/>
      <c r="BB111" s="4" t="n"/>
      <c r="BC111" s="4" t="n"/>
      <c r="BD111" s="4" t="n"/>
      <c r="BE111" s="4" t="n"/>
      <c r="BF111" s="4" t="n"/>
      <c r="BG111" s="4" t="n"/>
      <c r="BH111" s="4" t="n"/>
      <c r="BI111" s="4" t="n"/>
      <c r="BJ111" s="4" t="n"/>
      <c r="BK111" s="4" t="n"/>
      <c r="BL111" s="4" t="n"/>
      <c r="BM111" s="4" t="n"/>
      <c r="BN111" s="4" t="n"/>
    </row>
    <row r="112" customFormat="1" s="23">
      <c r="A112" s="4" t="n"/>
      <c r="B112" s="19" t="n"/>
      <c r="C112" s="20" t="n"/>
      <c r="D112" s="4" t="n"/>
      <c r="E112" s="21" t="n"/>
      <c r="F112" s="4" t="n"/>
      <c r="G112" s="4" t="n"/>
      <c r="H112" s="5" t="n"/>
      <c r="I112" s="5" t="n"/>
      <c r="J112" s="28" t="n"/>
      <c r="K112" s="32" t="n"/>
      <c r="L112" s="8" t="n"/>
      <c r="M112" s="28" t="n"/>
      <c r="N112" s="28" t="n"/>
      <c r="O112" s="28" t="n"/>
      <c r="P112" s="28" t="n"/>
      <c r="Q112" s="28" t="n"/>
      <c r="R112" s="28" t="n"/>
      <c r="S112" s="28" t="n"/>
      <c r="T112" s="28" t="n"/>
      <c r="U112" s="9" t="n"/>
      <c r="V112" s="28" t="n"/>
      <c r="W112" s="28" t="n"/>
      <c r="X112" s="28" t="n"/>
      <c r="AE112" s="4" t="n"/>
      <c r="AF112" s="4" t="n"/>
      <c r="AG112" s="4" t="n"/>
      <c r="AH112" s="4" t="n"/>
      <c r="AI112" s="4" t="n"/>
      <c r="AJ112" s="4" t="n"/>
      <c r="AK112" s="4" t="n"/>
      <c r="AL112" s="4" t="n"/>
      <c r="AM112" s="4" t="n"/>
      <c r="AN112" s="4" t="n"/>
      <c r="AO112" s="4" t="n"/>
      <c r="AP112" s="4" t="n"/>
      <c r="AQ112" s="4" t="n"/>
      <c r="AR112" s="4" t="n"/>
      <c r="AS112" s="4" t="n"/>
      <c r="AT112" s="4" t="n"/>
      <c r="AU112" s="4" t="n"/>
      <c r="AV112" s="4" t="n"/>
      <c r="AW112" s="4" t="n"/>
      <c r="AX112" s="4" t="n"/>
      <c r="AY112" s="4" t="n"/>
      <c r="AZ112" s="4" t="n"/>
      <c r="BA112" s="4" t="n"/>
      <c r="BB112" s="4" t="n"/>
      <c r="BC112" s="4" t="n"/>
      <c r="BD112" s="4" t="n"/>
      <c r="BE112" s="4" t="n"/>
      <c r="BF112" s="4" t="n"/>
      <c r="BG112" s="4" t="n"/>
      <c r="BH112" s="4" t="n"/>
      <c r="BI112" s="4" t="n"/>
      <c r="BJ112" s="4" t="n"/>
      <c r="BK112" s="4" t="n"/>
      <c r="BL112" s="4" t="n"/>
      <c r="BM112" s="4" t="n"/>
      <c r="BN112" s="4" t="n"/>
    </row>
    <row r="113" customFormat="1" s="23">
      <c r="A113" s="4" t="inlineStr">
        <is>
          <t>%</t>
        </is>
      </c>
      <c r="B113" s="19" t="n"/>
      <c r="C113" s="20" t="n"/>
      <c r="D113" s="4" t="n"/>
      <c r="E113" s="21" t="n"/>
      <c r="F113" s="4" t="n"/>
      <c r="G113" s="4" t="n"/>
      <c r="H113" s="5" t="n"/>
      <c r="I113" s="5" t="n"/>
      <c r="J113" s="11" t="n"/>
      <c r="K113" s="32" t="n"/>
      <c r="L113" s="8" t="n"/>
      <c r="M113" s="8" t="n"/>
      <c r="N113" s="8" t="n"/>
      <c r="O113" s="27" t="n"/>
      <c r="P113" s="8" t="n"/>
      <c r="Q113" s="8" t="n"/>
      <c r="R113" s="29" t="n"/>
      <c r="S113" s="9" t="n"/>
      <c r="T113" s="8" t="n"/>
      <c r="U113" s="9" t="n"/>
      <c r="AE113" s="4" t="n"/>
      <c r="AF113" s="4" t="n"/>
      <c r="AG113" s="4" t="n"/>
      <c r="AH113" s="4" t="n"/>
      <c r="AI113" s="4" t="n"/>
      <c r="AJ113" s="4" t="n"/>
      <c r="AK113" s="4" t="n"/>
      <c r="AL113" s="4" t="n"/>
      <c r="AM113" s="4" t="n"/>
      <c r="AN113" s="4" t="n"/>
      <c r="AO113" s="4" t="n"/>
      <c r="AP113" s="4" t="n"/>
      <c r="AQ113" s="4" t="n"/>
      <c r="AR113" s="4" t="n"/>
      <c r="AS113" s="4" t="n"/>
      <c r="AT113" s="4" t="n"/>
      <c r="AU113" s="4" t="n"/>
      <c r="AV113" s="4" t="n"/>
      <c r="AW113" s="4" t="n"/>
      <c r="AX113" s="4" t="n"/>
      <c r="AY113" s="4" t="n"/>
      <c r="AZ113" s="4" t="n"/>
      <c r="BA113" s="4" t="n"/>
      <c r="BB113" s="4" t="n"/>
      <c r="BC113" s="4" t="n"/>
      <c r="BD113" s="4" t="n"/>
      <c r="BE113" s="4" t="n"/>
      <c r="BF113" s="4" t="n"/>
      <c r="BG113" s="4" t="n"/>
      <c r="BH113" s="4" t="n"/>
      <c r="BI113" s="4" t="n"/>
      <c r="BJ113" s="4" t="n"/>
      <c r="BK113" s="4" t="n"/>
      <c r="BL113" s="4" t="n"/>
      <c r="BM113" s="4" t="n"/>
      <c r="BN113" s="4" t="n"/>
    </row>
    <row r="114" customFormat="1" s="23">
      <c r="A114" s="4" t="inlineStr">
        <is>
          <t>VIC</t>
        </is>
      </c>
      <c r="B114" s="19" t="inlineStr">
        <is>
          <t>Lab technician</t>
        </is>
      </c>
      <c r="C114" s="20" t="n"/>
      <c r="D114" s="4" t="n"/>
      <c r="E114" s="21" t="n"/>
      <c r="F114" s="4" t="n"/>
      <c r="G114" s="4" t="n"/>
      <c r="H114" s="5" t="n"/>
      <c r="I114" s="5" t="n"/>
      <c r="J114" s="8">
        <f>(J4*$W4)/$Z4</f>
        <v/>
      </c>
      <c r="K114" s="32" t="n"/>
      <c r="L114" s="8" t="n"/>
      <c r="M114" s="8">
        <f>(M4*$W4)/$Z4</f>
        <v/>
      </c>
      <c r="N114" s="8">
        <f>(N4*$W4)/$Z4</f>
        <v/>
      </c>
      <c r="O114" s="8">
        <f>(O4*$W4)/$Z4</f>
        <v/>
      </c>
      <c r="P114" s="8">
        <f>(P4*$W4)/$Z4</f>
        <v/>
      </c>
      <c r="Q114" s="8">
        <f>(Q4*$W4)/$Z4</f>
        <v/>
      </c>
      <c r="R114" s="8">
        <f>(R4)/$Z4</f>
        <v/>
      </c>
      <c r="S114" s="8">
        <f>(S4/52*$W4)/$Z4</f>
        <v/>
      </c>
      <c r="T114" s="8">
        <f>(T4*$W4)/$Z4</f>
        <v/>
      </c>
      <c r="U114" s="9" t="n"/>
      <c r="V114" s="8">
        <f>(V4)/$Z4</f>
        <v/>
      </c>
      <c r="W114" s="8">
        <f>(W4)/$Z4</f>
        <v/>
      </c>
      <c r="X114" s="8">
        <f>(X4)/$Z4</f>
        <v/>
      </c>
      <c r="AE114" s="4" t="n"/>
      <c r="AF114" s="4" t="n"/>
      <c r="AG114" s="4" t="n"/>
      <c r="AH114" s="4" t="n"/>
      <c r="AI114" s="4" t="n"/>
      <c r="AJ114" s="4" t="n"/>
      <c r="AK114" s="4" t="n"/>
      <c r="AL114" s="4" t="n"/>
      <c r="AM114" s="4" t="n"/>
      <c r="AN114" s="4" t="n"/>
      <c r="AO114" s="4" t="n"/>
      <c r="AP114" s="4" t="n"/>
      <c r="AQ114" s="4" t="n"/>
      <c r="AR114" s="4" t="n"/>
      <c r="AS114" s="4" t="n"/>
      <c r="AT114" s="4" t="n"/>
      <c r="AU114" s="4" t="n"/>
      <c r="AV114" s="4" t="n"/>
      <c r="AW114" s="4" t="n"/>
      <c r="AX114" s="4" t="n"/>
      <c r="AY114" s="4" t="n"/>
      <c r="AZ114" s="4" t="n"/>
      <c r="BA114" s="4" t="n"/>
      <c r="BB114" s="4" t="n"/>
      <c r="BC114" s="4" t="n"/>
      <c r="BD114" s="4" t="n"/>
      <c r="BE114" s="4" t="n"/>
      <c r="BF114" s="4" t="n"/>
      <c r="BG114" s="4" t="n"/>
      <c r="BH114" s="4" t="n"/>
      <c r="BI114" s="4" t="n"/>
      <c r="BJ114" s="4" t="n"/>
      <c r="BK114" s="4" t="n"/>
      <c r="BL114" s="4" t="n"/>
      <c r="BM114" s="4" t="n"/>
      <c r="BN114" s="4" t="n"/>
    </row>
    <row r="115" customFormat="1" s="23">
      <c r="A115" s="4" t="inlineStr">
        <is>
          <t>VIC</t>
        </is>
      </c>
      <c r="B115" s="19" t="inlineStr">
        <is>
          <t>Medical scientist</t>
        </is>
      </c>
      <c r="C115" s="20" t="n"/>
      <c r="D115" s="4" t="n"/>
      <c r="E115" s="21" t="n"/>
      <c r="F115" s="4" t="n"/>
      <c r="G115" s="4" t="n"/>
      <c r="H115" s="5" t="n"/>
      <c r="I115" s="5" t="n"/>
      <c r="J115" s="8">
        <f>(J5*$W5)/$Z5</f>
        <v/>
      </c>
      <c r="K115" s="32" t="n"/>
      <c r="L115" s="8" t="n"/>
      <c r="M115" s="8">
        <f>(M5*$W5)/$Z5</f>
        <v/>
      </c>
      <c r="N115" s="8">
        <f>(N5*$W5)/$Z5</f>
        <v/>
      </c>
      <c r="O115" s="8">
        <f>(O5*$W5)/$Z5</f>
        <v/>
      </c>
      <c r="P115" s="8">
        <f>(P5*$W5)/$Z5</f>
        <v/>
      </c>
      <c r="Q115" s="8">
        <f>(Q5*$W5)/$Z5</f>
        <v/>
      </c>
      <c r="R115" s="8">
        <f>(R5)/$Z5</f>
        <v/>
      </c>
      <c r="S115" s="8">
        <f>(S5/52*$W5)/$Z5</f>
        <v/>
      </c>
      <c r="T115" s="8">
        <f>(T5*$W5)/$Z5</f>
        <v/>
      </c>
      <c r="U115" s="9" t="n"/>
      <c r="V115" s="8">
        <f>(V5)/$Z5</f>
        <v/>
      </c>
      <c r="W115" s="8">
        <f>(W5)/$Z5</f>
        <v/>
      </c>
      <c r="X115" s="8">
        <f>(X5)/$Z5</f>
        <v/>
      </c>
      <c r="AE115" s="4" t="n"/>
      <c r="AF115" s="4" t="n"/>
      <c r="AG115" s="4" t="n"/>
      <c r="AH115" s="4" t="n"/>
      <c r="AI115" s="4" t="n"/>
      <c r="AJ115" s="4" t="n"/>
      <c r="AK115" s="4" t="n"/>
      <c r="AL115" s="4" t="n"/>
      <c r="AM115" s="4" t="n"/>
      <c r="AN115" s="4" t="n"/>
      <c r="AO115" s="4" t="n"/>
      <c r="AP115" s="4" t="n"/>
      <c r="AQ115" s="4" t="n"/>
      <c r="AR115" s="4" t="n"/>
      <c r="AS115" s="4" t="n"/>
      <c r="AT115" s="4" t="n"/>
      <c r="AU115" s="4" t="n"/>
      <c r="AV115" s="4" t="n"/>
      <c r="AW115" s="4" t="n"/>
      <c r="AX115" s="4" t="n"/>
      <c r="AY115" s="4" t="n"/>
      <c r="AZ115" s="4" t="n"/>
      <c r="BA115" s="4" t="n"/>
      <c r="BB115" s="4" t="n"/>
      <c r="BC115" s="4" t="n"/>
      <c r="BD115" s="4" t="n"/>
      <c r="BE115" s="4" t="n"/>
      <c r="BF115" s="4" t="n"/>
      <c r="BG115" s="4" t="n"/>
      <c r="BH115" s="4" t="n"/>
      <c r="BI115" s="4" t="n"/>
      <c r="BJ115" s="4" t="n"/>
      <c r="BK115" s="4" t="n"/>
      <c r="BL115" s="4" t="n"/>
      <c r="BM115" s="4" t="n"/>
      <c r="BN115" s="4" t="n"/>
    </row>
    <row r="116" customFormat="1" s="23">
      <c r="A116" s="4" t="inlineStr">
        <is>
          <t>VIC</t>
        </is>
      </c>
      <c r="B116" s="19" t="inlineStr">
        <is>
          <t>Admin staff</t>
        </is>
      </c>
      <c r="C116" s="20" t="n"/>
      <c r="D116" s="4" t="n"/>
      <c r="E116" s="21" t="n"/>
      <c r="F116" s="4" t="n"/>
      <c r="G116" s="4" t="n"/>
      <c r="H116" s="5" t="n"/>
      <c r="I116" s="5" t="n"/>
      <c r="J116" s="8">
        <f>(J6*$W6)/$Z6</f>
        <v/>
      </c>
      <c r="K116" s="32" t="n"/>
      <c r="L116" s="8" t="n"/>
      <c r="M116" s="8">
        <f>(M6*$W6)/$Z6</f>
        <v/>
      </c>
      <c r="N116" s="8">
        <f>(N6*$W6)/$Z6</f>
        <v/>
      </c>
      <c r="O116" s="8">
        <f>(O6*$W6)/$Z6</f>
        <v/>
      </c>
      <c r="P116" s="8">
        <f>(P6*$W6)/$Z6</f>
        <v/>
      </c>
      <c r="Q116" s="8">
        <f>(Q6*$W6)/$Z6</f>
        <v/>
      </c>
      <c r="R116" s="8">
        <f>(R6)/$Z6</f>
        <v/>
      </c>
      <c r="S116" s="8">
        <f>(S6/52*$W6)/$Z6</f>
        <v/>
      </c>
      <c r="T116" s="8">
        <f>(T6*$W6)/$Z6</f>
        <v/>
      </c>
      <c r="U116" s="9" t="n"/>
      <c r="V116" s="8">
        <f>(V6)/$Z6</f>
        <v/>
      </c>
      <c r="W116" s="8">
        <f>(W6)/$Z6</f>
        <v/>
      </c>
      <c r="X116" s="8">
        <f>(X6)/$Z6</f>
        <v/>
      </c>
      <c r="AE116" s="4" t="n"/>
      <c r="AF116" s="4" t="n"/>
      <c r="AG116" s="4" t="n"/>
      <c r="AH116" s="4" t="n"/>
      <c r="AI116" s="4" t="n"/>
      <c r="AJ116" s="4" t="n"/>
      <c r="AK116" s="4" t="n"/>
      <c r="AL116" s="4" t="n"/>
      <c r="AM116" s="4" t="n"/>
      <c r="AN116" s="4" t="n"/>
      <c r="AO116" s="4" t="n"/>
      <c r="AP116" s="4" t="n"/>
      <c r="AQ116" s="4" t="n"/>
      <c r="AR116" s="4" t="n"/>
      <c r="AS116" s="4" t="n"/>
      <c r="AT116" s="4" t="n"/>
      <c r="AU116" s="4" t="n"/>
      <c r="AV116" s="4" t="n"/>
      <c r="AW116" s="4" t="n"/>
      <c r="AX116" s="4" t="n"/>
      <c r="AY116" s="4" t="n"/>
      <c r="AZ116" s="4" t="n"/>
      <c r="BA116" s="4" t="n"/>
      <c r="BB116" s="4" t="n"/>
      <c r="BC116" s="4" t="n"/>
      <c r="BD116" s="4" t="n"/>
      <c r="BE116" s="4" t="n"/>
      <c r="BF116" s="4" t="n"/>
      <c r="BG116" s="4" t="n"/>
      <c r="BH116" s="4" t="n"/>
      <c r="BI116" s="4" t="n"/>
      <c r="BJ116" s="4" t="n"/>
      <c r="BK116" s="4" t="n"/>
      <c r="BL116" s="4" t="n"/>
      <c r="BM116" s="4" t="n"/>
      <c r="BN116" s="4" t="n"/>
    </row>
    <row r="117" customFormat="1" s="23">
      <c r="A117" s="4" t="inlineStr">
        <is>
          <t>VIC</t>
        </is>
      </c>
      <c r="B117" s="19" t="inlineStr">
        <is>
          <t>Bioinformatics staff</t>
        </is>
      </c>
      <c r="C117" s="20" t="n"/>
      <c r="D117" s="4" t="n"/>
      <c r="E117" s="21" t="n"/>
      <c r="F117" s="4" t="n"/>
      <c r="G117" s="4" t="n"/>
      <c r="H117" s="5" t="n"/>
      <c r="I117" s="5" t="n"/>
      <c r="J117" s="8">
        <f>(J7*$W7)/$Z7</f>
        <v/>
      </c>
      <c r="K117" s="32" t="n"/>
      <c r="L117" s="8" t="n"/>
      <c r="M117" s="8">
        <f>(M7*$W7)/$Z7</f>
        <v/>
      </c>
      <c r="N117" s="8">
        <f>(N7*$W7)/$Z7</f>
        <v/>
      </c>
      <c r="O117" s="8">
        <f>(O7*$W7)/$Z7</f>
        <v/>
      </c>
      <c r="P117" s="8">
        <f>(P7*$W7)/$Z7</f>
        <v/>
      </c>
      <c r="Q117" s="8">
        <f>(Q7*$W7)/$Z7</f>
        <v/>
      </c>
      <c r="R117" s="8">
        <f>(R7)/$Z7</f>
        <v/>
      </c>
      <c r="S117" s="8">
        <f>(S7/52*$W7)/$Z7</f>
        <v/>
      </c>
      <c r="T117" s="8">
        <f>(T7*$W7)/$Z7</f>
        <v/>
      </c>
      <c r="U117" s="9" t="n"/>
      <c r="V117" s="8">
        <f>(V7)/$Z7</f>
        <v/>
      </c>
      <c r="W117" s="8">
        <f>(W7)/$Z7</f>
        <v/>
      </c>
      <c r="X117" s="8">
        <f>(X7)/$Z7</f>
        <v/>
      </c>
      <c r="AE117" s="4" t="n"/>
      <c r="AF117" s="4" t="n"/>
      <c r="AG117" s="4" t="n"/>
      <c r="AH117" s="4" t="n"/>
      <c r="AI117" s="4" t="n"/>
      <c r="AJ117" s="4" t="n"/>
      <c r="AK117" s="4" t="n"/>
      <c r="AL117" s="4" t="n"/>
      <c r="AM117" s="4" t="n"/>
      <c r="AN117" s="4" t="n"/>
      <c r="AO117" s="4" t="n"/>
      <c r="AP117" s="4" t="n"/>
      <c r="AQ117" s="4" t="n"/>
      <c r="AR117" s="4" t="n"/>
      <c r="AS117" s="4" t="n"/>
      <c r="AT117" s="4" t="n"/>
      <c r="AU117" s="4" t="n"/>
      <c r="AV117" s="4" t="n"/>
      <c r="AW117" s="4" t="n"/>
      <c r="AX117" s="4" t="n"/>
      <c r="AY117" s="4" t="n"/>
      <c r="AZ117" s="4" t="n"/>
      <c r="BA117" s="4" t="n"/>
      <c r="BB117" s="4" t="n"/>
      <c r="BC117" s="4" t="n"/>
      <c r="BD117" s="4" t="n"/>
      <c r="BE117" s="4" t="n"/>
      <c r="BF117" s="4" t="n"/>
      <c r="BG117" s="4" t="n"/>
      <c r="BH117" s="4" t="n"/>
      <c r="BI117" s="4" t="n"/>
      <c r="BJ117" s="4" t="n"/>
      <c r="BK117" s="4" t="n"/>
      <c r="BL117" s="4" t="n"/>
      <c r="BM117" s="4" t="n"/>
      <c r="BN117" s="4" t="n"/>
    </row>
    <row r="118" customFormat="1" s="23">
      <c r="A118" s="4" t="inlineStr">
        <is>
          <t>VIC</t>
        </is>
      </c>
      <c r="B118" s="19" t="inlineStr">
        <is>
          <t>Pathologists</t>
        </is>
      </c>
      <c r="C118" s="20" t="n"/>
      <c r="D118" s="4" t="n"/>
      <c r="E118" s="21" t="n"/>
      <c r="F118" s="4" t="n"/>
      <c r="G118" s="4" t="n"/>
      <c r="H118" s="5" t="n"/>
      <c r="I118" s="5" t="n"/>
      <c r="J118" s="8">
        <f>(J8*$W8)/$Z8</f>
        <v/>
      </c>
      <c r="K118" s="32" t="n"/>
      <c r="L118" s="8" t="n"/>
      <c r="M118" s="8">
        <f>(M8*$W8)/$Z8</f>
        <v/>
      </c>
      <c r="N118" s="8">
        <f>(N8*$W8)/$Z8</f>
        <v/>
      </c>
      <c r="O118" s="8">
        <f>(O8*$W8)/$Z8</f>
        <v/>
      </c>
      <c r="P118" s="8">
        <f>(P8*$W8)/$Z8</f>
        <v/>
      </c>
      <c r="Q118" s="8">
        <f>(Q8*$W8)/$Z8</f>
        <v/>
      </c>
      <c r="R118" s="8">
        <f>(R8)/$Z8</f>
        <v/>
      </c>
      <c r="S118" s="8">
        <f>(S8/52*$W8)/$Z8</f>
        <v/>
      </c>
      <c r="T118" s="8">
        <f>(T8*$W8)/$Z8</f>
        <v/>
      </c>
      <c r="U118" s="9" t="n"/>
      <c r="V118" s="8">
        <f>(V8)/$Z8</f>
        <v/>
      </c>
      <c r="W118" s="8">
        <f>(W8)/$Z8</f>
        <v/>
      </c>
      <c r="X118" s="8">
        <f>(X8)/$Z8</f>
        <v/>
      </c>
      <c r="AE118" s="4" t="n"/>
      <c r="AF118" s="4" t="n"/>
      <c r="AG118" s="4" t="n"/>
      <c r="AH118" s="4" t="n"/>
      <c r="AI118" s="4" t="n"/>
      <c r="AJ118" s="4" t="n"/>
      <c r="AK118" s="4" t="n"/>
      <c r="AL118" s="4" t="n"/>
      <c r="AM118" s="4" t="n"/>
      <c r="AN118" s="4" t="n"/>
      <c r="AO118" s="4" t="n"/>
      <c r="AP118" s="4" t="n"/>
      <c r="AQ118" s="4" t="n"/>
      <c r="AR118" s="4" t="n"/>
      <c r="AS118" s="4" t="n"/>
      <c r="AT118" s="4" t="n"/>
      <c r="AU118" s="4" t="n"/>
      <c r="AV118" s="4" t="n"/>
      <c r="AW118" s="4" t="n"/>
      <c r="AX118" s="4" t="n"/>
      <c r="AY118" s="4" t="n"/>
      <c r="AZ118" s="4" t="n"/>
      <c r="BA118" s="4" t="n"/>
      <c r="BB118" s="4" t="n"/>
      <c r="BC118" s="4" t="n"/>
      <c r="BD118" s="4" t="n"/>
      <c r="BE118" s="4" t="n"/>
      <c r="BF118" s="4" t="n"/>
      <c r="BG118" s="4" t="n"/>
      <c r="BH118" s="4" t="n"/>
      <c r="BI118" s="4" t="n"/>
      <c r="BJ118" s="4" t="n"/>
      <c r="BK118" s="4" t="n"/>
      <c r="BL118" s="4" t="n"/>
      <c r="BM118" s="4" t="n"/>
      <c r="BN118" s="4" t="n"/>
    </row>
    <row r="119" customFormat="1" s="23">
      <c r="A119" s="4" t="n"/>
      <c r="B119" s="19" t="n"/>
      <c r="C119" s="20" t="n"/>
      <c r="D119" s="4" t="n"/>
      <c r="E119" s="21" t="n"/>
      <c r="F119" s="4" t="n"/>
      <c r="G119" s="4" t="n"/>
      <c r="H119" s="5" t="n"/>
      <c r="I119" s="5" t="n"/>
      <c r="J119" s="11" t="n"/>
      <c r="K119" s="32" t="n"/>
      <c r="L119" s="8" t="n"/>
      <c r="M119" s="11" t="n"/>
      <c r="N119" s="11" t="n"/>
      <c r="O119" s="11" t="n"/>
      <c r="P119" s="11" t="n"/>
      <c r="Q119" s="11" t="n"/>
      <c r="R119" s="29" t="n"/>
      <c r="S119" s="8" t="n"/>
      <c r="T119" s="11" t="n"/>
      <c r="U119" s="9" t="n"/>
      <c r="AE119" s="4" t="n"/>
      <c r="AF119" s="4" t="n"/>
      <c r="AG119" s="4" t="n"/>
      <c r="AH119" s="4" t="n"/>
      <c r="AI119" s="4" t="n"/>
      <c r="AJ119" s="4" t="n"/>
      <c r="AK119" s="4" t="n"/>
      <c r="AL119" s="4" t="n"/>
      <c r="AM119" s="4" t="n"/>
      <c r="AN119" s="4" t="n"/>
      <c r="AO119" s="4" t="n"/>
      <c r="AP119" s="4" t="n"/>
      <c r="AQ119" s="4" t="n"/>
      <c r="AR119" s="4" t="n"/>
      <c r="AS119" s="4" t="n"/>
      <c r="AT119" s="4" t="n"/>
      <c r="AU119" s="4" t="n"/>
      <c r="AV119" s="4" t="n"/>
      <c r="AW119" s="4" t="n"/>
      <c r="AX119" s="4" t="n"/>
      <c r="AY119" s="4" t="n"/>
      <c r="AZ119" s="4" t="n"/>
      <c r="BA119" s="4" t="n"/>
      <c r="BB119" s="4" t="n"/>
      <c r="BC119" s="4" t="n"/>
      <c r="BD119" s="4" t="n"/>
      <c r="BE119" s="4" t="n"/>
      <c r="BF119" s="4" t="n"/>
      <c r="BG119" s="4" t="n"/>
      <c r="BH119" s="4" t="n"/>
      <c r="BI119" s="4" t="n"/>
      <c r="BJ119" s="4" t="n"/>
      <c r="BK119" s="4" t="n"/>
      <c r="BL119" s="4" t="n"/>
      <c r="BM119" s="4" t="n"/>
      <c r="BN119" s="4" t="n"/>
    </row>
    <row r="120" customFormat="1" s="23">
      <c r="A120" s="4" t="inlineStr">
        <is>
          <t>SA</t>
        </is>
      </c>
      <c r="B120" s="19" t="inlineStr">
        <is>
          <t>Lab technician</t>
        </is>
      </c>
      <c r="C120" s="20" t="n"/>
      <c r="D120" s="4" t="n"/>
      <c r="E120" s="21" t="n"/>
      <c r="F120" s="4" t="n"/>
      <c r="G120" s="4" t="n"/>
      <c r="H120" s="5" t="n"/>
      <c r="I120" s="5" t="n"/>
      <c r="J120" s="8">
        <f>(J10*$W10)/$Z10</f>
        <v/>
      </c>
      <c r="K120" s="32" t="n"/>
      <c r="L120" s="8" t="n"/>
      <c r="M120" s="8">
        <f>(M10*$W10)/$Z10</f>
        <v/>
      </c>
      <c r="N120" s="8">
        <f>(N10*$W10)/$Z10</f>
        <v/>
      </c>
      <c r="O120" s="8">
        <f>(O10*$W10)/$Z10</f>
        <v/>
      </c>
      <c r="P120" s="8">
        <f>(P10*$W10)/$Z10</f>
        <v/>
      </c>
      <c r="Q120" s="8">
        <f>(Q10*$W10)/$Z10</f>
        <v/>
      </c>
      <c r="R120" s="8">
        <f>(R10)/$Z10</f>
        <v/>
      </c>
      <c r="S120" s="8">
        <f>(S10/52*$W10)/$Z10</f>
        <v/>
      </c>
      <c r="T120" s="8">
        <f>(T10*$W10)/$Z10</f>
        <v/>
      </c>
      <c r="U120" s="9" t="n"/>
      <c r="V120" s="8">
        <f>(V10)/$Z10</f>
        <v/>
      </c>
      <c r="W120" s="8">
        <f>(W10)/$Z10</f>
        <v/>
      </c>
      <c r="X120" s="8">
        <f>(X10)/$Z10</f>
        <v/>
      </c>
      <c r="AE120" s="4" t="n"/>
      <c r="AF120" s="4" t="n"/>
      <c r="AG120" s="4" t="n"/>
      <c r="AH120" s="4" t="n"/>
      <c r="AI120" s="4" t="n"/>
      <c r="AJ120" s="4" t="n"/>
      <c r="AK120" s="4" t="n"/>
      <c r="AL120" s="4" t="n"/>
      <c r="AM120" s="4" t="n"/>
      <c r="AN120" s="4" t="n"/>
      <c r="AO120" s="4" t="n"/>
      <c r="AP120" s="4" t="n"/>
      <c r="AQ120" s="4" t="n"/>
      <c r="AR120" s="4" t="n"/>
      <c r="AS120" s="4" t="n"/>
      <c r="AT120" s="4" t="n"/>
      <c r="AU120" s="4" t="n"/>
      <c r="AV120" s="4" t="n"/>
      <c r="AW120" s="4" t="n"/>
      <c r="AX120" s="4" t="n"/>
      <c r="AY120" s="4" t="n"/>
      <c r="AZ120" s="4" t="n"/>
      <c r="BA120" s="4" t="n"/>
      <c r="BB120" s="4" t="n"/>
      <c r="BC120" s="4" t="n"/>
      <c r="BD120" s="4" t="n"/>
      <c r="BE120" s="4" t="n"/>
      <c r="BF120" s="4" t="n"/>
      <c r="BG120" s="4" t="n"/>
      <c r="BH120" s="4" t="n"/>
      <c r="BI120" s="4" t="n"/>
      <c r="BJ120" s="4" t="n"/>
      <c r="BK120" s="4" t="n"/>
      <c r="BL120" s="4" t="n"/>
      <c r="BM120" s="4" t="n"/>
      <c r="BN120" s="4" t="n"/>
    </row>
    <row r="121" customFormat="1" s="23">
      <c r="A121" s="4" t="inlineStr">
        <is>
          <t>SA</t>
        </is>
      </c>
      <c r="B121" s="19" t="inlineStr">
        <is>
          <t>Medical scientist</t>
        </is>
      </c>
      <c r="C121" s="20" t="n"/>
      <c r="D121" s="4" t="n"/>
      <c r="E121" s="21" t="n"/>
      <c r="F121" s="4" t="n"/>
      <c r="G121" s="4" t="n"/>
      <c r="H121" s="5" t="n"/>
      <c r="I121" s="5" t="n"/>
      <c r="J121" s="8">
        <f>(J11*$W11)/$Z11</f>
        <v/>
      </c>
      <c r="K121" s="32" t="n"/>
      <c r="L121" s="8" t="n"/>
      <c r="M121" s="8">
        <f>(M11*$W11)/$Z11</f>
        <v/>
      </c>
      <c r="N121" s="8">
        <f>(N11*$W11)/$Z11</f>
        <v/>
      </c>
      <c r="O121" s="8">
        <f>(O11*$W11)/$Z11</f>
        <v/>
      </c>
      <c r="P121" s="8">
        <f>(P11*$W11)/$Z11</f>
        <v/>
      </c>
      <c r="Q121" s="8">
        <f>(Q11*$W11)/$Z11</f>
        <v/>
      </c>
      <c r="R121" s="8">
        <f>(R11)/$Z11</f>
        <v/>
      </c>
      <c r="S121" s="8">
        <f>(S11/52*$W11)/$Z11</f>
        <v/>
      </c>
      <c r="T121" s="8">
        <f>(T11*$W11)/$Z11</f>
        <v/>
      </c>
      <c r="U121" s="9" t="n"/>
      <c r="V121" s="8">
        <f>(V11)/$Z11</f>
        <v/>
      </c>
      <c r="W121" s="8">
        <f>(W11)/$Z11</f>
        <v/>
      </c>
      <c r="X121" s="8">
        <f>(X11)/$Z11</f>
        <v/>
      </c>
      <c r="AE121" s="4" t="n"/>
      <c r="AF121" s="4" t="n"/>
      <c r="AG121" s="4" t="n"/>
      <c r="AH121" s="4" t="n"/>
      <c r="AI121" s="4" t="n"/>
      <c r="AJ121" s="4" t="n"/>
      <c r="AK121" s="4" t="n"/>
      <c r="AL121" s="4" t="n"/>
      <c r="AM121" s="4" t="n"/>
      <c r="AN121" s="4" t="n"/>
      <c r="AO121" s="4" t="n"/>
      <c r="AP121" s="4" t="n"/>
      <c r="AQ121" s="4" t="n"/>
      <c r="AR121" s="4" t="n"/>
      <c r="AS121" s="4" t="n"/>
      <c r="AT121" s="4" t="n"/>
      <c r="AU121" s="4" t="n"/>
      <c r="AV121" s="4" t="n"/>
      <c r="AW121" s="4" t="n"/>
      <c r="AX121" s="4" t="n"/>
      <c r="AY121" s="4" t="n"/>
      <c r="AZ121" s="4" t="n"/>
      <c r="BA121" s="4" t="n"/>
      <c r="BB121" s="4" t="n"/>
      <c r="BC121" s="4" t="n"/>
      <c r="BD121" s="4" t="n"/>
      <c r="BE121" s="4" t="n"/>
      <c r="BF121" s="4" t="n"/>
      <c r="BG121" s="4" t="n"/>
      <c r="BH121" s="4" t="n"/>
      <c r="BI121" s="4" t="n"/>
      <c r="BJ121" s="4" t="n"/>
      <c r="BK121" s="4" t="n"/>
      <c r="BL121" s="4" t="n"/>
      <c r="BM121" s="4" t="n"/>
      <c r="BN121" s="4" t="n"/>
    </row>
    <row r="122" customFormat="1" s="23">
      <c r="A122" s="4" t="inlineStr">
        <is>
          <t>SA</t>
        </is>
      </c>
      <c r="B122" s="19" t="inlineStr">
        <is>
          <t>Admin staff</t>
        </is>
      </c>
      <c r="C122" s="20" t="n"/>
      <c r="D122" s="4" t="n"/>
      <c r="E122" s="21" t="n"/>
      <c r="F122" s="4" t="n"/>
      <c r="G122" s="4" t="n"/>
      <c r="H122" s="5" t="n"/>
      <c r="I122" s="5" t="n"/>
      <c r="J122" s="8">
        <f>(J12*$W12)/$Z12</f>
        <v/>
      </c>
      <c r="K122" s="32" t="n"/>
      <c r="L122" s="8" t="n"/>
      <c r="M122" s="8">
        <f>(M12*$W12)/$Z12</f>
        <v/>
      </c>
      <c r="N122" s="8">
        <f>(N12*$W12)/$Z12</f>
        <v/>
      </c>
      <c r="O122" s="8">
        <f>(O12*$W12)/$Z12</f>
        <v/>
      </c>
      <c r="P122" s="8">
        <f>(P12*$W12)/$Z12</f>
        <v/>
      </c>
      <c r="Q122" s="8">
        <f>(Q12*$W12)/$Z12</f>
        <v/>
      </c>
      <c r="R122" s="8">
        <f>(R12)/$Z12</f>
        <v/>
      </c>
      <c r="S122" s="8">
        <f>(S12/52*$W12)/$Z12</f>
        <v/>
      </c>
      <c r="T122" s="8">
        <f>(T12*$W12)/$Z12</f>
        <v/>
      </c>
      <c r="U122" s="9" t="n"/>
      <c r="V122" s="8">
        <f>(V12)/$Z12</f>
        <v/>
      </c>
      <c r="W122" s="8">
        <f>(W12)/$Z12</f>
        <v/>
      </c>
      <c r="X122" s="8">
        <f>(X12)/$Z12</f>
        <v/>
      </c>
      <c r="AE122" s="4" t="n"/>
      <c r="AF122" s="4" t="n"/>
      <c r="AG122" s="4" t="n"/>
      <c r="AH122" s="4" t="n"/>
      <c r="AI122" s="4" t="n"/>
      <c r="AJ122" s="4" t="n"/>
      <c r="AK122" s="4" t="n"/>
      <c r="AL122" s="4" t="n"/>
      <c r="AM122" s="4" t="n"/>
      <c r="AN122" s="4" t="n"/>
      <c r="AO122" s="4" t="n"/>
      <c r="AP122" s="4" t="n"/>
      <c r="AQ122" s="4" t="n"/>
      <c r="AR122" s="4" t="n"/>
      <c r="AS122" s="4" t="n"/>
      <c r="AT122" s="4" t="n"/>
      <c r="AU122" s="4" t="n"/>
      <c r="AV122" s="4" t="n"/>
      <c r="AW122" s="4" t="n"/>
      <c r="AX122" s="4" t="n"/>
      <c r="AY122" s="4" t="n"/>
      <c r="AZ122" s="4" t="n"/>
      <c r="BA122" s="4" t="n"/>
      <c r="BB122" s="4" t="n"/>
      <c r="BC122" s="4" t="n"/>
      <c r="BD122" s="4" t="n"/>
      <c r="BE122" s="4" t="n"/>
      <c r="BF122" s="4" t="n"/>
      <c r="BG122" s="4" t="n"/>
      <c r="BH122" s="4" t="n"/>
      <c r="BI122" s="4" t="n"/>
      <c r="BJ122" s="4" t="n"/>
      <c r="BK122" s="4" t="n"/>
      <c r="BL122" s="4" t="n"/>
      <c r="BM122" s="4" t="n"/>
      <c r="BN122" s="4" t="n"/>
    </row>
    <row r="123" customFormat="1" s="23">
      <c r="A123" s="4" t="inlineStr">
        <is>
          <t>SA</t>
        </is>
      </c>
      <c r="B123" s="19" t="inlineStr">
        <is>
          <t>Bioinformatics staff</t>
        </is>
      </c>
      <c r="C123" s="20" t="n"/>
      <c r="D123" s="4" t="n"/>
      <c r="E123" s="21" t="n"/>
      <c r="F123" s="4" t="n"/>
      <c r="G123" s="4" t="n"/>
      <c r="H123" s="5" t="n"/>
      <c r="I123" s="5" t="n"/>
      <c r="J123" s="8">
        <f>(J13*$W13)/$Z13</f>
        <v/>
      </c>
      <c r="K123" s="32" t="n"/>
      <c r="L123" s="8" t="n"/>
      <c r="M123" s="8">
        <f>(M13*$W13)/$Z13</f>
        <v/>
      </c>
      <c r="N123" s="8">
        <f>(N13*$W13)/$Z13</f>
        <v/>
      </c>
      <c r="O123" s="8">
        <f>(O13*$W13)/$Z13</f>
        <v/>
      </c>
      <c r="P123" s="8">
        <f>(P13*$W13)/$Z13</f>
        <v/>
      </c>
      <c r="Q123" s="8">
        <f>(Q13*$W13)/$Z13</f>
        <v/>
      </c>
      <c r="R123" s="8">
        <f>(R13)/$Z13</f>
        <v/>
      </c>
      <c r="S123" s="8">
        <f>(S13/52*$W13)/$Z13</f>
        <v/>
      </c>
      <c r="T123" s="8">
        <f>(T13*$W13)/$Z13</f>
        <v/>
      </c>
      <c r="U123" s="9" t="n"/>
      <c r="V123" s="8">
        <f>(V13)/$Z13</f>
        <v/>
      </c>
      <c r="W123" s="8">
        <f>(W13)/$Z13</f>
        <v/>
      </c>
      <c r="X123" s="8">
        <f>(X13)/$Z13</f>
        <v/>
      </c>
      <c r="AE123" s="4" t="n"/>
      <c r="AF123" s="4" t="n"/>
      <c r="AG123" s="4" t="n"/>
      <c r="AH123" s="4" t="n"/>
      <c r="AI123" s="4" t="n"/>
      <c r="AJ123" s="4" t="n"/>
      <c r="AK123" s="4" t="n"/>
      <c r="AL123" s="4" t="n"/>
      <c r="AM123" s="4" t="n"/>
      <c r="AN123" s="4" t="n"/>
      <c r="AO123" s="4" t="n"/>
      <c r="AP123" s="4" t="n"/>
      <c r="AQ123" s="4" t="n"/>
      <c r="AR123" s="4" t="n"/>
      <c r="AS123" s="4" t="n"/>
      <c r="AT123" s="4" t="n"/>
      <c r="AU123" s="4" t="n"/>
      <c r="AV123" s="4" t="n"/>
      <c r="AW123" s="4" t="n"/>
      <c r="AX123" s="4" t="n"/>
      <c r="AY123" s="4" t="n"/>
      <c r="AZ123" s="4" t="n"/>
      <c r="BA123" s="4" t="n"/>
      <c r="BB123" s="4" t="n"/>
      <c r="BC123" s="4" t="n"/>
      <c r="BD123" s="4" t="n"/>
      <c r="BE123" s="4" t="n"/>
      <c r="BF123" s="4" t="n"/>
      <c r="BG123" s="4" t="n"/>
      <c r="BH123" s="4" t="n"/>
      <c r="BI123" s="4" t="n"/>
      <c r="BJ123" s="4" t="n"/>
      <c r="BK123" s="4" t="n"/>
      <c r="BL123" s="4" t="n"/>
      <c r="BM123" s="4" t="n"/>
      <c r="BN123" s="4" t="n"/>
    </row>
    <row r="124" customFormat="1" s="23">
      <c r="A124" s="4" t="inlineStr">
        <is>
          <t>SA</t>
        </is>
      </c>
      <c r="B124" s="19" t="inlineStr">
        <is>
          <t>Pathologists</t>
        </is>
      </c>
      <c r="C124" s="20" t="n"/>
      <c r="D124" s="4" t="n"/>
      <c r="E124" s="21" t="n"/>
      <c r="F124" s="4" t="n"/>
      <c r="G124" s="4" t="n"/>
      <c r="H124" s="5" t="n"/>
      <c r="I124" s="5" t="n"/>
      <c r="J124" s="8">
        <f>(J14*$W14)/$Z14</f>
        <v/>
      </c>
      <c r="K124" s="32" t="n"/>
      <c r="L124" s="8" t="n"/>
      <c r="M124" s="8">
        <f>(M14*$W14)/$Z14</f>
        <v/>
      </c>
      <c r="N124" s="8">
        <f>(N14*$W14)/$Z14</f>
        <v/>
      </c>
      <c r="O124" s="8">
        <f>(O14*$W14)/$Z14</f>
        <v/>
      </c>
      <c r="P124" s="8">
        <f>(P14*$W14)/$Z14</f>
        <v/>
      </c>
      <c r="Q124" s="8">
        <f>(Q14*$W14)/$Z14</f>
        <v/>
      </c>
      <c r="R124" s="8">
        <f>(R14)/$Z14</f>
        <v/>
      </c>
      <c r="S124" s="8">
        <f>(S14/52*$W14)/$Z14</f>
        <v/>
      </c>
      <c r="T124" s="8">
        <f>(T14*$W14)/$Z14</f>
        <v/>
      </c>
      <c r="U124" s="9" t="n"/>
      <c r="V124" s="8">
        <f>(V14)/$Z14</f>
        <v/>
      </c>
      <c r="W124" s="8">
        <f>(W14)/$Z14</f>
        <v/>
      </c>
      <c r="X124" s="8">
        <f>(X14)/$Z14</f>
        <v/>
      </c>
      <c r="AE124" s="4" t="n"/>
      <c r="AF124" s="4" t="n"/>
      <c r="AG124" s="4" t="n"/>
      <c r="AH124" s="4" t="n"/>
      <c r="AI124" s="4" t="n"/>
      <c r="AJ124" s="4" t="n"/>
      <c r="AK124" s="4" t="n"/>
      <c r="AL124" s="4" t="n"/>
      <c r="AM124" s="4" t="n"/>
      <c r="AN124" s="4" t="n"/>
      <c r="AO124" s="4" t="n"/>
      <c r="AP124" s="4" t="n"/>
      <c r="AQ124" s="4" t="n"/>
      <c r="AR124" s="4" t="n"/>
      <c r="AS124" s="4" t="n"/>
      <c r="AT124" s="4" t="n"/>
      <c r="AU124" s="4" t="n"/>
      <c r="AV124" s="4" t="n"/>
      <c r="AW124" s="4" t="n"/>
      <c r="AX124" s="4" t="n"/>
      <c r="AY124" s="4" t="n"/>
      <c r="AZ124" s="4" t="n"/>
      <c r="BA124" s="4" t="n"/>
      <c r="BB124" s="4" t="n"/>
      <c r="BC124" s="4" t="n"/>
      <c r="BD124" s="4" t="n"/>
      <c r="BE124" s="4" t="n"/>
      <c r="BF124" s="4" t="n"/>
      <c r="BG124" s="4" t="n"/>
      <c r="BH124" s="4" t="n"/>
      <c r="BI124" s="4" t="n"/>
      <c r="BJ124" s="4" t="n"/>
      <c r="BK124" s="4" t="n"/>
      <c r="BL124" s="4" t="n"/>
      <c r="BM124" s="4" t="n"/>
      <c r="BN124" s="4" t="n"/>
    </row>
    <row r="125" customFormat="1" s="23">
      <c r="A125" s="4" t="n"/>
      <c r="B125" s="19" t="n"/>
      <c r="C125" s="20" t="n"/>
      <c r="D125" s="4" t="n"/>
      <c r="E125" s="21" t="n"/>
      <c r="F125" s="4" t="n"/>
      <c r="G125" s="4" t="n"/>
      <c r="H125" s="5" t="n"/>
      <c r="I125" s="5" t="n"/>
      <c r="J125" s="11" t="n"/>
      <c r="K125" s="32" t="n"/>
      <c r="L125" s="8" t="n"/>
      <c r="M125" s="11" t="n"/>
      <c r="N125" s="11" t="n"/>
      <c r="O125" s="11" t="n"/>
      <c r="P125" s="11" t="n"/>
      <c r="Q125" s="11" t="n"/>
      <c r="R125" s="29" t="n"/>
      <c r="S125" s="8" t="n"/>
      <c r="T125" s="11" t="n"/>
      <c r="U125" s="9" t="n"/>
      <c r="AE125" s="4" t="n"/>
      <c r="AF125" s="4" t="n"/>
      <c r="AG125" s="4" t="n"/>
      <c r="AH125" s="4" t="n"/>
      <c r="AI125" s="4" t="n"/>
      <c r="AJ125" s="4" t="n"/>
      <c r="AK125" s="4" t="n"/>
      <c r="AL125" s="4" t="n"/>
      <c r="AM125" s="4" t="n"/>
      <c r="AN125" s="4" t="n"/>
      <c r="AO125" s="4" t="n"/>
      <c r="AP125" s="4" t="n"/>
      <c r="AQ125" s="4" t="n"/>
      <c r="AR125" s="4" t="n"/>
      <c r="AS125" s="4" t="n"/>
      <c r="AT125" s="4" t="n"/>
      <c r="AU125" s="4" t="n"/>
      <c r="AV125" s="4" t="n"/>
      <c r="AW125" s="4" t="n"/>
      <c r="AX125" s="4" t="n"/>
      <c r="AY125" s="4" t="n"/>
      <c r="AZ125" s="4" t="n"/>
      <c r="BA125" s="4" t="n"/>
      <c r="BB125" s="4" t="n"/>
      <c r="BC125" s="4" t="n"/>
      <c r="BD125" s="4" t="n"/>
      <c r="BE125" s="4" t="n"/>
      <c r="BF125" s="4" t="n"/>
      <c r="BG125" s="4" t="n"/>
      <c r="BH125" s="4" t="n"/>
      <c r="BI125" s="4" t="n"/>
      <c r="BJ125" s="4" t="n"/>
      <c r="BK125" s="4" t="n"/>
      <c r="BL125" s="4" t="n"/>
      <c r="BM125" s="4" t="n"/>
      <c r="BN125" s="4" t="n"/>
    </row>
    <row r="126" customFormat="1" s="23">
      <c r="A126" s="4" t="inlineStr">
        <is>
          <t>NSW</t>
        </is>
      </c>
      <c r="B126" s="19" t="inlineStr">
        <is>
          <t>Lab technician</t>
        </is>
      </c>
      <c r="C126" s="20" t="n"/>
      <c r="D126" s="4" t="n"/>
      <c r="E126" s="21" t="n"/>
      <c r="F126" s="4" t="n"/>
      <c r="G126" s="4" t="n"/>
      <c r="H126" s="5" t="n"/>
      <c r="I126" s="5" t="n"/>
      <c r="J126" s="8">
        <f>(J16*$W16)/$Z16</f>
        <v/>
      </c>
      <c r="K126" s="32" t="n"/>
      <c r="L126" s="8" t="n"/>
      <c r="M126" s="8">
        <f>(M16*$W16)/$Z16</f>
        <v/>
      </c>
      <c r="N126" s="8">
        <f>(N16*$W16)/$Z16</f>
        <v/>
      </c>
      <c r="O126" s="8">
        <f>(O16*$W16)/$Z16</f>
        <v/>
      </c>
      <c r="P126" s="8">
        <f>(P16*$W16)/$Z16</f>
        <v/>
      </c>
      <c r="Q126" s="8">
        <f>(Q16*$W16)/$Z16</f>
        <v/>
      </c>
      <c r="R126" s="8">
        <f>(R16)/$Z16</f>
        <v/>
      </c>
      <c r="S126" s="8">
        <f>(S16/52*$W16)/$Z16</f>
        <v/>
      </c>
      <c r="T126" s="8">
        <f>(T16*$W16)/$Z16</f>
        <v/>
      </c>
      <c r="U126" s="9" t="n"/>
      <c r="V126" s="8">
        <f>(V16)/$Z16</f>
        <v/>
      </c>
      <c r="W126" s="8">
        <f>(W16)/$Z16</f>
        <v/>
      </c>
      <c r="X126" s="8">
        <f>(X16)/$Z16</f>
        <v/>
      </c>
      <c r="AE126" s="4" t="n"/>
      <c r="AF126" s="4" t="n"/>
      <c r="AG126" s="4" t="n"/>
      <c r="AH126" s="4" t="n"/>
      <c r="AI126" s="4" t="n"/>
      <c r="AJ126" s="4" t="n"/>
      <c r="AK126" s="4" t="n"/>
      <c r="AL126" s="4" t="n"/>
      <c r="AM126" s="4" t="n"/>
      <c r="AN126" s="4" t="n"/>
      <c r="AO126" s="4" t="n"/>
      <c r="AP126" s="4" t="n"/>
      <c r="AQ126" s="4" t="n"/>
      <c r="AR126" s="4" t="n"/>
      <c r="AS126" s="4" t="n"/>
      <c r="AT126" s="4" t="n"/>
      <c r="AU126" s="4" t="n"/>
      <c r="AV126" s="4" t="n"/>
      <c r="AW126" s="4" t="n"/>
      <c r="AX126" s="4" t="n"/>
      <c r="AY126" s="4" t="n"/>
      <c r="AZ126" s="4" t="n"/>
      <c r="BA126" s="4" t="n"/>
      <c r="BB126" s="4" t="n"/>
      <c r="BC126" s="4" t="n"/>
      <c r="BD126" s="4" t="n"/>
      <c r="BE126" s="4" t="n"/>
      <c r="BF126" s="4" t="n"/>
      <c r="BG126" s="4" t="n"/>
      <c r="BH126" s="4" t="n"/>
      <c r="BI126" s="4" t="n"/>
      <c r="BJ126" s="4" t="n"/>
      <c r="BK126" s="4" t="n"/>
      <c r="BL126" s="4" t="n"/>
      <c r="BM126" s="4" t="n"/>
      <c r="BN126" s="4" t="n"/>
    </row>
    <row r="127" customFormat="1" s="23">
      <c r="A127" s="4" t="inlineStr">
        <is>
          <t>NSW</t>
        </is>
      </c>
      <c r="B127" s="19" t="inlineStr">
        <is>
          <t>Medical scientist</t>
        </is>
      </c>
      <c r="C127" s="20" t="n"/>
      <c r="D127" s="4" t="n"/>
      <c r="E127" s="21" t="n"/>
      <c r="F127" s="4" t="n"/>
      <c r="G127" s="4" t="n"/>
      <c r="H127" s="5" t="n"/>
      <c r="I127" s="5" t="n"/>
      <c r="J127" s="8">
        <f>(J17*$W17)/$Z17</f>
        <v/>
      </c>
      <c r="K127" s="32" t="n"/>
      <c r="L127" s="8" t="n"/>
      <c r="M127" s="8">
        <f>(M17*$W17)/$Z17</f>
        <v/>
      </c>
      <c r="N127" s="8">
        <f>(N17*$W17)/$Z17</f>
        <v/>
      </c>
      <c r="O127" s="8">
        <f>(O17*$W17)/$Z17</f>
        <v/>
      </c>
      <c r="P127" s="8">
        <f>(P17*$W17)/$Z17</f>
        <v/>
      </c>
      <c r="Q127" s="8">
        <f>(Q17*$W17)/$Z17</f>
        <v/>
      </c>
      <c r="R127" s="8">
        <f>(R17)/$Z17</f>
        <v/>
      </c>
      <c r="S127" s="8">
        <f>(S17/52*$W17)/$Z17</f>
        <v/>
      </c>
      <c r="T127" s="8">
        <f>(T17*$W17)/$Z17</f>
        <v/>
      </c>
      <c r="U127" s="9" t="n"/>
      <c r="V127" s="8">
        <f>(V17)/$Z17</f>
        <v/>
      </c>
      <c r="W127" s="8">
        <f>(W17)/$Z17</f>
        <v/>
      </c>
      <c r="X127" s="8">
        <f>(X17)/$Z17</f>
        <v/>
      </c>
      <c r="AE127" s="4" t="n"/>
      <c r="AF127" s="4" t="n"/>
      <c r="AG127" s="4" t="n"/>
      <c r="AH127" s="4" t="n"/>
      <c r="AI127" s="4" t="n"/>
      <c r="AJ127" s="4" t="n"/>
      <c r="AK127" s="4" t="n"/>
      <c r="AL127" s="4" t="n"/>
      <c r="AM127" s="4" t="n"/>
      <c r="AN127" s="4" t="n"/>
      <c r="AO127" s="4" t="n"/>
      <c r="AP127" s="4" t="n"/>
      <c r="AQ127" s="4" t="n"/>
      <c r="AR127" s="4" t="n"/>
      <c r="AS127" s="4" t="n"/>
      <c r="AT127" s="4" t="n"/>
      <c r="AU127" s="4" t="n"/>
      <c r="AV127" s="4" t="n"/>
      <c r="AW127" s="4" t="n"/>
      <c r="AX127" s="4" t="n"/>
      <c r="AY127" s="4" t="n"/>
      <c r="AZ127" s="4" t="n"/>
      <c r="BA127" s="4" t="n"/>
      <c r="BB127" s="4" t="n"/>
      <c r="BC127" s="4" t="n"/>
      <c r="BD127" s="4" t="n"/>
      <c r="BE127" s="4" t="n"/>
      <c r="BF127" s="4" t="n"/>
      <c r="BG127" s="4" t="n"/>
      <c r="BH127" s="4" t="n"/>
      <c r="BI127" s="4" t="n"/>
      <c r="BJ127" s="4" t="n"/>
      <c r="BK127" s="4" t="n"/>
      <c r="BL127" s="4" t="n"/>
      <c r="BM127" s="4" t="n"/>
      <c r="BN127" s="4" t="n"/>
    </row>
    <row r="128" customFormat="1" s="23">
      <c r="A128" s="4" t="inlineStr">
        <is>
          <t>NSW</t>
        </is>
      </c>
      <c r="B128" s="19" t="inlineStr">
        <is>
          <t>Admin staff</t>
        </is>
      </c>
      <c r="C128" s="20" t="n"/>
      <c r="D128" s="4" t="n"/>
      <c r="E128" s="21" t="n"/>
      <c r="F128" s="4" t="n"/>
      <c r="G128" s="4" t="n"/>
      <c r="H128" s="5" t="n"/>
      <c r="I128" s="5" t="n"/>
      <c r="J128" s="8">
        <f>(J18*$W18)/$Z18</f>
        <v/>
      </c>
      <c r="K128" s="32" t="n"/>
      <c r="L128" s="8" t="n"/>
      <c r="M128" s="8">
        <f>(M18*$W18)/$Z18</f>
        <v/>
      </c>
      <c r="N128" s="8">
        <f>(N18*$W18)/$Z18</f>
        <v/>
      </c>
      <c r="O128" s="8">
        <f>(O18*$W18)/$Z18</f>
        <v/>
      </c>
      <c r="P128" s="8">
        <f>(P18*$W18)/$Z18</f>
        <v/>
      </c>
      <c r="Q128" s="8">
        <f>(Q18*$W18)/$Z18</f>
        <v/>
      </c>
      <c r="R128" s="8">
        <f>(R18)/$Z18</f>
        <v/>
      </c>
      <c r="S128" s="8">
        <f>(S18/52*$W18)/$Z18</f>
        <v/>
      </c>
      <c r="T128" s="8">
        <f>(T18*$W18)/$Z18</f>
        <v/>
      </c>
      <c r="U128" s="9" t="n"/>
      <c r="V128" s="8">
        <f>(V18)/$Z18</f>
        <v/>
      </c>
      <c r="W128" s="8">
        <f>(W18)/$Z18</f>
        <v/>
      </c>
      <c r="X128" s="8">
        <f>(X18)/$Z18</f>
        <v/>
      </c>
      <c r="AE128" s="4" t="n"/>
      <c r="AF128" s="4" t="n"/>
      <c r="AG128" s="4" t="n"/>
      <c r="AH128" s="4" t="n"/>
      <c r="AI128" s="4" t="n"/>
      <c r="AJ128" s="4" t="n"/>
      <c r="AK128" s="4" t="n"/>
      <c r="AL128" s="4" t="n"/>
      <c r="AM128" s="4" t="n"/>
      <c r="AN128" s="4" t="n"/>
      <c r="AO128" s="4" t="n"/>
      <c r="AP128" s="4" t="n"/>
      <c r="AQ128" s="4" t="n"/>
      <c r="AR128" s="4" t="n"/>
      <c r="AS128" s="4" t="n"/>
      <c r="AT128" s="4" t="n"/>
      <c r="AU128" s="4" t="n"/>
      <c r="AV128" s="4" t="n"/>
      <c r="AW128" s="4" t="n"/>
      <c r="AX128" s="4" t="n"/>
      <c r="AY128" s="4" t="n"/>
      <c r="AZ128" s="4" t="n"/>
      <c r="BA128" s="4" t="n"/>
      <c r="BB128" s="4" t="n"/>
      <c r="BC128" s="4" t="n"/>
      <c r="BD128" s="4" t="n"/>
      <c r="BE128" s="4" t="n"/>
      <c r="BF128" s="4" t="n"/>
      <c r="BG128" s="4" t="n"/>
      <c r="BH128" s="4" t="n"/>
      <c r="BI128" s="4" t="n"/>
      <c r="BJ128" s="4" t="n"/>
      <c r="BK128" s="4" t="n"/>
      <c r="BL128" s="4" t="n"/>
      <c r="BM128" s="4" t="n"/>
      <c r="BN128" s="4" t="n"/>
    </row>
    <row r="129" customFormat="1" s="23">
      <c r="A129" s="4" t="inlineStr">
        <is>
          <t>NSW</t>
        </is>
      </c>
      <c r="B129" s="19" t="inlineStr">
        <is>
          <t>Bioinformatics staff</t>
        </is>
      </c>
      <c r="C129" s="20" t="n"/>
      <c r="D129" s="4" t="n"/>
      <c r="E129" s="21" t="n"/>
      <c r="F129" s="4" t="n"/>
      <c r="G129" s="4" t="n"/>
      <c r="H129" s="5" t="n"/>
      <c r="I129" s="5" t="n"/>
      <c r="J129" s="8">
        <f>(J19*$W19)/$Z19</f>
        <v/>
      </c>
      <c r="K129" s="32" t="n"/>
      <c r="L129" s="8" t="n"/>
      <c r="M129" s="8">
        <f>(M19*$W19)/$Z19</f>
        <v/>
      </c>
      <c r="N129" s="8">
        <f>(N19*$W19)/$Z19</f>
        <v/>
      </c>
      <c r="O129" s="8">
        <f>(O19*$W19)/$Z19</f>
        <v/>
      </c>
      <c r="P129" s="8">
        <f>(P19*$W19)/$Z19</f>
        <v/>
      </c>
      <c r="Q129" s="8">
        <f>(Q19*$W19)/$Z19</f>
        <v/>
      </c>
      <c r="R129" s="8">
        <f>(R19)/$Z19</f>
        <v/>
      </c>
      <c r="S129" s="8">
        <f>(S19/52*$W19)/$Z19</f>
        <v/>
      </c>
      <c r="T129" s="8">
        <f>(T19*$W19)/$Z19</f>
        <v/>
      </c>
      <c r="U129" s="9" t="n"/>
      <c r="V129" s="8">
        <f>(V19)/$Z19</f>
        <v/>
      </c>
      <c r="W129" s="8">
        <f>(W19)/$Z19</f>
        <v/>
      </c>
      <c r="X129" s="8">
        <f>(X19)/$Z19</f>
        <v/>
      </c>
      <c r="AE129" s="4" t="n"/>
      <c r="AF129" s="4" t="n"/>
      <c r="AG129" s="4" t="n"/>
      <c r="AH129" s="4" t="n"/>
      <c r="AI129" s="4" t="n"/>
      <c r="AJ129" s="4" t="n"/>
      <c r="AK129" s="4" t="n"/>
      <c r="AL129" s="4" t="n"/>
      <c r="AM129" s="4" t="n"/>
      <c r="AN129" s="4" t="n"/>
      <c r="AO129" s="4" t="n"/>
      <c r="AP129" s="4" t="n"/>
      <c r="AQ129" s="4" t="n"/>
      <c r="AR129" s="4" t="n"/>
      <c r="AS129" s="4" t="n"/>
      <c r="AT129" s="4" t="n"/>
      <c r="AU129" s="4" t="n"/>
      <c r="AV129" s="4" t="n"/>
      <c r="AW129" s="4" t="n"/>
      <c r="AX129" s="4" t="n"/>
      <c r="AY129" s="4" t="n"/>
      <c r="AZ129" s="4" t="n"/>
      <c r="BA129" s="4" t="n"/>
      <c r="BB129" s="4" t="n"/>
      <c r="BC129" s="4" t="n"/>
      <c r="BD129" s="4" t="n"/>
      <c r="BE129" s="4" t="n"/>
      <c r="BF129" s="4" t="n"/>
      <c r="BG129" s="4" t="n"/>
      <c r="BH129" s="4" t="n"/>
      <c r="BI129" s="4" t="n"/>
      <c r="BJ129" s="4" t="n"/>
      <c r="BK129" s="4" t="n"/>
      <c r="BL129" s="4" t="n"/>
      <c r="BM129" s="4" t="n"/>
      <c r="BN129" s="4" t="n"/>
    </row>
    <row r="130" customFormat="1" s="23">
      <c r="A130" s="4" t="inlineStr">
        <is>
          <t>NSW</t>
        </is>
      </c>
      <c r="B130" s="19" t="inlineStr">
        <is>
          <t>Pathologists</t>
        </is>
      </c>
      <c r="C130" s="20" t="n"/>
      <c r="D130" s="4" t="n"/>
      <c r="E130" s="21" t="n"/>
      <c r="F130" s="4" t="n"/>
      <c r="G130" s="4" t="n"/>
      <c r="H130" s="5" t="n"/>
      <c r="I130" s="5" t="n"/>
      <c r="J130" s="8">
        <f>(J20*$W20)/$Z20</f>
        <v/>
      </c>
      <c r="K130" s="32" t="n"/>
      <c r="L130" s="8" t="n"/>
      <c r="M130" s="8">
        <f>(M20*$W20)/$Z20</f>
        <v/>
      </c>
      <c r="N130" s="8">
        <f>(N20*$W20)/$Z20</f>
        <v/>
      </c>
      <c r="O130" s="8">
        <f>(O20*$W20)/$Z20</f>
        <v/>
      </c>
      <c r="P130" s="8">
        <f>(P20*$W20)/$Z20</f>
        <v/>
      </c>
      <c r="Q130" s="8">
        <f>(Q20*$W20)/$Z20</f>
        <v/>
      </c>
      <c r="R130" s="8">
        <f>(R20)/$Z20</f>
        <v/>
      </c>
      <c r="S130" s="8">
        <f>(S20/52*$W20)/$Z20</f>
        <v/>
      </c>
      <c r="T130" s="8">
        <f>(T20*$W20)/$Z20</f>
        <v/>
      </c>
      <c r="U130" s="9" t="n"/>
      <c r="V130" s="8">
        <f>(V20)/$Z20</f>
        <v/>
      </c>
      <c r="W130" s="8">
        <f>(W20)/$Z20</f>
        <v/>
      </c>
      <c r="X130" s="8">
        <f>(X20)/$Z20</f>
        <v/>
      </c>
      <c r="AE130" s="4" t="n"/>
      <c r="AF130" s="4" t="n"/>
      <c r="AG130" s="4" t="n"/>
      <c r="AH130" s="4" t="n"/>
      <c r="AI130" s="4" t="n"/>
      <c r="AJ130" s="4" t="n"/>
      <c r="AK130" s="4" t="n"/>
      <c r="AL130" s="4" t="n"/>
      <c r="AM130" s="4" t="n"/>
      <c r="AN130" s="4" t="n"/>
      <c r="AO130" s="4" t="n"/>
      <c r="AP130" s="4" t="n"/>
      <c r="AQ130" s="4" t="n"/>
      <c r="AR130" s="4" t="n"/>
      <c r="AS130" s="4" t="n"/>
      <c r="AT130" s="4" t="n"/>
      <c r="AU130" s="4" t="n"/>
      <c r="AV130" s="4" t="n"/>
      <c r="AW130" s="4" t="n"/>
      <c r="AX130" s="4" t="n"/>
      <c r="AY130" s="4" t="n"/>
      <c r="AZ130" s="4" t="n"/>
      <c r="BA130" s="4" t="n"/>
      <c r="BB130" s="4" t="n"/>
      <c r="BC130" s="4" t="n"/>
      <c r="BD130" s="4" t="n"/>
      <c r="BE130" s="4" t="n"/>
      <c r="BF130" s="4" t="n"/>
      <c r="BG130" s="4" t="n"/>
      <c r="BH130" s="4" t="n"/>
      <c r="BI130" s="4" t="n"/>
      <c r="BJ130" s="4" t="n"/>
      <c r="BK130" s="4" t="n"/>
      <c r="BL130" s="4" t="n"/>
      <c r="BM130" s="4" t="n"/>
      <c r="BN130" s="4" t="n"/>
    </row>
    <row r="131" customFormat="1" s="23">
      <c r="A131" s="4" t="n"/>
      <c r="B131" s="19" t="n"/>
      <c r="C131" s="20" t="n"/>
      <c r="D131" s="4" t="n"/>
      <c r="E131" s="21" t="n"/>
      <c r="F131" s="4" t="n"/>
      <c r="G131" s="4" t="n"/>
      <c r="H131" s="5" t="n"/>
      <c r="I131" s="5" t="n"/>
      <c r="J131" s="11" t="n"/>
      <c r="K131" s="32" t="n"/>
      <c r="L131" s="8" t="n"/>
      <c r="M131" s="11" t="n"/>
      <c r="N131" s="11" t="n"/>
      <c r="O131" s="11" t="n"/>
      <c r="P131" s="11" t="n"/>
      <c r="Q131" s="11" t="n"/>
      <c r="R131" s="29" t="n"/>
      <c r="S131" s="8" t="n"/>
      <c r="T131" s="11" t="n"/>
      <c r="U131" s="9" t="n"/>
      <c r="AE131" s="4" t="n"/>
      <c r="AF131" s="4" t="n"/>
      <c r="AG131" s="4" t="n"/>
      <c r="AH131" s="4" t="n"/>
      <c r="AI131" s="4" t="n"/>
      <c r="AJ131" s="4" t="n"/>
      <c r="AK131" s="4" t="n"/>
      <c r="AL131" s="4" t="n"/>
      <c r="AM131" s="4" t="n"/>
      <c r="AN131" s="4" t="n"/>
      <c r="AO131" s="4" t="n"/>
      <c r="AP131" s="4" t="n"/>
      <c r="AQ131" s="4" t="n"/>
      <c r="AR131" s="4" t="n"/>
      <c r="AS131" s="4" t="n"/>
      <c r="AT131" s="4" t="n"/>
      <c r="AU131" s="4" t="n"/>
      <c r="AV131" s="4" t="n"/>
      <c r="AW131" s="4" t="n"/>
      <c r="AX131" s="4" t="n"/>
      <c r="AY131" s="4" t="n"/>
      <c r="AZ131" s="4" t="n"/>
      <c r="BA131" s="4" t="n"/>
      <c r="BB131" s="4" t="n"/>
      <c r="BC131" s="4" t="n"/>
      <c r="BD131" s="4" t="n"/>
      <c r="BE131" s="4" t="n"/>
      <c r="BF131" s="4" t="n"/>
      <c r="BG131" s="4" t="n"/>
      <c r="BH131" s="4" t="n"/>
      <c r="BI131" s="4" t="n"/>
      <c r="BJ131" s="4" t="n"/>
      <c r="BK131" s="4" t="n"/>
      <c r="BL131" s="4" t="n"/>
      <c r="BM131" s="4" t="n"/>
      <c r="BN131" s="4" t="n"/>
    </row>
    <row r="132" customFormat="1" s="23">
      <c r="A132" s="4" t="inlineStr">
        <is>
          <t>QLD</t>
        </is>
      </c>
      <c r="B132" s="19" t="inlineStr">
        <is>
          <t>Lab technician</t>
        </is>
      </c>
      <c r="C132" s="20" t="n"/>
      <c r="D132" s="4" t="n"/>
      <c r="E132" s="21" t="n"/>
      <c r="F132" s="4" t="n"/>
      <c r="G132" s="4" t="n"/>
      <c r="H132" s="5" t="n"/>
      <c r="I132" s="5" t="n"/>
      <c r="J132" s="8">
        <f>(J22*$W22)/$Z22</f>
        <v/>
      </c>
      <c r="K132" s="32" t="n"/>
      <c r="L132" s="8" t="n"/>
      <c r="M132" s="8">
        <f>(M22*$W22)/$Z22</f>
        <v/>
      </c>
      <c r="N132" s="8">
        <f>(N22*$W22)/$Z22</f>
        <v/>
      </c>
      <c r="O132" s="8">
        <f>(O22*$W22)/$Z22</f>
        <v/>
      </c>
      <c r="P132" s="8">
        <f>(P22*$W22)/$Z22</f>
        <v/>
      </c>
      <c r="Q132" s="8">
        <f>(Q22*$W22)/$Z22</f>
        <v/>
      </c>
      <c r="R132" s="8">
        <f>(R22)/$Z22</f>
        <v/>
      </c>
      <c r="S132" s="8">
        <f>(S22/52*$W22)/$Z22</f>
        <v/>
      </c>
      <c r="T132" s="8">
        <f>(T22*$W22)/$Z22</f>
        <v/>
      </c>
      <c r="U132" s="9" t="n"/>
      <c r="V132" s="8">
        <f>(V22)/$Z22</f>
        <v/>
      </c>
      <c r="W132" s="8">
        <f>(W22)/$Z22</f>
        <v/>
      </c>
      <c r="X132" s="8">
        <f>(X22)/$Z22</f>
        <v/>
      </c>
      <c r="AE132" s="4" t="n"/>
      <c r="AF132" s="4" t="n"/>
      <c r="AG132" s="4" t="n"/>
      <c r="AH132" s="4" t="n"/>
      <c r="AI132" s="4" t="n"/>
      <c r="AJ132" s="4" t="n"/>
      <c r="AK132" s="4" t="n"/>
      <c r="AL132" s="4" t="n"/>
      <c r="AM132" s="4" t="n"/>
      <c r="AN132" s="4" t="n"/>
      <c r="AO132" s="4" t="n"/>
      <c r="AP132" s="4" t="n"/>
      <c r="AQ132" s="4" t="n"/>
      <c r="AR132" s="4" t="n"/>
      <c r="AS132" s="4" t="n"/>
      <c r="AT132" s="4" t="n"/>
      <c r="AU132" s="4" t="n"/>
      <c r="AV132" s="4" t="n"/>
      <c r="AW132" s="4" t="n"/>
      <c r="AX132" s="4" t="n"/>
      <c r="AY132" s="4" t="n"/>
      <c r="AZ132" s="4" t="n"/>
      <c r="BA132" s="4" t="n"/>
      <c r="BB132" s="4" t="n"/>
      <c r="BC132" s="4" t="n"/>
      <c r="BD132" s="4" t="n"/>
      <c r="BE132" s="4" t="n"/>
      <c r="BF132" s="4" t="n"/>
      <c r="BG132" s="4" t="n"/>
      <c r="BH132" s="4" t="n"/>
      <c r="BI132" s="4" t="n"/>
      <c r="BJ132" s="4" t="n"/>
      <c r="BK132" s="4" t="n"/>
      <c r="BL132" s="4" t="n"/>
      <c r="BM132" s="4" t="n"/>
      <c r="BN132" s="4" t="n"/>
    </row>
    <row r="133" customFormat="1" s="23">
      <c r="A133" s="4" t="inlineStr">
        <is>
          <t>QLD</t>
        </is>
      </c>
      <c r="B133" s="19" t="inlineStr">
        <is>
          <t>Medical scientist</t>
        </is>
      </c>
      <c r="C133" s="20" t="n"/>
      <c r="D133" s="4" t="n"/>
      <c r="E133" s="21" t="n"/>
      <c r="F133" s="4" t="n"/>
      <c r="G133" s="4" t="n"/>
      <c r="H133" s="5" t="n"/>
      <c r="I133" s="5" t="n"/>
      <c r="J133" s="8">
        <f>(J23*$W23)/$Z23</f>
        <v/>
      </c>
      <c r="K133" s="32" t="n"/>
      <c r="L133" s="8" t="n"/>
      <c r="M133" s="8">
        <f>(M23*$W23)/$Z23</f>
        <v/>
      </c>
      <c r="N133" s="8">
        <f>(N23*$W23)/$Z23</f>
        <v/>
      </c>
      <c r="O133" s="8">
        <f>(O23*$W23)/$Z23</f>
        <v/>
      </c>
      <c r="P133" s="8">
        <f>(P23*$W23)/$Z23</f>
        <v/>
      </c>
      <c r="Q133" s="8">
        <f>(Q23*$W23)/$Z23</f>
        <v/>
      </c>
      <c r="R133" s="8">
        <f>(R23)/$Z23</f>
        <v/>
      </c>
      <c r="S133" s="8">
        <f>(S23/52*$W23)/$Z23</f>
        <v/>
      </c>
      <c r="T133" s="8">
        <f>(T23*$W23)/$Z23</f>
        <v/>
      </c>
      <c r="U133" s="9" t="n"/>
      <c r="V133" s="8">
        <f>(V23)/$Z23</f>
        <v/>
      </c>
      <c r="W133" s="8">
        <f>(W23)/$Z23</f>
        <v/>
      </c>
      <c r="X133" s="8">
        <f>(X23)/$Z23</f>
        <v/>
      </c>
      <c r="AE133" s="4" t="n"/>
      <c r="AF133" s="4" t="n"/>
      <c r="AG133" s="4" t="n"/>
      <c r="AH133" s="4" t="n"/>
      <c r="AI133" s="4" t="n"/>
      <c r="AJ133" s="4" t="n"/>
      <c r="AK133" s="4" t="n"/>
      <c r="AL133" s="4" t="n"/>
      <c r="AM133" s="4" t="n"/>
      <c r="AN133" s="4" t="n"/>
      <c r="AO133" s="4" t="n"/>
      <c r="AP133" s="4" t="n"/>
      <c r="AQ133" s="4" t="n"/>
      <c r="AR133" s="4" t="n"/>
      <c r="AS133" s="4" t="n"/>
      <c r="AT133" s="4" t="n"/>
      <c r="AU133" s="4" t="n"/>
      <c r="AV133" s="4" t="n"/>
      <c r="AW133" s="4" t="n"/>
      <c r="AX133" s="4" t="n"/>
      <c r="AY133" s="4" t="n"/>
      <c r="AZ133" s="4" t="n"/>
      <c r="BA133" s="4" t="n"/>
      <c r="BB133" s="4" t="n"/>
      <c r="BC133" s="4" t="n"/>
      <c r="BD133" s="4" t="n"/>
      <c r="BE133" s="4" t="n"/>
      <c r="BF133" s="4" t="n"/>
      <c r="BG133" s="4" t="n"/>
      <c r="BH133" s="4" t="n"/>
      <c r="BI133" s="4" t="n"/>
      <c r="BJ133" s="4" t="n"/>
      <c r="BK133" s="4" t="n"/>
      <c r="BL133" s="4" t="n"/>
      <c r="BM133" s="4" t="n"/>
      <c r="BN133" s="4" t="n"/>
    </row>
    <row r="134" customFormat="1" s="23">
      <c r="A134" s="4" t="inlineStr">
        <is>
          <t>QLD</t>
        </is>
      </c>
      <c r="B134" s="19" t="inlineStr">
        <is>
          <t>Admin staff</t>
        </is>
      </c>
      <c r="C134" s="20" t="n"/>
      <c r="D134" s="4" t="n"/>
      <c r="E134" s="21" t="n"/>
      <c r="F134" s="4" t="n"/>
      <c r="G134" s="4" t="n"/>
      <c r="H134" s="5" t="n"/>
      <c r="I134" s="5" t="n"/>
      <c r="J134" s="8">
        <f>(J24*$W24)/$Z24</f>
        <v/>
      </c>
      <c r="K134" s="32" t="n"/>
      <c r="L134" s="8" t="n"/>
      <c r="M134" s="8">
        <f>(M24*$W24)/$Z24</f>
        <v/>
      </c>
      <c r="N134" s="8">
        <f>(N24*$W24)/$Z24</f>
        <v/>
      </c>
      <c r="O134" s="8">
        <f>(O24*$W24)/$Z24</f>
        <v/>
      </c>
      <c r="P134" s="8">
        <f>(P24*$W24)/$Z24</f>
        <v/>
      </c>
      <c r="Q134" s="8">
        <f>(Q24*$W24)/$Z24</f>
        <v/>
      </c>
      <c r="R134" s="8">
        <f>(R24)/$Z24</f>
        <v/>
      </c>
      <c r="S134" s="8">
        <f>(S24/52*$W24)/$Z24</f>
        <v/>
      </c>
      <c r="T134" s="8">
        <f>(T24*$W24)/$Z24</f>
        <v/>
      </c>
      <c r="U134" s="9" t="n"/>
      <c r="V134" s="8">
        <f>(V24)/$Z24</f>
        <v/>
      </c>
      <c r="W134" s="8">
        <f>(W24)/$Z24</f>
        <v/>
      </c>
      <c r="X134" s="8">
        <f>(X24)/$Z24</f>
        <v/>
      </c>
      <c r="AE134" s="4" t="n"/>
      <c r="AF134" s="4" t="n"/>
      <c r="AG134" s="4" t="n"/>
      <c r="AH134" s="4" t="n"/>
      <c r="AI134" s="4" t="n"/>
      <c r="AJ134" s="4" t="n"/>
      <c r="AK134" s="4" t="n"/>
      <c r="AL134" s="4" t="n"/>
      <c r="AM134" s="4" t="n"/>
      <c r="AN134" s="4" t="n"/>
      <c r="AO134" s="4" t="n"/>
      <c r="AP134" s="4" t="n"/>
      <c r="AQ134" s="4" t="n"/>
      <c r="AR134" s="4" t="n"/>
      <c r="AS134" s="4" t="n"/>
      <c r="AT134" s="4" t="n"/>
      <c r="AU134" s="4" t="n"/>
      <c r="AV134" s="4" t="n"/>
      <c r="AW134" s="4" t="n"/>
      <c r="AX134" s="4" t="n"/>
      <c r="AY134" s="4" t="n"/>
      <c r="AZ134" s="4" t="n"/>
      <c r="BA134" s="4" t="n"/>
      <c r="BB134" s="4" t="n"/>
      <c r="BC134" s="4" t="n"/>
      <c r="BD134" s="4" t="n"/>
      <c r="BE134" s="4" t="n"/>
      <c r="BF134" s="4" t="n"/>
      <c r="BG134" s="4" t="n"/>
      <c r="BH134" s="4" t="n"/>
      <c r="BI134" s="4" t="n"/>
      <c r="BJ134" s="4" t="n"/>
      <c r="BK134" s="4" t="n"/>
      <c r="BL134" s="4" t="n"/>
      <c r="BM134" s="4" t="n"/>
      <c r="BN134" s="4" t="n"/>
    </row>
    <row r="135" customFormat="1" s="23">
      <c r="A135" s="4" t="inlineStr">
        <is>
          <t>QLD</t>
        </is>
      </c>
      <c r="B135" s="19" t="inlineStr">
        <is>
          <t>Bioinformatics staff</t>
        </is>
      </c>
      <c r="C135" s="20" t="n"/>
      <c r="D135" s="4" t="n"/>
      <c r="E135" s="21" t="n"/>
      <c r="F135" s="4" t="n"/>
      <c r="G135" s="4" t="n"/>
      <c r="H135" s="5" t="n"/>
      <c r="I135" s="5" t="n"/>
      <c r="J135" s="8">
        <f>(J25*$W25)/$Z25</f>
        <v/>
      </c>
      <c r="K135" s="32" t="n"/>
      <c r="L135" s="8" t="n"/>
      <c r="M135" s="8">
        <f>(M25*$W25)/$Z25</f>
        <v/>
      </c>
      <c r="N135" s="8">
        <f>(N25*$W25)/$Z25</f>
        <v/>
      </c>
      <c r="O135" s="8">
        <f>(O25*$W25)/$Z25</f>
        <v/>
      </c>
      <c r="P135" s="8">
        <f>(P25*$W25)/$Z25</f>
        <v/>
      </c>
      <c r="Q135" s="8">
        <f>(Q25*$W25)/$Z25</f>
        <v/>
      </c>
      <c r="R135" s="8">
        <f>(R25)/$Z25</f>
        <v/>
      </c>
      <c r="S135" s="8">
        <f>(S25/52*$W25)/$Z25</f>
        <v/>
      </c>
      <c r="T135" s="8">
        <f>(T25*$W25)/$Z25</f>
        <v/>
      </c>
      <c r="U135" s="9" t="n"/>
      <c r="V135" s="8">
        <f>(V25)/$Z25</f>
        <v/>
      </c>
      <c r="W135" s="8">
        <f>(W25)/$Z25</f>
        <v/>
      </c>
      <c r="X135" s="8">
        <f>(X25)/$Z25</f>
        <v/>
      </c>
      <c r="AE135" s="4" t="n"/>
      <c r="AF135" s="4" t="n"/>
      <c r="AG135" s="4" t="n"/>
      <c r="AH135" s="4" t="n"/>
      <c r="AI135" s="4" t="n"/>
      <c r="AJ135" s="4" t="n"/>
      <c r="AK135" s="4" t="n"/>
      <c r="AL135" s="4" t="n"/>
      <c r="AM135" s="4" t="n"/>
      <c r="AN135" s="4" t="n"/>
      <c r="AO135" s="4" t="n"/>
      <c r="AP135" s="4" t="n"/>
      <c r="AQ135" s="4" t="n"/>
      <c r="AR135" s="4" t="n"/>
      <c r="AS135" s="4" t="n"/>
      <c r="AT135" s="4" t="n"/>
      <c r="AU135" s="4" t="n"/>
      <c r="AV135" s="4" t="n"/>
      <c r="AW135" s="4" t="n"/>
      <c r="AX135" s="4" t="n"/>
      <c r="AY135" s="4" t="n"/>
      <c r="AZ135" s="4" t="n"/>
      <c r="BA135" s="4" t="n"/>
      <c r="BB135" s="4" t="n"/>
      <c r="BC135" s="4" t="n"/>
      <c r="BD135" s="4" t="n"/>
      <c r="BE135" s="4" t="n"/>
      <c r="BF135" s="4" t="n"/>
      <c r="BG135" s="4" t="n"/>
      <c r="BH135" s="4" t="n"/>
      <c r="BI135" s="4" t="n"/>
      <c r="BJ135" s="4" t="n"/>
      <c r="BK135" s="4" t="n"/>
      <c r="BL135" s="4" t="n"/>
      <c r="BM135" s="4" t="n"/>
      <c r="BN135" s="4" t="n"/>
    </row>
    <row r="136" customFormat="1" s="23">
      <c r="A136" s="4" t="inlineStr">
        <is>
          <t>QLD</t>
        </is>
      </c>
      <c r="B136" s="19" t="inlineStr">
        <is>
          <t>Pathologists</t>
        </is>
      </c>
      <c r="C136" s="20" t="n"/>
      <c r="D136" s="4" t="n"/>
      <c r="E136" s="21" t="n"/>
      <c r="F136" s="4" t="n"/>
      <c r="G136" s="4" t="n"/>
      <c r="H136" s="5" t="n"/>
      <c r="I136" s="5" t="n"/>
      <c r="J136" s="8">
        <f>(J26*$W26)/$Z26</f>
        <v/>
      </c>
      <c r="K136" s="32" t="n"/>
      <c r="L136" s="8" t="n"/>
      <c r="M136" s="8">
        <f>(M26*$W26)/$Z26</f>
        <v/>
      </c>
      <c r="N136" s="8">
        <f>(N26*$W26)/$Z26</f>
        <v/>
      </c>
      <c r="O136" s="8">
        <f>(O26*$W26)/$Z26</f>
        <v/>
      </c>
      <c r="P136" s="8">
        <f>(P26*$W26)/$Z26</f>
        <v/>
      </c>
      <c r="Q136" s="8">
        <f>(Q26*$W26)/$Z26</f>
        <v/>
      </c>
      <c r="R136" s="8">
        <f>(R26)/$Z26</f>
        <v/>
      </c>
      <c r="S136" s="8">
        <f>(S26/52*$W26)/$Z26</f>
        <v/>
      </c>
      <c r="T136" s="8">
        <f>(T26*$W26)/$Z26</f>
        <v/>
      </c>
      <c r="U136" s="9" t="n"/>
      <c r="V136" s="8">
        <f>(V26)/$Z26</f>
        <v/>
      </c>
      <c r="W136" s="8">
        <f>(W26)/$Z26</f>
        <v/>
      </c>
      <c r="X136" s="8">
        <f>(X26)/$Z26</f>
        <v/>
      </c>
      <c r="AE136" s="4" t="n"/>
      <c r="AF136" s="4" t="n"/>
      <c r="AG136" s="4" t="n"/>
      <c r="AH136" s="4" t="n"/>
      <c r="AI136" s="4" t="n"/>
      <c r="AJ136" s="4" t="n"/>
      <c r="AK136" s="4" t="n"/>
      <c r="AL136" s="4" t="n"/>
      <c r="AM136" s="4" t="n"/>
      <c r="AN136" s="4" t="n"/>
      <c r="AO136" s="4" t="n"/>
      <c r="AP136" s="4" t="n"/>
      <c r="AQ136" s="4" t="n"/>
      <c r="AR136" s="4" t="n"/>
      <c r="AS136" s="4" t="n"/>
      <c r="AT136" s="4" t="n"/>
      <c r="AU136" s="4" t="n"/>
      <c r="AV136" s="4" t="n"/>
      <c r="AW136" s="4" t="n"/>
      <c r="AX136" s="4" t="n"/>
      <c r="AY136" s="4" t="n"/>
      <c r="AZ136" s="4" t="n"/>
      <c r="BA136" s="4" t="n"/>
      <c r="BB136" s="4" t="n"/>
      <c r="BC136" s="4" t="n"/>
      <c r="BD136" s="4" t="n"/>
      <c r="BE136" s="4" t="n"/>
      <c r="BF136" s="4" t="n"/>
      <c r="BG136" s="4" t="n"/>
      <c r="BH136" s="4" t="n"/>
      <c r="BI136" s="4" t="n"/>
      <c r="BJ136" s="4" t="n"/>
      <c r="BK136" s="4" t="n"/>
      <c r="BL136" s="4" t="n"/>
      <c r="BM136" s="4" t="n"/>
      <c r="BN136" s="4" t="n"/>
    </row>
    <row r="137" customFormat="1" s="23">
      <c r="A137" s="4" t="n"/>
      <c r="B137" s="19" t="n"/>
      <c r="C137" s="20" t="n"/>
      <c r="D137" s="4" t="n"/>
      <c r="E137" s="21" t="n"/>
      <c r="F137" s="4" t="n"/>
      <c r="G137" s="4" t="n"/>
      <c r="H137" s="5" t="n"/>
      <c r="I137" s="5" t="n"/>
      <c r="J137" s="11" t="n"/>
      <c r="K137" s="32" t="n"/>
      <c r="L137" s="8" t="n"/>
      <c r="M137" s="11" t="n"/>
      <c r="N137" s="11" t="n"/>
      <c r="O137" s="11" t="n"/>
      <c r="P137" s="11" t="n"/>
      <c r="Q137" s="11" t="n"/>
      <c r="R137" s="29" t="n"/>
      <c r="S137" s="8" t="n"/>
      <c r="T137" s="11" t="n"/>
      <c r="U137" s="9" t="n"/>
      <c r="AE137" s="4" t="n"/>
      <c r="AF137" s="4" t="n"/>
      <c r="AG137" s="4" t="n"/>
      <c r="AH137" s="4" t="n"/>
      <c r="AI137" s="4" t="n"/>
      <c r="AJ137" s="4" t="n"/>
      <c r="AK137" s="4" t="n"/>
      <c r="AL137" s="4" t="n"/>
      <c r="AM137" s="4" t="n"/>
      <c r="AN137" s="4" t="n"/>
      <c r="AO137" s="4" t="n"/>
      <c r="AP137" s="4" t="n"/>
      <c r="AQ137" s="4" t="n"/>
      <c r="AR137" s="4" t="n"/>
      <c r="AS137" s="4" t="n"/>
      <c r="AT137" s="4" t="n"/>
      <c r="AU137" s="4" t="n"/>
      <c r="AV137" s="4" t="n"/>
      <c r="AW137" s="4" t="n"/>
      <c r="AX137" s="4" t="n"/>
      <c r="AY137" s="4" t="n"/>
      <c r="AZ137" s="4" t="n"/>
      <c r="BA137" s="4" t="n"/>
      <c r="BB137" s="4" t="n"/>
      <c r="BC137" s="4" t="n"/>
      <c r="BD137" s="4" t="n"/>
      <c r="BE137" s="4" t="n"/>
      <c r="BF137" s="4" t="n"/>
      <c r="BG137" s="4" t="n"/>
      <c r="BH137" s="4" t="n"/>
      <c r="BI137" s="4" t="n"/>
      <c r="BJ137" s="4" t="n"/>
      <c r="BK137" s="4" t="n"/>
      <c r="BL137" s="4" t="n"/>
      <c r="BM137" s="4" t="n"/>
      <c r="BN137" s="4" t="n"/>
    </row>
    <row r="138" customFormat="1" s="23">
      <c r="A138" s="4" t="inlineStr">
        <is>
          <t>WA</t>
        </is>
      </c>
      <c r="B138" s="19" t="inlineStr">
        <is>
          <t>Lab technician</t>
        </is>
      </c>
      <c r="C138" s="20" t="n"/>
      <c r="D138" s="4" t="n"/>
      <c r="E138" s="21" t="n"/>
      <c r="F138" s="4" t="n"/>
      <c r="G138" s="4" t="n"/>
      <c r="H138" s="5" t="n"/>
      <c r="I138" s="5" t="n"/>
      <c r="J138" s="8">
        <f>(J28*$W28)/$Z28</f>
        <v/>
      </c>
      <c r="K138" s="32" t="n"/>
      <c r="L138" s="8" t="n"/>
      <c r="M138" s="8">
        <f>(M28*$W28)/$Z28</f>
        <v/>
      </c>
      <c r="N138" s="8">
        <f>(N28*$W28)/$Z28</f>
        <v/>
      </c>
      <c r="O138" s="8">
        <f>(O28*$W28)/$Z28</f>
        <v/>
      </c>
      <c r="P138" s="8">
        <f>(P28*$W28)/$Z28</f>
        <v/>
      </c>
      <c r="Q138" s="8">
        <f>(Q28*$W28)/$Z28</f>
        <v/>
      </c>
      <c r="R138" s="8">
        <f>(R28)/$Z28</f>
        <v/>
      </c>
      <c r="S138" s="8">
        <f>(S28/52*$W28)/$Z28</f>
        <v/>
      </c>
      <c r="T138" s="8">
        <f>(T28*$W28)/$Z28</f>
        <v/>
      </c>
      <c r="U138" s="9" t="n"/>
      <c r="V138" s="8">
        <f>(V28)/$Z28</f>
        <v/>
      </c>
      <c r="W138" s="8">
        <f>(W28)/$Z28</f>
        <v/>
      </c>
      <c r="X138" s="8">
        <f>(X28)/$Z28</f>
        <v/>
      </c>
      <c r="AE138" s="4" t="n"/>
      <c r="AF138" s="4" t="n"/>
      <c r="AG138" s="4" t="n"/>
      <c r="AH138" s="4" t="n"/>
      <c r="AI138" s="4" t="n"/>
      <c r="AJ138" s="4" t="n"/>
      <c r="AK138" s="4" t="n"/>
      <c r="AL138" s="4" t="n"/>
      <c r="AM138" s="4" t="n"/>
      <c r="AN138" s="4" t="n"/>
      <c r="AO138" s="4" t="n"/>
      <c r="AP138" s="4" t="n"/>
      <c r="AQ138" s="4" t="n"/>
      <c r="AR138" s="4" t="n"/>
      <c r="AS138" s="4" t="n"/>
      <c r="AT138" s="4" t="n"/>
      <c r="AU138" s="4" t="n"/>
      <c r="AV138" s="4" t="n"/>
      <c r="AW138" s="4" t="n"/>
      <c r="AX138" s="4" t="n"/>
      <c r="AY138" s="4" t="n"/>
      <c r="AZ138" s="4" t="n"/>
      <c r="BA138" s="4" t="n"/>
      <c r="BB138" s="4" t="n"/>
      <c r="BC138" s="4" t="n"/>
      <c r="BD138" s="4" t="n"/>
      <c r="BE138" s="4" t="n"/>
      <c r="BF138" s="4" t="n"/>
      <c r="BG138" s="4" t="n"/>
      <c r="BH138" s="4" t="n"/>
      <c r="BI138" s="4" t="n"/>
      <c r="BJ138" s="4" t="n"/>
      <c r="BK138" s="4" t="n"/>
      <c r="BL138" s="4" t="n"/>
      <c r="BM138" s="4" t="n"/>
      <c r="BN138" s="4" t="n"/>
    </row>
    <row r="139" customFormat="1" s="23">
      <c r="A139" s="4" t="inlineStr">
        <is>
          <t>WA</t>
        </is>
      </c>
      <c r="B139" s="19" t="inlineStr">
        <is>
          <t>Medical scientist</t>
        </is>
      </c>
      <c r="C139" s="20" t="n"/>
      <c r="D139" s="4" t="n"/>
      <c r="E139" s="21" t="n"/>
      <c r="F139" s="4" t="n"/>
      <c r="G139" s="4" t="n"/>
      <c r="H139" s="5" t="n"/>
      <c r="I139" s="5" t="n"/>
      <c r="J139" s="8">
        <f>(J29*$W29)/$Z29</f>
        <v/>
      </c>
      <c r="K139" s="32" t="n"/>
      <c r="L139" s="8" t="n"/>
      <c r="M139" s="8">
        <f>(M29*$W29)/$Z29</f>
        <v/>
      </c>
      <c r="N139" s="8">
        <f>(N29*$W29)/$Z29</f>
        <v/>
      </c>
      <c r="O139" s="8">
        <f>(O29*$W29)/$Z29</f>
        <v/>
      </c>
      <c r="P139" s="8">
        <f>(P29*$W29)/$Z29</f>
        <v/>
      </c>
      <c r="Q139" s="8">
        <f>(Q29*$W29)/$Z29</f>
        <v/>
      </c>
      <c r="R139" s="8">
        <f>(R29)/$Z29</f>
        <v/>
      </c>
      <c r="S139" s="8">
        <f>(S29/52*$W29)/$Z29</f>
        <v/>
      </c>
      <c r="T139" s="8">
        <f>(T29*$W29)/$Z29</f>
        <v/>
      </c>
      <c r="U139" s="9" t="n"/>
      <c r="V139" s="8">
        <f>(V29)/$Z29</f>
        <v/>
      </c>
      <c r="W139" s="8">
        <f>(W29)/$Z29</f>
        <v/>
      </c>
      <c r="X139" s="8">
        <f>(X29)/$Z29</f>
        <v/>
      </c>
      <c r="AE139" s="4" t="n"/>
      <c r="AF139" s="4" t="n"/>
      <c r="AG139" s="4" t="n"/>
      <c r="AH139" s="4" t="n"/>
      <c r="AI139" s="4" t="n"/>
      <c r="AJ139" s="4" t="n"/>
      <c r="AK139" s="4" t="n"/>
      <c r="AL139" s="4" t="n"/>
      <c r="AM139" s="4" t="n"/>
      <c r="AN139" s="4" t="n"/>
      <c r="AO139" s="4" t="n"/>
      <c r="AP139" s="4" t="n"/>
      <c r="AQ139" s="4" t="n"/>
      <c r="AR139" s="4" t="n"/>
      <c r="AS139" s="4" t="n"/>
      <c r="AT139" s="4" t="n"/>
      <c r="AU139" s="4" t="n"/>
      <c r="AV139" s="4" t="n"/>
      <c r="AW139" s="4" t="n"/>
      <c r="AX139" s="4" t="n"/>
      <c r="AY139" s="4" t="n"/>
      <c r="AZ139" s="4" t="n"/>
      <c r="BA139" s="4" t="n"/>
      <c r="BB139" s="4" t="n"/>
      <c r="BC139" s="4" t="n"/>
      <c r="BD139" s="4" t="n"/>
      <c r="BE139" s="4" t="n"/>
      <c r="BF139" s="4" t="n"/>
      <c r="BG139" s="4" t="n"/>
      <c r="BH139" s="4" t="n"/>
      <c r="BI139" s="4" t="n"/>
      <c r="BJ139" s="4" t="n"/>
      <c r="BK139" s="4" t="n"/>
      <c r="BL139" s="4" t="n"/>
      <c r="BM139" s="4" t="n"/>
      <c r="BN139" s="4" t="n"/>
    </row>
    <row r="140" customFormat="1" s="23">
      <c r="A140" s="4" t="inlineStr">
        <is>
          <t>WA</t>
        </is>
      </c>
      <c r="B140" s="19" t="inlineStr">
        <is>
          <t>Admin staff</t>
        </is>
      </c>
      <c r="C140" s="20" t="n"/>
      <c r="D140" s="4" t="n"/>
      <c r="E140" s="21" t="n"/>
      <c r="F140" s="4" t="n"/>
      <c r="G140" s="4" t="n"/>
      <c r="H140" s="5" t="n"/>
      <c r="I140" s="5" t="n"/>
      <c r="J140" s="8">
        <f>(J30*$W30)/$Z30</f>
        <v/>
      </c>
      <c r="K140" s="32" t="n"/>
      <c r="L140" s="8" t="n"/>
      <c r="M140" s="8">
        <f>(M30*$W30)/$Z30</f>
        <v/>
      </c>
      <c r="N140" s="8">
        <f>(N30*$W30)/$Z30</f>
        <v/>
      </c>
      <c r="O140" s="8">
        <f>(O30*$W30)/$Z30</f>
        <v/>
      </c>
      <c r="P140" s="8">
        <f>(P30*$W30)/$Z30</f>
        <v/>
      </c>
      <c r="Q140" s="8">
        <f>(Q30*$W30)/$Z30</f>
        <v/>
      </c>
      <c r="R140" s="8">
        <f>(R30)/$Z30</f>
        <v/>
      </c>
      <c r="S140" s="8">
        <f>(S30/52*$W30)/$Z30</f>
        <v/>
      </c>
      <c r="T140" s="8">
        <f>(T30*$W30)/$Z30</f>
        <v/>
      </c>
      <c r="U140" s="9" t="n"/>
      <c r="V140" s="8">
        <f>(V30)/$Z30</f>
        <v/>
      </c>
      <c r="W140" s="8">
        <f>(W30)/$Z30</f>
        <v/>
      </c>
      <c r="X140" s="8">
        <f>(X30)/$Z30</f>
        <v/>
      </c>
      <c r="AE140" s="4" t="n"/>
      <c r="AF140" s="4" t="n"/>
      <c r="AG140" s="4" t="n"/>
      <c r="AH140" s="4" t="n"/>
      <c r="AI140" s="4" t="n"/>
      <c r="AJ140" s="4" t="n"/>
      <c r="AK140" s="4" t="n"/>
      <c r="AL140" s="4" t="n"/>
      <c r="AM140" s="4" t="n"/>
      <c r="AN140" s="4" t="n"/>
      <c r="AO140" s="4" t="n"/>
      <c r="AP140" s="4" t="n"/>
      <c r="AQ140" s="4" t="n"/>
      <c r="AR140" s="4" t="n"/>
      <c r="AS140" s="4" t="n"/>
      <c r="AT140" s="4" t="n"/>
      <c r="AU140" s="4" t="n"/>
      <c r="AV140" s="4" t="n"/>
      <c r="AW140" s="4" t="n"/>
      <c r="AX140" s="4" t="n"/>
      <c r="AY140" s="4" t="n"/>
      <c r="AZ140" s="4" t="n"/>
      <c r="BA140" s="4" t="n"/>
      <c r="BB140" s="4" t="n"/>
      <c r="BC140" s="4" t="n"/>
      <c r="BD140" s="4" t="n"/>
      <c r="BE140" s="4" t="n"/>
      <c r="BF140" s="4" t="n"/>
      <c r="BG140" s="4" t="n"/>
      <c r="BH140" s="4" t="n"/>
      <c r="BI140" s="4" t="n"/>
      <c r="BJ140" s="4" t="n"/>
      <c r="BK140" s="4" t="n"/>
      <c r="BL140" s="4" t="n"/>
      <c r="BM140" s="4" t="n"/>
      <c r="BN140" s="4" t="n"/>
    </row>
    <row r="141" customFormat="1" s="23">
      <c r="A141" s="4" t="inlineStr">
        <is>
          <t>WA</t>
        </is>
      </c>
      <c r="B141" s="19" t="inlineStr">
        <is>
          <t>Bioinformatics staff</t>
        </is>
      </c>
      <c r="C141" s="20" t="n"/>
      <c r="D141" s="4" t="n"/>
      <c r="E141" s="21" t="n"/>
      <c r="F141" s="4" t="n"/>
      <c r="G141" s="4" t="n"/>
      <c r="H141" s="5" t="n"/>
      <c r="I141" s="5" t="n"/>
      <c r="J141" s="8">
        <f>(J31*$W31)/$Z31</f>
        <v/>
      </c>
      <c r="K141" s="32" t="n"/>
      <c r="L141" s="8" t="n"/>
      <c r="M141" s="8">
        <f>(M31*$W31)/$Z31</f>
        <v/>
      </c>
      <c r="N141" s="8">
        <f>(N31*$W31)/$Z31</f>
        <v/>
      </c>
      <c r="O141" s="8">
        <f>(O31*$W31)/$Z31</f>
        <v/>
      </c>
      <c r="P141" s="8">
        <f>(P31*$W31)/$Z31</f>
        <v/>
      </c>
      <c r="Q141" s="8">
        <f>(Q31*$W31)/$Z31</f>
        <v/>
      </c>
      <c r="R141" s="8">
        <f>(R31)/$Z31</f>
        <v/>
      </c>
      <c r="S141" s="8">
        <f>(S31/52*$W31)/$Z31</f>
        <v/>
      </c>
      <c r="T141" s="8">
        <f>(T31*$W31)/$Z31</f>
        <v/>
      </c>
      <c r="U141" s="9" t="n"/>
      <c r="V141" s="8">
        <f>(V31)/$Z31</f>
        <v/>
      </c>
      <c r="W141" s="8">
        <f>(W31)/$Z31</f>
        <v/>
      </c>
      <c r="X141" s="8">
        <f>(X31)/$Z31</f>
        <v/>
      </c>
      <c r="AE141" s="4" t="n"/>
      <c r="AF141" s="4" t="n"/>
      <c r="AG141" s="4" t="n"/>
      <c r="AH141" s="4" t="n"/>
      <c r="AI141" s="4" t="n"/>
      <c r="AJ141" s="4" t="n"/>
      <c r="AK141" s="4" t="n"/>
      <c r="AL141" s="4" t="n"/>
      <c r="AM141" s="4" t="n"/>
      <c r="AN141" s="4" t="n"/>
      <c r="AO141" s="4" t="n"/>
      <c r="AP141" s="4" t="n"/>
      <c r="AQ141" s="4" t="n"/>
      <c r="AR141" s="4" t="n"/>
      <c r="AS141" s="4" t="n"/>
      <c r="AT141" s="4" t="n"/>
      <c r="AU141" s="4" t="n"/>
      <c r="AV141" s="4" t="n"/>
      <c r="AW141" s="4" t="n"/>
      <c r="AX141" s="4" t="n"/>
      <c r="AY141" s="4" t="n"/>
      <c r="AZ141" s="4" t="n"/>
      <c r="BA141" s="4" t="n"/>
      <c r="BB141" s="4" t="n"/>
      <c r="BC141" s="4" t="n"/>
      <c r="BD141" s="4" t="n"/>
      <c r="BE141" s="4" t="n"/>
      <c r="BF141" s="4" t="n"/>
      <c r="BG141" s="4" t="n"/>
      <c r="BH141" s="4" t="n"/>
      <c r="BI141" s="4" t="n"/>
      <c r="BJ141" s="4" t="n"/>
      <c r="BK141" s="4" t="n"/>
      <c r="BL141" s="4" t="n"/>
      <c r="BM141" s="4" t="n"/>
      <c r="BN141" s="4" t="n"/>
    </row>
    <row r="142" customFormat="1" s="23">
      <c r="A142" s="4" t="inlineStr">
        <is>
          <t>WA</t>
        </is>
      </c>
      <c r="B142" s="19" t="inlineStr">
        <is>
          <t>Pathologists</t>
        </is>
      </c>
      <c r="C142" s="20" t="n"/>
      <c r="D142" s="4" t="n"/>
      <c r="E142" s="21" t="n"/>
      <c r="F142" s="4" t="n"/>
      <c r="G142" s="4" t="n"/>
      <c r="H142" s="5" t="n"/>
      <c r="I142" s="5" t="n"/>
      <c r="J142" s="8">
        <f>(J32*$W32)/$Z32</f>
        <v/>
      </c>
      <c r="K142" s="32" t="n"/>
      <c r="L142" s="8" t="n"/>
      <c r="M142" s="8">
        <f>(M32*$W32)/$Z32</f>
        <v/>
      </c>
      <c r="N142" s="8">
        <f>(N32*$W32)/$Z32</f>
        <v/>
      </c>
      <c r="O142" s="8">
        <f>(O32*$W32)/$Z32</f>
        <v/>
      </c>
      <c r="P142" s="8">
        <f>(P32*$W32)/$Z32</f>
        <v/>
      </c>
      <c r="Q142" s="8">
        <f>(Q32*$W32)/$Z32</f>
        <v/>
      </c>
      <c r="R142" s="8">
        <f>(R32)/$Z32</f>
        <v/>
      </c>
      <c r="S142" s="8">
        <f>(S32/52*$W32)/$Z32</f>
        <v/>
      </c>
      <c r="T142" s="8">
        <f>(T32*$W32)/$Z32</f>
        <v/>
      </c>
      <c r="U142" s="9" t="n"/>
      <c r="V142" s="8">
        <f>(V32)/$Z32</f>
        <v/>
      </c>
      <c r="W142" s="8">
        <f>(W32)/$Z32</f>
        <v/>
      </c>
      <c r="X142" s="8">
        <f>(X32)/$Z32</f>
        <v/>
      </c>
      <c r="AE142" s="4" t="n"/>
      <c r="AF142" s="4" t="n"/>
      <c r="AG142" s="4" t="n"/>
      <c r="AH142" s="4" t="n"/>
      <c r="AI142" s="4" t="n"/>
      <c r="AJ142" s="4" t="n"/>
      <c r="AK142" s="4" t="n"/>
      <c r="AL142" s="4" t="n"/>
      <c r="AM142" s="4" t="n"/>
      <c r="AN142" s="4" t="n"/>
      <c r="AO142" s="4" t="n"/>
      <c r="AP142" s="4" t="n"/>
      <c r="AQ142" s="4" t="n"/>
      <c r="AR142" s="4" t="n"/>
      <c r="AS142" s="4" t="n"/>
      <c r="AT142" s="4" t="n"/>
      <c r="AU142" s="4" t="n"/>
      <c r="AV142" s="4" t="n"/>
      <c r="AW142" s="4" t="n"/>
      <c r="AX142" s="4" t="n"/>
      <c r="AY142" s="4" t="n"/>
      <c r="AZ142" s="4" t="n"/>
      <c r="BA142" s="4" t="n"/>
      <c r="BB142" s="4" t="n"/>
      <c r="BC142" s="4" t="n"/>
      <c r="BD142" s="4" t="n"/>
      <c r="BE142" s="4" t="n"/>
      <c r="BF142" s="4" t="n"/>
      <c r="BG142" s="4" t="n"/>
      <c r="BH142" s="4" t="n"/>
      <c r="BI142" s="4" t="n"/>
      <c r="BJ142" s="4" t="n"/>
      <c r="BK142" s="4" t="n"/>
      <c r="BL142" s="4" t="n"/>
      <c r="BM142" s="4" t="n"/>
      <c r="BN142" s="4" t="n"/>
    </row>
    <row r="144" customFormat="1" s="23">
      <c r="A144" s="4" t="inlineStr">
        <is>
          <t>ALL</t>
        </is>
      </c>
      <c r="B144" s="19" t="inlineStr">
        <is>
          <t>Lab technician</t>
        </is>
      </c>
      <c r="C144" s="20" t="n"/>
      <c r="D144" s="4" t="n"/>
      <c r="E144" s="21" t="n"/>
      <c r="F144" s="4" t="n"/>
      <c r="G144" s="4" t="n"/>
      <c r="H144" s="5" t="n"/>
      <c r="I144" s="5" t="n"/>
      <c r="J144" s="35">
        <f>TEXT((AVERAGE(J28,J22,J16,J10,J4)*$W4/$Z4), "0.0%") &amp; " (" &amp; TEXT((MIN(J28,J22,J16,J10,J4)*$W4/$Z4), "0.0%") &amp; " - " &amp; TEXT((MAX(J28,J22,J16,J10,J4)*$W4/$Z4), "0.0%") &amp; ")"</f>
        <v/>
      </c>
      <c r="K144" s="32" t="n"/>
      <c r="L144" s="8" t="n"/>
      <c r="M144" s="35">
        <f>TEXT((AVERAGE(M28,M22,M16,M10,M4)*$W4/$Z4), "0.0%") &amp; " (" &amp; TEXT((MIN(M28,M22,M16,M10,M4)*$W4/$Z4), "0.0%") &amp; " - " &amp; TEXT((MAX(M28,M22,M16,M10,M4)*$W4/$Z4), "0.0%") &amp; ")"</f>
        <v/>
      </c>
      <c r="N144" s="35">
        <f>TEXT((AVERAGE(N28,N22,N16,N10,N4)*$W4/$Z4), "0.0%") &amp; " (" &amp; TEXT((MIN(N28,N22,N16,N10,N4)*$W4/$Z4), "0.0%") &amp; " - " &amp; TEXT((MAX(N28,N22,N16,N10,N4)*$W4/$Z4), "0.0%") &amp; ")"</f>
        <v/>
      </c>
      <c r="O144" s="35">
        <f>TEXT((AVERAGE(O28,O22,O16,O10,O4)*$W4/$Z4), "0.0%") &amp; " (" &amp; TEXT((MIN(O28,O22,O16,O10,O4)*$W4/$Z4), "0.0%") &amp; " - " &amp; TEXT((MAX(O28,O22,O16,O10,O4)*$W4/$Z4), "0.0%") &amp; ")"</f>
        <v/>
      </c>
      <c r="P144" s="35">
        <f>TEXT((AVERAGE(P28,P22,P16,P10,P4)*$W4/$Z4), "0.0%") &amp; " (" &amp; TEXT((MIN(P28,P22,P16,P10,P4)*$W4/$Z4), "0.0%") &amp; " - " &amp; TEXT((MAX(P28,P22,P16,P10,P4)*$W4/$Z4), "0.0%") &amp; ")"</f>
        <v/>
      </c>
      <c r="Q144" s="35">
        <f>TEXT((AVERAGE(Q28,Q22,Q16,Q10,Q4)*$W4/$Z4), "0.0%") &amp; " (" &amp; TEXT((MIN(Q28,Q22,Q16,Q10,Q4)*$W4/$Z4), "0.0%") &amp; " - " &amp; TEXT((MAX(Q28,Q22,Q16,Q10,Q4)*$W4/$Z4), "0.0%") &amp; ")"</f>
        <v/>
      </c>
      <c r="R144" s="35">
        <f>TEXT((AVERAGE(R28,R22,R16,R10,R4)/$Z4), "0.0%") &amp; " (" &amp; TEXT((MIN(R28,R22,R16,R10,R4)/$Z4), "0.0%") &amp; " - " &amp; TEXT((MAX(R28,R22,R16,R10,R4)/$Z4), "0.0%") &amp; ")"</f>
        <v/>
      </c>
      <c r="S144" s="35">
        <f>TEXT((AVERAGE(S28,S22,S16,S10,S4)/52*$W4/$Z4), "0.0%") &amp; " (" &amp; TEXT((MIN(S28,S22,S16,S10,S4)/52*$W4/$Z4), "0.0%") &amp; " - " &amp; TEXT((MAX(S28,S22,S16,S10,S4)/52*$W4/$Z4), "0.0%") &amp; ")"</f>
        <v/>
      </c>
      <c r="T144" s="35">
        <f>TEXT((AVERAGE(T28,T22,T16,T10,T4)*$W4/$Z4), "0.0%") &amp; " (" &amp; TEXT((MIN(T28,T22,T16,T10,T4)*$W4/$Z4), "0.0%") &amp; " - " &amp; TEXT((MAX(T28,T22,T16,T10,T4)*$W4/$Z4), "0.0%") &amp; ")"</f>
        <v/>
      </c>
      <c r="U144" s="9" t="n"/>
      <c r="V144" s="35">
        <f>TEXT((AVERAGE(V28,V22,V16,V10,V4)/$Z4), "0.0%") &amp; " (" &amp; TEXT((MIN(V28,V22,V16,V10,V4)/$Z4), "0.0%") &amp; " - " &amp; TEXT((MAX(V28,V22,V16,V10,V4)/$Z4), "0.0%") &amp; ")"</f>
        <v/>
      </c>
      <c r="W144" s="35">
        <f>TEXT((AVERAGE(W28,W22,W16,W10,W4)/$Z4), "0.0%") &amp; " (" &amp; TEXT((MIN(W28,W22,W16,W10,W4)/$Z4), "0.0%") &amp; " - " &amp; TEXT((MAX(W28,W22,W16,W10,W4)/$Z4), "0.0%") &amp; ")"</f>
        <v/>
      </c>
      <c r="X144" s="35">
        <f>TEXT((AVERAGE(X28,X22,X16,X10,X4)/$Z4), "0.0%") &amp; " (" &amp; TEXT((MIN(X28,X22,X16,X10,X4)/$Z4), "0.0%") &amp; " - " &amp; TEXT((MAX(X28,X22,X16,X10,X4)/$Z4), "0.0%") &amp; ")"</f>
        <v/>
      </c>
      <c r="AE144" s="4" t="n"/>
      <c r="AF144" s="4" t="n"/>
      <c r="AG144" s="4" t="n"/>
      <c r="AH144" s="4" t="n"/>
      <c r="AI144" s="4" t="n"/>
      <c r="AJ144" s="4" t="n"/>
      <c r="AK144" s="4" t="n"/>
      <c r="AL144" s="4" t="n"/>
      <c r="AM144" s="4" t="n"/>
      <c r="AN144" s="4" t="n"/>
      <c r="AO144" s="4" t="n"/>
      <c r="AP144" s="4" t="n"/>
      <c r="AQ144" s="4" t="n"/>
      <c r="AR144" s="4" t="n"/>
      <c r="AS144" s="4" t="n"/>
      <c r="AT144" s="4" t="n"/>
      <c r="AU144" s="4" t="n"/>
      <c r="AV144" s="4" t="n"/>
      <c r="AW144" s="4" t="n"/>
      <c r="AX144" s="4" t="n"/>
      <c r="AY144" s="4" t="n"/>
      <c r="AZ144" s="4" t="n"/>
      <c r="BA144" s="4" t="n"/>
      <c r="BB144" s="4" t="n"/>
      <c r="BC144" s="4" t="n"/>
      <c r="BD144" s="4" t="n"/>
      <c r="BE144" s="4" t="n"/>
      <c r="BF144" s="4" t="n"/>
      <c r="BG144" s="4" t="n"/>
      <c r="BH144" s="4" t="n"/>
      <c r="BI144" s="4" t="n"/>
      <c r="BJ144" s="4" t="n"/>
      <c r="BK144" s="4" t="n"/>
      <c r="BL144" s="4" t="n"/>
      <c r="BM144" s="4" t="n"/>
      <c r="BN144" s="4" t="n"/>
    </row>
    <row r="145" customFormat="1" s="23">
      <c r="A145" s="4" t="inlineStr">
        <is>
          <t>ALL</t>
        </is>
      </c>
      <c r="B145" s="19" t="inlineStr">
        <is>
          <t>Medical scientist</t>
        </is>
      </c>
      <c r="C145" s="20" t="n"/>
      <c r="D145" s="4" t="n"/>
      <c r="E145" s="21" t="n"/>
      <c r="F145" s="4" t="n"/>
      <c r="G145" s="4" t="n"/>
      <c r="H145" s="5" t="n"/>
      <c r="I145" s="5" t="n"/>
      <c r="J145" s="35">
        <f>TEXT((AVERAGE(J29,J23,J17,J11,J5)*$W5/$Z5), "0.0%") &amp; " (" &amp; TEXT((MIN(J29,J23,J17,J11,J5)*$W5/$Z5), "0.0%") &amp; " - " &amp; TEXT((MAX(J29,J23,J17,J11,J5)*$W5/$Z5), "0.0%") &amp; ")"</f>
        <v/>
      </c>
      <c r="K145" s="32" t="n"/>
      <c r="L145" s="8" t="n"/>
      <c r="M145" s="35">
        <f>TEXT((AVERAGE(M29,M23,M17,M11,M5)*$W5/$Z5), "0.0%") &amp; " (" &amp; TEXT((MIN(M29,M23,M17,M11,M5)*$W5/$Z5), "0.0%") &amp; " - " &amp; TEXT((MAX(M29,M23,M17,M11,M5)*$W5/$Z5), "0.0%") &amp; ")"</f>
        <v/>
      </c>
      <c r="N145" s="35">
        <f>TEXT((AVERAGE(N29,N23,N17,N11,N5)*$W5/$Z5), "0.0%") &amp; " (" &amp; TEXT((MIN(N29,N23,N17,N11,N5)*$W5/$Z5), "0.0%") &amp; " - " &amp; TEXT((MAX(N29,N23,N17,N11,N5)*$W5/$Z5), "0.0%") &amp; ")"</f>
        <v/>
      </c>
      <c r="O145" s="35">
        <f>TEXT((AVERAGE(O29,O23,O17,O11,O5)*$W5/$Z5), "0.0%") &amp; " (" &amp; TEXT((MIN(O29,O23,O17,O11,O5)*$W5/$Z5), "0.0%") &amp; " - " &amp; TEXT((MAX(O29,O23,O17,O11,O5)*$W5/$Z5), "0.0%") &amp; ")"</f>
        <v/>
      </c>
      <c r="P145" s="35">
        <f>TEXT((AVERAGE(P29,P23,P17,P11,P5)*$W5/$Z5), "0.0%") &amp; " (" &amp; TEXT((MIN(P29,P23,P17,P11,P5)*$W5/$Z5), "0.0%") &amp; " - " &amp; TEXT((MAX(P29,P23,P17,P11,P5)*$W5/$Z5), "0.0%") &amp; ")"</f>
        <v/>
      </c>
      <c r="Q145" s="35">
        <f>TEXT((AVERAGE(Q29,Q23,Q17,Q11,Q5)*$W5/$Z5), "0.0%") &amp; " (" &amp; TEXT((MIN(Q29,Q23,Q17,Q11,Q5)*$W5/$Z5), "0.0%") &amp; " - " &amp; TEXT((MAX(Q29,Q23,Q17,Q11,Q5)*$W5/$Z5), "0.0%") &amp; ")"</f>
        <v/>
      </c>
      <c r="R145" s="35">
        <f>TEXT((AVERAGE(R29,R23,R17,R11,R5)/$Z5), "0.0%") &amp; " (" &amp; TEXT((MIN(R29,R23,R17,R11,R5)/$Z5), "0.0%") &amp; " - " &amp; TEXT((MAX(R29,R23,R17,R11,R5)/$Z5), "0.0%") &amp; ")"</f>
        <v/>
      </c>
      <c r="S145" s="35">
        <f>TEXT((AVERAGE(S29,S23,S17,S11,S5)/52*$W5/$Z5), "0.0%") &amp; " (" &amp; TEXT((MIN(S29,S23,S17,S11,S5)/52*$W5/$Z5), "0.0%") &amp; " - " &amp; TEXT((MAX(S29,S23,S17,S11,S5)/52*$W5/$Z5), "0.0%") &amp; ")"</f>
        <v/>
      </c>
      <c r="T145" s="35">
        <f>TEXT((AVERAGE(T29,T23,T17,T11,T5)*$W5/$Z5), "0.0%") &amp; " (" &amp; TEXT((MIN(T29,T23,T17,T11,T5)*$W5/$Z5), "0.0%") &amp; " - " &amp; TEXT((MAX(T29,T23,T17,T11,T5)*$W5/$Z5), "0.0%") &amp; ")"</f>
        <v/>
      </c>
      <c r="U145" s="9" t="n"/>
      <c r="V145" s="35">
        <f>TEXT((AVERAGE(V29,V23,V17,V11,V5)/$Z5), "0.0%") &amp; " (" &amp; TEXT((MIN(V29,V23,V17,V11,V5)/$Z5), "0.0%") &amp; " - " &amp; TEXT((MAX(V29,V23,V17,V11,V5)/$Z5), "0.0%") &amp; ")"</f>
        <v/>
      </c>
      <c r="W145" s="35">
        <f>TEXT((AVERAGE(W29,W23,W17,W11,W5)/$Z5), "0.0%") &amp; " (" &amp; TEXT((MIN(W29,W23,W17,W11,W5)/$Z5), "0.0%") &amp; " - " &amp; TEXT((MAX(W29,W23,W17,W11,W5)/$Z5), "0.0%") &amp; ")"</f>
        <v/>
      </c>
      <c r="X145" s="35">
        <f>TEXT((AVERAGE(X29,X23,X17,X11,X5)/$Z5), "0.0%") &amp; " (" &amp; TEXT((MIN(X29,X23,X17,X11,X5)/$Z5), "0.0%") &amp; " - " &amp; TEXT((MAX(X29,X23,X17,X11,X5)/$Z5), "0.0%") &amp; ")"</f>
        <v/>
      </c>
      <c r="AE145" s="4" t="n"/>
      <c r="AF145" s="4" t="n"/>
      <c r="AG145" s="4" t="n"/>
      <c r="AH145" s="4" t="n"/>
      <c r="AI145" s="4" t="n"/>
      <c r="AJ145" s="4" t="n"/>
      <c r="AK145" s="4" t="n"/>
      <c r="AL145" s="4" t="n"/>
      <c r="AM145" s="4" t="n"/>
      <c r="AN145" s="4" t="n"/>
      <c r="AO145" s="4" t="n"/>
      <c r="AP145" s="4" t="n"/>
      <c r="AQ145" s="4" t="n"/>
      <c r="AR145" s="4" t="n"/>
      <c r="AS145" s="4" t="n"/>
      <c r="AT145" s="4" t="n"/>
      <c r="AU145" s="4" t="n"/>
      <c r="AV145" s="4" t="n"/>
      <c r="AW145" s="4" t="n"/>
      <c r="AX145" s="4" t="n"/>
      <c r="AY145" s="4" t="n"/>
      <c r="AZ145" s="4" t="n"/>
      <c r="BA145" s="4" t="n"/>
      <c r="BB145" s="4" t="n"/>
      <c r="BC145" s="4" t="n"/>
      <c r="BD145" s="4" t="n"/>
      <c r="BE145" s="4" t="n"/>
      <c r="BF145" s="4" t="n"/>
      <c r="BG145" s="4" t="n"/>
      <c r="BH145" s="4" t="n"/>
      <c r="BI145" s="4" t="n"/>
      <c r="BJ145" s="4" t="n"/>
      <c r="BK145" s="4" t="n"/>
      <c r="BL145" s="4" t="n"/>
      <c r="BM145" s="4" t="n"/>
      <c r="BN145" s="4" t="n"/>
    </row>
    <row r="146" customFormat="1" s="23">
      <c r="A146" s="4" t="inlineStr">
        <is>
          <t>ALL</t>
        </is>
      </c>
      <c r="B146" s="19" t="inlineStr">
        <is>
          <t>Admin staff</t>
        </is>
      </c>
      <c r="C146" s="20" t="n"/>
      <c r="D146" s="4" t="n"/>
      <c r="E146" s="21" t="n"/>
      <c r="F146" s="4" t="n"/>
      <c r="G146" s="4" t="n"/>
      <c r="H146" s="5" t="n"/>
      <c r="I146" s="5" t="n"/>
      <c r="J146" s="35">
        <f>TEXT((AVERAGE(J30,J24,J18,J12,J6)*$W6/$Z6), "0.0%") &amp; " (" &amp; TEXT((MIN(J30,J24,J18,J12,J6)*$W6/$Z6), "0.0%") &amp; " - " &amp; TEXT((MAX(J30,J24,J18,J12,J6)*$W6/$Z6), "0.0%") &amp; ")"</f>
        <v/>
      </c>
      <c r="K146" s="32" t="n"/>
      <c r="L146" s="8" t="n"/>
      <c r="M146" s="35">
        <f>TEXT((AVERAGE(M30,M24,M18,M12,M6)*$W6/$Z6), "0.0%") &amp; " (" &amp; TEXT((MIN(M30,M24,M18,M12,M6)*$W6/$Z6), "0.0%") &amp; " - " &amp; TEXT((MAX(M30,M24,M18,M12,M6)*$W6/$Z6), "0.0%") &amp; ")"</f>
        <v/>
      </c>
      <c r="N146" s="35">
        <f>TEXT((AVERAGE(N30,N24,N18,N12,N6)*$W6/$Z6), "0.0%") &amp; " (" &amp; TEXT((MIN(N30,N24,N18,N12,N6)*$W6/$Z6), "0.0%") &amp; " - " &amp; TEXT((MAX(N30,N24,N18,N12,N6)*$W6/$Z6), "0.0%") &amp; ")"</f>
        <v/>
      </c>
      <c r="O146" s="35">
        <f>TEXT((AVERAGE(O30,O24,O18,O12,O6)*$W6/$Z6), "0.0%") &amp; " (" &amp; TEXT((MIN(O30,O24,O18,O12,O6)*$W6/$Z6), "0.0%") &amp; " - " &amp; TEXT((MAX(O30,O24,O18,O12,O6)*$W6/$Z6), "0.0%") &amp; ")"</f>
        <v/>
      </c>
      <c r="P146" s="35">
        <f>TEXT((AVERAGE(P30,P24,P18,P12,P6)*$W6/$Z6), "0.0%") &amp; " (" &amp; TEXT((MIN(P30,P24,P18,P12,P6)*$W6/$Z6), "0.0%") &amp; " - " &amp; TEXT((MAX(P30,P24,P18,P12,P6)*$W6/$Z6), "0.0%") &amp; ")"</f>
        <v/>
      </c>
      <c r="Q146" s="35">
        <f>TEXT((AVERAGE(Q30,Q24,Q18,Q12,Q6)*$W6/$Z6), "0.0%") &amp; " (" &amp; TEXT((MIN(Q30,Q24,Q18,Q12,Q6)*$W6/$Z6), "0.0%") &amp; " - " &amp; TEXT((MAX(Q30,Q24,Q18,Q12,Q6)*$W6/$Z6), "0.0%") &amp; ")"</f>
        <v/>
      </c>
      <c r="R146" s="35">
        <f>TEXT((AVERAGE(R30,R24,R18,R12,R6)/$Z6), "0.0%") &amp; " (" &amp; TEXT((MIN(R30,R24,R18,R12,R6)/$Z6), "0.0%") &amp; " - " &amp; TEXT((MAX(R30,R24,R18,R12,R6)/$Z6), "0.0%") &amp; ")"</f>
        <v/>
      </c>
      <c r="S146" s="35">
        <f>TEXT((AVERAGE(S30,S24,S18,S12,S6)/52*$W6/$Z6), "0.0%") &amp; " (" &amp; TEXT((MIN(S30,S24,S18,S12,S6)/52*$W6/$Z6), "0.0%") &amp; " - " &amp; TEXT((MAX(S30,S24,S18,S12,S6)/52*$W6/$Z6), "0.0%") &amp; ")"</f>
        <v/>
      </c>
      <c r="T146" s="35">
        <f>TEXT((AVERAGE(T30,T24,T18,T12,T6)*$W6/$Z6), "0.0%") &amp; " (" &amp; TEXT((MIN(T30,T24,T18,T12,T6)*$W6/$Z6), "0.0%") &amp; " - " &amp; TEXT((MAX(T30,T24,T18,T12,T6)*$W6/$Z6), "0.0%") &amp; ")"</f>
        <v/>
      </c>
      <c r="U146" s="9" t="n"/>
      <c r="V146" s="35">
        <f>TEXT((AVERAGE(V30,V24,V18,V12,V6)/$Z6), "0.0%") &amp; " (" &amp; TEXT((MIN(V30,V24,V18,V12,V6)/$Z6), "0.0%") &amp; " - " &amp; TEXT((MAX(V30,V24,V18,V12,V6)/$Z6), "0.0%") &amp; ")"</f>
        <v/>
      </c>
      <c r="W146" s="35">
        <f>TEXT((AVERAGE(W30,W24,W18,W12,W6)/$Z6), "0.0%") &amp; " (" &amp; TEXT((MIN(W30,W24,W18,W12,W6)/$Z6), "0.0%") &amp; " - " &amp; TEXT((MAX(W30,W24,W18,W12,W6)/$Z6), "0.0%") &amp; ")"</f>
        <v/>
      </c>
      <c r="X146" s="35">
        <f>TEXT((AVERAGE(X30,X24,X18,X12,X6)/$Z6), "0.0%") &amp; " (" &amp; TEXT((MIN(X30,X24,X18,X12,X6)/$Z6), "0.0%") &amp; " - " &amp; TEXT((MAX(X30,X24,X18,X12,X6)/$Z6), "0.0%") &amp; ")"</f>
        <v/>
      </c>
      <c r="AE146" s="4" t="n"/>
      <c r="AF146" s="4" t="n"/>
      <c r="AG146" s="4" t="n"/>
      <c r="AH146" s="4" t="n"/>
      <c r="AI146" s="4" t="n"/>
      <c r="AJ146" s="4" t="n"/>
      <c r="AK146" s="4" t="n"/>
      <c r="AL146" s="4" t="n"/>
      <c r="AM146" s="4" t="n"/>
      <c r="AN146" s="4" t="n"/>
      <c r="AO146" s="4" t="n"/>
      <c r="AP146" s="4" t="n"/>
      <c r="AQ146" s="4" t="n"/>
      <c r="AR146" s="4" t="n"/>
      <c r="AS146" s="4" t="n"/>
      <c r="AT146" s="4" t="n"/>
      <c r="AU146" s="4" t="n"/>
      <c r="AV146" s="4" t="n"/>
      <c r="AW146" s="4" t="n"/>
      <c r="AX146" s="4" t="n"/>
      <c r="AY146" s="4" t="n"/>
      <c r="AZ146" s="4" t="n"/>
      <c r="BA146" s="4" t="n"/>
      <c r="BB146" s="4" t="n"/>
      <c r="BC146" s="4" t="n"/>
      <c r="BD146" s="4" t="n"/>
      <c r="BE146" s="4" t="n"/>
      <c r="BF146" s="4" t="n"/>
      <c r="BG146" s="4" t="n"/>
      <c r="BH146" s="4" t="n"/>
      <c r="BI146" s="4" t="n"/>
      <c r="BJ146" s="4" t="n"/>
      <c r="BK146" s="4" t="n"/>
      <c r="BL146" s="4" t="n"/>
      <c r="BM146" s="4" t="n"/>
      <c r="BN146" s="4" t="n"/>
    </row>
    <row r="147" customFormat="1" s="23">
      <c r="A147" s="4" t="inlineStr">
        <is>
          <t>ALL</t>
        </is>
      </c>
      <c r="B147" s="19" t="inlineStr">
        <is>
          <t>Bioinformatics staff</t>
        </is>
      </c>
      <c r="C147" s="20" t="n"/>
      <c r="D147" s="4" t="n"/>
      <c r="E147" s="21" t="n"/>
      <c r="F147" s="4" t="n"/>
      <c r="G147" s="4" t="n"/>
      <c r="H147" s="5" t="n"/>
      <c r="I147" s="5" t="n"/>
      <c r="J147" s="35">
        <f>TEXT((AVERAGE(J31,J25,J19,J13,J7)*$W7/$Z7), "0.0%") &amp; " (" &amp; TEXT((MIN(J31,J25,J19,J13,J7)*$W7/$Z7), "0.0%") &amp; " - " &amp; TEXT((MAX(J31,J25,J19,J13,J7)*$W7/$Z7), "0.0%") &amp; ")"</f>
        <v/>
      </c>
      <c r="K147" s="32" t="n"/>
      <c r="L147" s="8" t="n"/>
      <c r="M147" s="35">
        <f>TEXT((AVERAGE(M31,M25,M19,M13,M7)*$W7/$Z7), "0.0%") &amp; " (" &amp; TEXT((MIN(M31,M25,M19,M13,M7)*$W7/$Z7), "0.0%") &amp; " - " &amp; TEXT((MAX(M31,M25,M19,M13,M7)*$W7/$Z7), "0.0%") &amp; ")"</f>
        <v/>
      </c>
      <c r="N147" s="35">
        <f>TEXT((AVERAGE(N31,N25,N19,N13,N7)*$W7/$Z7), "0.0%") &amp; " (" &amp; TEXT((MIN(N31,N25,N19,N13,N7)*$W7/$Z7), "0.0%") &amp; " - " &amp; TEXT((MAX(N31,N25,N19,N13,N7)*$W7/$Z7), "0.0%") &amp; ")"</f>
        <v/>
      </c>
      <c r="O147" s="35">
        <f>TEXT((AVERAGE(O31,O25,O19,O13,O7)*$W7/$Z7), "0.0%") &amp; " (" &amp; TEXT((MIN(O31,O25,O19,O13,O7)*$W7/$Z7), "0.0%") &amp; " - " &amp; TEXT((MAX(O31,O25,O19,O13,O7)*$W7/$Z7), "0.0%") &amp; ")"</f>
        <v/>
      </c>
      <c r="P147" s="35">
        <f>TEXT((AVERAGE(P31,P25,P19,P13,P7)*$W7/$Z7), "0.0%") &amp; " (" &amp; TEXT((MIN(P31,P25,P19,P13,P7)*$W7/$Z7), "0.0%") &amp; " - " &amp; TEXT((MAX(P31,P25,P19,P13,P7)*$W7/$Z7), "0.0%") &amp; ")"</f>
        <v/>
      </c>
      <c r="Q147" s="35">
        <f>TEXT((AVERAGE(Q31,Q25,Q19,Q13,Q7)*$W7/$Z7), "0.0%") &amp; " (" &amp; TEXT((MIN(Q31,Q25,Q19,Q13,Q7)*$W7/$Z7), "0.0%") &amp; " - " &amp; TEXT((MAX(Q31,Q25,Q19,Q13,Q7)*$W7/$Z7), "0.0%") &amp; ")"</f>
        <v/>
      </c>
      <c r="R147" s="35">
        <f>TEXT((AVERAGE(R31,R25,R19,R13,R7)/$Z7), "0.0%") &amp; " (" &amp; TEXT((MIN(R31,R25,R19,R13,R7)/$Z7), "0.0%") &amp; " - " &amp; TEXT((MAX(R31,R25,R19,R13,R7)/$Z7), "0.0%") &amp; ")"</f>
        <v/>
      </c>
      <c r="S147" s="35">
        <f>TEXT((AVERAGE(S31,S25,S19,S13,S7)/52*$W7/$Z7), "0.0%") &amp; " (" &amp; TEXT((MIN(S31,S25,S19,S13,S7)/52*$W7/$Z7), "0.0%") &amp; " - " &amp; TEXT((MAX(S31,S25,S19,S13,S7)/52*$W7/$Z7), "0.0%") &amp; ")"</f>
        <v/>
      </c>
      <c r="T147" s="35">
        <f>TEXT((AVERAGE(T31,T25,T19,T13,T7)*$W7/$Z7), "0.0%") &amp; " (" &amp; TEXT((MIN(T31,T25,T19,T13,T7)*$W7/$Z7), "0.0%") &amp; " - " &amp; TEXT((MAX(T31,T25,T19,T13,T7)*$W7/$Z7), "0.0%") &amp; ")"</f>
        <v/>
      </c>
      <c r="U147" s="9" t="n"/>
      <c r="V147" s="35">
        <f>TEXT((AVERAGE(V31,V25,V19,V13,V7)/$Z7), "0.0%") &amp; " (" &amp; TEXT((MIN(V31,V25,V19,V13,V7)/$Z7), "0.0%") &amp; " - " &amp; TEXT((MAX(V31,V25,V19,V13,V7)/$Z7), "0.0%") &amp; ")"</f>
        <v/>
      </c>
      <c r="W147" s="35">
        <f>TEXT((AVERAGE(W31,W25,W19,W13,W7)/$Z7), "0.0%") &amp; " (" &amp; TEXT((MIN(W31,W25,W19,W13,W7)/$Z7), "0.0%") &amp; " - " &amp; TEXT((MAX(W31,W25,W19,W13,W7)/$Z7), "0.0%") &amp; ")"</f>
        <v/>
      </c>
      <c r="X147" s="35">
        <f>TEXT((AVERAGE(X31,X25,X19,X13,X7)/$Z7), "0.0%") &amp; " (" &amp; TEXT((MIN(X31,X25,X19,X13,X7)/$Z7), "0.0%") &amp; " - " &amp; TEXT((MAX(X31,X25,X19,X13,X7)/$Z7), "0.0%") &amp; ")"</f>
        <v/>
      </c>
      <c r="AE147" s="4" t="n"/>
      <c r="AF147" s="4" t="n"/>
      <c r="AG147" s="4" t="n"/>
      <c r="AH147" s="4" t="n"/>
      <c r="AI147" s="4" t="n"/>
      <c r="AJ147" s="4" t="n"/>
      <c r="AK147" s="4" t="n"/>
      <c r="AL147" s="4" t="n"/>
      <c r="AM147" s="4" t="n"/>
      <c r="AN147" s="4" t="n"/>
      <c r="AO147" s="4" t="n"/>
      <c r="AP147" s="4" t="n"/>
      <c r="AQ147" s="4" t="n"/>
      <c r="AR147" s="4" t="n"/>
      <c r="AS147" s="4" t="n"/>
      <c r="AT147" s="4" t="n"/>
      <c r="AU147" s="4" t="n"/>
      <c r="AV147" s="4" t="n"/>
      <c r="AW147" s="4" t="n"/>
      <c r="AX147" s="4" t="n"/>
      <c r="AY147" s="4" t="n"/>
      <c r="AZ147" s="4" t="n"/>
      <c r="BA147" s="4" t="n"/>
      <c r="BB147" s="4" t="n"/>
      <c r="BC147" s="4" t="n"/>
      <c r="BD147" s="4" t="n"/>
      <c r="BE147" s="4" t="n"/>
      <c r="BF147" s="4" t="n"/>
      <c r="BG147" s="4" t="n"/>
      <c r="BH147" s="4" t="n"/>
      <c r="BI147" s="4" t="n"/>
      <c r="BJ147" s="4" t="n"/>
      <c r="BK147" s="4" t="n"/>
      <c r="BL147" s="4" t="n"/>
      <c r="BM147" s="4" t="n"/>
      <c r="BN147" s="4" t="n"/>
    </row>
    <row r="148" customFormat="1" s="23">
      <c r="A148" s="4" t="inlineStr">
        <is>
          <t>ALL</t>
        </is>
      </c>
      <c r="B148" s="19" t="inlineStr">
        <is>
          <t>Pathologists</t>
        </is>
      </c>
      <c r="C148" s="20" t="n"/>
      <c r="D148" s="4" t="n"/>
      <c r="E148" s="21" t="n"/>
      <c r="F148" s="4" t="n"/>
      <c r="G148" s="4" t="n"/>
      <c r="H148" s="5" t="n"/>
      <c r="I148" s="5" t="n"/>
      <c r="J148" s="35">
        <f>TEXT((AVERAGE(J32,J26,J20,J14,J8)*$W8/$Z8), "0.0%") &amp; " (" &amp; TEXT((MIN(J32,J26,J20,J14,J8)*$W8/$Z8), "0.0%") &amp; " - " &amp; TEXT((MAX(J32,J26,J20,J14,J8)*$W8/$Z8), "0.0%") &amp; ")"</f>
        <v/>
      </c>
      <c r="K148" s="32" t="n"/>
      <c r="L148" s="8" t="n"/>
      <c r="M148" s="35">
        <f>TEXT((AVERAGE(M32,M26,M20,M14,M8)*$W8/$Z8), "0.0%") &amp; " (" &amp; TEXT((MIN(M32,M26,M20,M14,M8)*$W8/$Z8), "0.0%") &amp; " - " &amp; TEXT((MAX(M32,M26,M20,M14,M8)*$W8/$Z8), "0.0%") &amp; ")"</f>
        <v/>
      </c>
      <c r="N148" s="35">
        <f>TEXT((AVERAGE(N32,N26,N20,N14,N8)*$W8/$Z8), "0.0%") &amp; " (" &amp; TEXT((MIN(N32,N26,N20,N14,N8)*$W8/$Z8), "0.0%") &amp; " - " &amp; TEXT((MAX(N32,N26,N20,N14,N8)*$W8/$Z8), "0.0%") &amp; ")"</f>
        <v/>
      </c>
      <c r="O148" s="35">
        <f>TEXT((AVERAGE(O32,O26,O20,O14,O8)*$W8/$Z8), "0.0%") &amp; " (" &amp; TEXT((MIN(O32,O26,O20,O14,O8)*$W8/$Z8), "0.0%") &amp; " - " &amp; TEXT((MAX(O32,O26,O20,O14,O8)*$W8/$Z8), "0.0%") &amp; ")"</f>
        <v/>
      </c>
      <c r="P148" s="35">
        <f>TEXT((AVERAGE(P32,P26,P20,P14,P8)*$W8/$Z8), "0.0%") &amp; " (" &amp; TEXT((MIN(P32,P26,P20,P14,P8)*$W8/$Z8), "0.0%") &amp; " - " &amp; TEXT((MAX(P32,P26,P20,P14,P8)*$W8/$Z8), "0.0%") &amp; ")"</f>
        <v/>
      </c>
      <c r="Q148" s="35">
        <f>TEXT((AVERAGE(Q32,Q26,Q20,Q14,Q8)*$W8/$Z8), "0.0%") &amp; " (" &amp; TEXT((MIN(Q32,Q26,Q20,Q14,Q8)*$W8/$Z8), "0.0%") &amp; " - " &amp; TEXT((MAX(Q32,Q26,Q20,Q14,Q8)*$W8/$Z8), "0.0%") &amp; ")"</f>
        <v/>
      </c>
      <c r="R148" s="35">
        <f>TEXT((AVERAGE(R32,R26,R20,R14,R8)/$Z8), "0.0%") &amp; " (" &amp; TEXT((MIN(R32,R26,R20,R14,R8)/$Z8), "0.0%") &amp; " - " &amp; TEXT((MAX(R32,R26,R20,R14,R8)/$Z8), "0.0%") &amp; ")"</f>
        <v/>
      </c>
      <c r="S148" s="35">
        <f>TEXT((AVERAGE(S32,S26,S20,S14,S8)/52*$W8/$Z8), "0.0%") &amp; " (" &amp; TEXT((MIN(S32,S26,S20,S14,S8)/52*$W8/$Z8), "0.0%") &amp; " - " &amp; TEXT((MAX(S32,S26,S20,S14,S8)/52*$W8/$Z8), "0.0%") &amp; ")"</f>
        <v/>
      </c>
      <c r="T148" s="35">
        <f>TEXT((AVERAGE(T32,T26,T20,T14,T8)*$W8/$Z8), "0.0%") &amp; " (" &amp; TEXT((MIN(T32,T26,T20,T14,T8)*$W8/$Z8), "0.0%") &amp; " - " &amp; TEXT((MAX(T32,T26,T20,T14,T8)*$W8/$Z8), "0.0%") &amp; ")"</f>
        <v/>
      </c>
      <c r="U148" s="9" t="n"/>
      <c r="V148" s="35">
        <f>TEXT((AVERAGE(V32,V26,V20,V14,V8)/$Z8), "0.0%") &amp; " (" &amp; TEXT((MIN(V32,V26,V20,V14,V8)/$Z8), "0.0%") &amp; " - " &amp; TEXT((MAX(V32,V26,V20,V14,V8)/$Z8), "0.0%") &amp; ")"</f>
        <v/>
      </c>
      <c r="W148" s="35">
        <f>TEXT((AVERAGE(W32,W26,W20,W14,W8)/$Z8), "0.0%") &amp; " (" &amp; TEXT((MIN(W32,W26,W20,W14,W8)/$Z8), "0.0%") &amp; " - " &amp; TEXT((MAX(W32,W26,W20,W14,W8)/$Z8), "0.0%") &amp; ")"</f>
        <v/>
      </c>
      <c r="X148" s="35">
        <f>TEXT((AVERAGE(X32,X26,X20,X14,X8)/$Z8), "0.0%") &amp; " (" &amp; TEXT((MIN(X32,X26,X20,X14,X8)/$Z8), "0.0%") &amp; " - " &amp; TEXT((MAX(X32,X26,X20,X14,X8)/$Z8), "0.0%") &amp; ")"</f>
        <v/>
      </c>
      <c r="AE148" s="4" t="n"/>
      <c r="AF148" s="4" t="n"/>
      <c r="AG148" s="4" t="n"/>
      <c r="AH148" s="4" t="n"/>
      <c r="AI148" s="4" t="n"/>
      <c r="AJ148" s="4" t="n"/>
      <c r="AK148" s="4" t="n"/>
      <c r="AL148" s="4" t="n"/>
      <c r="AM148" s="4" t="n"/>
      <c r="AN148" s="4" t="n"/>
      <c r="AO148" s="4" t="n"/>
      <c r="AP148" s="4" t="n"/>
      <c r="AQ148" s="4" t="n"/>
      <c r="AR148" s="4" t="n"/>
      <c r="AS148" s="4" t="n"/>
      <c r="AT148" s="4" t="n"/>
      <c r="AU148" s="4" t="n"/>
      <c r="AV148" s="4" t="n"/>
      <c r="AW148" s="4" t="n"/>
      <c r="AX148" s="4" t="n"/>
      <c r="AY148" s="4" t="n"/>
      <c r="AZ148" s="4" t="n"/>
      <c r="BA148" s="4" t="n"/>
      <c r="BB148" s="4" t="n"/>
      <c r="BC148" s="4" t="n"/>
      <c r="BD148" s="4" t="n"/>
      <c r="BE148" s="4" t="n"/>
      <c r="BF148" s="4" t="n"/>
      <c r="BG148" s="4" t="n"/>
      <c r="BH148" s="4" t="n"/>
      <c r="BI148" s="4" t="n"/>
      <c r="BJ148" s="4" t="n"/>
      <c r="BK148" s="4" t="n"/>
      <c r="BL148" s="4" t="n"/>
      <c r="BM148" s="4" t="n"/>
      <c r="BN148" s="4" t="n"/>
    </row>
    <row r="150" customFormat="1" s="23">
      <c r="A150" s="4" t="inlineStr">
        <is>
          <t>ALL(WM)</t>
        </is>
      </c>
      <c r="B150" s="19" t="inlineStr">
        <is>
          <t>Lab technician</t>
        </is>
      </c>
      <c r="C150" s="20" t="n"/>
      <c r="D150" s="4" t="n"/>
      <c r="E150" s="21" t="n"/>
      <c r="F150" s="4" t="n"/>
      <c r="G150" s="4" t="n"/>
      <c r="H150" s="5" t="n"/>
      <c r="I150" s="5" t="n"/>
      <c r="J150" s="28" t="n"/>
      <c r="K150" s="32" t="n"/>
      <c r="L150" s="8" t="n"/>
      <c r="M150" s="28" t="n"/>
      <c r="N150" s="28" t="n"/>
      <c r="O150" s="28" t="n"/>
      <c r="P150" s="28" t="n"/>
      <c r="Q150" s="28" t="n"/>
      <c r="R150" s="28" t="n"/>
      <c r="S150" s="28" t="n"/>
      <c r="T150" s="28" t="n"/>
      <c r="U150" s="9" t="n"/>
      <c r="V150" s="28" t="n"/>
      <c r="W150" s="28" t="n"/>
      <c r="X150" s="28" t="n"/>
      <c r="AE150" s="4" t="n"/>
      <c r="AF150" s="4" t="n"/>
      <c r="AG150" s="4" t="n"/>
      <c r="AH150" s="4" t="n"/>
      <c r="AI150" s="4" t="n"/>
      <c r="AJ150" s="4" t="n"/>
      <c r="AK150" s="4" t="n"/>
      <c r="AL150" s="4" t="n"/>
      <c r="AM150" s="4" t="n"/>
      <c r="AN150" s="4" t="n"/>
      <c r="AO150" s="4" t="n"/>
      <c r="AP150" s="4" t="n"/>
      <c r="AQ150" s="4" t="n"/>
      <c r="AR150" s="4" t="n"/>
      <c r="AS150" s="4" t="n"/>
      <c r="AT150" s="4" t="n"/>
      <c r="AU150" s="4" t="n"/>
      <c r="AV150" s="4" t="n"/>
      <c r="AW150" s="4" t="n"/>
      <c r="AX150" s="4" t="n"/>
      <c r="AY150" s="4" t="n"/>
      <c r="AZ150" s="4" t="n"/>
      <c r="BA150" s="4" t="n"/>
      <c r="BB150" s="4" t="n"/>
      <c r="BC150" s="4" t="n"/>
      <c r="BD150" s="4" t="n"/>
      <c r="BE150" s="4" t="n"/>
      <c r="BF150" s="4" t="n"/>
      <c r="BG150" s="4" t="n"/>
      <c r="BH150" s="4" t="n"/>
      <c r="BI150" s="4" t="n"/>
      <c r="BJ150" s="4" t="n"/>
      <c r="BK150" s="4" t="n"/>
      <c r="BL150" s="4" t="n"/>
      <c r="BM150" s="4" t="n"/>
      <c r="BN150" s="4" t="n"/>
    </row>
    <row r="151" customFormat="1" s="23">
      <c r="A151" s="4" t="inlineStr">
        <is>
          <t>ALL(WM)</t>
        </is>
      </c>
      <c r="B151" s="19" t="inlineStr">
        <is>
          <t>Medical scientist</t>
        </is>
      </c>
      <c r="C151" s="20" t="n"/>
      <c r="D151" s="4" t="n"/>
      <c r="E151" s="21" t="n"/>
      <c r="F151" s="4" t="n"/>
      <c r="G151" s="4" t="n"/>
      <c r="H151" s="5" t="n"/>
      <c r="I151" s="5" t="n"/>
      <c r="J151" s="28" t="n"/>
      <c r="K151" s="32" t="n"/>
      <c r="L151" s="8" t="n"/>
      <c r="M151" s="28" t="n"/>
      <c r="N151" s="28" t="n"/>
      <c r="O151" s="28" t="n"/>
      <c r="P151" s="28" t="n"/>
      <c r="Q151" s="28" t="n"/>
      <c r="R151" s="28" t="n"/>
      <c r="S151" s="28" t="n"/>
      <c r="T151" s="28" t="n"/>
      <c r="U151" s="9" t="n"/>
      <c r="V151" s="28" t="n"/>
      <c r="W151" s="28" t="n"/>
      <c r="X151" s="28" t="n"/>
      <c r="AE151" s="4" t="n"/>
      <c r="AF151" s="4" t="n"/>
      <c r="AG151" s="4" t="n"/>
      <c r="AH151" s="4" t="n"/>
      <c r="AI151" s="4" t="n"/>
      <c r="AJ151" s="4" t="n"/>
      <c r="AK151" s="4" t="n"/>
      <c r="AL151" s="4" t="n"/>
      <c r="AM151" s="4" t="n"/>
      <c r="AN151" s="4" t="n"/>
      <c r="AO151" s="4" t="n"/>
      <c r="AP151" s="4" t="n"/>
      <c r="AQ151" s="4" t="n"/>
      <c r="AR151" s="4" t="n"/>
      <c r="AS151" s="4" t="n"/>
      <c r="AT151" s="4" t="n"/>
      <c r="AU151" s="4" t="n"/>
      <c r="AV151" s="4" t="n"/>
      <c r="AW151" s="4" t="n"/>
      <c r="AX151" s="4" t="n"/>
      <c r="AY151" s="4" t="n"/>
      <c r="AZ151" s="4" t="n"/>
      <c r="BA151" s="4" t="n"/>
      <c r="BB151" s="4" t="n"/>
      <c r="BC151" s="4" t="n"/>
      <c r="BD151" s="4" t="n"/>
      <c r="BE151" s="4" t="n"/>
      <c r="BF151" s="4" t="n"/>
      <c r="BG151" s="4" t="n"/>
      <c r="BH151" s="4" t="n"/>
      <c r="BI151" s="4" t="n"/>
      <c r="BJ151" s="4" t="n"/>
      <c r="BK151" s="4" t="n"/>
      <c r="BL151" s="4" t="n"/>
      <c r="BM151" s="4" t="n"/>
      <c r="BN151" s="4" t="n"/>
    </row>
    <row r="152" customFormat="1" s="23">
      <c r="A152" s="4" t="inlineStr">
        <is>
          <t>ALL(WM)</t>
        </is>
      </c>
      <c r="B152" s="19" t="inlineStr">
        <is>
          <t>Admin staff</t>
        </is>
      </c>
      <c r="C152" s="20" t="n"/>
      <c r="D152" s="4" t="n"/>
      <c r="E152" s="21" t="n"/>
      <c r="F152" s="4" t="n"/>
      <c r="G152" s="4" t="n"/>
      <c r="H152" s="5" t="n"/>
      <c r="I152" s="5" t="n"/>
      <c r="J152" s="28" t="n"/>
      <c r="K152" s="32" t="n"/>
      <c r="L152" s="8" t="n"/>
      <c r="M152" s="28" t="n"/>
      <c r="N152" s="28" t="n"/>
      <c r="O152" s="28" t="n"/>
      <c r="P152" s="28" t="n"/>
      <c r="Q152" s="28" t="n"/>
      <c r="R152" s="28" t="n"/>
      <c r="S152" s="28" t="n"/>
      <c r="T152" s="28" t="n"/>
      <c r="U152" s="9" t="n"/>
      <c r="V152" s="28" t="n"/>
      <c r="W152" s="28" t="n"/>
      <c r="X152" s="28" t="n"/>
      <c r="AE152" s="4" t="n"/>
      <c r="AF152" s="4" t="n"/>
      <c r="AG152" s="4" t="n"/>
      <c r="AH152" s="4" t="n"/>
      <c r="AI152" s="4" t="n"/>
      <c r="AJ152" s="4" t="n"/>
      <c r="AK152" s="4" t="n"/>
      <c r="AL152" s="4" t="n"/>
      <c r="AM152" s="4" t="n"/>
      <c r="AN152" s="4" t="n"/>
      <c r="AO152" s="4" t="n"/>
      <c r="AP152" s="4" t="n"/>
      <c r="AQ152" s="4" t="n"/>
      <c r="AR152" s="4" t="n"/>
      <c r="AS152" s="4" t="n"/>
      <c r="AT152" s="4" t="n"/>
      <c r="AU152" s="4" t="n"/>
      <c r="AV152" s="4" t="n"/>
      <c r="AW152" s="4" t="n"/>
      <c r="AX152" s="4" t="n"/>
      <c r="AY152" s="4" t="n"/>
      <c r="AZ152" s="4" t="n"/>
      <c r="BA152" s="4" t="n"/>
      <c r="BB152" s="4" t="n"/>
      <c r="BC152" s="4" t="n"/>
      <c r="BD152" s="4" t="n"/>
      <c r="BE152" s="4" t="n"/>
      <c r="BF152" s="4" t="n"/>
      <c r="BG152" s="4" t="n"/>
      <c r="BH152" s="4" t="n"/>
      <c r="BI152" s="4" t="n"/>
      <c r="BJ152" s="4" t="n"/>
      <c r="BK152" s="4" t="n"/>
      <c r="BL152" s="4" t="n"/>
      <c r="BM152" s="4" t="n"/>
      <c r="BN152" s="4" t="n"/>
    </row>
    <row r="153" customFormat="1" s="23">
      <c r="A153" s="4" t="inlineStr">
        <is>
          <t>ALL(WM)</t>
        </is>
      </c>
      <c r="B153" s="19" t="inlineStr">
        <is>
          <t>Bioinformatics staff</t>
        </is>
      </c>
      <c r="C153" s="20" t="n"/>
      <c r="D153" s="4" t="n"/>
      <c r="E153" s="21" t="n"/>
      <c r="F153" s="4" t="n"/>
      <c r="G153" s="4" t="n"/>
      <c r="H153" s="5" t="n"/>
      <c r="I153" s="5" t="n"/>
      <c r="J153" s="28" t="n"/>
      <c r="K153" s="32" t="n"/>
      <c r="L153" s="8" t="n"/>
      <c r="M153" s="28" t="n"/>
      <c r="N153" s="28" t="n"/>
      <c r="O153" s="28" t="n"/>
      <c r="P153" s="28" t="n"/>
      <c r="Q153" s="28" t="n"/>
      <c r="R153" s="28" t="n"/>
      <c r="S153" s="28" t="n"/>
      <c r="T153" s="28" t="n"/>
      <c r="U153" s="9" t="n"/>
      <c r="V153" s="28" t="n"/>
      <c r="W153" s="28" t="n"/>
      <c r="X153" s="28" t="n"/>
      <c r="AE153" s="4" t="n"/>
      <c r="AF153" s="4" t="n"/>
      <c r="AG153" s="4" t="n"/>
      <c r="AH153" s="4" t="n"/>
      <c r="AI153" s="4" t="n"/>
      <c r="AJ153" s="4" t="n"/>
      <c r="AK153" s="4" t="n"/>
      <c r="AL153" s="4" t="n"/>
      <c r="AM153" s="4" t="n"/>
      <c r="AN153" s="4" t="n"/>
      <c r="AO153" s="4" t="n"/>
      <c r="AP153" s="4" t="n"/>
      <c r="AQ153" s="4" t="n"/>
      <c r="AR153" s="4" t="n"/>
      <c r="AS153" s="4" t="n"/>
      <c r="AT153" s="4" t="n"/>
      <c r="AU153" s="4" t="n"/>
      <c r="AV153" s="4" t="n"/>
      <c r="AW153" s="4" t="n"/>
      <c r="AX153" s="4" t="n"/>
      <c r="AY153" s="4" t="n"/>
      <c r="AZ153" s="4" t="n"/>
      <c r="BA153" s="4" t="n"/>
      <c r="BB153" s="4" t="n"/>
      <c r="BC153" s="4" t="n"/>
      <c r="BD153" s="4" t="n"/>
      <c r="BE153" s="4" t="n"/>
      <c r="BF153" s="4" t="n"/>
      <c r="BG153" s="4" t="n"/>
      <c r="BH153" s="4" t="n"/>
      <c r="BI153" s="4" t="n"/>
      <c r="BJ153" s="4" t="n"/>
      <c r="BK153" s="4" t="n"/>
      <c r="BL153" s="4" t="n"/>
      <c r="BM153" s="4" t="n"/>
      <c r="BN153" s="4" t="n"/>
    </row>
    <row r="154" customFormat="1" s="23">
      <c r="A154" s="4" t="inlineStr">
        <is>
          <t>ALL(WM)</t>
        </is>
      </c>
      <c r="B154" s="19" t="inlineStr">
        <is>
          <t>Pathologists</t>
        </is>
      </c>
      <c r="C154" s="20" t="n"/>
      <c r="D154" s="4" t="n"/>
      <c r="E154" s="21" t="n"/>
      <c r="F154" s="4" t="n"/>
      <c r="G154" s="4" t="n"/>
      <c r="H154" s="5" t="n"/>
      <c r="I154" s="5" t="n"/>
      <c r="J154" s="28" t="n"/>
      <c r="K154" s="32" t="n"/>
      <c r="L154" s="8" t="n"/>
      <c r="M154" s="28" t="n"/>
      <c r="N154" s="28" t="n"/>
      <c r="O154" s="28" t="n"/>
      <c r="P154" s="28" t="n"/>
      <c r="Q154" s="28" t="n"/>
      <c r="R154" s="28" t="n"/>
      <c r="S154" s="28" t="n"/>
      <c r="T154" s="28" t="n"/>
      <c r="U154" s="9" t="n"/>
      <c r="V154" s="28" t="n"/>
      <c r="W154" s="28" t="n"/>
      <c r="X154" s="28" t="n"/>
      <c r="AE154" s="4" t="n"/>
      <c r="AF154" s="4" t="n"/>
      <c r="AG154" s="4" t="n"/>
      <c r="AH154" s="4" t="n"/>
      <c r="AI154" s="4" t="n"/>
      <c r="AJ154" s="4" t="n"/>
      <c r="AK154" s="4" t="n"/>
      <c r="AL154" s="4" t="n"/>
      <c r="AM154" s="4" t="n"/>
      <c r="AN154" s="4" t="n"/>
      <c r="AO154" s="4" t="n"/>
      <c r="AP154" s="4" t="n"/>
      <c r="AQ154" s="4" t="n"/>
      <c r="AR154" s="4" t="n"/>
      <c r="AS154" s="4" t="n"/>
      <c r="AT154" s="4" t="n"/>
      <c r="AU154" s="4" t="n"/>
      <c r="AV154" s="4" t="n"/>
      <c r="AW154" s="4" t="n"/>
      <c r="AX154" s="4" t="n"/>
      <c r="AY154" s="4" t="n"/>
      <c r="AZ154" s="4" t="n"/>
      <c r="BA154" s="4" t="n"/>
      <c r="BB154" s="4" t="n"/>
      <c r="BC154" s="4" t="n"/>
      <c r="BD154" s="4" t="n"/>
      <c r="BE154" s="4" t="n"/>
      <c r="BF154" s="4" t="n"/>
      <c r="BG154" s="4" t="n"/>
      <c r="BH154" s="4" t="n"/>
      <c r="BI154" s="4" t="n"/>
      <c r="BJ154" s="4" t="n"/>
      <c r="BK154" s="4" t="n"/>
      <c r="BL154" s="4" t="n"/>
      <c r="BM154" s="4" t="n"/>
      <c r="BN154" s="4" t="n"/>
    </row>
    <row r="155" customFormat="1" s="23">
      <c r="A155" s="4" t="n"/>
      <c r="B155" s="19" t="n"/>
      <c r="C155" s="20" t="n"/>
      <c r="D155" s="4" t="n"/>
      <c r="E155" s="21" t="n"/>
      <c r="F155" s="4" t="n"/>
      <c r="G155" s="4" t="n"/>
      <c r="H155" s="5" t="n"/>
      <c r="I155" s="5" t="n"/>
      <c r="J155" s="28" t="n"/>
      <c r="K155" s="32" t="n"/>
      <c r="L155" s="8" t="n"/>
      <c r="M155" s="28" t="n"/>
      <c r="N155" s="28" t="n"/>
      <c r="O155" s="28" t="n"/>
      <c r="P155" s="28" t="n"/>
      <c r="Q155" s="28" t="n"/>
      <c r="R155" s="28" t="n"/>
      <c r="S155" s="28" t="n"/>
      <c r="T155" s="28" t="n"/>
      <c r="U155" s="9" t="n"/>
      <c r="V155" s="28" t="n"/>
      <c r="W155" s="28" t="n"/>
      <c r="X155" s="28" t="n"/>
      <c r="AE155" s="4" t="n"/>
      <c r="AF155" s="4" t="n"/>
      <c r="AG155" s="4" t="n"/>
      <c r="AH155" s="4" t="n"/>
      <c r="AI155" s="4" t="n"/>
      <c r="AJ155" s="4" t="n"/>
      <c r="AK155" s="4" t="n"/>
      <c r="AL155" s="4" t="n"/>
      <c r="AM155" s="4" t="n"/>
      <c r="AN155" s="4" t="n"/>
      <c r="AO155" s="4" t="n"/>
      <c r="AP155" s="4" t="n"/>
      <c r="AQ155" s="4" t="n"/>
      <c r="AR155" s="4" t="n"/>
      <c r="AS155" s="4" t="n"/>
      <c r="AT155" s="4" t="n"/>
      <c r="AU155" s="4" t="n"/>
      <c r="AV155" s="4" t="n"/>
      <c r="AW155" s="4" t="n"/>
      <c r="AX155" s="4" t="n"/>
      <c r="AY155" s="4" t="n"/>
      <c r="AZ155" s="4" t="n"/>
      <c r="BA155" s="4" t="n"/>
      <c r="BB155" s="4" t="n"/>
      <c r="BC155" s="4" t="n"/>
      <c r="BD155" s="4" t="n"/>
      <c r="BE155" s="4" t="n"/>
      <c r="BF155" s="4" t="n"/>
      <c r="BG155" s="4" t="n"/>
      <c r="BH155" s="4" t="n"/>
      <c r="BI155" s="4" t="n"/>
      <c r="BJ155" s="4" t="n"/>
      <c r="BK155" s="4" t="n"/>
      <c r="BL155" s="4" t="n"/>
      <c r="BM155" s="4" t="n"/>
      <c r="BN155" s="4" t="n"/>
    </row>
    <row r="156" customFormat="1" s="23">
      <c r="A156" s="4" t="inlineStr">
        <is>
          <t>ALL(WM)</t>
        </is>
      </c>
      <c r="B156" s="19" t="inlineStr">
        <is>
          <t>Lab technician</t>
        </is>
      </c>
      <c r="C156" s="20" t="n"/>
      <c r="D156" s="4" t="n"/>
      <c r="E156" s="21" t="n"/>
      <c r="F156" s="4" t="n"/>
      <c r="G156" s="4" t="n"/>
      <c r="H156" s="5" t="n"/>
      <c r="I156" s="5" t="n"/>
      <c r="J156" s="28" t="n"/>
      <c r="K156" s="32" t="n"/>
      <c r="L156" s="8" t="n"/>
      <c r="M156" s="28" t="n"/>
      <c r="N156" s="28" t="n"/>
      <c r="O156" s="28" t="n"/>
      <c r="P156" s="28" t="n"/>
      <c r="Q156" s="28" t="n"/>
      <c r="R156" s="28" t="n"/>
      <c r="S156" s="28" t="n"/>
      <c r="T156" s="28" t="n"/>
      <c r="U156" s="9" t="n"/>
      <c r="V156" s="28" t="n"/>
      <c r="W156" s="28" t="n"/>
      <c r="X156" s="28" t="n"/>
      <c r="AE156" s="4" t="n"/>
      <c r="AF156" s="4" t="n"/>
      <c r="AG156" s="4" t="n"/>
      <c r="AH156" s="4" t="n"/>
      <c r="AI156" s="4" t="n"/>
      <c r="AJ156" s="4" t="n"/>
      <c r="AK156" s="4" t="n"/>
      <c r="AL156" s="4" t="n"/>
      <c r="AM156" s="4" t="n"/>
      <c r="AN156" s="4" t="n"/>
      <c r="AO156" s="4" t="n"/>
      <c r="AP156" s="4" t="n"/>
      <c r="AQ156" s="4" t="n"/>
      <c r="AR156" s="4" t="n"/>
      <c r="AS156" s="4" t="n"/>
      <c r="AT156" s="4" t="n"/>
      <c r="AU156" s="4" t="n"/>
      <c r="AV156" s="4" t="n"/>
      <c r="AW156" s="4" t="n"/>
      <c r="AX156" s="4" t="n"/>
      <c r="AY156" s="4" t="n"/>
      <c r="AZ156" s="4" t="n"/>
      <c r="BA156" s="4" t="n"/>
      <c r="BB156" s="4" t="n"/>
      <c r="BC156" s="4" t="n"/>
      <c r="BD156" s="4" t="n"/>
      <c r="BE156" s="4" t="n"/>
      <c r="BF156" s="4" t="n"/>
      <c r="BG156" s="4" t="n"/>
      <c r="BH156" s="4" t="n"/>
      <c r="BI156" s="4" t="n"/>
      <c r="BJ156" s="4" t="n"/>
      <c r="BK156" s="4" t="n"/>
      <c r="BL156" s="4" t="n"/>
      <c r="BM156" s="4" t="n"/>
      <c r="BN156" s="4" t="n"/>
    </row>
    <row r="157" customFormat="1" s="23">
      <c r="A157" s="4" t="inlineStr">
        <is>
          <t>ALL(WM)</t>
        </is>
      </c>
      <c r="B157" s="19" t="inlineStr">
        <is>
          <t>Medical scientist</t>
        </is>
      </c>
      <c r="C157" s="20" t="n"/>
      <c r="D157" s="4" t="n"/>
      <c r="E157" s="21" t="n"/>
      <c r="F157" s="4" t="n"/>
      <c r="G157" s="4" t="n"/>
      <c r="H157" s="5" t="n"/>
      <c r="I157" s="5" t="n"/>
      <c r="J157" s="28" t="n"/>
      <c r="K157" s="32" t="n"/>
      <c r="L157" s="8" t="n"/>
      <c r="M157" s="28" t="n"/>
      <c r="N157" s="28" t="n"/>
      <c r="O157" s="28" t="n"/>
      <c r="P157" s="28" t="n"/>
      <c r="Q157" s="28" t="n"/>
      <c r="R157" s="28" t="n"/>
      <c r="S157" s="28" t="n"/>
      <c r="T157" s="28" t="n"/>
      <c r="U157" s="9" t="n"/>
      <c r="V157" s="28" t="n"/>
      <c r="W157" s="28" t="n"/>
      <c r="X157" s="28" t="n"/>
      <c r="AE157" s="4" t="n"/>
      <c r="AF157" s="4" t="n"/>
      <c r="AG157" s="4" t="n"/>
      <c r="AH157" s="4" t="n"/>
      <c r="AI157" s="4" t="n"/>
      <c r="AJ157" s="4" t="n"/>
      <c r="AK157" s="4" t="n"/>
      <c r="AL157" s="4" t="n"/>
      <c r="AM157" s="4" t="n"/>
      <c r="AN157" s="4" t="n"/>
      <c r="AO157" s="4" t="n"/>
      <c r="AP157" s="4" t="n"/>
      <c r="AQ157" s="4" t="n"/>
      <c r="AR157" s="4" t="n"/>
      <c r="AS157" s="4" t="n"/>
      <c r="AT157" s="4" t="n"/>
      <c r="AU157" s="4" t="n"/>
      <c r="AV157" s="4" t="n"/>
      <c r="AW157" s="4" t="n"/>
      <c r="AX157" s="4" t="n"/>
      <c r="AY157" s="4" t="n"/>
      <c r="AZ157" s="4" t="n"/>
      <c r="BA157" s="4" t="n"/>
      <c r="BB157" s="4" t="n"/>
      <c r="BC157" s="4" t="n"/>
      <c r="BD157" s="4" t="n"/>
      <c r="BE157" s="4" t="n"/>
      <c r="BF157" s="4" t="n"/>
      <c r="BG157" s="4" t="n"/>
      <c r="BH157" s="4" t="n"/>
      <c r="BI157" s="4" t="n"/>
      <c r="BJ157" s="4" t="n"/>
      <c r="BK157" s="4" t="n"/>
      <c r="BL157" s="4" t="n"/>
      <c r="BM157" s="4" t="n"/>
      <c r="BN157" s="4" t="n"/>
    </row>
    <row r="158" customFormat="1" s="23">
      <c r="A158" s="4" t="inlineStr">
        <is>
          <t>ALL(WM)</t>
        </is>
      </c>
      <c r="B158" s="19" t="inlineStr">
        <is>
          <t>Admin staff</t>
        </is>
      </c>
      <c r="C158" s="20" t="n"/>
      <c r="D158" s="4" t="n"/>
      <c r="E158" s="21" t="n"/>
      <c r="F158" s="4" t="n"/>
      <c r="G158" s="4" t="n"/>
      <c r="H158" s="5" t="n"/>
      <c r="I158" s="5" t="n"/>
      <c r="J158" s="28" t="n"/>
      <c r="K158" s="32" t="n"/>
      <c r="L158" s="8" t="n"/>
      <c r="M158" s="28" t="n"/>
      <c r="N158" s="28" t="n"/>
      <c r="O158" s="28" t="n"/>
      <c r="P158" s="28" t="n"/>
      <c r="Q158" s="28" t="n"/>
      <c r="R158" s="28" t="n"/>
      <c r="S158" s="28" t="n"/>
      <c r="T158" s="28" t="n"/>
      <c r="U158" s="9" t="n"/>
      <c r="V158" s="28" t="n"/>
      <c r="W158" s="28" t="n"/>
      <c r="X158" s="28" t="n"/>
      <c r="AE158" s="4" t="n"/>
      <c r="AF158" s="4" t="n"/>
      <c r="AG158" s="4" t="n"/>
      <c r="AH158" s="4" t="n"/>
      <c r="AI158" s="4" t="n"/>
      <c r="AJ158" s="4" t="n"/>
      <c r="AK158" s="4" t="n"/>
      <c r="AL158" s="4" t="n"/>
      <c r="AM158" s="4" t="n"/>
      <c r="AN158" s="4" t="n"/>
      <c r="AO158" s="4" t="n"/>
      <c r="AP158" s="4" t="n"/>
      <c r="AQ158" s="4" t="n"/>
      <c r="AR158" s="4" t="n"/>
      <c r="AS158" s="4" t="n"/>
      <c r="AT158" s="4" t="n"/>
      <c r="AU158" s="4" t="n"/>
      <c r="AV158" s="4" t="n"/>
      <c r="AW158" s="4" t="n"/>
      <c r="AX158" s="4" t="n"/>
      <c r="AY158" s="4" t="n"/>
      <c r="AZ158" s="4" t="n"/>
      <c r="BA158" s="4" t="n"/>
      <c r="BB158" s="4" t="n"/>
      <c r="BC158" s="4" t="n"/>
      <c r="BD158" s="4" t="n"/>
      <c r="BE158" s="4" t="n"/>
      <c r="BF158" s="4" t="n"/>
      <c r="BG158" s="4" t="n"/>
      <c r="BH158" s="4" t="n"/>
      <c r="BI158" s="4" t="n"/>
      <c r="BJ158" s="4" t="n"/>
      <c r="BK158" s="4" t="n"/>
      <c r="BL158" s="4" t="n"/>
      <c r="BM158" s="4" t="n"/>
      <c r="BN158" s="4" t="n"/>
    </row>
    <row r="159" customFormat="1" s="23">
      <c r="A159" s="4" t="inlineStr">
        <is>
          <t>ALL(WM)</t>
        </is>
      </c>
      <c r="B159" s="19" t="inlineStr">
        <is>
          <t>Bioinformatics staff</t>
        </is>
      </c>
      <c r="C159" s="20" t="n"/>
      <c r="D159" s="4" t="n"/>
      <c r="E159" s="21" t="n"/>
      <c r="F159" s="4" t="n"/>
      <c r="G159" s="4" t="n"/>
      <c r="H159" s="5" t="n"/>
      <c r="I159" s="5" t="n"/>
      <c r="J159" s="28" t="n"/>
      <c r="K159" s="32" t="n"/>
      <c r="L159" s="8" t="n"/>
      <c r="M159" s="28" t="n"/>
      <c r="N159" s="28" t="n"/>
      <c r="O159" s="28" t="n"/>
      <c r="P159" s="28" t="n"/>
      <c r="Q159" s="28" t="n"/>
      <c r="R159" s="28" t="n"/>
      <c r="S159" s="28" t="n"/>
      <c r="T159" s="28" t="n"/>
      <c r="U159" s="9" t="n"/>
      <c r="V159" s="28" t="n"/>
      <c r="W159" s="28" t="n"/>
      <c r="X159" s="28" t="n"/>
      <c r="AE159" s="4" t="n"/>
      <c r="AF159" s="4" t="n"/>
      <c r="AG159" s="4" t="n"/>
      <c r="AH159" s="4" t="n"/>
      <c r="AI159" s="4" t="n"/>
      <c r="AJ159" s="4" t="n"/>
      <c r="AK159" s="4" t="n"/>
      <c r="AL159" s="4" t="n"/>
      <c r="AM159" s="4" t="n"/>
      <c r="AN159" s="4" t="n"/>
      <c r="AO159" s="4" t="n"/>
      <c r="AP159" s="4" t="n"/>
      <c r="AQ159" s="4" t="n"/>
      <c r="AR159" s="4" t="n"/>
      <c r="AS159" s="4" t="n"/>
      <c r="AT159" s="4" t="n"/>
      <c r="AU159" s="4" t="n"/>
      <c r="AV159" s="4" t="n"/>
      <c r="AW159" s="4" t="n"/>
      <c r="AX159" s="4" t="n"/>
      <c r="AY159" s="4" t="n"/>
      <c r="AZ159" s="4" t="n"/>
      <c r="BA159" s="4" t="n"/>
      <c r="BB159" s="4" t="n"/>
      <c r="BC159" s="4" t="n"/>
      <c r="BD159" s="4" t="n"/>
      <c r="BE159" s="4" t="n"/>
      <c r="BF159" s="4" t="n"/>
      <c r="BG159" s="4" t="n"/>
      <c r="BH159" s="4" t="n"/>
      <c r="BI159" s="4" t="n"/>
      <c r="BJ159" s="4" t="n"/>
      <c r="BK159" s="4" t="n"/>
      <c r="BL159" s="4" t="n"/>
      <c r="BM159" s="4" t="n"/>
      <c r="BN159" s="4" t="n"/>
    </row>
    <row r="160" customFormat="1" s="23">
      <c r="A160" s="4" t="inlineStr">
        <is>
          <t>ALL(WM)</t>
        </is>
      </c>
      <c r="B160" s="19" t="inlineStr">
        <is>
          <t>Pathologists</t>
        </is>
      </c>
      <c r="C160" s="20" t="n"/>
      <c r="D160" s="4" t="n"/>
      <c r="E160" s="21" t="n"/>
      <c r="F160" s="4" t="n"/>
      <c r="G160" s="4" t="n"/>
      <c r="H160" s="5" t="n"/>
      <c r="I160" s="5" t="n"/>
      <c r="J160" s="28" t="n"/>
      <c r="K160" s="32" t="n"/>
      <c r="L160" s="8" t="n"/>
      <c r="M160" s="28" t="n"/>
      <c r="N160" s="28" t="n"/>
      <c r="O160" s="28" t="n"/>
      <c r="P160" s="28" t="n"/>
      <c r="Q160" s="28" t="n"/>
      <c r="R160" s="28" t="n"/>
      <c r="S160" s="28" t="n"/>
      <c r="T160" s="28" t="n"/>
      <c r="U160" s="9" t="n"/>
      <c r="V160" s="28" t="n"/>
      <c r="W160" s="28" t="n"/>
      <c r="X160" s="28" t="n"/>
      <c r="AE160" s="4" t="n"/>
      <c r="AF160" s="4" t="n"/>
      <c r="AG160" s="4" t="n"/>
      <c r="AH160" s="4" t="n"/>
      <c r="AI160" s="4" t="n"/>
      <c r="AJ160" s="4" t="n"/>
      <c r="AK160" s="4" t="n"/>
      <c r="AL160" s="4" t="n"/>
      <c r="AM160" s="4" t="n"/>
      <c r="AN160" s="4" t="n"/>
      <c r="AO160" s="4" t="n"/>
      <c r="AP160" s="4" t="n"/>
      <c r="AQ160" s="4" t="n"/>
      <c r="AR160" s="4" t="n"/>
      <c r="AS160" s="4" t="n"/>
      <c r="AT160" s="4" t="n"/>
      <c r="AU160" s="4" t="n"/>
      <c r="AV160" s="4" t="n"/>
      <c r="AW160" s="4" t="n"/>
      <c r="AX160" s="4" t="n"/>
      <c r="AY160" s="4" t="n"/>
      <c r="AZ160" s="4" t="n"/>
      <c r="BA160" s="4" t="n"/>
      <c r="BB160" s="4" t="n"/>
      <c r="BC160" s="4" t="n"/>
      <c r="BD160" s="4" t="n"/>
      <c r="BE160" s="4" t="n"/>
      <c r="BF160" s="4" t="n"/>
      <c r="BG160" s="4" t="n"/>
      <c r="BH160" s="4" t="n"/>
      <c r="BI160" s="4" t="n"/>
      <c r="BJ160" s="4" t="n"/>
      <c r="BK160" s="4" t="n"/>
      <c r="BL160" s="4" t="n"/>
      <c r="BM160" s="4" t="n"/>
      <c r="BN160" s="4" t="n"/>
    </row>
  </sheetData>
  <mergeCells count="20">
    <mergeCell ref="Y2:AA2"/>
    <mergeCell ref="V1:AD1"/>
    <mergeCell ref="AE2:AG2"/>
    <mergeCell ref="AN1:AV1"/>
    <mergeCell ref="AQ2:AS2"/>
    <mergeCell ref="AB2:AD2"/>
    <mergeCell ref="AN2:AP2"/>
    <mergeCell ref="AE1:AM1"/>
    <mergeCell ref="AW1:BE1"/>
    <mergeCell ref="AH2:AJ2"/>
    <mergeCell ref="AT2:AV2"/>
    <mergeCell ref="AZ2:BB2"/>
    <mergeCell ref="AK2:AM2"/>
    <mergeCell ref="BF2:BH2"/>
    <mergeCell ref="BL2:BN2"/>
    <mergeCell ref="BF1:BN1"/>
    <mergeCell ref="AW2:AY2"/>
    <mergeCell ref="V2:X2"/>
    <mergeCell ref="BC2:BE2"/>
    <mergeCell ref="BI2:BK2"/>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41"/>
  <sheetViews>
    <sheetView workbookViewId="0">
      <selection activeCell="A19" activeCellId="1" sqref="A5:XFD5 A19:XFD19"/>
    </sheetView>
  </sheetViews>
  <sheetFormatPr baseColWidth="10" defaultRowHeight="16"/>
  <cols>
    <col width="26.33203125" customWidth="1" min="1" max="1"/>
  </cols>
  <sheetData>
    <row r="1">
      <c r="A1" t="inlineStr">
        <is>
          <t>http://medicarestatistics.humanservices.gov.au/statistics/do.jsp?_PROGRAM=/statistics/std_standard_report&amp;start_dt=0&amp;ptype=quarter&amp;end_dt=202312&amp;VAR=Services&amp;RPT_FMT=table2.2</t>
        </is>
      </c>
    </row>
    <row r="2">
      <c r="A2" s="92" t="inlineStr">
        <is>
          <t>You are here: Statistics &gt; Monthly and Quarterly Standard Reports &gt; Report processed</t>
        </is>
      </c>
    </row>
    <row r="3" ht="24" customHeight="1">
      <c r="A3" s="93" t="inlineStr">
        <is>
          <t>Table 2.2: Medicare - Enrolment Data - as at December 31, 2023</t>
        </is>
      </c>
    </row>
    <row r="4" ht="17" customHeight="1">
      <c r="A4" s="94" t="n"/>
    </row>
    <row r="5">
      <c r="A5" s="95" t="inlineStr">
        <is>
          <t>Number of cards with</t>
        </is>
      </c>
      <c r="B5" s="95" t="inlineStr">
        <is>
          <t>NSW</t>
        </is>
      </c>
      <c r="C5" s="95" t="inlineStr">
        <is>
          <t>VIC</t>
        </is>
      </c>
      <c r="D5" s="95" t="inlineStr">
        <is>
          <t>QLD</t>
        </is>
      </c>
      <c r="E5" s="95" t="inlineStr">
        <is>
          <t>SA</t>
        </is>
      </c>
      <c r="F5" s="95" t="inlineStr">
        <is>
          <t>WA</t>
        </is>
      </c>
      <c r="G5" s="95" t="inlineStr">
        <is>
          <t>TAS</t>
        </is>
      </c>
      <c r="H5" s="95" t="inlineStr">
        <is>
          <t>ACT</t>
        </is>
      </c>
      <c r="I5" s="95" t="inlineStr">
        <is>
          <t>NT</t>
        </is>
      </c>
      <c r="J5" s="95" t="inlineStr">
        <is>
          <t>Australia</t>
        </is>
      </c>
    </row>
    <row r="6">
      <c r="A6" s="95" t="inlineStr">
        <is>
          <t>1 person</t>
        </is>
      </c>
      <c r="B6" s="96" t="n">
        <v>2900030</v>
      </c>
      <c r="C6" s="96" t="n">
        <v>2230522</v>
      </c>
      <c r="D6" s="96" t="n">
        <v>1858974</v>
      </c>
      <c r="E6" s="96" t="n">
        <v>638134</v>
      </c>
      <c r="F6" s="96" t="n">
        <v>919257</v>
      </c>
      <c r="G6" s="96" t="n">
        <v>197419</v>
      </c>
      <c r="H6" s="96" t="n">
        <v>157708</v>
      </c>
      <c r="I6" s="96" t="n">
        <v>102003</v>
      </c>
      <c r="J6" s="96" t="n">
        <v>9004047</v>
      </c>
    </row>
    <row r="7">
      <c r="A7" s="95" t="inlineStr">
        <is>
          <t>2 persons</t>
        </is>
      </c>
      <c r="B7" s="96" t="n">
        <v>892075</v>
      </c>
      <c r="C7" s="96" t="n">
        <v>729776</v>
      </c>
      <c r="D7" s="96" t="n">
        <v>604533</v>
      </c>
      <c r="E7" s="96" t="n">
        <v>215109</v>
      </c>
      <c r="F7" s="96" t="n">
        <v>310053</v>
      </c>
      <c r="G7" s="96" t="n">
        <v>73062</v>
      </c>
      <c r="H7" s="96" t="n">
        <v>44428</v>
      </c>
      <c r="I7" s="96" t="n">
        <v>22851</v>
      </c>
      <c r="J7" s="96" t="n">
        <v>2891887</v>
      </c>
    </row>
    <row r="8">
      <c r="A8" s="95" t="inlineStr">
        <is>
          <t>3 persons</t>
        </is>
      </c>
      <c r="B8" s="96" t="n">
        <v>511001</v>
      </c>
      <c r="C8" s="96" t="n">
        <v>410300</v>
      </c>
      <c r="D8" s="96" t="n">
        <v>355835</v>
      </c>
      <c r="E8" s="96" t="n">
        <v>109927</v>
      </c>
      <c r="F8" s="96" t="n">
        <v>180262</v>
      </c>
      <c r="G8" s="96" t="n">
        <v>33717</v>
      </c>
      <c r="H8" s="96" t="n">
        <v>29835</v>
      </c>
      <c r="I8" s="96" t="n">
        <v>14112</v>
      </c>
      <c r="J8" s="96" t="n">
        <v>1644989</v>
      </c>
    </row>
    <row r="9">
      <c r="A9" s="95" t="inlineStr">
        <is>
          <t>4 persons</t>
        </is>
      </c>
      <c r="B9" s="96" t="n">
        <v>412437</v>
      </c>
      <c r="C9" s="96" t="n">
        <v>342244</v>
      </c>
      <c r="D9" s="96" t="n">
        <v>280954</v>
      </c>
      <c r="E9" s="96" t="n">
        <v>84561</v>
      </c>
      <c r="F9" s="96" t="n">
        <v>147580</v>
      </c>
      <c r="G9" s="96" t="n">
        <v>23876</v>
      </c>
      <c r="H9" s="96" t="n">
        <v>26155</v>
      </c>
      <c r="I9" s="96" t="n">
        <v>10191</v>
      </c>
      <c r="J9" s="96" t="n">
        <v>1327998</v>
      </c>
    </row>
    <row r="10">
      <c r="A10" s="95" t="inlineStr">
        <is>
          <t>5 persons</t>
        </is>
      </c>
      <c r="B10" s="96" t="n">
        <v>154141</v>
      </c>
      <c r="C10" s="96" t="n">
        <v>118655</v>
      </c>
      <c r="D10" s="96" t="n">
        <v>105316</v>
      </c>
      <c r="E10" s="96" t="n">
        <v>28963</v>
      </c>
      <c r="F10" s="96" t="n">
        <v>53792</v>
      </c>
      <c r="G10" s="96" t="n">
        <v>8613</v>
      </c>
      <c r="H10" s="96" t="n">
        <v>8302</v>
      </c>
      <c r="I10" s="96" t="n">
        <v>4164</v>
      </c>
      <c r="J10" s="96" t="n">
        <v>481946</v>
      </c>
    </row>
    <row r="11">
      <c r="A11" s="95" t="inlineStr">
        <is>
          <t>6 persons</t>
        </is>
      </c>
      <c r="B11" s="96" t="n">
        <v>39370</v>
      </c>
      <c r="C11" s="96" t="n">
        <v>27642</v>
      </c>
      <c r="D11" s="96" t="n">
        <v>28801</v>
      </c>
      <c r="E11" s="96" t="n">
        <v>6919</v>
      </c>
      <c r="F11" s="96" t="n">
        <v>13279</v>
      </c>
      <c r="G11" s="96" t="n">
        <v>2270</v>
      </c>
      <c r="H11" s="96" t="n">
        <v>1679</v>
      </c>
      <c r="I11" s="96" t="n">
        <v>1235</v>
      </c>
      <c r="J11" s="96" t="n">
        <v>121195</v>
      </c>
    </row>
    <row r="12">
      <c r="A12" s="95" t="inlineStr">
        <is>
          <t>7 persons</t>
        </is>
      </c>
      <c r="B12" s="96" t="n">
        <v>9845</v>
      </c>
      <c r="C12" s="96" t="n">
        <v>7028</v>
      </c>
      <c r="D12" s="96" t="n">
        <v>8204</v>
      </c>
      <c r="E12" s="96" t="n">
        <v>1805</v>
      </c>
      <c r="F12" s="96" t="n">
        <v>3479</v>
      </c>
      <c r="G12" s="97" t="n">
        <v>628</v>
      </c>
      <c r="H12" s="97" t="n">
        <v>400</v>
      </c>
      <c r="I12" s="97" t="n">
        <v>349</v>
      </c>
      <c r="J12" s="96" t="n">
        <v>31738</v>
      </c>
    </row>
    <row r="13">
      <c r="A13" s="95" t="inlineStr">
        <is>
          <t>8 persons</t>
        </is>
      </c>
      <c r="B13" s="96" t="n">
        <v>3068</v>
      </c>
      <c r="C13" s="96" t="n">
        <v>2443</v>
      </c>
      <c r="D13" s="96" t="n">
        <v>2763</v>
      </c>
      <c r="E13" s="97" t="n">
        <v>585</v>
      </c>
      <c r="F13" s="96" t="n">
        <v>1087</v>
      </c>
      <c r="G13" s="97" t="n">
        <v>159</v>
      </c>
      <c r="H13" s="97" t="n">
        <v>108</v>
      </c>
      <c r="I13" s="97" t="n">
        <v>104</v>
      </c>
      <c r="J13" s="96" t="n">
        <v>10317</v>
      </c>
    </row>
    <row r="14">
      <c r="A14" s="95" t="inlineStr">
        <is>
          <t>9 persons</t>
        </is>
      </c>
      <c r="B14" s="97" t="n">
        <v>998</v>
      </c>
      <c r="C14" s="97" t="n">
        <v>900</v>
      </c>
      <c r="D14" s="97" t="n">
        <v>982</v>
      </c>
      <c r="E14" s="97" t="n">
        <v>256</v>
      </c>
      <c r="F14" s="97" t="n">
        <v>318</v>
      </c>
      <c r="G14" s="97" t="n">
        <v>59</v>
      </c>
      <c r="H14" s="97" t="n">
        <v>41</v>
      </c>
      <c r="I14" s="97" t="n">
        <v>28</v>
      </c>
      <c r="J14" s="96" t="n">
        <v>3582</v>
      </c>
    </row>
    <row r="15">
      <c r="A15" s="95" t="inlineStr">
        <is>
          <t>10 persons</t>
        </is>
      </c>
      <c r="B15" s="97" t="n">
        <v>0</v>
      </c>
      <c r="C15" s="97" t="n">
        <v>0</v>
      </c>
      <c r="D15" s="97" t="n">
        <v>0</v>
      </c>
      <c r="E15" s="97" t="n">
        <v>0</v>
      </c>
      <c r="F15" s="97" t="n">
        <v>0</v>
      </c>
      <c r="G15" s="97" t="n">
        <v>0</v>
      </c>
      <c r="H15" s="97" t="n">
        <v>0</v>
      </c>
      <c r="I15" s="97" t="n">
        <v>0</v>
      </c>
      <c r="J15" s="97" t="n">
        <v>0</v>
      </c>
    </row>
    <row r="16">
      <c r="A16" s="95" t="inlineStr">
        <is>
          <t>11 persons</t>
        </is>
      </c>
      <c r="B16" s="97" t="n">
        <v>0</v>
      </c>
      <c r="C16" s="97" t="n">
        <v>0</v>
      </c>
      <c r="D16" s="97" t="n">
        <v>0</v>
      </c>
      <c r="E16" s="97" t="n">
        <v>0</v>
      </c>
      <c r="F16" s="97" t="n">
        <v>0</v>
      </c>
      <c r="G16" s="97" t="n">
        <v>0</v>
      </c>
      <c r="H16" s="97" t="n">
        <v>0</v>
      </c>
      <c r="I16" s="97" t="n">
        <v>0</v>
      </c>
      <c r="J16" s="97" t="n">
        <v>0</v>
      </c>
    </row>
    <row r="17">
      <c r="A17" s="95" t="inlineStr">
        <is>
          <t>12 persons</t>
        </is>
      </c>
      <c r="B17" s="97" t="n">
        <v>0</v>
      </c>
      <c r="C17" s="97" t="n">
        <v>0</v>
      </c>
      <c r="D17" s="97" t="n">
        <v>0</v>
      </c>
      <c r="E17" s="97" t="n">
        <v>0</v>
      </c>
      <c r="F17" s="97" t="n">
        <v>0</v>
      </c>
      <c r="G17" s="97" t="n">
        <v>0</v>
      </c>
      <c r="H17" s="97" t="n">
        <v>0</v>
      </c>
      <c r="I17" s="97" t="n">
        <v>0</v>
      </c>
      <c r="J17" s="97" t="n">
        <v>0</v>
      </c>
    </row>
    <row r="18">
      <c r="A18" s="95" t="inlineStr">
        <is>
          <t>Total number of cards</t>
        </is>
      </c>
      <c r="B18" s="96" t="n">
        <v>4922965</v>
      </c>
      <c r="C18" s="96" t="n">
        <v>3869510</v>
      </c>
      <c r="D18" s="96" t="n">
        <v>3246362</v>
      </c>
      <c r="E18" s="96" t="n">
        <v>1086259</v>
      </c>
      <c r="F18" s="96" t="n">
        <v>1629107</v>
      </c>
      <c r="G18" s="96" t="n">
        <v>339803</v>
      </c>
      <c r="H18" s="96" t="n">
        <v>268656</v>
      </c>
      <c r="I18" s="96" t="n">
        <v>155037</v>
      </c>
      <c r="J18" s="96" t="n">
        <v>15517699</v>
      </c>
    </row>
    <row r="19">
      <c r="A19" s="95" t="inlineStr">
        <is>
          <t>Total eligible persons</t>
        </is>
      </c>
      <c r="B19" s="96" t="n">
        <v>8429163</v>
      </c>
      <c r="C19" s="96" t="n">
        <v>6796743</v>
      </c>
      <c r="D19" s="96" t="n">
        <v>5585238</v>
      </c>
      <c r="E19" s="96" t="n">
        <v>1847762</v>
      </c>
      <c r="F19" s="96" t="n">
        <v>2883796</v>
      </c>
      <c r="G19" s="96" t="n">
        <v>572259</v>
      </c>
      <c r="H19" s="96" t="n">
        <v>460136</v>
      </c>
      <c r="I19" s="96" t="n">
        <v>245861</v>
      </c>
      <c r="J19" s="96" t="n">
        <v>26820958</v>
      </c>
    </row>
    <row r="20">
      <c r="A20" s="95" t="inlineStr">
        <is>
          <t>Total persons on cards</t>
        </is>
      </c>
      <c r="B20" s="96" t="n">
        <v>8976297</v>
      </c>
      <c r="C20" s="96" t="n">
        <v>7125917</v>
      </c>
      <c r="D20" s="96" t="n">
        <v>6047117</v>
      </c>
      <c r="E20" s="96" t="n">
        <v>1942325</v>
      </c>
      <c r="F20" s="96" t="n">
        <v>3055014</v>
      </c>
      <c r="G20" s="96" t="n">
        <v>603082</v>
      </c>
      <c r="H20" s="96" t="n">
        <v>496306</v>
      </c>
      <c r="I20" s="96" t="n">
        <v>262562</v>
      </c>
      <c r="J20" s="96" t="n">
        <v>28508620</v>
      </c>
    </row>
    <row r="21">
      <c r="A21" s="95" t="inlineStr">
        <is>
          <t>Persons on two or more cards</t>
        </is>
      </c>
      <c r="B21" s="96" t="n">
        <v>532417</v>
      </c>
      <c r="C21" s="96" t="n">
        <v>336031</v>
      </c>
      <c r="D21" s="96" t="n">
        <v>454470</v>
      </c>
      <c r="E21" s="96" t="n">
        <v>93249</v>
      </c>
      <c r="F21" s="96" t="n">
        <v>168972</v>
      </c>
      <c r="G21" s="96" t="n">
        <v>29456</v>
      </c>
      <c r="H21" s="96" t="n">
        <v>39755</v>
      </c>
      <c r="I21" s="96" t="n">
        <v>16682</v>
      </c>
      <c r="J21" s="96" t="n">
        <v>1671032</v>
      </c>
    </row>
    <row r="22">
      <c r="A22" s="95" t="inlineStr">
        <is>
          <t>Average persons per card</t>
        </is>
      </c>
      <c r="B22" s="97" t="n">
        <v>1.82</v>
      </c>
      <c r="C22" s="97" t="n">
        <v>1.84</v>
      </c>
      <c r="D22" s="97" t="n">
        <v>1.86</v>
      </c>
      <c r="E22" s="97" t="n">
        <v>1.79</v>
      </c>
      <c r="F22" s="97" t="n">
        <v>1.88</v>
      </c>
      <c r="G22" s="97" t="n">
        <v>1.77</v>
      </c>
      <c r="H22" s="97" t="n">
        <v>1.85</v>
      </c>
      <c r="I22" s="97" t="n">
        <v>1.69</v>
      </c>
      <c r="J22" s="97" t="n">
        <v>1.84</v>
      </c>
    </row>
    <row r="23" ht="20" customHeight="1">
      <c r="A23" s="98" t="inlineStr">
        <is>
          <t>Important Information</t>
        </is>
      </c>
    </row>
    <row r="24" ht="17" customHeight="1">
      <c r="A24" s="99" t="inlineStr">
        <is>
          <t>Medicare enrolments data from February 2005 onwards are derived from a new computer system. The business rules for this new system differ slightly from those applying to the previous system, resulting in a shift in the level of enrolments between January and February 2005. The main change has been the exclusion of people whose Medicare card has expired.</t>
        </is>
      </c>
    </row>
    <row r="25" ht="17" customHeight="1">
      <c r="A25" s="99" t="inlineStr">
        <is>
          <t>This has resulted in a fall of 4.6% in the recorded total number of cards and 3.1% in the recorded number of eligible persons.</t>
        </is>
      </c>
    </row>
    <row r="26" ht="17" customHeight="1">
      <c r="A26" s="99" t="inlineStr">
        <is>
          <t>Users of the per capita Medicare claims data before February 2005 should keep in mind that the per capita usage of Medicare items is based on the old business rules.</t>
        </is>
      </c>
    </row>
    <row r="27" ht="17" customHeight="1">
      <c r="A27" s="99" t="inlineStr">
        <is>
          <t>Much of the overall fall of 3.1% in the recorded number of eligible persons is in the older age groups eg down 34% for those aged 85+ years.</t>
        </is>
      </c>
    </row>
    <row r="28" ht="17" customHeight="1">
      <c r="A28" s="99" t="inlineStr">
        <is>
          <t>The method of calculation of total eligible persons has changed for all months from February 2005. Previously total eligible persons was calculated by subtracting the number of persons on two or more cards from the total number of persons on cards. This gave a very close estimate of total eligible persons at the national level but distorted the distribution between states due to the way that persons on two cards in different states are counted. Total eligible persons is now estimated directly, producing shifts between States and Territories as follows (for September 2005):</t>
        </is>
      </c>
    </row>
    <row r="29" ht="17" customHeight="1">
      <c r="A29" s="100" t="inlineStr">
        <is>
          <t>State/Territory</t>
        </is>
      </c>
      <c r="B29" s="100" t="inlineStr">
        <is>
          <t>Change</t>
        </is>
      </c>
    </row>
    <row r="30" ht="17" customHeight="1">
      <c r="A30" s="94" t="inlineStr">
        <is>
          <t>New South Wales</t>
        </is>
      </c>
      <c r="B30" s="94" t="n">
        <v>-4981</v>
      </c>
    </row>
    <row r="31" ht="17" customHeight="1">
      <c r="A31" s="94" t="inlineStr">
        <is>
          <t>Victoria</t>
        </is>
      </c>
      <c r="B31" s="94" t="n">
        <v>797</v>
      </c>
    </row>
    <row r="32" ht="17" customHeight="1">
      <c r="A32" s="94" t="inlineStr">
        <is>
          <t>Queensland</t>
        </is>
      </c>
      <c r="B32" s="94" t="n">
        <v>2091</v>
      </c>
    </row>
    <row r="33" ht="17" customHeight="1">
      <c r="A33" s="94" t="inlineStr">
        <is>
          <t>South Australia</t>
        </is>
      </c>
      <c r="B33" s="94" t="n">
        <v>596</v>
      </c>
    </row>
    <row r="34" ht="17" customHeight="1">
      <c r="A34" s="94" t="inlineStr">
        <is>
          <t>Western Australia</t>
        </is>
      </c>
      <c r="B34" s="94" t="n">
        <v>133</v>
      </c>
    </row>
    <row r="35" ht="17" customHeight="1">
      <c r="A35" s="94" t="inlineStr">
        <is>
          <t>Tasmania</t>
        </is>
      </c>
      <c r="B35" s="94" t="n">
        <v>286</v>
      </c>
    </row>
    <row r="36" ht="17" customHeight="1">
      <c r="A36" s="94" t="inlineStr">
        <is>
          <t>Australian Capital Territory</t>
        </is>
      </c>
      <c r="B36" s="94" t="n">
        <v>1375</v>
      </c>
    </row>
    <row r="37" ht="17" customHeight="1">
      <c r="A37" s="94" t="inlineStr">
        <is>
          <t>Northern Territory</t>
        </is>
      </c>
      <c r="B37" s="94" t="n">
        <v>-301</v>
      </c>
    </row>
    <row r="38" ht="17" customHeight="1">
      <c r="A38" s="99" t="inlineStr">
        <is>
          <t>This page is best printed in landscape mode.</t>
        </is>
      </c>
    </row>
    <row r="39">
      <c r="A39" s="101" t="inlineStr">
        <is>
          <t>Instructions on how to download the statistics into a spreadsheet are contained in Downloading Statistical Information.</t>
        </is>
      </c>
    </row>
    <row r="40" ht="20" customHeight="1">
      <c r="A40" s="98" t="inlineStr">
        <is>
          <t>Disclaimer</t>
        </is>
      </c>
    </row>
    <row r="41" ht="17" customHeight="1">
      <c r="A41" s="99" t="inlineStr">
        <is>
          <t>The information and data contained in the reports and tables have been provided by Services Australia for general information purposes only. While Services Australia takes care in the compilation and provision of the information and data, it does not assume or accept any liability for the accuracy, quality, suitability and currency of the information or data, or for any reliance on the information or data. Services Australia recommends that users exercise their own care, skill and diligence with respect to the use and interpretation of the information and data.</t>
        </is>
      </c>
    </row>
  </sheetData>
  <hyperlinks>
    <hyperlink xmlns:r="http://schemas.openxmlformats.org/officeDocument/2006/relationships" ref="A39" display="http://medicarestatistics.humanservices.gov.au/statistics/download.jsp" r:id="rId1"/>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
  <sheetViews>
    <sheetView workbookViewId="0">
      <selection activeCell="H7" sqref="H7"/>
    </sheetView>
  </sheetViews>
  <sheetFormatPr baseColWidth="10" defaultRowHeight="16"/>
  <cols>
    <col width="10.83203125" customWidth="1" style="103" min="4" max="4"/>
    <col width="14.83203125" bestFit="1" customWidth="1" min="7" max="7"/>
  </cols>
  <sheetData>
    <row r="1">
      <c r="A1" s="95" t="inlineStr">
        <is>
          <t>Number of cards with</t>
        </is>
      </c>
      <c r="B1" s="95" t="inlineStr">
        <is>
          <t>Total eligible persons</t>
        </is>
      </c>
      <c r="C1" t="inlineStr">
        <is>
          <t>Genomics States</t>
        </is>
      </c>
      <c r="D1" s="103" t="inlineStr">
        <is>
          <t>Fraction</t>
        </is>
      </c>
      <c r="F1" s="95" t="inlineStr">
        <is>
          <t>Number of cards with</t>
        </is>
      </c>
      <c r="G1" t="inlineStr">
        <is>
          <t>Genomics States</t>
        </is>
      </c>
      <c r="H1" t="inlineStr">
        <is>
          <t>Fraction</t>
        </is>
      </c>
    </row>
    <row r="2">
      <c r="A2" s="95" t="inlineStr">
        <is>
          <t>NSW</t>
        </is>
      </c>
      <c r="B2" s="96" t="n">
        <v>8429163</v>
      </c>
      <c r="C2" s="43">
        <f>B2</f>
        <v/>
      </c>
      <c r="D2" s="103">
        <f>C2/C$10</f>
        <v/>
      </c>
      <c r="F2" s="95" t="inlineStr">
        <is>
          <t>VIC</t>
        </is>
      </c>
      <c r="G2" s="96" t="n">
        <v>6796743</v>
      </c>
      <c r="H2">
        <f>G2/SUM(G$2:G$6)</f>
        <v/>
      </c>
    </row>
    <row r="3">
      <c r="A3" s="95" t="inlineStr">
        <is>
          <t>VIC</t>
        </is>
      </c>
      <c r="B3" s="96" t="n">
        <v>6796743</v>
      </c>
      <c r="C3" s="43">
        <f>B3</f>
        <v/>
      </c>
      <c r="D3" s="103">
        <f>C3/C$10</f>
        <v/>
      </c>
      <c r="F3" s="95" t="inlineStr">
        <is>
          <t>SA</t>
        </is>
      </c>
      <c r="G3" s="96" t="n">
        <v>1847762</v>
      </c>
      <c r="H3">
        <f>G3/SUM(G$2:G$6)</f>
        <v/>
      </c>
    </row>
    <row r="4">
      <c r="A4" s="95" t="inlineStr">
        <is>
          <t>QLD</t>
        </is>
      </c>
      <c r="B4" s="96" t="n">
        <v>5585238</v>
      </c>
      <c r="C4" s="43">
        <f>B4</f>
        <v/>
      </c>
      <c r="D4" s="103">
        <f>C4/C$10</f>
        <v/>
      </c>
      <c r="F4" s="95" t="inlineStr">
        <is>
          <t>NSW</t>
        </is>
      </c>
      <c r="G4" s="96" t="n">
        <v>8429163</v>
      </c>
      <c r="H4">
        <f>G4/SUM(G$2:G$6)</f>
        <v/>
      </c>
    </row>
    <row r="5">
      <c r="A5" s="95" t="inlineStr">
        <is>
          <t>SA</t>
        </is>
      </c>
      <c r="B5" s="96" t="n">
        <v>1847762</v>
      </c>
      <c r="C5" s="43">
        <f>B5</f>
        <v/>
      </c>
      <c r="D5" s="103">
        <f>C5/C$10</f>
        <v/>
      </c>
      <c r="F5" s="95" t="inlineStr">
        <is>
          <t>QLD</t>
        </is>
      </c>
      <c r="G5" s="96" t="n">
        <v>5585238</v>
      </c>
      <c r="H5">
        <f>G5/SUM(G$2:G$6)</f>
        <v/>
      </c>
    </row>
    <row r="6">
      <c r="A6" s="95" t="inlineStr">
        <is>
          <t>WA</t>
        </is>
      </c>
      <c r="B6" s="96" t="n">
        <v>2883796</v>
      </c>
      <c r="C6" s="43">
        <f>B6</f>
        <v/>
      </c>
      <c r="D6" s="103">
        <f>C6/C$10</f>
        <v/>
      </c>
      <c r="F6" s="95" t="inlineStr">
        <is>
          <t>WA</t>
        </is>
      </c>
      <c r="G6" s="96" t="n">
        <v>2883796</v>
      </c>
      <c r="H6">
        <f>G6/SUM(G$2:G$6)</f>
        <v/>
      </c>
    </row>
    <row r="7">
      <c r="A7" s="95" t="inlineStr">
        <is>
          <t>TAS</t>
        </is>
      </c>
      <c r="B7" s="96" t="n">
        <v>572259</v>
      </c>
      <c r="H7">
        <f>SUM(H2:H6)</f>
        <v/>
      </c>
    </row>
    <row r="8">
      <c r="A8" s="95" t="inlineStr">
        <is>
          <t>ACT</t>
        </is>
      </c>
      <c r="B8" s="96" t="n">
        <v>460136</v>
      </c>
    </row>
    <row r="9">
      <c r="A9" s="95" t="inlineStr">
        <is>
          <t>NT</t>
        </is>
      </c>
      <c r="B9" s="96" t="n">
        <v>245861</v>
      </c>
    </row>
    <row r="10">
      <c r="A10" s="95" t="inlineStr">
        <is>
          <t>Australia</t>
        </is>
      </c>
      <c r="B10" s="96" t="n">
        <v>26820958</v>
      </c>
      <c r="C10" s="43">
        <f>SUM(C2:C6)</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N64"/>
  <sheetViews>
    <sheetView workbookViewId="0">
      <selection activeCell="O35" sqref="O35"/>
    </sheetView>
  </sheetViews>
  <sheetFormatPr baseColWidth="10" defaultColWidth="11" defaultRowHeight="16"/>
  <sheetData>
    <row r="1">
      <c r="L1" t="inlineStr">
        <is>
          <t>Base Salary</t>
        </is>
      </c>
    </row>
    <row r="2">
      <c r="A2" t="inlineStr">
        <is>
          <t>Jurisdiction</t>
        </is>
      </c>
      <c r="B2" t="inlineStr">
        <is>
          <t>Personnel type</t>
        </is>
      </c>
      <c r="C2" t="inlineStr">
        <is>
          <t>Superannuation Rate (%)</t>
        </is>
      </c>
      <c r="D2" t="inlineStr">
        <is>
          <t>Average Penalties %</t>
        </is>
      </c>
      <c r="E2" t="inlineStr">
        <is>
          <t>Public Holiday Penalty %</t>
        </is>
      </c>
      <c r="F2" t="inlineStr">
        <is>
          <t>Private Practice Loading %</t>
        </is>
      </c>
      <c r="G2" t="inlineStr">
        <is>
          <t>Attraction and Retention Allowance %</t>
        </is>
      </c>
      <c r="H2" t="inlineStr">
        <is>
          <t>Sick Leave %</t>
        </is>
      </c>
      <c r="I2" t="inlineStr">
        <is>
          <t>Professional Development Allowance ($)</t>
        </is>
      </c>
      <c r="J2" t="inlineStr">
        <is>
          <t>Annual Leave Entitlement (Weeks)</t>
        </is>
      </c>
      <c r="K2" t="inlineStr">
        <is>
          <t>Annual Leave Loading (%)</t>
        </is>
      </c>
      <c r="L2" t="inlineStr">
        <is>
          <t>LL</t>
        </is>
      </c>
      <c r="M2" t="inlineStr">
        <is>
          <t>Mid-point</t>
        </is>
      </c>
      <c r="N2" t="inlineStr">
        <is>
          <t>UL</t>
        </is>
      </c>
    </row>
    <row r="3">
      <c r="A3" t="inlineStr">
        <is>
          <t>NSW</t>
        </is>
      </c>
      <c r="B3" t="inlineStr">
        <is>
          <t>Lab technician</t>
        </is>
      </c>
      <c r="C3" s="44" t="n">
        <v>8151.943799999999</v>
      </c>
      <c r="D3" s="44" t="n">
        <v>7763.756</v>
      </c>
      <c r="E3" s="44" t="n">
        <v>2717.3146</v>
      </c>
      <c r="F3" s="44" t="n">
        <v>0</v>
      </c>
      <c r="G3" s="44" t="n">
        <v>0</v>
      </c>
      <c r="H3" s="44" t="n">
        <v>3571.32776</v>
      </c>
      <c r="I3" s="44" t="n">
        <v>0</v>
      </c>
      <c r="J3" s="44" t="n">
        <v>5972.12</v>
      </c>
      <c r="K3" s="44" t="n">
        <v>0</v>
      </c>
      <c r="L3" s="44" t="n">
        <v>60017.88</v>
      </c>
      <c r="M3" s="44" t="n">
        <v>77637.56</v>
      </c>
      <c r="N3" s="44" t="n">
        <v>95257.23999999999</v>
      </c>
    </row>
    <row r="4">
      <c r="A4" t="inlineStr">
        <is>
          <t>NSW</t>
        </is>
      </c>
      <c r="B4" t="inlineStr">
        <is>
          <t>Medical scientist</t>
        </is>
      </c>
      <c r="C4" s="44" t="n">
        <v>10804.4664</v>
      </c>
      <c r="D4" s="44" t="n">
        <v>10289.968</v>
      </c>
      <c r="E4" s="44" t="n">
        <v>3601.4888</v>
      </c>
      <c r="F4" s="44" t="n">
        <v>0</v>
      </c>
      <c r="G4" s="44" t="n">
        <v>0</v>
      </c>
      <c r="H4" s="44" t="n">
        <v>4733.38528</v>
      </c>
      <c r="I4" s="44" t="n">
        <v>0</v>
      </c>
      <c r="J4" s="44" t="n">
        <v>7915.36</v>
      </c>
      <c r="K4" s="44" t="n">
        <v>18007.444</v>
      </c>
      <c r="L4" s="44" t="n">
        <v>67224.03999999999</v>
      </c>
      <c r="M4" s="44" t="n">
        <v>102899.68</v>
      </c>
      <c r="N4" s="44" t="n">
        <v>138575.32</v>
      </c>
    </row>
    <row r="5">
      <c r="A5" t="inlineStr">
        <is>
          <t>NSW</t>
        </is>
      </c>
      <c r="B5" t="inlineStr">
        <is>
          <t>Admin staff</t>
        </is>
      </c>
      <c r="C5" s="44" t="n">
        <v>6084.023399999999</v>
      </c>
      <c r="D5" s="44" t="n">
        <v>5794.308</v>
      </c>
      <c r="E5" s="44" t="n">
        <v>2028.0078</v>
      </c>
      <c r="F5" s="44" t="n">
        <v>0</v>
      </c>
      <c r="G5" s="44" t="n">
        <v>0</v>
      </c>
      <c r="H5" s="44" t="n">
        <v>2665.38168</v>
      </c>
      <c r="I5" s="44" t="n">
        <v>0</v>
      </c>
      <c r="J5" s="44" t="n">
        <v>4457.16</v>
      </c>
      <c r="K5" s="44" t="n">
        <v>0</v>
      </c>
      <c r="L5" s="44" t="n">
        <v>48181.12</v>
      </c>
      <c r="M5" s="44" t="n">
        <v>57943.07999999999</v>
      </c>
      <c r="N5" s="44" t="n">
        <v>67705.03999999999</v>
      </c>
    </row>
    <row r="6">
      <c r="A6" t="inlineStr">
        <is>
          <t>NSW</t>
        </is>
      </c>
      <c r="B6" t="inlineStr">
        <is>
          <t>Bioinformatics staff</t>
        </is>
      </c>
      <c r="C6" s="44" t="n">
        <v>9495.622499999999</v>
      </c>
      <c r="D6" s="44" t="n">
        <v>9043.450000000001</v>
      </c>
      <c r="E6" s="44" t="n">
        <v>3165.2075</v>
      </c>
      <c r="F6" s="44" t="n">
        <v>0</v>
      </c>
      <c r="G6" s="44" t="n">
        <v>0</v>
      </c>
      <c r="H6" s="44" t="n">
        <v>4159.987</v>
      </c>
      <c r="I6" s="44" t="n">
        <v>0</v>
      </c>
      <c r="J6" s="44" t="n">
        <v>6956.5</v>
      </c>
      <c r="K6" s="44" t="n">
        <v>15826.0375</v>
      </c>
      <c r="L6" s="44" t="n">
        <v>66106</v>
      </c>
      <c r="M6" s="44" t="n">
        <v>90434.5</v>
      </c>
      <c r="N6" s="44" t="n">
        <v>114763</v>
      </c>
    </row>
    <row r="7">
      <c r="A7" t="inlineStr">
        <is>
          <t>NSW</t>
        </is>
      </c>
      <c r="B7" t="inlineStr">
        <is>
          <t>Pathologists</t>
        </is>
      </c>
      <c r="C7" s="44" t="n">
        <v>22103.445</v>
      </c>
      <c r="D7" s="44" t="n">
        <v>0</v>
      </c>
      <c r="E7" s="44" t="n">
        <v>7367.815000000001</v>
      </c>
      <c r="F7" s="44" t="n">
        <v>42101.8</v>
      </c>
      <c r="G7" s="44" t="n">
        <v>36628.566</v>
      </c>
      <c r="H7" s="44" t="n">
        <v>9683.414000000001</v>
      </c>
      <c r="I7" s="44" t="n">
        <v>38000</v>
      </c>
      <c r="J7" s="44" t="n">
        <v>20241.25</v>
      </c>
      <c r="K7" s="44" t="n">
        <v>36839.075</v>
      </c>
      <c r="L7" s="44" t="n">
        <v>179078</v>
      </c>
      <c r="M7" s="44" t="n">
        <v>210509</v>
      </c>
      <c r="N7" s="44" t="n">
        <v>241940</v>
      </c>
    </row>
    <row r="8">
      <c r="A8" t="inlineStr">
        <is>
          <t>QLD</t>
        </is>
      </c>
      <c r="B8" t="inlineStr">
        <is>
          <t>Lab technician</t>
        </is>
      </c>
      <c r="C8" s="44" t="n">
        <v>8949.99</v>
      </c>
      <c r="D8" s="44" t="n">
        <v>7019.6</v>
      </c>
      <c r="E8" s="44" t="n">
        <v>2456.86</v>
      </c>
      <c r="F8" s="44" t="n">
        <v>0</v>
      </c>
      <c r="G8" s="44" t="n">
        <v>0</v>
      </c>
      <c r="H8" s="44" t="n">
        <v>3229.016</v>
      </c>
      <c r="I8" s="44" t="n">
        <v>1826</v>
      </c>
      <c r="J8" s="44" t="n">
        <v>5399.692307692308</v>
      </c>
      <c r="K8" s="44" t="n">
        <v>0</v>
      </c>
      <c r="L8" s="44" t="n">
        <v>48552</v>
      </c>
      <c r="M8" s="44" t="n">
        <v>70196</v>
      </c>
      <c r="N8" s="44" t="n">
        <v>91840</v>
      </c>
    </row>
    <row r="9">
      <c r="A9" t="inlineStr">
        <is>
          <t>QLD</t>
        </is>
      </c>
      <c r="B9" t="inlineStr">
        <is>
          <t>Medical scientist</t>
        </is>
      </c>
      <c r="C9" s="44" t="n">
        <v>13298.69625</v>
      </c>
      <c r="D9" s="44" t="n">
        <v>10430.35</v>
      </c>
      <c r="E9" s="44" t="n">
        <v>3650.6225</v>
      </c>
      <c r="F9" s="44" t="n">
        <v>0</v>
      </c>
      <c r="G9" s="44" t="n">
        <v>0</v>
      </c>
      <c r="H9" s="44" t="n">
        <v>4797.961</v>
      </c>
      <c r="I9" s="44" t="n">
        <v>1826</v>
      </c>
      <c r="J9" s="44" t="n">
        <v>8023.346153846154</v>
      </c>
      <c r="K9" s="44" t="n">
        <v>0</v>
      </c>
      <c r="L9" s="44" t="n">
        <v>69031</v>
      </c>
      <c r="M9" s="44" t="n">
        <v>104303.5</v>
      </c>
      <c r="N9" s="44" t="n">
        <v>139576</v>
      </c>
    </row>
    <row r="10">
      <c r="A10" t="inlineStr">
        <is>
          <t>QLD</t>
        </is>
      </c>
      <c r="B10" t="inlineStr">
        <is>
          <t>Admin staff</t>
        </is>
      </c>
      <c r="C10" s="44" t="n">
        <v>8134.81875</v>
      </c>
      <c r="D10" s="44" t="n">
        <v>6380.25</v>
      </c>
      <c r="E10" s="44" t="n">
        <v>2233.0875</v>
      </c>
      <c r="F10" s="44" t="n">
        <v>0</v>
      </c>
      <c r="G10" s="44" t="n">
        <v>0</v>
      </c>
      <c r="H10" s="44" t="n">
        <v>2934.915</v>
      </c>
      <c r="I10" s="44" t="n">
        <v>1826</v>
      </c>
      <c r="J10" s="44" t="n">
        <v>4907.884615384615</v>
      </c>
      <c r="K10" s="44" t="n">
        <v>0</v>
      </c>
      <c r="L10" s="44" t="n">
        <v>47704</v>
      </c>
      <c r="M10" s="44" t="n">
        <v>63802.5</v>
      </c>
      <c r="N10" s="44" t="n">
        <v>79901</v>
      </c>
    </row>
    <row r="11">
      <c r="A11" t="inlineStr">
        <is>
          <t>QLD</t>
        </is>
      </c>
      <c r="B11" t="inlineStr">
        <is>
          <t>Bioinformatics staff</t>
        </is>
      </c>
      <c r="C11" s="44" t="n">
        <v>13298.69625</v>
      </c>
      <c r="D11" s="44" t="n">
        <v>10430.35</v>
      </c>
      <c r="E11" s="44" t="n">
        <v>3650.6225</v>
      </c>
      <c r="F11" s="44" t="n">
        <v>0</v>
      </c>
      <c r="G11" s="44" t="n">
        <v>0</v>
      </c>
      <c r="H11" s="44" t="n">
        <v>4797.961</v>
      </c>
      <c r="I11" s="44" t="n">
        <v>1826</v>
      </c>
      <c r="J11" s="44" t="n">
        <v>8023.346153846154</v>
      </c>
      <c r="K11" s="44" t="n">
        <v>0</v>
      </c>
      <c r="L11" s="44" t="n">
        <v>69031</v>
      </c>
      <c r="M11" s="44" t="n">
        <v>104303.5</v>
      </c>
      <c r="N11" s="44" t="n">
        <v>139576</v>
      </c>
    </row>
    <row r="12">
      <c r="A12" t="inlineStr">
        <is>
          <t>QLD</t>
        </is>
      </c>
      <c r="B12" t="inlineStr">
        <is>
          <t>Pathologists</t>
        </is>
      </c>
      <c r="C12" s="44" t="n">
        <v>28782.87</v>
      </c>
      <c r="D12" s="44" t="n">
        <v>0</v>
      </c>
      <c r="E12" s="44" t="n">
        <v>7901.180000000001</v>
      </c>
      <c r="F12" s="44" t="n">
        <v>0</v>
      </c>
      <c r="G12" s="44" t="n">
        <v>112874</v>
      </c>
      <c r="H12" s="44" t="n">
        <v>10384.408</v>
      </c>
      <c r="I12" s="44" t="n">
        <v>21500</v>
      </c>
      <c r="J12" s="44" t="n">
        <v>17365.23076923077</v>
      </c>
      <c r="K12" s="44" t="n">
        <v>0</v>
      </c>
      <c r="L12" s="44" t="n">
        <v>189406</v>
      </c>
      <c r="M12" s="44" t="n">
        <v>225748</v>
      </c>
      <c r="N12" s="44" t="n">
        <v>262090</v>
      </c>
    </row>
    <row r="13">
      <c r="A13" t="inlineStr">
        <is>
          <t>SA</t>
        </is>
      </c>
      <c r="B13" t="inlineStr">
        <is>
          <t>Lab technician</t>
        </is>
      </c>
      <c r="C13" s="44" t="n">
        <v>8155.665</v>
      </c>
      <c r="D13" s="44" t="n">
        <v>7767.3</v>
      </c>
      <c r="E13" s="44" t="n">
        <v>2718.555</v>
      </c>
      <c r="F13" s="44" t="n">
        <v>0</v>
      </c>
      <c r="G13" s="44" t="n">
        <v>0</v>
      </c>
      <c r="H13" s="44" t="n">
        <v>3572.958</v>
      </c>
      <c r="I13" s="44" t="n">
        <v>0</v>
      </c>
      <c r="J13" s="44" t="n">
        <v>5974.846153846154</v>
      </c>
      <c r="K13" s="44" t="n">
        <v>0</v>
      </c>
      <c r="L13" s="44" t="n">
        <v>54364</v>
      </c>
      <c r="M13" s="44" t="n">
        <v>77673</v>
      </c>
      <c r="N13" s="44" t="n">
        <v>100982</v>
      </c>
    </row>
    <row r="14">
      <c r="A14" t="inlineStr">
        <is>
          <t>SA</t>
        </is>
      </c>
      <c r="B14" t="inlineStr">
        <is>
          <t>Medical scientist</t>
        </is>
      </c>
      <c r="C14" s="44" t="n">
        <v>10944.99</v>
      </c>
      <c r="D14" s="44" t="n">
        <v>10423.8</v>
      </c>
      <c r="E14" s="44" t="n">
        <v>3648.33</v>
      </c>
      <c r="F14" s="44" t="n">
        <v>0</v>
      </c>
      <c r="G14" s="44" t="n">
        <v>0</v>
      </c>
      <c r="H14" s="44" t="n">
        <v>4794.948</v>
      </c>
      <c r="I14" s="44" t="n">
        <v>0</v>
      </c>
      <c r="J14" s="44" t="n">
        <v>10022.88461538462</v>
      </c>
      <c r="K14" s="44" t="n">
        <v>0</v>
      </c>
      <c r="L14" s="44" t="n">
        <v>66386</v>
      </c>
      <c r="M14" s="44" t="n">
        <v>104238</v>
      </c>
      <c r="N14" s="44" t="n">
        <v>142090</v>
      </c>
    </row>
    <row r="15">
      <c r="A15" t="inlineStr">
        <is>
          <t>SA</t>
        </is>
      </c>
      <c r="B15" t="inlineStr">
        <is>
          <t>Admin staff</t>
        </is>
      </c>
      <c r="C15" s="44" t="n">
        <v>6654.27</v>
      </c>
      <c r="D15" s="44" t="n">
        <v>6337.400000000001</v>
      </c>
      <c r="E15" s="44" t="n">
        <v>2218.09</v>
      </c>
      <c r="F15" s="44" t="n">
        <v>0</v>
      </c>
      <c r="G15" s="44" t="n">
        <v>0</v>
      </c>
      <c r="H15" s="44" t="n">
        <v>2915.204</v>
      </c>
      <c r="I15" s="44" t="n">
        <v>0</v>
      </c>
      <c r="J15" s="44" t="n">
        <v>4874.923076923077</v>
      </c>
      <c r="K15" s="44" t="n">
        <v>0</v>
      </c>
      <c r="L15" s="44" t="n">
        <v>56916</v>
      </c>
      <c r="M15" s="44" t="n">
        <v>63374</v>
      </c>
      <c r="N15" s="44" t="n">
        <v>69832</v>
      </c>
    </row>
    <row r="16">
      <c r="A16" t="inlineStr">
        <is>
          <t>SA</t>
        </is>
      </c>
      <c r="B16" t="inlineStr">
        <is>
          <t>Bioinformatics staff</t>
        </is>
      </c>
      <c r="C16" s="44" t="n">
        <v>9616.6875</v>
      </c>
      <c r="D16" s="44" t="n">
        <v>9158.75</v>
      </c>
      <c r="E16" s="44" t="n">
        <v>3205.5625</v>
      </c>
      <c r="F16" s="44" t="n">
        <v>0</v>
      </c>
      <c r="G16" s="44" t="n">
        <v>0</v>
      </c>
      <c r="H16" s="44" t="n">
        <v>4213.025</v>
      </c>
      <c r="I16" s="44" t="n">
        <v>0</v>
      </c>
      <c r="J16" s="44" t="n">
        <v>7045.192307692309</v>
      </c>
      <c r="K16" s="44" t="n">
        <v>0</v>
      </c>
      <c r="L16" s="44" t="n">
        <v>66386</v>
      </c>
      <c r="M16" s="44" t="n">
        <v>91587.5</v>
      </c>
      <c r="N16" s="44" t="n">
        <v>116789</v>
      </c>
    </row>
    <row r="17">
      <c r="A17" t="inlineStr">
        <is>
          <t>SA</t>
        </is>
      </c>
      <c r="B17" t="inlineStr">
        <is>
          <t>Pathologists</t>
        </is>
      </c>
      <c r="C17" s="44" t="n">
        <v>26966.1525</v>
      </c>
      <c r="D17" s="44" t="n">
        <v>0</v>
      </c>
      <c r="E17" s="44" t="n">
        <v>8988.717500000001</v>
      </c>
      <c r="F17" s="44" t="n">
        <v>0</v>
      </c>
      <c r="G17" s="44" t="n">
        <v>154092.3</v>
      </c>
      <c r="H17" s="44" t="n">
        <v>11813.743</v>
      </c>
      <c r="I17" s="44" t="n">
        <v>26000</v>
      </c>
      <c r="J17" s="44" t="n">
        <v>24694.27884615385</v>
      </c>
      <c r="K17" s="44" t="n">
        <v>44943.58749999999</v>
      </c>
      <c r="L17" s="44" t="n">
        <v>221622</v>
      </c>
      <c r="M17" s="44" t="n">
        <v>256820.5</v>
      </c>
      <c r="N17" s="44" t="n">
        <v>292019</v>
      </c>
    </row>
    <row r="18">
      <c r="A18" t="inlineStr">
        <is>
          <t>VIC</t>
        </is>
      </c>
      <c r="B18" t="inlineStr">
        <is>
          <t>Lab technician</t>
        </is>
      </c>
      <c r="C18" s="44" t="n">
        <v>9971.744999999999</v>
      </c>
      <c r="D18" s="44" t="n">
        <v>9496.9</v>
      </c>
      <c r="E18" s="44" t="n">
        <v>3323.915</v>
      </c>
      <c r="F18" s="44" t="n">
        <v>0</v>
      </c>
      <c r="G18" s="44" t="n">
        <v>0</v>
      </c>
      <c r="H18" s="44" t="n">
        <v>4368.574</v>
      </c>
      <c r="I18" s="44" t="n">
        <v>0</v>
      </c>
      <c r="J18" s="44" t="n">
        <v>7305.307692307692</v>
      </c>
      <c r="K18" s="44" t="n">
        <v>16619.575</v>
      </c>
      <c r="L18" s="44" t="n">
        <v>79624</v>
      </c>
      <c r="M18" s="44" t="n">
        <v>94969</v>
      </c>
      <c r="N18" s="44" t="n">
        <v>110314</v>
      </c>
    </row>
    <row r="19">
      <c r="A19" t="inlineStr">
        <is>
          <t>VIC</t>
        </is>
      </c>
      <c r="B19" t="inlineStr">
        <is>
          <t>Medical scientist</t>
        </is>
      </c>
      <c r="C19" s="44" t="n">
        <v>10697.232</v>
      </c>
      <c r="D19" s="44" t="n">
        <v>10187.84</v>
      </c>
      <c r="E19" s="44" t="n">
        <v>3565.744000000001</v>
      </c>
      <c r="F19" s="44" t="n">
        <v>0</v>
      </c>
      <c r="G19" s="44" t="n">
        <v>0</v>
      </c>
      <c r="H19" s="44" t="n">
        <v>4686.406400000001</v>
      </c>
      <c r="I19" s="44" t="n">
        <v>0</v>
      </c>
      <c r="J19" s="44" t="n">
        <v>9796.000000000002</v>
      </c>
      <c r="K19" s="44" t="n">
        <v>17828.72</v>
      </c>
      <c r="L19" s="44" t="n">
        <v>61204</v>
      </c>
      <c r="M19" s="44" t="n">
        <v>101878.4</v>
      </c>
      <c r="N19" s="44" t="n">
        <v>142552.8</v>
      </c>
    </row>
    <row r="20">
      <c r="A20" t="inlineStr">
        <is>
          <t>VIC</t>
        </is>
      </c>
      <c r="B20" t="inlineStr">
        <is>
          <t>Admin staff</t>
        </is>
      </c>
      <c r="C20" s="44" t="n">
        <v>8145.952499999999</v>
      </c>
      <c r="D20" s="44" t="n">
        <v>7758.05</v>
      </c>
      <c r="E20" s="44" t="n">
        <v>2715.3175</v>
      </c>
      <c r="F20" s="44" t="n">
        <v>0</v>
      </c>
      <c r="G20" s="44" t="n">
        <v>0</v>
      </c>
      <c r="H20" s="44" t="n">
        <v>3568.703</v>
      </c>
      <c r="I20" s="44" t="n">
        <v>0</v>
      </c>
      <c r="J20" s="44" t="n">
        <v>5967.73076923077</v>
      </c>
      <c r="K20" s="44" t="n">
        <v>13576.5875</v>
      </c>
      <c r="L20" s="44" t="n">
        <v>63701</v>
      </c>
      <c r="M20" s="44" t="n">
        <v>77580.5</v>
      </c>
      <c r="N20" s="44" t="n">
        <v>91460</v>
      </c>
    </row>
    <row r="21">
      <c r="A21" t="inlineStr">
        <is>
          <t>VIC</t>
        </is>
      </c>
      <c r="B21" t="inlineStr">
        <is>
          <t>Bioinformatics staff</t>
        </is>
      </c>
      <c r="C21" s="44" t="n">
        <v>10695.405</v>
      </c>
      <c r="D21" s="44" t="n">
        <v>10186.1</v>
      </c>
      <c r="E21" s="44" t="n">
        <v>3565.135</v>
      </c>
      <c r="F21" s="44" t="n">
        <v>0</v>
      </c>
      <c r="G21" s="44" t="n">
        <v>0</v>
      </c>
      <c r="H21" s="44" t="n">
        <v>4685.606</v>
      </c>
      <c r="I21" s="44" t="n">
        <v>0</v>
      </c>
      <c r="J21" s="44" t="n">
        <v>7835.461538461539</v>
      </c>
      <c r="K21" s="44" t="n">
        <v>17825.675</v>
      </c>
      <c r="L21" s="44" t="n">
        <v>79624</v>
      </c>
      <c r="M21" s="44" t="n">
        <v>101861</v>
      </c>
      <c r="N21" s="44" t="n">
        <v>124098</v>
      </c>
    </row>
    <row r="22">
      <c r="A22" t="inlineStr">
        <is>
          <t>VIC</t>
        </is>
      </c>
      <c r="B22" t="inlineStr">
        <is>
          <t>Pathologists</t>
        </is>
      </c>
      <c r="C22" s="44" t="n">
        <v>31106.0295</v>
      </c>
      <c r="D22" s="44" t="n">
        <v>0</v>
      </c>
      <c r="E22" s="44" t="n">
        <v>10368.6765</v>
      </c>
      <c r="F22" s="44" t="n">
        <v>0</v>
      </c>
      <c r="G22" s="44" t="n">
        <v>0</v>
      </c>
      <c r="H22" s="44" t="n">
        <v>13627.4034</v>
      </c>
      <c r="I22" s="44" t="n">
        <v>29000.16</v>
      </c>
      <c r="J22" s="44" t="n">
        <v>22788.3</v>
      </c>
      <c r="K22" s="44" t="n">
        <v>51843.3825</v>
      </c>
      <c r="L22" s="44" t="n">
        <v>249470</v>
      </c>
      <c r="M22" s="44" t="n">
        <v>296247.9</v>
      </c>
      <c r="N22" s="44" t="n">
        <v>343025.8</v>
      </c>
    </row>
    <row r="23">
      <c r="A23" t="inlineStr">
        <is>
          <t>WA</t>
        </is>
      </c>
      <c r="B23" t="inlineStr">
        <is>
          <t>Lab technician</t>
        </is>
      </c>
      <c r="C23" s="44" t="n">
        <v>7493.639999999999</v>
      </c>
      <c r="D23" s="44" t="n">
        <v>7136.8</v>
      </c>
      <c r="E23" s="44" t="n">
        <v>2497.88</v>
      </c>
      <c r="F23" s="44" t="n">
        <v>0</v>
      </c>
      <c r="G23" s="44" t="n">
        <v>0</v>
      </c>
      <c r="H23" s="44" t="n">
        <v>3282.928</v>
      </c>
      <c r="I23" s="44" t="n">
        <v>0</v>
      </c>
      <c r="J23" s="44" t="n">
        <v>5489.846153846154</v>
      </c>
      <c r="K23" s="44" t="n">
        <v>14273.6</v>
      </c>
      <c r="L23" s="44" t="n">
        <v>57579</v>
      </c>
      <c r="M23" s="44" t="n">
        <v>71368</v>
      </c>
      <c r="N23" s="44" t="n">
        <v>85157</v>
      </c>
    </row>
    <row r="24">
      <c r="A24" t="inlineStr">
        <is>
          <t>WA</t>
        </is>
      </c>
      <c r="B24" t="inlineStr">
        <is>
          <t>Medical scientist</t>
        </is>
      </c>
      <c r="C24" s="44" t="n">
        <v>11449.305</v>
      </c>
      <c r="D24" s="44" t="n">
        <v>10904.1</v>
      </c>
      <c r="E24" s="44" t="n">
        <v>3816.435</v>
      </c>
      <c r="F24" s="44" t="n">
        <v>0</v>
      </c>
      <c r="G24" s="44" t="n">
        <v>0</v>
      </c>
      <c r="H24" s="44" t="n">
        <v>5015.886</v>
      </c>
      <c r="I24" s="44" t="n">
        <v>0</v>
      </c>
      <c r="J24" s="44" t="n">
        <v>8387.76923076923</v>
      </c>
      <c r="K24" s="44" t="n">
        <v>21808.2</v>
      </c>
      <c r="L24" s="44" t="n">
        <v>77833</v>
      </c>
      <c r="M24" s="44" t="n">
        <v>109041</v>
      </c>
      <c r="N24" s="44" t="n">
        <v>140249</v>
      </c>
    </row>
    <row r="25">
      <c r="A25" t="inlineStr">
        <is>
          <t>WA</t>
        </is>
      </c>
      <c r="B25" t="inlineStr">
        <is>
          <t>Admin staff</t>
        </is>
      </c>
      <c r="C25" s="44" t="n">
        <v>6647.969999999999</v>
      </c>
      <c r="D25" s="44" t="n">
        <v>6331.400000000001</v>
      </c>
      <c r="E25" s="44" t="n">
        <v>2215.99</v>
      </c>
      <c r="F25" s="44" t="n">
        <v>0</v>
      </c>
      <c r="G25" s="44" t="n">
        <v>0</v>
      </c>
      <c r="H25" s="44" t="n">
        <v>2912.444</v>
      </c>
      <c r="I25" s="44" t="n">
        <v>0</v>
      </c>
      <c r="J25" s="44" t="n">
        <v>4870.307692307692</v>
      </c>
      <c r="K25" s="44" t="n">
        <v>12662.8</v>
      </c>
      <c r="L25" s="44" t="n">
        <v>57579</v>
      </c>
      <c r="M25" s="44" t="n">
        <v>63314</v>
      </c>
      <c r="N25" s="44" t="n">
        <v>69049</v>
      </c>
    </row>
    <row r="26">
      <c r="A26" t="inlineStr">
        <is>
          <t>WA</t>
        </is>
      </c>
      <c r="B26" t="inlineStr">
        <is>
          <t>Bioinformatics staff</t>
        </is>
      </c>
      <c r="C26" s="44" t="n">
        <v>9112.004999999999</v>
      </c>
      <c r="D26" s="44" t="n">
        <v>8678.1</v>
      </c>
      <c r="E26" s="44" t="n">
        <v>3037.335</v>
      </c>
      <c r="F26" s="44" t="n">
        <v>0</v>
      </c>
      <c r="G26" s="44" t="n">
        <v>0</v>
      </c>
      <c r="H26" s="44" t="n">
        <v>3991.926</v>
      </c>
      <c r="I26" s="44" t="n">
        <v>0</v>
      </c>
      <c r="J26" s="44" t="n">
        <v>6675.461538461539</v>
      </c>
      <c r="K26" s="44" t="n">
        <v>17356.2</v>
      </c>
      <c r="L26" s="44" t="n">
        <v>79898</v>
      </c>
      <c r="M26" s="44" t="n">
        <v>86781</v>
      </c>
      <c r="N26" s="44" t="n">
        <v>93664</v>
      </c>
    </row>
    <row r="27">
      <c r="A27" t="inlineStr">
        <is>
          <t>WA</t>
        </is>
      </c>
      <c r="B27" t="inlineStr">
        <is>
          <t>Pathologists</t>
        </is>
      </c>
      <c r="C27" s="44" t="n">
        <v>35924.28</v>
      </c>
      <c r="D27" s="44" t="n">
        <v>0</v>
      </c>
      <c r="E27" s="44" t="n">
        <v>11974.76</v>
      </c>
      <c r="F27" s="44" t="n">
        <v>0</v>
      </c>
      <c r="G27" s="44" t="n">
        <v>0</v>
      </c>
      <c r="H27" s="44" t="n">
        <v>15738.256</v>
      </c>
      <c r="I27" s="44" t="n">
        <v>28909</v>
      </c>
      <c r="J27" s="44" t="n">
        <v>26318.15384615385</v>
      </c>
      <c r="K27" s="44" t="n">
        <v>0</v>
      </c>
      <c r="L27" s="44" t="n">
        <v>297757</v>
      </c>
      <c r="M27" s="44" t="n">
        <v>342136</v>
      </c>
      <c r="N27" s="44" t="n">
        <v>386515</v>
      </c>
    </row>
    <row r="28">
      <c r="A28" t="inlineStr">
        <is>
          <t>ALL</t>
        </is>
      </c>
      <c r="B28" t="inlineStr">
        <is>
          <t>Lab technician</t>
        </is>
      </c>
      <c r="C28" t="inlineStr">
        <is>
          <t>$10,399 (9,972 - 12,109)</t>
        </is>
      </c>
      <c r="D28" t="inlineStr">
        <is>
          <t>$9,497 (9,497 - 9,497)</t>
        </is>
      </c>
      <c r="E28" t="inlineStr">
        <is>
          <t>$3,324 (3,324 - 3,324)</t>
        </is>
      </c>
      <c r="F28" t="inlineStr">
        <is>
          <t>$0 (0 - 0)</t>
        </is>
      </c>
      <c r="G28" t="inlineStr">
        <is>
          <t>$0 (0 - 0)</t>
        </is>
      </c>
      <c r="H28" t="inlineStr">
        <is>
          <t>$4,369 (4,369 - 4,369)</t>
        </is>
      </c>
      <c r="I28" t="inlineStr">
        <is>
          <t>$365 (00 - 1,826)</t>
        </is>
      </c>
      <c r="J28" t="inlineStr">
        <is>
          <t>$7,305 (7,305 - 7,305)</t>
        </is>
      </c>
      <c r="K28" t="inlineStr">
        <is>
          <t>$7,123 (00 - 18,994)</t>
        </is>
      </c>
      <c r="L28" t="inlineStr">
        <is>
          <t>$60,027 (48,552 - 79,624)</t>
        </is>
      </c>
      <c r="M28" t="inlineStr">
        <is>
          <t>$78,369 (70,196 - 94,969)</t>
        </is>
      </c>
      <c r="N28" t="inlineStr">
        <is>
          <t>$96,710 (85,157 - 110,314)</t>
        </is>
      </c>
    </row>
    <row r="29">
      <c r="A29" t="inlineStr">
        <is>
          <t>ALL</t>
        </is>
      </c>
      <c r="B29" t="inlineStr">
        <is>
          <t>Medical scientist</t>
        </is>
      </c>
      <c r="C29" t="inlineStr">
        <is>
          <t>$11,156 (10,697 - 12,989)</t>
        </is>
      </c>
      <c r="D29" t="inlineStr">
        <is>
          <t>$10,188 (10,188 - 10,188)</t>
        </is>
      </c>
      <c r="E29" t="inlineStr">
        <is>
          <t>$3,566 (3,566 - 3,566)</t>
        </is>
      </c>
      <c r="F29" t="inlineStr">
        <is>
          <t>$0 (0 - 0)</t>
        </is>
      </c>
      <c r="G29" t="inlineStr">
        <is>
          <t>$0 (0 - 0)</t>
        </is>
      </c>
      <c r="H29" t="inlineStr">
        <is>
          <t>$4,686 (4,686 - 4,686)</t>
        </is>
      </c>
      <c r="I29" t="inlineStr">
        <is>
          <t>$365 (00 - 1,826)</t>
        </is>
      </c>
      <c r="J29" t="inlineStr">
        <is>
          <t>$8,620 (7,837 - 9,796)</t>
        </is>
      </c>
      <c r="K29" t="inlineStr">
        <is>
          <t>$11,207 (00 - 20,376)</t>
        </is>
      </c>
      <c r="L29" t="inlineStr">
        <is>
          <t>$68,336 (61,204 - 77,833)</t>
        </is>
      </c>
      <c r="M29" t="inlineStr">
        <is>
          <t>$104,472 (101,878 - 109,041)</t>
        </is>
      </c>
      <c r="N29" t="inlineStr">
        <is>
          <t>$140,609 (138,575 - 142,553)</t>
        </is>
      </c>
    </row>
    <row r="30">
      <c r="A30" t="inlineStr">
        <is>
          <t>ALL</t>
        </is>
      </c>
      <c r="B30" t="inlineStr">
        <is>
          <t>Admin staff</t>
        </is>
      </c>
      <c r="C30" t="inlineStr">
        <is>
          <t>$8,495 (8,146 - 9,892)</t>
        </is>
      </c>
      <c r="D30" t="inlineStr">
        <is>
          <t>$7,758 (7,758 - 7,758)</t>
        </is>
      </c>
      <c r="E30" t="inlineStr">
        <is>
          <t>$2,715 (2,715 - 2,715)</t>
        </is>
      </c>
      <c r="F30" t="inlineStr">
        <is>
          <t>$0 (0 - 0)</t>
        </is>
      </c>
      <c r="G30" t="inlineStr">
        <is>
          <t>$0 (0 - 0)</t>
        </is>
      </c>
      <c r="H30" t="inlineStr">
        <is>
          <t>$3,569 (3,569 - 3,569)</t>
        </is>
      </c>
      <c r="I30" t="inlineStr">
        <is>
          <t>$365 (00 - 1,826)</t>
        </is>
      </c>
      <c r="J30" t="inlineStr">
        <is>
          <t>$5,968 (5,968 - 5,968)</t>
        </is>
      </c>
      <c r="K30" t="inlineStr">
        <is>
          <t>$5,819 (00 - 15,516)</t>
        </is>
      </c>
      <c r="L30" t="inlineStr">
        <is>
          <t>$54,816 (47,704 - 63,701)</t>
        </is>
      </c>
      <c r="M30" t="inlineStr">
        <is>
          <t>$65,203 (57,943 - 77,581)</t>
        </is>
      </c>
      <c r="N30" t="inlineStr">
        <is>
          <t>$75,589 (67,705 - 91,460)</t>
        </is>
      </c>
    </row>
    <row r="31">
      <c r="A31" t="inlineStr">
        <is>
          <t>ALL</t>
        </is>
      </c>
      <c r="B31" t="inlineStr">
        <is>
          <t>Bioinformatics staff</t>
        </is>
      </c>
      <c r="C31" t="inlineStr">
        <is>
          <t>$11,154 (10,695 - 12,987)</t>
        </is>
      </c>
      <c r="D31" t="inlineStr">
        <is>
          <t>$10,186 (10,186 - 10,186)</t>
        </is>
      </c>
      <c r="E31" t="inlineStr">
        <is>
          <t>$3,565 (3,565 - 3,565)</t>
        </is>
      </c>
      <c r="F31" t="inlineStr">
        <is>
          <t>$0 (0 - 0)</t>
        </is>
      </c>
      <c r="G31" t="inlineStr">
        <is>
          <t>$0 (0 - 0)</t>
        </is>
      </c>
      <c r="H31" t="inlineStr">
        <is>
          <t>$4,686 (4,686 - 4,686)</t>
        </is>
      </c>
      <c r="I31" t="inlineStr">
        <is>
          <t>$365 (00 - 1,826)</t>
        </is>
      </c>
      <c r="J31" t="inlineStr">
        <is>
          <t>$7,835 (7,835 - 7,835)</t>
        </is>
      </c>
      <c r="K31" t="inlineStr">
        <is>
          <t>$11,205 (00 - 20,372)</t>
        </is>
      </c>
      <c r="L31" t="inlineStr">
        <is>
          <t>$72,209 (66,106 - 79,898)</t>
        </is>
      </c>
      <c r="M31" t="inlineStr">
        <is>
          <t>$94,994 (86,781 - 104,304)</t>
        </is>
      </c>
      <c r="N31" t="inlineStr">
        <is>
          <t>$117,778 (93,664 - 139,576)</t>
        </is>
      </c>
    </row>
    <row r="32">
      <c r="A32" t="inlineStr">
        <is>
          <t>ALL</t>
        </is>
      </c>
      <c r="B32" t="inlineStr">
        <is>
          <t>Pathologists</t>
        </is>
      </c>
      <c r="C32" t="inlineStr">
        <is>
          <t>$32,439 (31,106 - 37,772)</t>
        </is>
      </c>
      <c r="D32" t="inlineStr">
        <is>
          <t>$00 (00 - 00)</t>
        </is>
      </c>
      <c r="E32" t="inlineStr">
        <is>
          <t>$10,369 (10,369 - 10,369)</t>
        </is>
      </c>
      <c r="F32" t="inlineStr">
        <is>
          <t>$11,850 (00 - 59,250)</t>
        </is>
      </c>
      <c r="G32" t="inlineStr">
        <is>
          <t>$75,484 (00 - 177,749)</t>
        </is>
      </c>
      <c r="H32" t="inlineStr">
        <is>
          <t>$13,627 (13,627 - 13,627)</t>
        </is>
      </c>
      <c r="I32" t="inlineStr">
        <is>
          <t>$28,682 (21,500 - 38,000)</t>
        </is>
      </c>
      <c r="J32" t="inlineStr">
        <is>
          <t>$25,067 (22,788 - 28,485)</t>
        </is>
      </c>
      <c r="K32" t="inlineStr">
        <is>
          <t>$31,106 (00 - 51,843)</t>
        </is>
      </c>
      <c r="L32" t="inlineStr">
        <is>
          <t>$227,467 (179,078 - 297,757)</t>
        </is>
      </c>
      <c r="M32" t="inlineStr">
        <is>
          <t>$266,292 (210,509 - 342,136)</t>
        </is>
      </c>
      <c r="N32" t="inlineStr">
        <is>
          <t>$305,118 (241,940 - 386,515)</t>
        </is>
      </c>
    </row>
    <row r="33">
      <c r="L33" t="inlineStr">
        <is>
          <t>Base Salary</t>
        </is>
      </c>
    </row>
    <row r="34">
      <c r="A34" t="inlineStr">
        <is>
          <t>Jurisdiction</t>
        </is>
      </c>
      <c r="B34" t="inlineStr">
        <is>
          <t>Personnel type</t>
        </is>
      </c>
      <c r="C34" t="inlineStr">
        <is>
          <t>Superannuation Rate (%)</t>
        </is>
      </c>
      <c r="D34" t="inlineStr">
        <is>
          <t>Average Penalties %</t>
        </is>
      </c>
      <c r="E34" t="inlineStr">
        <is>
          <t>Public Holiday Penalty %</t>
        </is>
      </c>
      <c r="F34" t="inlineStr">
        <is>
          <t>Private Practice Loading %</t>
        </is>
      </c>
      <c r="G34" t="inlineStr">
        <is>
          <t>Attraction and Retention Allowance %</t>
        </is>
      </c>
      <c r="H34" t="inlineStr">
        <is>
          <t>Sick Leave %</t>
        </is>
      </c>
      <c r="I34" t="inlineStr">
        <is>
          <t>Professional Development Allowance ($)</t>
        </is>
      </c>
      <c r="J34" t="inlineStr">
        <is>
          <t>Annual Leave Entitlement (Weeks)</t>
        </is>
      </c>
      <c r="K34" t="inlineStr">
        <is>
          <t>Annual Leave Loading (%)</t>
        </is>
      </c>
      <c r="L34" t="inlineStr">
        <is>
          <t>LL</t>
        </is>
      </c>
      <c r="M34" t="inlineStr">
        <is>
          <t>Mid-point</t>
        </is>
      </c>
      <c r="N34" t="inlineStr">
        <is>
          <t>UL</t>
        </is>
      </c>
    </row>
    <row r="35">
      <c r="A35" t="inlineStr">
        <is>
          <t>NSW</t>
        </is>
      </c>
      <c r="B35" t="inlineStr">
        <is>
          <t>Lab technician</t>
        </is>
      </c>
      <c r="C35" s="41" t="n">
        <v>0.04443648675043948</v>
      </c>
      <c r="D35" s="41" t="n">
        <v>0.04232046357184713</v>
      </c>
      <c r="E35" s="41" t="n">
        <v>0.0148121622501465</v>
      </c>
      <c r="F35" s="41" t="n">
        <v>0</v>
      </c>
      <c r="G35" s="41" t="n">
        <v>0</v>
      </c>
      <c r="H35" s="41" t="n">
        <v>0.01946741324304968</v>
      </c>
      <c r="I35" s="41" t="n">
        <v>0</v>
      </c>
      <c r="J35" s="41" t="n">
        <v>0.03255420274757471</v>
      </c>
      <c r="K35" s="41" t="n">
        <v>0</v>
      </c>
      <c r="L35" s="41" t="n">
        <v>0.3271592389301637</v>
      </c>
      <c r="M35" s="41" t="n">
        <v>0.4232046357184713</v>
      </c>
      <c r="N35" s="41" t="n">
        <v>0.5192500325067788</v>
      </c>
    </row>
    <row r="36">
      <c r="A36" t="inlineStr">
        <is>
          <t>NSW</t>
        </is>
      </c>
      <c r="B36" t="inlineStr">
        <is>
          <t>Medical scientist</t>
        </is>
      </c>
      <c r="C36" s="41" t="n">
        <v>0.04115412445730825</v>
      </c>
      <c r="D36" s="41" t="n">
        <v>0.03919440424505548</v>
      </c>
      <c r="E36" s="41" t="n">
        <v>0.01371804148576942</v>
      </c>
      <c r="F36" s="41" t="n">
        <v>0</v>
      </c>
      <c r="G36" s="41" t="n">
        <v>0</v>
      </c>
      <c r="H36" s="41" t="n">
        <v>0.01802942595272552</v>
      </c>
      <c r="I36" s="41" t="n">
        <v>0</v>
      </c>
      <c r="J36" s="41" t="n">
        <v>0.03014954172696575</v>
      </c>
      <c r="K36" s="41" t="n">
        <v>0.06859020742884707</v>
      </c>
      <c r="L36" s="41" t="n">
        <v>0.2560558204598672</v>
      </c>
      <c r="M36" s="41" t="n">
        <v>0.3919440424505548</v>
      </c>
      <c r="N36" s="41" t="n">
        <v>0.5278322644412424</v>
      </c>
    </row>
    <row r="37">
      <c r="A37" t="inlineStr">
        <is>
          <t>NSW</t>
        </is>
      </c>
      <c r="B37" t="inlineStr">
        <is>
          <t>Admin staff</t>
        </is>
      </c>
      <c r="C37" s="41" t="n">
        <v>0.04443648675043948</v>
      </c>
      <c r="D37" s="41" t="n">
        <v>0.04232046357184713</v>
      </c>
      <c r="E37" s="41" t="n">
        <v>0.0148121622501465</v>
      </c>
      <c r="F37" s="41" t="n">
        <v>0</v>
      </c>
      <c r="G37" s="41" t="n">
        <v>0</v>
      </c>
      <c r="H37" s="41" t="n">
        <v>0.01946741324304968</v>
      </c>
      <c r="I37" s="41" t="n">
        <v>0</v>
      </c>
      <c r="J37" s="41" t="n">
        <v>0.03255420274757471</v>
      </c>
      <c r="K37" s="41" t="n">
        <v>0</v>
      </c>
      <c r="L37" s="41" t="n">
        <v>0.351905237659233</v>
      </c>
      <c r="M37" s="41" t="n">
        <v>0.4232046357184713</v>
      </c>
      <c r="N37" s="41" t="n">
        <v>0.4945040337777095</v>
      </c>
    </row>
    <row r="38">
      <c r="A38" t="inlineStr">
        <is>
          <t>NSW</t>
        </is>
      </c>
      <c r="B38" t="inlineStr">
        <is>
          <t>Bioinformatics staff</t>
        </is>
      </c>
      <c r="C38" s="41" t="n">
        <v>0.04115412445730825</v>
      </c>
      <c r="D38" s="41" t="n">
        <v>0.03919440424505548</v>
      </c>
      <c r="E38" s="41" t="n">
        <v>0.01371804148576942</v>
      </c>
      <c r="F38" s="41" t="n">
        <v>0</v>
      </c>
      <c r="G38" s="41" t="n">
        <v>0</v>
      </c>
      <c r="H38" s="41" t="n">
        <v>0.01802942595272552</v>
      </c>
      <c r="I38" s="41" t="n">
        <v>0</v>
      </c>
      <c r="J38" s="41" t="n">
        <v>0.03014954172696575</v>
      </c>
      <c r="K38" s="41" t="n">
        <v>0.06859020742884708</v>
      </c>
      <c r="L38" s="41" t="n">
        <v>0.28650407610189</v>
      </c>
      <c r="M38" s="41" t="n">
        <v>0.3919440424505548</v>
      </c>
      <c r="N38" s="41" t="n">
        <v>0.4973840087992195</v>
      </c>
    </row>
    <row r="39">
      <c r="A39" t="inlineStr">
        <is>
          <t>NSW</t>
        </is>
      </c>
      <c r="B39" t="inlineStr">
        <is>
          <t>Pathologists</t>
        </is>
      </c>
      <c r="C39" s="41" t="n">
        <v>0.03467067920629154</v>
      </c>
      <c r="D39" s="41" t="n">
        <v>0</v>
      </c>
      <c r="E39" s="41" t="n">
        <v>0.01155689306876385</v>
      </c>
      <c r="F39" s="41" t="n">
        <v>0.06603938896436484</v>
      </c>
      <c r="G39" s="41" t="n">
        <v>0.05745426839899741</v>
      </c>
      <c r="H39" s="41" t="n">
        <v>0.01518905946180391</v>
      </c>
      <c r="I39" s="41" t="n">
        <v>0.05960545108869131</v>
      </c>
      <c r="J39" s="41" t="n">
        <v>0.03174970623286771</v>
      </c>
      <c r="K39" s="41" t="n">
        <v>0.05778446534381923</v>
      </c>
      <c r="L39" s="41" t="n">
        <v>0.2808953939489648</v>
      </c>
      <c r="M39" s="41" t="n">
        <v>0.3301969448218242</v>
      </c>
      <c r="N39" s="41" t="n">
        <v>0.3794984956946836</v>
      </c>
    </row>
    <row r="40">
      <c r="A40" t="inlineStr">
        <is>
          <t>QLD</t>
        </is>
      </c>
      <c r="B40" t="inlineStr">
        <is>
          <t>Lab technician</t>
        </is>
      </c>
      <c r="C40" s="41" t="n">
        <v>0.05287306085310563</v>
      </c>
      <c r="D40" s="41" t="n">
        <v>0.04146906733576913</v>
      </c>
      <c r="E40" s="41" t="n">
        <v>0.01451417356751919</v>
      </c>
      <c r="F40" s="41" t="n">
        <v>0</v>
      </c>
      <c r="G40" s="41" t="n">
        <v>0</v>
      </c>
      <c r="H40" s="41" t="n">
        <v>0.0190757709744538</v>
      </c>
      <c r="I40" s="41" t="n">
        <v>0.01078729798779338</v>
      </c>
      <c r="J40" s="41" t="n">
        <v>0.03189928256597625</v>
      </c>
      <c r="K40" s="41" t="n">
        <v>0</v>
      </c>
      <c r="L40" s="41" t="n">
        <v>0.2868263372964646</v>
      </c>
      <c r="M40" s="41" t="n">
        <v>0.4146906733576913</v>
      </c>
      <c r="N40" s="41" t="n">
        <v>0.542555009418918</v>
      </c>
    </row>
    <row r="41">
      <c r="A41" t="inlineStr">
        <is>
          <t>QLD</t>
        </is>
      </c>
      <c r="B41" t="inlineStr">
        <is>
          <t>Medical scientist</t>
        </is>
      </c>
      <c r="C41" s="41" t="n">
        <v>0.05306022937250114</v>
      </c>
      <c r="D41" s="41" t="n">
        <v>0.0416158661745107</v>
      </c>
      <c r="E41" s="41" t="n">
        <v>0.01456555316107875</v>
      </c>
      <c r="F41" s="41" t="n">
        <v>0</v>
      </c>
      <c r="G41" s="41" t="n">
        <v>0</v>
      </c>
      <c r="H41" s="41" t="n">
        <v>0.01914329844027492</v>
      </c>
      <c r="I41" s="41" t="n">
        <v>0.007285524611796971</v>
      </c>
      <c r="J41" s="41" t="n">
        <v>0.03201220474962362</v>
      </c>
      <c r="K41" s="41" t="n">
        <v>0</v>
      </c>
      <c r="L41" s="41" t="n">
        <v>0.2754255473586839</v>
      </c>
      <c r="M41" s="41" t="n">
        <v>0.416158661745107</v>
      </c>
      <c r="N41" s="41" t="n">
        <v>0.5568917761315301</v>
      </c>
    </row>
    <row r="42">
      <c r="A42" t="inlineStr">
        <is>
          <t>QLD</t>
        </is>
      </c>
      <c r="B42" t="inlineStr">
        <is>
          <t>Admin staff</t>
        </is>
      </c>
      <c r="C42" s="41" t="n">
        <v>0.05281596837472862</v>
      </c>
      <c r="D42" s="41" t="n">
        <v>0.04142428892135578</v>
      </c>
      <c r="E42" s="41" t="n">
        <v>0.01449850112247452</v>
      </c>
      <c r="F42" s="41" t="n">
        <v>0</v>
      </c>
      <c r="G42" s="41" t="n">
        <v>0</v>
      </c>
      <c r="H42" s="41" t="n">
        <v>0.01905517290382366</v>
      </c>
      <c r="I42" s="41" t="n">
        <v>0.01185545261868981</v>
      </c>
      <c r="J42" s="41" t="n">
        <v>0.03186483763181214</v>
      </c>
      <c r="K42" s="41" t="n">
        <v>0</v>
      </c>
      <c r="L42" s="41" t="n">
        <v>0.3097220765180606</v>
      </c>
      <c r="M42" s="41" t="n">
        <v>0.4142428892135578</v>
      </c>
      <c r="N42" s="41" t="n">
        <v>0.518763701909055</v>
      </c>
    </row>
    <row r="43">
      <c r="A43" t="inlineStr">
        <is>
          <t>QLD</t>
        </is>
      </c>
      <c r="B43" t="inlineStr">
        <is>
          <t>Bioinformatics staff</t>
        </is>
      </c>
      <c r="C43" s="41" t="n">
        <v>0.05306022937250114</v>
      </c>
      <c r="D43" s="41" t="n">
        <v>0.0416158661745107</v>
      </c>
      <c r="E43" s="41" t="n">
        <v>0.01456555316107875</v>
      </c>
      <c r="F43" s="41" t="n">
        <v>0</v>
      </c>
      <c r="G43" s="41" t="n">
        <v>0</v>
      </c>
      <c r="H43" s="41" t="n">
        <v>0.01914329844027492</v>
      </c>
      <c r="I43" s="41" t="n">
        <v>0.007285524611796971</v>
      </c>
      <c r="J43" s="41" t="n">
        <v>0.03201220474962362</v>
      </c>
      <c r="K43" s="41" t="n">
        <v>0</v>
      </c>
      <c r="L43" s="41" t="n">
        <v>0.2754255473586839</v>
      </c>
      <c r="M43" s="41" t="n">
        <v>0.416158661745107</v>
      </c>
      <c r="N43" s="41" t="n">
        <v>0.5568917761315301</v>
      </c>
    </row>
    <row r="44">
      <c r="A44" t="inlineStr">
        <is>
          <t>QLD</t>
        </is>
      </c>
      <c r="B44" t="inlineStr">
        <is>
          <t>Pathologists</t>
        </is>
      </c>
      <c r="C44" s="41" t="n">
        <v>0.04426065928439474</v>
      </c>
      <c r="D44" s="41" t="n">
        <v>0</v>
      </c>
      <c r="E44" s="41" t="n">
        <v>0.01214998490159856</v>
      </c>
      <c r="F44" s="41" t="n">
        <v>0</v>
      </c>
      <c r="G44" s="41" t="n">
        <v>0.1735712128799794</v>
      </c>
      <c r="H44" s="41" t="n">
        <v>0.0159685515849581</v>
      </c>
      <c r="I44" s="41" t="n">
        <v>0.03306147630915496</v>
      </c>
      <c r="J44" s="41" t="n">
        <v>0.02670326351999683</v>
      </c>
      <c r="K44" s="41" t="n">
        <v>0</v>
      </c>
      <c r="L44" s="41" t="n">
        <v>0.2912577665958979</v>
      </c>
      <c r="M44" s="41" t="n">
        <v>0.3471424257599587</v>
      </c>
      <c r="N44" s="41" t="n">
        <v>0.4030270849240197</v>
      </c>
    </row>
    <row r="45">
      <c r="A45" t="inlineStr">
        <is>
          <t>SA</t>
        </is>
      </c>
      <c r="B45" t="inlineStr">
        <is>
          <t>Lab technician</t>
        </is>
      </c>
      <c r="C45" s="41" t="n">
        <v>0.04443648675043949</v>
      </c>
      <c r="D45" s="41" t="n">
        <v>0.04232046357184713</v>
      </c>
      <c r="E45" s="41" t="n">
        <v>0.0148121622501465</v>
      </c>
      <c r="F45" s="41" t="n">
        <v>0</v>
      </c>
      <c r="G45" s="41" t="n">
        <v>0</v>
      </c>
      <c r="H45" s="41" t="n">
        <v>0.01946741324304968</v>
      </c>
      <c r="I45" s="41" t="n">
        <v>0</v>
      </c>
      <c r="J45" s="41" t="n">
        <v>0.03255420274757472</v>
      </c>
      <c r="K45" s="41" t="n">
        <v>0</v>
      </c>
      <c r="L45" s="41" t="n">
        <v>0.2962045603517178</v>
      </c>
      <c r="M45" s="41" t="n">
        <v>0.4232046357184713</v>
      </c>
      <c r="N45" s="41" t="n">
        <v>0.5502047110852248</v>
      </c>
    </row>
    <row r="46">
      <c r="A46" t="inlineStr">
        <is>
          <t>SA</t>
        </is>
      </c>
      <c r="B46" t="inlineStr">
        <is>
          <t>Medical scientist</t>
        </is>
      </c>
      <c r="C46" s="41" t="n">
        <v>0.04407775768535262</v>
      </c>
      <c r="D46" s="41" t="n">
        <v>0.04197881684319298</v>
      </c>
      <c r="E46" s="41" t="n">
        <v>0.01469258589511754</v>
      </c>
      <c r="F46" s="41" t="n">
        <v>0</v>
      </c>
      <c r="G46" s="41" t="n">
        <v>0</v>
      </c>
      <c r="H46" s="41" t="n">
        <v>0.01931025574786877</v>
      </c>
      <c r="I46" s="41" t="n">
        <v>0</v>
      </c>
      <c r="J46" s="41" t="n">
        <v>0.04036424696460863</v>
      </c>
      <c r="K46" s="41" t="n">
        <v>0</v>
      </c>
      <c r="L46" s="41" t="n">
        <v>0.2673502690911384</v>
      </c>
      <c r="M46" s="41" t="n">
        <v>0.4197881684319297</v>
      </c>
      <c r="N46" s="41" t="n">
        <v>0.572226067772721</v>
      </c>
    </row>
    <row r="47">
      <c r="A47" t="inlineStr">
        <is>
          <t>SA</t>
        </is>
      </c>
      <c r="B47" t="inlineStr">
        <is>
          <t>Admin staff</t>
        </is>
      </c>
      <c r="C47" s="41" t="n">
        <v>0.04443648675043948</v>
      </c>
      <c r="D47" s="41" t="n">
        <v>0.04232046357184713</v>
      </c>
      <c r="E47" s="41" t="n">
        <v>0.0148121622501465</v>
      </c>
      <c r="F47" s="41" t="n">
        <v>0</v>
      </c>
      <c r="G47" s="41" t="n">
        <v>0</v>
      </c>
      <c r="H47" s="41" t="n">
        <v>0.01946741324304968</v>
      </c>
      <c r="I47" s="41" t="n">
        <v>0</v>
      </c>
      <c r="J47" s="41" t="n">
        <v>0.03255420274757471</v>
      </c>
      <c r="K47" s="41" t="n">
        <v>0</v>
      </c>
      <c r="L47" s="41" t="n">
        <v>0.3800788185462889</v>
      </c>
      <c r="M47" s="41" t="n">
        <v>0.4232046357184713</v>
      </c>
      <c r="N47" s="41" t="n">
        <v>0.4663304528906537</v>
      </c>
    </row>
    <row r="48">
      <c r="A48" t="inlineStr">
        <is>
          <t>SA</t>
        </is>
      </c>
      <c r="B48" t="inlineStr">
        <is>
          <t>Bioinformatics staff</t>
        </is>
      </c>
      <c r="C48" s="41" t="n">
        <v>0.04443648675043949</v>
      </c>
      <c r="D48" s="41" t="n">
        <v>0.04232046357184713</v>
      </c>
      <c r="E48" s="41" t="n">
        <v>0.0148121622501465</v>
      </c>
      <c r="F48" s="41" t="n">
        <v>0</v>
      </c>
      <c r="G48" s="41" t="n">
        <v>0</v>
      </c>
      <c r="H48" s="41" t="n">
        <v>0.01946741324304968</v>
      </c>
      <c r="I48" s="41" t="n">
        <v>0</v>
      </c>
      <c r="J48" s="41" t="n">
        <v>0.03255420274757472</v>
      </c>
      <c r="K48" s="41" t="n">
        <v>0</v>
      </c>
      <c r="L48" s="41" t="n">
        <v>0.3067543381663048</v>
      </c>
      <c r="M48" s="41" t="n">
        <v>0.4232046357184713</v>
      </c>
      <c r="N48" s="41" t="n">
        <v>0.5396549332706378</v>
      </c>
    </row>
    <row r="49">
      <c r="A49" t="inlineStr">
        <is>
          <t>SA</t>
        </is>
      </c>
      <c r="B49" t="inlineStr">
        <is>
          <t>Pathologists</t>
        </is>
      </c>
      <c r="C49" s="41" t="n">
        <v>0.03306858734159354</v>
      </c>
      <c r="D49" s="41" t="n">
        <v>0</v>
      </c>
      <c r="E49" s="41" t="n">
        <v>0.01102286244719785</v>
      </c>
      <c r="F49" s="41" t="n">
        <v>0</v>
      </c>
      <c r="G49" s="41" t="n">
        <v>0.1889633562376773</v>
      </c>
      <c r="H49" s="41" t="n">
        <v>0.0144871906448886</v>
      </c>
      <c r="I49" s="41" t="n">
        <v>0.03188379472679434</v>
      </c>
      <c r="J49" s="41" t="n">
        <v>0.03028258914065343</v>
      </c>
      <c r="K49" s="41" t="n">
        <v>0.05511431223598923</v>
      </c>
      <c r="L49" s="41" t="n">
        <v>0.2717750136516006</v>
      </c>
      <c r="M49" s="41" t="n">
        <v>0.3149389270627956</v>
      </c>
      <c r="N49" s="41" t="n">
        <v>0.3581028404739907</v>
      </c>
    </row>
    <row r="50">
      <c r="A50" t="inlineStr">
        <is>
          <t>VIC</t>
        </is>
      </c>
      <c r="B50" t="inlineStr">
        <is>
          <t>Lab technician</t>
        </is>
      </c>
      <c r="C50" s="41" t="n">
        <v>0.04115412445730825</v>
      </c>
      <c r="D50" s="41" t="n">
        <v>0.03919440424505548</v>
      </c>
      <c r="E50" s="41" t="n">
        <v>0.01371804148576942</v>
      </c>
      <c r="F50" s="41" t="n">
        <v>0</v>
      </c>
      <c r="G50" s="41" t="n">
        <v>0</v>
      </c>
      <c r="H50" s="41" t="n">
        <v>0.01802942595272552</v>
      </c>
      <c r="I50" s="41" t="n">
        <v>0</v>
      </c>
      <c r="J50" s="41" t="n">
        <v>0.03014954172696576</v>
      </c>
      <c r="K50" s="41" t="n">
        <v>0.0685902074288471</v>
      </c>
      <c r="L50" s="41" t="n">
        <v>0.3286140997176234</v>
      </c>
      <c r="M50" s="41" t="n">
        <v>0.3919440424505548</v>
      </c>
      <c r="N50" s="41" t="n">
        <v>0.4552739851834862</v>
      </c>
    </row>
    <row r="51">
      <c r="A51" t="inlineStr">
        <is>
          <t>VIC</t>
        </is>
      </c>
      <c r="B51" t="inlineStr">
        <is>
          <t>Medical scientist</t>
        </is>
      </c>
      <c r="C51" s="41" t="n">
        <v>0.04079284556247058</v>
      </c>
      <c r="D51" s="41" t="n">
        <v>0.03885032910711484</v>
      </c>
      <c r="E51" s="41" t="n">
        <v>0.01359761518749019</v>
      </c>
      <c r="F51" s="41" t="n">
        <v>0</v>
      </c>
      <c r="G51" s="41" t="n">
        <v>0</v>
      </c>
      <c r="H51" s="41" t="n">
        <v>0.01787115138927283</v>
      </c>
      <c r="I51" s="41" t="n">
        <v>0</v>
      </c>
      <c r="J51" s="41" t="n">
        <v>0.03735608567991812</v>
      </c>
      <c r="K51" s="41" t="n">
        <v>0.06798807593745096</v>
      </c>
      <c r="L51" s="41" t="n">
        <v>0.2333954540581572</v>
      </c>
      <c r="M51" s="41" t="n">
        <v>0.3885032910711484</v>
      </c>
      <c r="N51" s="41" t="n">
        <v>0.5436111280841396</v>
      </c>
    </row>
    <row r="52">
      <c r="A52" t="inlineStr">
        <is>
          <t>VIC</t>
        </is>
      </c>
      <c r="B52" t="inlineStr">
        <is>
          <t>Admin staff</t>
        </is>
      </c>
      <c r="C52" s="41" t="n">
        <v>0.04115412445730825</v>
      </c>
      <c r="D52" s="41" t="n">
        <v>0.03919440424505548</v>
      </c>
      <c r="E52" s="41" t="n">
        <v>0.01371804148576942</v>
      </c>
      <c r="F52" s="41" t="n">
        <v>0</v>
      </c>
      <c r="G52" s="41" t="n">
        <v>0</v>
      </c>
      <c r="H52" s="41" t="n">
        <v>0.01802942595272552</v>
      </c>
      <c r="I52" s="41" t="n">
        <v>0</v>
      </c>
      <c r="J52" s="41" t="n">
        <v>0.03014954172696575</v>
      </c>
      <c r="K52" s="41" t="n">
        <v>0.06859020742884708</v>
      </c>
      <c r="L52" s="41" t="n">
        <v>0.3218234923484998</v>
      </c>
      <c r="M52" s="41" t="n">
        <v>0.3919440424505548</v>
      </c>
      <c r="N52" s="41" t="n">
        <v>0.4620645925526097</v>
      </c>
    </row>
    <row r="53">
      <c r="A53" t="inlineStr">
        <is>
          <t>VIC</t>
        </is>
      </c>
      <c r="B53" t="inlineStr">
        <is>
          <t>Bioinformatics staff</t>
        </is>
      </c>
      <c r="C53" s="41" t="n">
        <v>0.04115412445730824</v>
      </c>
      <c r="D53" s="41" t="n">
        <v>0.03919440424505548</v>
      </c>
      <c r="E53" s="41" t="n">
        <v>0.01371804148576942</v>
      </c>
      <c r="F53" s="41" t="n">
        <v>0</v>
      </c>
      <c r="G53" s="41" t="n">
        <v>0</v>
      </c>
      <c r="H53" s="41" t="n">
        <v>0.01802942595272552</v>
      </c>
      <c r="I53" s="41" t="n">
        <v>0</v>
      </c>
      <c r="J53" s="41" t="n">
        <v>0.03014954172696575</v>
      </c>
      <c r="K53" s="41" t="n">
        <v>0.06859020742884707</v>
      </c>
      <c r="L53" s="41" t="n">
        <v>0.3063797963507424</v>
      </c>
      <c r="M53" s="41" t="n">
        <v>0.3919440424505548</v>
      </c>
      <c r="N53" s="41" t="n">
        <v>0.4775082885503671</v>
      </c>
    </row>
    <row r="54">
      <c r="A54" t="inlineStr">
        <is>
          <t>VIC</t>
        </is>
      </c>
      <c r="B54" t="inlineStr">
        <is>
          <t>Pathologists</t>
        </is>
      </c>
      <c r="C54" s="41" t="n">
        <v>0.04118816245801983</v>
      </c>
      <c r="D54" s="41" t="n">
        <v>0</v>
      </c>
      <c r="E54" s="41" t="n">
        <v>0.01372938748600661</v>
      </c>
      <c r="F54" s="41" t="n">
        <v>0</v>
      </c>
      <c r="G54" s="41" t="n">
        <v>0</v>
      </c>
      <c r="H54" s="41" t="n">
        <v>0.01804433783875155</v>
      </c>
      <c r="I54" s="41" t="n">
        <v>0.03839973537569519</v>
      </c>
      <c r="J54" s="41" t="n">
        <v>0.03017447799122332</v>
      </c>
      <c r="K54" s="41" t="n">
        <v>0.06864693743003306</v>
      </c>
      <c r="L54" s="41" t="n">
        <v>0.3303285907448332</v>
      </c>
      <c r="M54" s="41" t="n">
        <v>0.3922682138859032</v>
      </c>
      <c r="N54" s="41" t="n">
        <v>0.4542078370269731</v>
      </c>
    </row>
    <row r="55">
      <c r="A55" t="inlineStr">
        <is>
          <t>WA</t>
        </is>
      </c>
      <c r="B55" t="inlineStr">
        <is>
          <t>Lab technician</t>
        </is>
      </c>
      <c r="C55" s="41" t="n">
        <v>0.04072438689659287</v>
      </c>
      <c r="D55" s="41" t="n">
        <v>0.0387851303777075</v>
      </c>
      <c r="E55" s="41" t="n">
        <v>0.01357479563219763</v>
      </c>
      <c r="F55" s="41" t="n">
        <v>0</v>
      </c>
      <c r="G55" s="41" t="n">
        <v>0</v>
      </c>
      <c r="H55" s="41" t="n">
        <v>0.01784115997374545</v>
      </c>
      <c r="I55" s="41" t="n">
        <v>0</v>
      </c>
      <c r="J55" s="41" t="n">
        <v>0.02983471567515962</v>
      </c>
      <c r="K55" s="41" t="n">
        <v>0.077570260755415</v>
      </c>
      <c r="L55" s="41" t="n">
        <v>0.3129146146757679</v>
      </c>
      <c r="M55" s="41" t="n">
        <v>0.387851303777075</v>
      </c>
      <c r="N55" s="41" t="n">
        <v>0.4627879928783821</v>
      </c>
    </row>
    <row r="56">
      <c r="A56" t="inlineStr">
        <is>
          <t>WA</t>
        </is>
      </c>
      <c r="B56" t="inlineStr">
        <is>
          <t>Medical scientist</t>
        </is>
      </c>
      <c r="C56" s="41" t="n">
        <v>0.04072438689659288</v>
      </c>
      <c r="D56" s="41" t="n">
        <v>0.03878513037770751</v>
      </c>
      <c r="E56" s="41" t="n">
        <v>0.01357479563219763</v>
      </c>
      <c r="F56" s="41" t="n">
        <v>0</v>
      </c>
      <c r="G56" s="41" t="n">
        <v>0</v>
      </c>
      <c r="H56" s="41" t="n">
        <v>0.01784115997374545</v>
      </c>
      <c r="I56" s="41" t="n">
        <v>0</v>
      </c>
      <c r="J56" s="41" t="n">
        <v>0.02983471567515962</v>
      </c>
      <c r="K56" s="41" t="n">
        <v>0.07757026075541501</v>
      </c>
      <c r="L56" s="41" t="n">
        <v>0.2768466038176565</v>
      </c>
      <c r="M56" s="41" t="n">
        <v>0.387851303777075</v>
      </c>
      <c r="N56" s="41" t="n">
        <v>0.4988560037364936</v>
      </c>
    </row>
    <row r="57">
      <c r="A57" t="inlineStr">
        <is>
          <t>WA</t>
        </is>
      </c>
      <c r="B57" t="inlineStr">
        <is>
          <t>Admin staff</t>
        </is>
      </c>
      <c r="C57" s="41" t="n">
        <v>0.04072438689659288</v>
      </c>
      <c r="D57" s="41" t="n">
        <v>0.03878513037770751</v>
      </c>
      <c r="E57" s="41" t="n">
        <v>0.01357479563219763</v>
      </c>
      <c r="F57" s="41" t="n">
        <v>0</v>
      </c>
      <c r="G57" s="41" t="n">
        <v>0</v>
      </c>
      <c r="H57" s="41" t="n">
        <v>0.01784115997374545</v>
      </c>
      <c r="I57" s="41" t="n">
        <v>0</v>
      </c>
      <c r="J57" s="41" t="n">
        <v>0.02983471567515962</v>
      </c>
      <c r="K57" s="41" t="n">
        <v>0.07757026075541501</v>
      </c>
      <c r="L57" s="41" t="n">
        <v>0.3527196231509651</v>
      </c>
      <c r="M57" s="41" t="n">
        <v>0.3878513037770751</v>
      </c>
      <c r="N57" s="41" t="n">
        <v>0.422982984403185</v>
      </c>
    </row>
    <row r="58">
      <c r="A58" t="inlineStr">
        <is>
          <t>WA</t>
        </is>
      </c>
      <c r="B58" t="inlineStr">
        <is>
          <t>Bioinformatics staff</t>
        </is>
      </c>
      <c r="C58" s="41" t="n">
        <v>0.04072438689659287</v>
      </c>
      <c r="D58" s="41" t="n">
        <v>0.0387851303777075</v>
      </c>
      <c r="E58" s="41" t="n">
        <v>0.01357479563219763</v>
      </c>
      <c r="F58" s="41" t="n">
        <v>0</v>
      </c>
      <c r="G58" s="41" t="n">
        <v>0</v>
      </c>
      <c r="H58" s="41" t="n">
        <v>0.01784115997374545</v>
      </c>
      <c r="I58" s="41" t="n">
        <v>0</v>
      </c>
      <c r="J58" s="41" t="n">
        <v>0.02983471567515962</v>
      </c>
      <c r="K58" s="41" t="n">
        <v>0.077570260755415</v>
      </c>
      <c r="L58" s="41" t="n">
        <v>0.3570890341109314</v>
      </c>
      <c r="M58" s="41" t="n">
        <v>0.387851303777075</v>
      </c>
      <c r="N58" s="41" t="n">
        <v>0.4186135734432186</v>
      </c>
    </row>
    <row r="59">
      <c r="A59" t="inlineStr">
        <is>
          <t>WA</t>
        </is>
      </c>
      <c r="B59" t="inlineStr">
        <is>
          <t>Pathologists</t>
        </is>
      </c>
      <c r="C59" s="41" t="n">
        <v>0.04472998331339779</v>
      </c>
      <c r="D59" s="41" t="n">
        <v>0</v>
      </c>
      <c r="E59" s="41" t="n">
        <v>0.01490999443779926</v>
      </c>
      <c r="F59" s="41" t="n">
        <v>0</v>
      </c>
      <c r="G59" s="41" t="n">
        <v>0</v>
      </c>
      <c r="H59" s="41" t="n">
        <v>0.01959599268967903</v>
      </c>
      <c r="I59" s="41" t="n">
        <v>0.03599512885455231</v>
      </c>
      <c r="J59" s="41" t="n">
        <v>0.03276921854461377</v>
      </c>
      <c r="K59" s="41" t="n">
        <v>0</v>
      </c>
      <c r="L59" s="41" t="n">
        <v>0.370742730026806</v>
      </c>
      <c r="M59" s="41" t="n">
        <v>0.4259998410799789</v>
      </c>
      <c r="N59" s="41" t="n">
        <v>0.4812569521331519</v>
      </c>
    </row>
    <row r="60">
      <c r="A60" t="inlineStr">
        <is>
          <t>ALL</t>
        </is>
      </c>
      <c r="B60" t="inlineStr">
        <is>
          <t>Lab technician</t>
        </is>
      </c>
      <c r="C60" t="inlineStr">
        <is>
          <t>4.3% (4.1% - 5.0%)</t>
        </is>
      </c>
      <c r="D60" t="inlineStr">
        <is>
          <t>3.9% (3.9% - 3.9%)</t>
        </is>
      </c>
      <c r="E60" t="inlineStr">
        <is>
          <t>1.4% (1.4% - 1.4%)</t>
        </is>
      </c>
      <c r="F60" t="inlineStr">
        <is>
          <t>0.0% (0.0% - 0.0%)</t>
        </is>
      </c>
      <c r="G60" t="inlineStr">
        <is>
          <t>0.0% (0.0% - 0.0%)</t>
        </is>
      </c>
      <c r="H60" t="inlineStr">
        <is>
          <t>1.8% (1.8% - 1.8%)</t>
        </is>
      </c>
      <c r="I60" t="inlineStr">
        <is>
          <t>0.2% (0.0% - 0.8%)</t>
        </is>
      </c>
      <c r="J60" t="inlineStr">
        <is>
          <t>3.0% (3.0% - 3.0%)</t>
        </is>
      </c>
      <c r="K60" t="inlineStr">
        <is>
          <t>2.9% (0.0% - 7.8%)</t>
        </is>
      </c>
      <c r="L60" t="inlineStr">
        <is>
          <t>24.8% (20.0% - 32.9%)</t>
        </is>
      </c>
      <c r="M60" t="inlineStr">
        <is>
          <t>32.3% (29.0% - 39.2%)</t>
        </is>
      </c>
      <c r="N60" t="inlineStr">
        <is>
          <t>39.9% (35.1% - 45.5%)</t>
        </is>
      </c>
    </row>
    <row r="61">
      <c r="A61" t="inlineStr">
        <is>
          <t>ALL</t>
        </is>
      </c>
      <c r="B61" t="inlineStr">
        <is>
          <t>Medical scientist</t>
        </is>
      </c>
      <c r="C61" t="inlineStr">
        <is>
          <t>4.3% (4.1% - 5.0%)</t>
        </is>
      </c>
      <c r="D61" t="inlineStr">
        <is>
          <t>3.9% (3.9% - 3.9%)</t>
        </is>
      </c>
      <c r="E61" t="inlineStr">
        <is>
          <t>1.4% (1.4% - 1.4%)</t>
        </is>
      </c>
      <c r="F61" t="inlineStr">
        <is>
          <t>0.0% (0.0% - 0.0%)</t>
        </is>
      </c>
      <c r="G61" t="inlineStr">
        <is>
          <t>0.0% (0.0% - 0.0%)</t>
        </is>
      </c>
      <c r="H61" t="inlineStr">
        <is>
          <t>1.8% (1.8% - 1.8%)</t>
        </is>
      </c>
      <c r="I61" t="inlineStr">
        <is>
          <t>0.1% (0.0% - 0.7%)</t>
        </is>
      </c>
      <c r="J61" t="inlineStr">
        <is>
          <t>3.3% (3.0% - 3.7%)</t>
        </is>
      </c>
      <c r="K61" t="inlineStr">
        <is>
          <t>4.3% (0.0% - 7.8%)</t>
        </is>
      </c>
      <c r="L61" t="inlineStr">
        <is>
          <t>26.1% (23.3% - 29.7%)</t>
        </is>
      </c>
      <c r="M61" t="inlineStr">
        <is>
          <t>39.8% (38.9% - 41.6%)</t>
        </is>
      </c>
      <c r="N61" t="inlineStr">
        <is>
          <t>53.6% (52.8% - 54.4%)</t>
        </is>
      </c>
    </row>
    <row r="62">
      <c r="A62" t="inlineStr">
        <is>
          <t>ALL</t>
        </is>
      </c>
      <c r="B62" t="inlineStr">
        <is>
          <t>Admin staff</t>
        </is>
      </c>
      <c r="C62" t="inlineStr">
        <is>
          <t>4.3% (4.1% - 5.0%)</t>
        </is>
      </c>
      <c r="D62" t="inlineStr">
        <is>
          <t>3.9% (3.9% - 3.9%)</t>
        </is>
      </c>
      <c r="E62" t="inlineStr">
        <is>
          <t>1.4% (1.4% - 1.4%)</t>
        </is>
      </c>
      <c r="F62" t="inlineStr">
        <is>
          <t>0.0% (0.0% - 0.0%)</t>
        </is>
      </c>
      <c r="G62" t="inlineStr">
        <is>
          <t>0.0% (0.0% - 0.0%)</t>
        </is>
      </c>
      <c r="H62" t="inlineStr">
        <is>
          <t>1.8% (1.8% - 1.8%)</t>
        </is>
      </c>
      <c r="I62" t="inlineStr">
        <is>
          <t>0.2% (0.0% - 0.9%)</t>
        </is>
      </c>
      <c r="J62" t="inlineStr">
        <is>
          <t>3.0% (3.0% - 3.0%)</t>
        </is>
      </c>
      <c r="K62" t="inlineStr">
        <is>
          <t>2.9% (0.0% - 7.8%)</t>
        </is>
      </c>
      <c r="L62" t="inlineStr">
        <is>
          <t>27.7% (24.1% - 32.2%)</t>
        </is>
      </c>
      <c r="M62" t="inlineStr">
        <is>
          <t>32.9% (29.3% - 39.2%)</t>
        </is>
      </c>
      <c r="N62" t="inlineStr">
        <is>
          <t>38.2% (34.2% - 46.2%)</t>
        </is>
      </c>
    </row>
    <row r="63">
      <c r="A63" t="inlineStr">
        <is>
          <t>ALL</t>
        </is>
      </c>
      <c r="B63" t="inlineStr">
        <is>
          <t>Bioinformatics staff</t>
        </is>
      </c>
      <c r="C63" t="inlineStr">
        <is>
          <t>4.3% (4.1% - 5.0%)</t>
        </is>
      </c>
      <c r="D63" t="inlineStr">
        <is>
          <t>3.9% (3.9% - 3.9%)</t>
        </is>
      </c>
      <c r="E63" t="inlineStr">
        <is>
          <t>1.4% (1.4% - 1.4%)</t>
        </is>
      </c>
      <c r="F63" t="inlineStr">
        <is>
          <t>0.0% (0.0% - 0.0%)</t>
        </is>
      </c>
      <c r="G63" t="inlineStr">
        <is>
          <t>0.0% (0.0% - 0.0%)</t>
        </is>
      </c>
      <c r="H63" t="inlineStr">
        <is>
          <t>1.8% (1.8% - 1.8%)</t>
        </is>
      </c>
      <c r="I63" t="inlineStr">
        <is>
          <t>0.1% (0.0% - 0.7%)</t>
        </is>
      </c>
      <c r="J63" t="inlineStr">
        <is>
          <t>3.0% (3.0% - 3.0%)</t>
        </is>
      </c>
      <c r="K63" t="inlineStr">
        <is>
          <t>4.3% (0.0% - 7.8%)</t>
        </is>
      </c>
      <c r="L63" t="inlineStr">
        <is>
          <t>27.8% (25.4% - 30.7%)</t>
        </is>
      </c>
      <c r="M63" t="inlineStr">
        <is>
          <t>36.6% (33.4% - 40.1%)</t>
        </is>
      </c>
      <c r="N63" t="inlineStr">
        <is>
          <t>45.3% (36.0% - 53.7%)</t>
        </is>
      </c>
    </row>
    <row r="64">
      <c r="A64" t="inlineStr">
        <is>
          <t>ALL</t>
        </is>
      </c>
      <c r="B64" t="inlineStr">
        <is>
          <t>Pathologists</t>
        </is>
      </c>
      <c r="C64" t="inlineStr">
        <is>
          <t>4.3% (4.1% - 5.0%)</t>
        </is>
      </c>
      <c r="D64" t="inlineStr">
        <is>
          <t>0.0% (0.0% - 0.0%)</t>
        </is>
      </c>
      <c r="E64" t="inlineStr">
        <is>
          <t>1.4% (1.4% - 1.4%)</t>
        </is>
      </c>
      <c r="F64" t="inlineStr">
        <is>
          <t>1.6% (0.0% - 7.8%)</t>
        </is>
      </c>
      <c r="G64" t="inlineStr">
        <is>
          <t>10.0% (0.0% - 23.5%)</t>
        </is>
      </c>
      <c r="H64" t="inlineStr">
        <is>
          <t>1.8% (1.8% - 1.8%)</t>
        </is>
      </c>
      <c r="I64" t="inlineStr">
        <is>
          <t>3.8% (2.8% - 5.0%)</t>
        </is>
      </c>
      <c r="J64" t="inlineStr">
        <is>
          <t>3.3% (3.0% - 3.8%)</t>
        </is>
      </c>
      <c r="K64" t="inlineStr">
        <is>
          <t>4.1% (0.0% - 6.9%)</t>
        </is>
      </c>
      <c r="L64" t="inlineStr">
        <is>
          <t>30.1% (23.7% - 39.4%)</t>
        </is>
      </c>
      <c r="M64" t="inlineStr">
        <is>
          <t>35.3% (27.9% - 45.3%)</t>
        </is>
      </c>
      <c r="N64" t="inlineStr">
        <is>
          <t>40.4% (32.0% - 51.2%)</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H124"/>
  <sheetViews>
    <sheetView topLeftCell="AM1" workbookViewId="0">
      <selection activeCell="AU4" sqref="AU4:DH38"/>
    </sheetView>
  </sheetViews>
  <sheetFormatPr baseColWidth="10" defaultColWidth="10.6640625" defaultRowHeight="16"/>
  <cols>
    <col width="10.6640625" customWidth="1" style="45" min="1" max="1"/>
    <col width="19.1640625" customWidth="1" style="46" min="2" max="2"/>
    <col hidden="1" width="9.5" customWidth="1" style="54" min="3" max="3"/>
    <col hidden="1" width="15.1640625" customWidth="1" style="45" min="4" max="4"/>
    <col hidden="1" width="19" customWidth="1" style="55" min="5" max="5"/>
    <col hidden="1" width="15.83203125" customWidth="1" style="45" min="6" max="6"/>
    <col hidden="1" width="14.1640625" customWidth="1" style="45" min="7" max="7"/>
    <col hidden="1" width="20" customWidth="1" style="56" min="8" max="8"/>
    <col hidden="1" width="6.83203125" customWidth="1" style="56" min="9" max="9"/>
    <col width="6.83203125" customWidth="1" style="56" min="10" max="10"/>
    <col width="11.33203125" customWidth="1" style="57" min="11" max="13"/>
    <col width="11.33203125" customWidth="1" style="58" min="14" max="16"/>
    <col width="14.1640625" customWidth="1" style="59" min="17" max="21"/>
    <col width="14.1640625" customWidth="1" style="57" min="22" max="24"/>
    <col width="14.1640625" customWidth="1" style="59" min="25" max="25"/>
    <col width="14.1640625" customWidth="1" style="60" min="26" max="27"/>
    <col width="14.1640625" customWidth="1" style="57" min="28" max="30"/>
    <col width="14.1640625" customWidth="1" style="59" min="31" max="34"/>
    <col width="14.1640625" customWidth="1" style="61" min="35" max="36"/>
    <col width="14.1640625" customWidth="1" style="74" min="37" max="37"/>
    <col width="14.1640625" customWidth="1" style="62" min="38" max="40"/>
    <col width="14.1640625" customWidth="1" style="59" min="41" max="42"/>
    <col width="14.1640625" customWidth="1" style="62" min="43" max="43"/>
    <col width="14.83203125" customWidth="1" style="64" min="44" max="49"/>
    <col width="12.83203125" customWidth="1" style="64" min="50" max="52"/>
    <col width="11.1640625" bestFit="1" customWidth="1" style="78" min="53" max="53"/>
    <col width="10.6640625" customWidth="1" style="78" min="54" max="112"/>
    <col width="10.6640625" customWidth="1" style="45" min="113" max="16384"/>
  </cols>
  <sheetData>
    <row r="1">
      <c r="AR1" s="85" t="inlineStr">
        <is>
          <t>Base Case</t>
        </is>
      </c>
      <c r="BA1" s="85" t="inlineStr">
        <is>
          <t>Superannuation Rate</t>
        </is>
      </c>
      <c r="BG1" s="85" t="inlineStr">
        <is>
          <t>Hours worked per week</t>
        </is>
      </c>
      <c r="BM1" s="85" t="inlineStr">
        <is>
          <t>Average Penalties</t>
        </is>
      </c>
      <c r="BS1" s="85" t="inlineStr">
        <is>
          <t>Public Holiday Penalty</t>
        </is>
      </c>
      <c r="BY1" s="85" t="inlineStr">
        <is>
          <t>Private Practice Loading</t>
        </is>
      </c>
      <c r="CE1" s="85" t="inlineStr">
        <is>
          <t>Attraction and Retention Allowance</t>
        </is>
      </c>
      <c r="CK1" s="85" t="inlineStr">
        <is>
          <t>Sick Leave</t>
        </is>
      </c>
      <c r="CQ1" s="85" t="inlineStr">
        <is>
          <t>Professional Development Allowance</t>
        </is>
      </c>
      <c r="CW1" s="85" t="inlineStr">
        <is>
          <t>Annual Leave</t>
        </is>
      </c>
      <c r="DC1" s="85" t="inlineStr">
        <is>
          <t xml:space="preserve">Leave Loading (%)		</t>
        </is>
      </c>
    </row>
    <row r="2" ht="34" customHeight="1">
      <c r="A2" s="1" t="inlineStr">
        <is>
          <t>Jurisdiction</t>
        </is>
      </c>
      <c r="B2" s="1" t="inlineStr">
        <is>
          <t>Personnel type</t>
        </is>
      </c>
      <c r="C2" s="84" t="inlineStr">
        <is>
          <t>Label</t>
        </is>
      </c>
      <c r="D2" s="1" t="inlineStr">
        <is>
          <t xml:space="preserve">Award </t>
        </is>
      </c>
      <c r="E2" s="3" t="inlineStr">
        <is>
          <t>Grade(s)</t>
        </is>
      </c>
      <c r="J2" s="86" t="inlineStr">
        <is>
          <t>Superannuation Rate (%)</t>
        </is>
      </c>
      <c r="M2" s="89" t="inlineStr">
        <is>
          <t>Hours per week</t>
        </is>
      </c>
      <c r="P2" s="87" t="inlineStr">
        <is>
          <t>Average productive time (%)</t>
        </is>
      </c>
      <c r="S2" s="87" t="inlineStr">
        <is>
          <t>Average Penalties %</t>
        </is>
      </c>
      <c r="V2" s="86" t="inlineStr">
        <is>
          <t>Public Holiday Penalty %</t>
        </is>
      </c>
      <c r="Y2" s="83" t="inlineStr">
        <is>
          <t>Private Practice Loading %</t>
        </is>
      </c>
      <c r="AB2" s="86" t="inlineStr">
        <is>
          <t>Attraction and Retention Allowance %</t>
        </is>
      </c>
      <c r="AE2" s="87" t="inlineStr">
        <is>
          <t>Sick Leave %</t>
        </is>
      </c>
      <c r="AH2" s="88" t="inlineStr">
        <is>
          <t>Professional Development Allowance ($)</t>
        </is>
      </c>
      <c r="AK2" s="84" t="inlineStr">
        <is>
          <t>Annual Leave (Weeks)</t>
        </is>
      </c>
      <c r="AN2" s="87" t="inlineStr">
        <is>
          <t>Annual Leave Loading (%)</t>
        </is>
      </c>
      <c r="AQ2" s="84" t="inlineStr">
        <is>
          <t>Indexation per annum (%)</t>
        </is>
      </c>
      <c r="AR2" s="85" t="inlineStr">
        <is>
          <t>Base Salary</t>
        </is>
      </c>
      <c r="AU2" s="85" t="inlineStr">
        <is>
          <t>Base Salary + Costs</t>
        </is>
      </c>
      <c r="AX2" s="85" t="inlineStr">
        <is>
          <t>Base Salary + Costs (hourly)</t>
        </is>
      </c>
      <c r="BA2" s="85" t="inlineStr">
        <is>
          <t>Base Salary + Costs</t>
        </is>
      </c>
      <c r="BD2" s="85" t="inlineStr">
        <is>
          <t>Base Salary + Costs (hourly)</t>
        </is>
      </c>
      <c r="BG2" s="85" t="inlineStr">
        <is>
          <t>Base Salary + Costs</t>
        </is>
      </c>
      <c r="BJ2" s="85" t="inlineStr">
        <is>
          <t>Base Salary + Costs (hourly)</t>
        </is>
      </c>
      <c r="BM2" s="85" t="inlineStr">
        <is>
          <t>Base Salary + Costs</t>
        </is>
      </c>
      <c r="BP2" s="85" t="inlineStr">
        <is>
          <t>Base Salary + Costs (hourly)</t>
        </is>
      </c>
      <c r="BS2" s="85" t="inlineStr">
        <is>
          <t>Base Salary + Costs</t>
        </is>
      </c>
      <c r="BV2" s="85" t="inlineStr">
        <is>
          <t>Base Salary + Costs (hourly)</t>
        </is>
      </c>
      <c r="BY2" s="85" t="inlineStr">
        <is>
          <t>Base Salary + Costs</t>
        </is>
      </c>
      <c r="CB2" s="85" t="inlineStr">
        <is>
          <t>Base Salary + Costs (hourly)</t>
        </is>
      </c>
      <c r="CE2" s="85" t="inlineStr">
        <is>
          <t>Base Salary + Costs</t>
        </is>
      </c>
      <c r="CH2" s="85" t="inlineStr">
        <is>
          <t>Base Salary + Costs (hourly)</t>
        </is>
      </c>
      <c r="CK2" s="85" t="inlineStr">
        <is>
          <t>Base Salary + Costs</t>
        </is>
      </c>
      <c r="CN2" s="85" t="inlineStr">
        <is>
          <t>Base Salary + Costs (hourly)</t>
        </is>
      </c>
      <c r="CQ2" s="85" t="inlineStr">
        <is>
          <t>Base Salary + Costs</t>
        </is>
      </c>
      <c r="CT2" s="85" t="inlineStr">
        <is>
          <t>Base Salary + Costs (hourly)</t>
        </is>
      </c>
      <c r="CW2" s="85" t="inlineStr">
        <is>
          <t>Base Salary + Costs</t>
        </is>
      </c>
      <c r="CZ2" s="85" t="inlineStr">
        <is>
          <t>Base Salary + Costs (hourly)</t>
        </is>
      </c>
      <c r="DC2" s="85" t="inlineStr">
        <is>
          <t>Base Salary + Costs</t>
        </is>
      </c>
      <c r="DF2" s="85" t="inlineStr">
        <is>
          <t>Base Salary + Costs (hourly)</t>
        </is>
      </c>
    </row>
    <row r="3" ht="34" customFormat="1" customHeight="1" s="1">
      <c r="F3" s="1" t="inlineStr">
        <is>
          <t>Distribution desc</t>
        </is>
      </c>
      <c r="G3" s="1" t="inlineStr">
        <is>
          <t>References</t>
        </is>
      </c>
      <c r="H3" s="12" t="inlineStr">
        <is>
          <t>Rate of Pay (weekly, 38h) desc</t>
        </is>
      </c>
      <c r="I3" s="12" t="inlineStr">
        <is>
          <t>Year</t>
        </is>
      </c>
      <c r="J3" s="18" t="inlineStr">
        <is>
          <t>LL</t>
        </is>
      </c>
      <c r="K3" s="18" t="inlineStr">
        <is>
          <t>MP</t>
        </is>
      </c>
      <c r="L3" s="18" t="inlineStr">
        <is>
          <t>UL</t>
        </is>
      </c>
      <c r="M3" s="18" t="inlineStr">
        <is>
          <t>LL</t>
        </is>
      </c>
      <c r="N3" s="18" t="inlineStr">
        <is>
          <t>MP</t>
        </is>
      </c>
      <c r="O3" s="18" t="inlineStr">
        <is>
          <t>UL</t>
        </is>
      </c>
      <c r="P3" s="18" t="inlineStr">
        <is>
          <t>LL</t>
        </is>
      </c>
      <c r="Q3" s="18" t="inlineStr">
        <is>
          <t>MP</t>
        </is>
      </c>
      <c r="R3" s="18" t="inlineStr">
        <is>
          <t>UL</t>
        </is>
      </c>
      <c r="S3" s="18" t="inlineStr">
        <is>
          <t>LL</t>
        </is>
      </c>
      <c r="T3" s="18" t="inlineStr">
        <is>
          <t>MP</t>
        </is>
      </c>
      <c r="U3" s="18" t="inlineStr">
        <is>
          <t>UL</t>
        </is>
      </c>
      <c r="V3" s="86" t="inlineStr">
        <is>
          <t>LL</t>
        </is>
      </c>
      <c r="W3" s="86" t="inlineStr">
        <is>
          <t>MP</t>
        </is>
      </c>
      <c r="X3" s="86" t="inlineStr">
        <is>
          <t>UL</t>
        </is>
      </c>
      <c r="Y3" s="18" t="inlineStr">
        <is>
          <t>LL</t>
        </is>
      </c>
      <c r="Z3" s="18" t="inlineStr">
        <is>
          <t>MP</t>
        </is>
      </c>
      <c r="AA3" s="18" t="inlineStr">
        <is>
          <t>UL</t>
        </is>
      </c>
      <c r="AB3" s="86" t="inlineStr">
        <is>
          <t>LL</t>
        </is>
      </c>
      <c r="AC3" s="86" t="inlineStr">
        <is>
          <t>MP</t>
        </is>
      </c>
      <c r="AD3" s="86" t="inlineStr">
        <is>
          <t>UL</t>
        </is>
      </c>
      <c r="AE3" s="18" t="inlineStr">
        <is>
          <t>LL</t>
        </is>
      </c>
      <c r="AF3" s="18" t="inlineStr">
        <is>
          <t>MP</t>
        </is>
      </c>
      <c r="AG3" s="18" t="inlineStr">
        <is>
          <t>UL</t>
        </is>
      </c>
      <c r="AH3" s="18" t="inlineStr">
        <is>
          <t>LL</t>
        </is>
      </c>
      <c r="AI3" s="18" t="inlineStr">
        <is>
          <t>MP</t>
        </is>
      </c>
      <c r="AJ3" s="18" t="inlineStr">
        <is>
          <t>UL</t>
        </is>
      </c>
      <c r="AK3" s="75" t="inlineStr">
        <is>
          <t>LL</t>
        </is>
      </c>
      <c r="AL3" s="18" t="inlineStr">
        <is>
          <t>MP</t>
        </is>
      </c>
      <c r="AM3" s="18" t="inlineStr">
        <is>
          <t>UL</t>
        </is>
      </c>
      <c r="AN3" s="18" t="inlineStr">
        <is>
          <t>LL</t>
        </is>
      </c>
      <c r="AO3" s="18" t="inlineStr">
        <is>
          <t>MP</t>
        </is>
      </c>
      <c r="AP3" s="18" t="inlineStr">
        <is>
          <t>UL</t>
        </is>
      </c>
      <c r="AR3" s="18" t="inlineStr">
        <is>
          <t>LL</t>
        </is>
      </c>
      <c r="AS3" s="18" t="inlineStr">
        <is>
          <t>MP</t>
        </is>
      </c>
      <c r="AT3" s="18" t="inlineStr">
        <is>
          <t>UL</t>
        </is>
      </c>
      <c r="AU3" s="18" t="inlineStr">
        <is>
          <t>LL</t>
        </is>
      </c>
      <c r="AV3" s="18" t="inlineStr">
        <is>
          <t>MP</t>
        </is>
      </c>
      <c r="AW3" s="18" t="inlineStr">
        <is>
          <t>UL</t>
        </is>
      </c>
      <c r="AX3" s="18" t="inlineStr">
        <is>
          <t>LL</t>
        </is>
      </c>
      <c r="AY3" s="18" t="inlineStr">
        <is>
          <t>MP</t>
        </is>
      </c>
      <c r="AZ3" s="18" t="inlineStr">
        <is>
          <t>UL</t>
        </is>
      </c>
      <c r="BA3" s="18" t="inlineStr">
        <is>
          <t>LL</t>
        </is>
      </c>
      <c r="BB3" s="18" t="inlineStr">
        <is>
          <t>MP</t>
        </is>
      </c>
      <c r="BC3" s="18" t="inlineStr">
        <is>
          <t>UL</t>
        </is>
      </c>
      <c r="BD3" s="18" t="inlineStr">
        <is>
          <t>LL</t>
        </is>
      </c>
      <c r="BE3" s="18" t="inlineStr">
        <is>
          <t>MP</t>
        </is>
      </c>
      <c r="BF3" s="18" t="inlineStr">
        <is>
          <t>UL</t>
        </is>
      </c>
      <c r="BG3" s="18" t="inlineStr">
        <is>
          <t>LL</t>
        </is>
      </c>
      <c r="BH3" s="18" t="inlineStr">
        <is>
          <t>MP</t>
        </is>
      </c>
      <c r="BI3" s="18" t="inlineStr">
        <is>
          <t>UL</t>
        </is>
      </c>
      <c r="BJ3" s="18" t="inlineStr">
        <is>
          <t>LL</t>
        </is>
      </c>
      <c r="BK3" s="18" t="inlineStr">
        <is>
          <t>MP</t>
        </is>
      </c>
      <c r="BL3" s="18" t="inlineStr">
        <is>
          <t>UL</t>
        </is>
      </c>
      <c r="BM3" s="18" t="inlineStr">
        <is>
          <t>LL</t>
        </is>
      </c>
      <c r="BN3" s="18" t="inlineStr">
        <is>
          <t>MP</t>
        </is>
      </c>
      <c r="BO3" s="18" t="inlineStr">
        <is>
          <t>UL</t>
        </is>
      </c>
      <c r="BP3" s="18" t="inlineStr">
        <is>
          <t>LL</t>
        </is>
      </c>
      <c r="BQ3" s="18" t="inlineStr">
        <is>
          <t>MP</t>
        </is>
      </c>
      <c r="BR3" s="18" t="inlineStr">
        <is>
          <t>UL</t>
        </is>
      </c>
      <c r="BS3" s="18" t="inlineStr">
        <is>
          <t>LL</t>
        </is>
      </c>
      <c r="BT3" s="18" t="inlineStr">
        <is>
          <t>MP</t>
        </is>
      </c>
      <c r="BU3" s="18" t="inlineStr">
        <is>
          <t>UL</t>
        </is>
      </c>
      <c r="BV3" s="18" t="inlineStr">
        <is>
          <t>LL</t>
        </is>
      </c>
      <c r="BW3" s="18" t="inlineStr">
        <is>
          <t>MP</t>
        </is>
      </c>
      <c r="BX3" s="18" t="inlineStr">
        <is>
          <t>UL</t>
        </is>
      </c>
      <c r="BY3" s="18" t="inlineStr">
        <is>
          <t>LL</t>
        </is>
      </c>
      <c r="BZ3" s="18" t="inlineStr">
        <is>
          <t>MP</t>
        </is>
      </c>
      <c r="CA3" s="18" t="inlineStr">
        <is>
          <t>UL</t>
        </is>
      </c>
      <c r="CB3" s="18" t="inlineStr">
        <is>
          <t>LL</t>
        </is>
      </c>
      <c r="CC3" s="18" t="inlineStr">
        <is>
          <t>MP</t>
        </is>
      </c>
      <c r="CD3" s="18" t="inlineStr">
        <is>
          <t>UL</t>
        </is>
      </c>
      <c r="CE3" s="18" t="inlineStr">
        <is>
          <t>LL</t>
        </is>
      </c>
      <c r="CF3" s="18" t="inlineStr">
        <is>
          <t>MP</t>
        </is>
      </c>
      <c r="CG3" s="18" t="inlineStr">
        <is>
          <t>UL</t>
        </is>
      </c>
      <c r="CH3" s="18" t="inlineStr">
        <is>
          <t>LL</t>
        </is>
      </c>
      <c r="CI3" s="18" t="inlineStr">
        <is>
          <t>MP</t>
        </is>
      </c>
      <c r="CJ3" s="18" t="inlineStr">
        <is>
          <t>UL</t>
        </is>
      </c>
      <c r="CK3" s="18" t="inlineStr">
        <is>
          <t>LL</t>
        </is>
      </c>
      <c r="CL3" s="18" t="inlineStr">
        <is>
          <t>MP</t>
        </is>
      </c>
      <c r="CM3" s="18" t="inlineStr">
        <is>
          <t>UL</t>
        </is>
      </c>
      <c r="CN3" s="18" t="inlineStr">
        <is>
          <t>LL</t>
        </is>
      </c>
      <c r="CO3" s="18" t="inlineStr">
        <is>
          <t>MP</t>
        </is>
      </c>
      <c r="CP3" s="18" t="inlineStr">
        <is>
          <t>UL</t>
        </is>
      </c>
      <c r="CQ3" s="18" t="inlineStr">
        <is>
          <t>LL</t>
        </is>
      </c>
      <c r="CR3" s="18" t="inlineStr">
        <is>
          <t>MP</t>
        </is>
      </c>
      <c r="CS3" s="18" t="inlineStr">
        <is>
          <t>UL</t>
        </is>
      </c>
      <c r="CT3" s="18" t="inlineStr">
        <is>
          <t>LL</t>
        </is>
      </c>
      <c r="CU3" s="18" t="inlineStr">
        <is>
          <t>MP</t>
        </is>
      </c>
      <c r="CV3" s="18" t="inlineStr">
        <is>
          <t>UL</t>
        </is>
      </c>
      <c r="CW3" s="18" t="inlineStr">
        <is>
          <t>LL</t>
        </is>
      </c>
      <c r="CX3" s="18" t="inlineStr">
        <is>
          <t>MP</t>
        </is>
      </c>
      <c r="CY3" s="18" t="inlineStr">
        <is>
          <t>UL</t>
        </is>
      </c>
      <c r="CZ3" s="18" t="inlineStr">
        <is>
          <t>LL</t>
        </is>
      </c>
      <c r="DA3" s="18" t="inlineStr">
        <is>
          <t>MP</t>
        </is>
      </c>
      <c r="DB3" s="18" t="inlineStr">
        <is>
          <t>UL</t>
        </is>
      </c>
      <c r="DC3" s="18" t="inlineStr">
        <is>
          <t>LL</t>
        </is>
      </c>
      <c r="DD3" s="18" t="inlineStr">
        <is>
          <t>MP</t>
        </is>
      </c>
      <c r="DE3" s="18" t="inlineStr">
        <is>
          <t>UL</t>
        </is>
      </c>
      <c r="DF3" s="18" t="inlineStr">
        <is>
          <t>LL</t>
        </is>
      </c>
      <c r="DG3" s="18" t="inlineStr">
        <is>
          <t>MP</t>
        </is>
      </c>
      <c r="DH3" s="18" t="inlineStr">
        <is>
          <t>UL</t>
        </is>
      </c>
    </row>
    <row r="4">
      <c r="A4" s="45" t="inlineStr">
        <is>
          <t>VIC</t>
        </is>
      </c>
      <c r="B4" s="46" t="inlineStr">
        <is>
          <t>Lab technician</t>
        </is>
      </c>
      <c r="C4" s="54" t="inlineStr">
        <is>
          <t>LT</t>
        </is>
      </c>
      <c r="D4" s="45" t="inlineStr">
        <is>
          <t>HPA</t>
        </is>
      </c>
      <c r="E4" s="55" t="inlineStr">
        <is>
          <t>5-7</t>
        </is>
      </c>
      <c r="F4" s="63" t="inlineStr">
        <is>
          <t>normal distro</t>
        </is>
      </c>
      <c r="G4" s="45" t="inlineStr">
        <is>
          <t>pp247 HS5-HS7 (July 22)</t>
        </is>
      </c>
      <c r="H4" s="56" t="inlineStr">
        <is>
          <t>1785.7-2257.10</t>
        </is>
      </c>
      <c r="I4" s="56" t="n">
        <v>2022</v>
      </c>
      <c r="J4" s="70" t="n">
        <v>0.105</v>
      </c>
      <c r="K4" s="57" t="n">
        <v>0.11</v>
      </c>
      <c r="L4" s="57" t="n">
        <v>0.1275</v>
      </c>
      <c r="M4" s="73" t="n">
        <v>36.3</v>
      </c>
      <c r="N4" s="73" t="n">
        <v>38</v>
      </c>
      <c r="O4" s="73" t="n">
        <v>40</v>
      </c>
      <c r="Q4" s="59" t="n">
        <v>1</v>
      </c>
      <c r="S4" s="59" t="n">
        <v>0</v>
      </c>
      <c r="T4" s="59" t="n">
        <v>0.1</v>
      </c>
      <c r="U4" s="59" t="n">
        <v>0.3</v>
      </c>
      <c r="V4" s="57" t="n">
        <v>0.0295</v>
      </c>
      <c r="W4" s="57" t="n">
        <v>0.035</v>
      </c>
      <c r="X4" s="57" t="n">
        <v>0.04</v>
      </c>
      <c r="Y4" s="59" t="n">
        <v>0</v>
      </c>
      <c r="Z4" s="60" t="n">
        <v>0</v>
      </c>
      <c r="AA4" s="60" t="n">
        <v>0.2</v>
      </c>
      <c r="AB4" s="57" t="n">
        <v>0</v>
      </c>
      <c r="AC4" s="57" t="n">
        <v>0</v>
      </c>
      <c r="AD4" s="57" t="n">
        <v>0</v>
      </c>
      <c r="AE4" s="59" t="n">
        <v>0.01</v>
      </c>
      <c r="AF4" s="59" t="n">
        <v>0.046</v>
      </c>
      <c r="AG4" s="59" t="n">
        <v>0.08</v>
      </c>
      <c r="AH4" s="59" t="n">
        <v>0</v>
      </c>
      <c r="AI4" s="64" t="n">
        <v>0</v>
      </c>
      <c r="AJ4" s="64" t="n">
        <v>2000</v>
      </c>
      <c r="AK4" s="74" t="n">
        <v>0</v>
      </c>
      <c r="AL4" s="62" t="n">
        <v>4</v>
      </c>
      <c r="AM4" s="62" t="n">
        <v>5</v>
      </c>
      <c r="AN4" s="62" t="n">
        <v>0</v>
      </c>
      <c r="AO4" s="59" t="n">
        <v>0.175</v>
      </c>
      <c r="AP4" s="59" t="n">
        <v>0.2</v>
      </c>
      <c r="AQ4" s="59" t="n">
        <v>0.015</v>
      </c>
      <c r="AR4" s="65" t="n">
        <v>79624</v>
      </c>
      <c r="AS4" s="65">
        <f>AR4+((AT4-AR4)/2)</f>
        <v/>
      </c>
      <c r="AT4" s="65" t="n">
        <v>110314</v>
      </c>
      <c r="AU4" s="65">
        <f>(AR4+(AR4*$K4)+(AR4*$T4)+(AR4*$W4)+(AR4*$Z4)+(AR4*$AC4)+(AR4*$AF4)+($AI4)+(AR4*((52+$AL4)/52))*(1+$AO4))*1/$Q4</f>
        <v/>
      </c>
      <c r="AV4" s="65">
        <f>(AS4+(AS4*$K4)+(AS4*$T4)+(AS4*$W4)+(AS4*$Z4)+(AS4*$AC4)+(AS4*$AF4)+($AI4)+(AS4*((52+$AL4)/52))*(1+$AO4))*1/$Q4</f>
        <v/>
      </c>
      <c r="AW4" s="65">
        <f>(AT4+(AT4*$K4)+(AT4*$T4)+(AT4*$W4)+(AT4*$Z4)+(AT4*$AC4)+(AT4*$AF4)+($AI4)+(AT4*((52+$AL4)/52))*(1+$AO4))*1/$Q4</f>
        <v/>
      </c>
      <c r="AX4" s="65">
        <f>AU4/52/$N4</f>
        <v/>
      </c>
      <c r="AY4" s="65">
        <f>AV4/52/$N4</f>
        <v/>
      </c>
      <c r="AZ4" s="65">
        <f>AW4/52/$N4</f>
        <v/>
      </c>
      <c r="BA4" s="78">
        <f>($AS4+($AS4*$J4)+($AS4*$T4)+($AS4*$W4)+($AS4*$Z4)+($AS4*$AC4)+($AS4*$AF4)+($AI4)+($AS4*((52+$AL4)/52))*(1+$AO4))*1/$Q4</f>
        <v/>
      </c>
      <c r="BB4" s="78">
        <f>($AS4+($AS4*$K4)+($AS4*$T4)+($AS4*$W4)+($AS4*$Z4)+($AS4*$AC4)+($AS4*$AF4)+($AI4)+($AS4*((52+$AL4)/52))*(1+$AO4))*1/$Q4</f>
        <v/>
      </c>
      <c r="BC4" s="78">
        <f>($AS4+($AS4*$L4)+($AS4*$T4)+($AS4*$W4)+($AS4*$Z4)+($AS4*$AC4)+($AS4*$AF4)+($AI4)+($AS4*((52+$AL4)/52))*(1+$AO4))*1/$Q4</f>
        <v/>
      </c>
      <c r="BD4" s="78">
        <f>BA4/52/$N4</f>
        <v/>
      </c>
      <c r="BE4" s="78">
        <f>BB4/52/$N4</f>
        <v/>
      </c>
      <c r="BF4" s="78">
        <f>BC4/52/$N4</f>
        <v/>
      </c>
      <c r="BG4" s="78">
        <f>($AS4+($AS4*$K4)+($AS4*$T4)+($AS4*$W4)+($AS4*$Z4)+($AS4*$AC4)+($AS4*$AF4)+($AI4)+($AS4*((52+$AL4)/52))*(1+$AO4))*1/$Q4</f>
        <v/>
      </c>
      <c r="BH4" s="78">
        <f>($AS4+($AS4*$K4)+($AS4*$T4)+($AS4*$W4)+($AS4*$Z4)+($AS4*$AC4)+($AS4*$AF4)+($AI4)+($AS4*((52+$AL4)/52))*(1+$AO4))*1/$Q4</f>
        <v/>
      </c>
      <c r="BI4" s="78">
        <f>($AS4+($AS4*$K4)+($AS4*$T4)+($AS4*$W4)+($AS4*$Z4)+($AS4*$AC4)+($AS4*$AF4)+($AI4)+($AS4*((52+$AL4)/52))*(1+$AO4))*1/$Q4</f>
        <v/>
      </c>
      <c r="BJ4" s="78">
        <f>BG4/52/$O4</f>
        <v/>
      </c>
      <c r="BK4" s="78">
        <f>BH4/52/$N4</f>
        <v/>
      </c>
      <c r="BL4" s="78">
        <f>BI4/52/$M4</f>
        <v/>
      </c>
      <c r="BM4" s="78">
        <f>($AS4+($AS4*$K4)+($AS4*$S4)+($AS4*$W4)+($AS4*$Z4)+($AS4*$AC4)+($AS4*$AF4)+($AI4)+($AS4*((52+$AL4)/52))*(1+$AO4))*1/$Q4</f>
        <v/>
      </c>
      <c r="BN4" s="78">
        <f>($AS4+($AS4*$K4)+($AS4*$T4)+($AS4*$W4)+($AS4*$Z4)+($AS4*$AC4)+($AS4*$AF4)+($AI4)+($AS4*((52+$AL4)/52))*(1+$AO4))*1/$Q4</f>
        <v/>
      </c>
      <c r="BO4" s="78">
        <f>($AS4+($AS4*$K4)+($AS4*$U4)+($AS4*$W4)+($AS4*$Z4)+($AS4*$AC4)+($AS4*$AF4)+($AI4)+($AS4*((52+$AL4)/52))*(1+$AO4))*1/$Q4</f>
        <v/>
      </c>
      <c r="BP4" s="78">
        <f>BM4/52/$N4</f>
        <v/>
      </c>
      <c r="BQ4" s="78">
        <f>BN4/52/$N4</f>
        <v/>
      </c>
      <c r="BR4" s="78">
        <f>BO4/52/$N4</f>
        <v/>
      </c>
      <c r="BS4" s="78">
        <f>($AS4+($AS4*$K4)+($AS4*$T4)+($AS4*$V4)+($AS4*$Z4)+($AS4*$AC4)+($AS4*$AF4)+($AI4)+($AS4*((52+$AL4)/52))*(1+$AO4))*1/$Q4</f>
        <v/>
      </c>
      <c r="BT4" s="78">
        <f>($AS4+($AS4*$K4)+($AS4*$T4)+($AS4*$W4)+($AS4*$Z4)+($AS4*$AC4)+($AS4*$AF4)+($AI4)+($AS4*((52+$AL4)/52))*(1+$AO4))*1/$Q4</f>
        <v/>
      </c>
      <c r="BU4" s="78">
        <f>($AS4+($AS4*$K4)+($AS4*$T4)+($AS4*$X4)+($AS4*$Z4)+($AS4*$AC4)+($AS4*$AF4)+($AI4)+($AS4*((52+$AL4)/52))*(1+$AO4))*1/$Q4</f>
        <v/>
      </c>
      <c r="BV4" s="78">
        <f>BS4/52/$N4</f>
        <v/>
      </c>
      <c r="BW4" s="78">
        <f>BT4/52/$N4</f>
        <v/>
      </c>
      <c r="BX4" s="78">
        <f>BU4/52/$N4</f>
        <v/>
      </c>
      <c r="BY4" s="78">
        <f>($AS4+($AS4*$K4)+($AS4*$T4)+($AS4*$W4)+($AS4*$Y4)+($AS4*$AC4)+($AS4*$AF4)+($AI4)+($AS4*((52+$AL4)/52))*(1+$AO4))*1/$Q4</f>
        <v/>
      </c>
      <c r="BZ4" s="78">
        <f>($AS4+($AS4*$K4)+($AS4*$T4)+($AS4*$W4)+($AS4*$Z4)+($AS4*$AC4)+($AS4*$AF4)+($AI4)+($AS4*((52+$AL4)/52))*(1+$AO4))*1/$Q4</f>
        <v/>
      </c>
      <c r="CA4" s="78">
        <f>($AS4+($AS4*$K4)+($AS4*$T4)+($AS4*$W4)+($AS4*$AA4)+($AS4*$AC4)+($AS4*$AF4)+($AI4)+($AS4*((52+$AL4)/52))*(1+$AO4))*1/$Q4</f>
        <v/>
      </c>
      <c r="CB4" s="78">
        <f>BY4/52/$N4</f>
        <v/>
      </c>
      <c r="CC4" s="78">
        <f>BZ4/52/$N4</f>
        <v/>
      </c>
      <c r="CD4" s="78">
        <f>CA4/52/$N4</f>
        <v/>
      </c>
      <c r="CE4" s="78">
        <f>($AS4+($AS4*$K4)+($AS4*$T4)+($AS4*$W4)+($AS4*$Z4)+($AS4*$AB4)+($AS4*$AF4)+($AI4)+($AS4*((52+$AL4)/52))*(1+$AO4))*1/$Q4</f>
        <v/>
      </c>
      <c r="CF4" s="78">
        <f>($AS4+($AS4*$K4)+($AS4*$T4)+($AS4*$W4)+($AS4*$Z4)+($AS4*$AC4)+($AS4*$AF4)+($AI4)+($AS4*((52+$AL4)/52))*(1+$AO4))*1/$Q4</f>
        <v/>
      </c>
      <c r="CG4" s="78">
        <f>($AS4+($AS4*$K4)+($AS4*$T4)+($AS4*$W4)+($AS4*$Z4)+($AS4*$AD4)+($AS4*$AF4)+($AI4)+($AS4*((52+$AL4)/52))*(1+$AO4))*1/$Q4</f>
        <v/>
      </c>
      <c r="CH4" s="78">
        <f>CE4/52/$N4</f>
        <v/>
      </c>
      <c r="CI4" s="78">
        <f>CF4/52/$N4</f>
        <v/>
      </c>
      <c r="CJ4" s="78">
        <f>CG4/52/$N4</f>
        <v/>
      </c>
      <c r="CK4" s="78">
        <f>($AS4+($AS4*$K4)+($AS4*$T4)+($AS4*$W4)+($AS4*$Z4)+($AS4*$AC4)+($AS4*$AE4)+($AI4)+($AS4*((52+$AL4)/52))*(1+$AO4))*1/$Q4</f>
        <v/>
      </c>
      <c r="CL4" s="78">
        <f>($AS4+($AS4*$K4)+($AS4*$T4)+($AS4*$W4)+($AS4*$Z4)+($AS4*$AC4)+($AS4*$AF4)+($AI4)+($AS4*((52+$AL4)/52))*(1+$AO4))*1/$Q4</f>
        <v/>
      </c>
      <c r="CM4" s="78">
        <f>($AS4+($AS4*$K4)+($AS4*$T4)+($AS4*$W4)+($AS4*$Z4)+($AS4*$AC4)+($AS4*$AG4)+($AI4)+($AS4*((52+$AL4)/52))*(1+$AO4))*1/$Q4</f>
        <v/>
      </c>
      <c r="CN4" s="78">
        <f>CK4/52/$N4</f>
        <v/>
      </c>
      <c r="CO4" s="78">
        <f>CL4/52/$N4</f>
        <v/>
      </c>
      <c r="CP4" s="78">
        <f>CM4/52/$N4</f>
        <v/>
      </c>
      <c r="CQ4" s="78">
        <f>($AS4+($AS4*$K4)+($AS4*$T4)+($AS4*$W4)+($AS4*$Z4)+($AS4*$AC4)+($AS4*$AF4)+($AH4)+($AS4*((52+$AL4)/52))*(1+$AO4))*1/$Q4</f>
        <v/>
      </c>
      <c r="CR4" s="78">
        <f>($AS4+($AS4*$K4)+($AS4*$T4)+($AS4*$W4)+($AS4*$Z4)+($AS4*$AC4)+($AS4*$AF4)+($AI4)+($AS4*((52+$AL4)/52))*(1+$AO4))*1/$Q4</f>
        <v/>
      </c>
      <c r="CS4" s="78">
        <f>($AS4+($AS4*$K4)+($AS4*$T4)+($AS4*$W4)+($AS4*$Z4)+($AS4*$AC4)+($AS4*$AF4)+($AJ4)+($AS4*((52+$AL4)/52))*(1+$AO4))*1/$Q4</f>
        <v/>
      </c>
      <c r="CT4" s="78">
        <f>CQ4/52/$N4</f>
        <v/>
      </c>
      <c r="CU4" s="78">
        <f>CR4/52/$N4</f>
        <v/>
      </c>
      <c r="CV4" s="78">
        <f>CS4/52/$N4</f>
        <v/>
      </c>
      <c r="CW4" s="78">
        <f>($AS4+($AS4*$K4)+($AS4*$T4)+($AS4*$W4)+($AS4*$Z4)+($AS4*$AC4)+($AS4*$AF4)+($AI4)+($AS4*((52+$AK4)/52))*(1+$AO4))*1/$Q4</f>
        <v/>
      </c>
      <c r="CX4" s="78">
        <f>($AS4+($AS4*$K4)+($AS4*$T4)+($AS4*$W4)+($AS4*$Z4)+($AS4*$AC4)+($AS4*$AF4)+($AI4)+($AS4*((52+$AL4)/52))*(1+$AO4))*1/$Q4</f>
        <v/>
      </c>
      <c r="CY4" s="78">
        <f>($AS4+($AS4*$K4)+($AS4*$T4)+($AS4*$W4)+($AS4*$Z4)+($AS4*$AC4)+($AS4*$AF4)+($AI4)+($AS4*((52+$AM4)/52))*(1+$AO4))*1/$Q4</f>
        <v/>
      </c>
      <c r="CZ4" s="78">
        <f>CW4/52/$N4</f>
        <v/>
      </c>
      <c r="DA4" s="78">
        <f>CX4/52/$N4</f>
        <v/>
      </c>
      <c r="DB4" s="78">
        <f>CY4/52/$N4</f>
        <v/>
      </c>
      <c r="DC4" s="78">
        <f>($AS4+($AS4*$K4)+($AS4*$T4)+($AS4*$W4)+($AS4*$Z4)+($AS4*$AC4)+($AS4*$AF4)+($AI4)+($AS4*((52+$AL4)/52))*(1+$AN4))*1/$Q4</f>
        <v/>
      </c>
      <c r="DD4" s="78">
        <f>($AS4+($AS4*$K4)+($AS4*$T4)+($AS4*$W4)+($AS4*$Z4)+($AS4*$AC4)+($AS4*$AF4)+($AI4)+($AS4*((52+$AL4)/52))*(1+$AO4))*1/$Q4</f>
        <v/>
      </c>
      <c r="DE4" s="78">
        <f>($AS4+($AS4*$K4)+($AS4*$T4)+($AS4*$W4)+($AS4*$Z4)+($AS4*$AC4)+($AS4*$AF4)+($AI4)+($AS4*((52+$AL4)/52))*(1+$AP4))*1/$Q4</f>
        <v/>
      </c>
      <c r="DF4" s="78">
        <f>DC4/52/$N4</f>
        <v/>
      </c>
      <c r="DG4" s="78">
        <f>DD4/52/$N4</f>
        <v/>
      </c>
      <c r="DH4" s="78">
        <f>DE4/52/$N4</f>
        <v/>
      </c>
    </row>
    <row r="5">
      <c r="A5" s="45" t="inlineStr">
        <is>
          <t>VIC</t>
        </is>
      </c>
      <c r="B5" s="46" t="inlineStr">
        <is>
          <t>Medical scientist</t>
        </is>
      </c>
      <c r="C5" s="54" t="inlineStr">
        <is>
          <t>MS</t>
        </is>
      </c>
      <c r="D5" s="45" t="inlineStr">
        <is>
          <t>MSEBA</t>
        </is>
      </c>
      <c r="E5" s="55" t="inlineStr">
        <is>
          <t>MS1-4(RX4)-MS4-5(RZ7)</t>
        </is>
      </c>
      <c r="F5" s="45" t="inlineStr">
        <is>
          <t>skewed normal</t>
        </is>
      </c>
      <c r="G5" s="63" t="inlineStr">
        <is>
          <t>pp111 VPHS 2017-21 RX1-RZ7</t>
        </is>
      </c>
      <c r="H5" s="56" t="inlineStr">
        <is>
          <t>1131.30-2622.00</t>
        </is>
      </c>
      <c r="I5" s="56" t="n">
        <v>2023</v>
      </c>
      <c r="J5" s="70" t="n">
        <v>0.105</v>
      </c>
      <c r="K5" s="57" t="n">
        <v>0.11</v>
      </c>
      <c r="L5" s="57" t="n">
        <v>0.1275</v>
      </c>
      <c r="M5" s="73" t="n">
        <v>36.3</v>
      </c>
      <c r="N5" s="73" t="n">
        <v>38</v>
      </c>
      <c r="O5" s="73" t="n">
        <v>40</v>
      </c>
      <c r="Q5" s="59" t="n">
        <v>1</v>
      </c>
      <c r="S5" s="59" t="n">
        <v>0</v>
      </c>
      <c r="T5" s="59" t="n">
        <v>0.1</v>
      </c>
      <c r="U5" s="59" t="n">
        <v>0.3</v>
      </c>
      <c r="V5" s="57" t="n">
        <v>0.0295</v>
      </c>
      <c r="W5" s="57" t="n">
        <v>0.035</v>
      </c>
      <c r="X5" s="57" t="n">
        <v>0.04</v>
      </c>
      <c r="Y5" s="59" t="n">
        <v>0</v>
      </c>
      <c r="Z5" s="60" t="n">
        <v>0</v>
      </c>
      <c r="AA5" s="60" t="n">
        <v>0.2</v>
      </c>
      <c r="AB5" s="57" t="n">
        <v>0</v>
      </c>
      <c r="AC5" s="57" t="n">
        <v>0</v>
      </c>
      <c r="AD5" s="57" t="n">
        <v>0</v>
      </c>
      <c r="AE5" s="59" t="n">
        <v>0.01</v>
      </c>
      <c r="AF5" s="59" t="n">
        <v>0.046</v>
      </c>
      <c r="AG5" s="59" t="n">
        <v>0.08</v>
      </c>
      <c r="AH5" s="59" t="n">
        <v>0</v>
      </c>
      <c r="AI5" s="64" t="n">
        <v>0</v>
      </c>
      <c r="AJ5" s="64" t="n">
        <v>2000</v>
      </c>
      <c r="AK5" s="74" t="n">
        <v>0</v>
      </c>
      <c r="AL5" s="62" t="n">
        <v>5</v>
      </c>
      <c r="AM5" s="62" t="n">
        <v>5</v>
      </c>
      <c r="AN5" s="62" t="n">
        <v>0</v>
      </c>
      <c r="AO5" s="59" t="n">
        <v>0.175</v>
      </c>
      <c r="AP5" s="59" t="n">
        <v>0.2</v>
      </c>
      <c r="AQ5" s="59" t="n">
        <v>0.015</v>
      </c>
      <c r="AR5" s="65">
        <f>1177*52</f>
        <v/>
      </c>
      <c r="AS5" s="65">
        <f>AR5+((AT5-AR5)/2)</f>
        <v/>
      </c>
      <c r="AT5" s="65">
        <f>2741.4*52</f>
        <v/>
      </c>
      <c r="AU5" s="65">
        <f>(AR5+(AR5*$K5)+(AR5*$T5)+(AR5*$W5)+(AR5*$Z5)+(AR5*$AC5)+(AR5*$AF5)+($AI5)+(AR5*((52+$AL5)/52))*(1+$AO5))*1/$Q5</f>
        <v/>
      </c>
      <c r="AV5" s="65">
        <f>(AS5+(AS5*$K5)+(AS5*$T5)+(AS5*$W5)+(AS5*$Z5)+(AS5*$AC5)+(AS5*$AF5)+($AI5)+(AS5*((52+$AL5)/52))*(1+$AO5))*1/$Q5</f>
        <v/>
      </c>
      <c r="AW5" s="65">
        <f>(AT5+(AT5*$K5)+(AT5*$T5)+(AT5*$W5)+(AT5*$Z5)+(AT5*$AC5)+(AT5*$AF5)+($AI5)+(AT5*((52+$AL5)/52))*(1+$AO5))*1/$Q5</f>
        <v/>
      </c>
      <c r="AX5" s="65">
        <f>AU5/52/$N5</f>
        <v/>
      </c>
      <c r="AY5" s="65">
        <f>AV5/52/$N5</f>
        <v/>
      </c>
      <c r="AZ5" s="65">
        <f>AW5/52/$N5</f>
        <v/>
      </c>
      <c r="BA5" s="78">
        <f>($AS5+($AS5*$J5)+($AS5*$T5)+($AS5*$W5)+($AS5*$Z5)+($AS5*$AC5)+($AS5*$AF5)+($AI5)+($AS5*((52+$AL5)/52))*(1+$AO5))*1/$Q5</f>
        <v/>
      </c>
      <c r="BB5" s="78">
        <f>($AS5+($AS5*$K5)+($AS5*$T5)+($AS5*$W5)+($AS5*$Z5)+($AS5*$AC5)+($AS5*$AF5)+($AI5)+($AS5*((52+$AL5)/52))*(1+$AO5))*1/$Q5</f>
        <v/>
      </c>
      <c r="BC5" s="78">
        <f>($AS5+($AS5*$L5)+($AS5*$T5)+($AS5*$W5)+($AS5*$Z5)+($AS5*$AC5)+($AS5*$AF5)+($AI5)+($AS5*((52+$AL5)/52))*(1+$AO5))*1/$Q5</f>
        <v/>
      </c>
      <c r="BD5" s="78">
        <f>BA5/52/$N5</f>
        <v/>
      </c>
      <c r="BE5" s="78">
        <f>BB5/52/$N5</f>
        <v/>
      </c>
      <c r="BF5" s="78">
        <f>BC5/52/$N5</f>
        <v/>
      </c>
      <c r="BG5" s="78">
        <f>($AS5+($AS5*$K5)+($AS5*$T5)+($AS5*$W5)+($AS5*$Z5)+($AS5*$AC5)+($AS5*$AF5)+($AI5)+($AS5*((52+$AL5)/52))*(1+$AO5))*1/$Q5</f>
        <v/>
      </c>
      <c r="BH5" s="78">
        <f>($AS5+($AS5*$K5)+($AS5*$T5)+($AS5*$W5)+($AS5*$Z5)+($AS5*$AC5)+($AS5*$AF5)+($AI5)+($AS5*((52+$AL5)/52))*(1+$AO5))*1/$Q5</f>
        <v/>
      </c>
      <c r="BI5" s="78">
        <f>($AS5+($AS5*$K5)+($AS5*$T5)+($AS5*$W5)+($AS5*$Z5)+($AS5*$AC5)+($AS5*$AF5)+($AI5)+($AS5*((52+$AL5)/52))*(1+$AO5))*1/$Q5</f>
        <v/>
      </c>
      <c r="BJ5" s="78">
        <f>BG5/52/$O5</f>
        <v/>
      </c>
      <c r="BK5" s="78">
        <f>BH5/52/$N5</f>
        <v/>
      </c>
      <c r="BL5" s="78">
        <f>BI5/52/$M5</f>
        <v/>
      </c>
      <c r="BM5" s="78">
        <f>($AS5+($AS5*$K5)+($AS5*$S5)+($AS5*$W5)+($AS5*$Z5)+($AS5*$AC5)+($AS5*$AF5)+($AI5)+($AS5*((52+$AL5)/52))*(1+$AO5))*1/$Q5</f>
        <v/>
      </c>
      <c r="BN5" s="78">
        <f>($AS5+($AS5*$K5)+($AS5*$T5)+($AS5*$W5)+($AS5*$Z5)+($AS5*$AC5)+($AS5*$AF5)+($AI5)+($AS5*((52+$AL5)/52))*(1+$AO5))*1/$Q5</f>
        <v/>
      </c>
      <c r="BO5" s="78">
        <f>($AS5+($AS5*$K5)+($AS5*$U5)+($AS5*$W5)+($AS5*$Z5)+($AS5*$AC5)+($AS5*$AF5)+($AI5)+($AS5*((52+$AL5)/52))*(1+$AO5))*1/$Q5</f>
        <v/>
      </c>
      <c r="BP5" s="78">
        <f>BM5/52/$N5</f>
        <v/>
      </c>
      <c r="BQ5" s="78">
        <f>BN5/52/$N5</f>
        <v/>
      </c>
      <c r="BR5" s="78">
        <f>BO5/52/$N5</f>
        <v/>
      </c>
      <c r="BS5" s="78">
        <f>($AS5+($AS5*$K5)+($AS5*$T5)+($AS5*$V5)+($AS5*$Z5)+($AS5*$AC5)+($AS5*$AF5)+($AI5)+($AS5*((52+$AL5)/52))*(1+$AO5))*1/$Q5</f>
        <v/>
      </c>
      <c r="BT5" s="78">
        <f>($AS5+($AS5*$K5)+($AS5*$T5)+($AS5*$W5)+($AS5*$Z5)+($AS5*$AC5)+($AS5*$AF5)+($AI5)+($AS5*((52+$AL5)/52))*(1+$AO5))*1/$Q5</f>
        <v/>
      </c>
      <c r="BU5" s="78">
        <f>($AS5+($AS5*$K5)+($AS5*$T5)+($AS5*$X5)+($AS5*$Z5)+($AS5*$AC5)+($AS5*$AF5)+($AI5)+($AS5*((52+$AL5)/52))*(1+$AO5))*1/$Q5</f>
        <v/>
      </c>
      <c r="BV5" s="78">
        <f>BS5/52/$N5</f>
        <v/>
      </c>
      <c r="BW5" s="78">
        <f>BT5/52/$N5</f>
        <v/>
      </c>
      <c r="BX5" s="78">
        <f>BU5/52/$N5</f>
        <v/>
      </c>
      <c r="BY5" s="78">
        <f>($AS5+($AS5*$K5)+($AS5*$T5)+($AS5*$W5)+($AS5*$Y5)+($AS5*$AC5)+($AS5*$AF5)+($AI5)+($AS5*((52+$AL5)/52))*(1+$AO5))*1/$Q5</f>
        <v/>
      </c>
      <c r="BZ5" s="78">
        <f>($AS5+($AS5*$K5)+($AS5*$T5)+($AS5*$W5)+($AS5*$Z5)+($AS5*$AC5)+($AS5*$AF5)+($AI5)+($AS5*((52+$AL5)/52))*(1+$AO5))*1/$Q5</f>
        <v/>
      </c>
      <c r="CA5" s="78">
        <f>($AS5+($AS5*$K5)+($AS5*$T5)+($AS5*$W5)+($AS5*$AA5)+($AS5*$AC5)+($AS5*$AF5)+($AI5)+($AS5*((52+$AL5)/52))*(1+$AO5))*1/$Q5</f>
        <v/>
      </c>
      <c r="CB5" s="78">
        <f>BY5/52/$N5</f>
        <v/>
      </c>
      <c r="CC5" s="78">
        <f>BZ5/52/$N5</f>
        <v/>
      </c>
      <c r="CD5" s="78">
        <f>CA5/52/$N5</f>
        <v/>
      </c>
      <c r="CE5" s="78">
        <f>($AS5+($AS5*$K5)+($AS5*$T5)+($AS5*$W5)+($AS5*$Z5)+($AS5*$AB5)+($AS5*$AF5)+($AI5)+($AS5*((52+$AL5)/52))*(1+$AO5))*1/$Q5</f>
        <v/>
      </c>
      <c r="CF5" s="78">
        <f>($AS5+($AS5*$K5)+($AS5*$T5)+($AS5*$W5)+($AS5*$Z5)+($AS5*$AC5)+($AS5*$AF5)+($AI5)+($AS5*((52+$AL5)/52))*(1+$AO5))*1/$Q5</f>
        <v/>
      </c>
      <c r="CG5" s="78">
        <f>($AS5+($AS5*$K5)+($AS5*$T5)+($AS5*$W5)+($AS5*$Z5)+($AS5*$AD5)+($AS5*$AF5)+($AI5)+($AS5*((52+$AL5)/52))*(1+$AO5))*1/$Q5</f>
        <v/>
      </c>
      <c r="CH5" s="78">
        <f>CE5/52/$N5</f>
        <v/>
      </c>
      <c r="CI5" s="78">
        <f>CF5/52/$N5</f>
        <v/>
      </c>
      <c r="CJ5" s="78">
        <f>CG5/52/$N5</f>
        <v/>
      </c>
      <c r="CK5" s="78">
        <f>($AS5+($AS5*$K5)+($AS5*$T5)+($AS5*$W5)+($AS5*$Z5)+($AS5*$AC5)+($AS5*$AE5)+($AI5)+($AS5*((52+$AL5)/52))*(1+$AO5))*1/$Q5</f>
        <v/>
      </c>
      <c r="CL5" s="78">
        <f>($AS5+($AS5*$K5)+($AS5*$T5)+($AS5*$W5)+($AS5*$Z5)+($AS5*$AC5)+($AS5*$AF5)+($AI5)+($AS5*((52+$AL5)/52))*(1+$AO5))*1/$Q5</f>
        <v/>
      </c>
      <c r="CM5" s="78">
        <f>($AS5+($AS5*$K5)+($AS5*$T5)+($AS5*$W5)+($AS5*$Z5)+($AS5*$AC5)+($AS5*$AG5)+($AI5)+($AS5*((52+$AL5)/52))*(1+$AO5))*1/$Q5</f>
        <v/>
      </c>
      <c r="CN5" s="78">
        <f>CK5/52/$N5</f>
        <v/>
      </c>
      <c r="CO5" s="78">
        <f>CL5/52/$N5</f>
        <v/>
      </c>
      <c r="CP5" s="78">
        <f>CM5/52/$N5</f>
        <v/>
      </c>
      <c r="CQ5" s="78">
        <f>($AS5+($AS5*$K5)+($AS5*$T5)+($AS5*$W5)+($AS5*$Z5)+($AS5*$AC5)+($AS5*$AF5)+($AH5)+($AS5*((52+$AL5)/52))*(1+$AO5))*1/$Q5</f>
        <v/>
      </c>
      <c r="CR5" s="78">
        <f>($AS5+($AS5*$K5)+($AS5*$T5)+($AS5*$W5)+($AS5*$Z5)+($AS5*$AC5)+($AS5*$AF5)+($AI5)+($AS5*((52+$AL5)/52))*(1+$AO5))*1/$Q5</f>
        <v/>
      </c>
      <c r="CS5" s="78">
        <f>($AS5+($AS5*$K5)+($AS5*$T5)+($AS5*$W5)+($AS5*$Z5)+($AS5*$AC5)+($AS5*$AF5)+($AJ5)+($AS5*((52+$AL5)/52))*(1+$AO5))*1/$Q5</f>
        <v/>
      </c>
      <c r="CT5" s="78">
        <f>CQ5/52/$N5</f>
        <v/>
      </c>
      <c r="CU5" s="78">
        <f>CR5/52/$N5</f>
        <v/>
      </c>
      <c r="CV5" s="78">
        <f>CS5/52/$N5</f>
        <v/>
      </c>
      <c r="CW5" s="78">
        <f>($AS5+($AS5*$K5)+($AS5*$T5)+($AS5*$W5)+($AS5*$Z5)+($AS5*$AC5)+($AS5*$AF5)+($AI5)+($AS5*((52+$AK5)/52))*(1+$AO5))*1/$Q5</f>
        <v/>
      </c>
      <c r="CX5" s="78">
        <f>($AS5+($AS5*$K5)+($AS5*$T5)+($AS5*$W5)+($AS5*$Z5)+($AS5*$AC5)+($AS5*$AF5)+($AI5)+($AS5*((52+$AL5)/52))*(1+$AO5))*1/$Q5</f>
        <v/>
      </c>
      <c r="CY5" s="78">
        <f>($AS5+($AS5*$K5)+($AS5*$T5)+($AS5*$W5)+($AS5*$Z5)+($AS5*$AC5)+($AS5*$AF5)+($AI5)+($AS5*((52+$AM5)/52))*(1+$AO5))*1/$Q5</f>
        <v/>
      </c>
      <c r="CZ5" s="78">
        <f>CW5/52/$N5</f>
        <v/>
      </c>
      <c r="DA5" s="78">
        <f>CX5/52/$N5</f>
        <v/>
      </c>
      <c r="DB5" s="78">
        <f>CY5/52/$N5</f>
        <v/>
      </c>
      <c r="DC5" s="78">
        <f>($AS5+($AS5*$K5)+($AS5*$T5)+($AS5*$W5)+($AS5*$Z5)+($AS5*$AC5)+($AS5*$AF5)+($AI5)+($AS5*((52+$AL5)/52))*(1+$AN5))*1/$Q5</f>
        <v/>
      </c>
      <c r="DD5" s="78">
        <f>($AS5+($AS5*$K5)+($AS5*$T5)+($AS5*$W5)+($AS5*$Z5)+($AS5*$AC5)+($AS5*$AF5)+($AI5)+($AS5*((52+$AL5)/52))*(1+$AO5))*1/$Q5</f>
        <v/>
      </c>
      <c r="DE5" s="78">
        <f>($AS5+($AS5*$K5)+($AS5*$T5)+($AS5*$W5)+($AS5*$Z5)+($AS5*$AC5)+($AS5*$AF5)+($AI5)+($AS5*((52+$AL5)/52))*(1+$AP5))*1/$Q5</f>
        <v/>
      </c>
      <c r="DF5" s="78">
        <f>DC5/52/$N5</f>
        <v/>
      </c>
      <c r="DG5" s="78">
        <f>DD5/52/$N5</f>
        <v/>
      </c>
      <c r="DH5" s="78">
        <f>DE5/52/$N5</f>
        <v/>
      </c>
    </row>
    <row r="6">
      <c r="A6" s="45" t="inlineStr">
        <is>
          <t>VIC</t>
        </is>
      </c>
      <c r="B6" s="46" t="inlineStr">
        <is>
          <t>Admin staff</t>
        </is>
      </c>
      <c r="C6" s="54" t="inlineStr">
        <is>
          <t>AS</t>
        </is>
      </c>
      <c r="D6" s="45" t="inlineStr">
        <is>
          <t>HPA</t>
        </is>
      </c>
      <c r="E6" s="55" t="inlineStr">
        <is>
          <t>3-5</t>
        </is>
      </c>
      <c r="G6" s="45" t="inlineStr">
        <is>
          <t>pp247 HS5-HS7 (July 22)</t>
        </is>
      </c>
      <c r="H6" s="56" t="inlineStr">
        <is>
          <t>1785.7-2257.10</t>
        </is>
      </c>
      <c r="I6" s="56" t="n">
        <v>2022</v>
      </c>
      <c r="J6" s="70" t="n">
        <v>0.105</v>
      </c>
      <c r="K6" s="57" t="n">
        <v>0.11</v>
      </c>
      <c r="L6" s="57" t="n">
        <v>0.1275</v>
      </c>
      <c r="M6" s="73" t="n">
        <v>36.3</v>
      </c>
      <c r="N6" s="73" t="n">
        <v>38</v>
      </c>
      <c r="O6" s="73" t="n">
        <v>40</v>
      </c>
      <c r="Q6" s="59" t="n">
        <v>1</v>
      </c>
      <c r="S6" s="59" t="n">
        <v>0</v>
      </c>
      <c r="T6" s="59" t="n">
        <v>0.1</v>
      </c>
      <c r="U6" s="59" t="n">
        <v>0.3</v>
      </c>
      <c r="V6" s="57" t="n">
        <v>0.0295</v>
      </c>
      <c r="W6" s="57" t="n">
        <v>0.035</v>
      </c>
      <c r="X6" s="57" t="n">
        <v>0.04</v>
      </c>
      <c r="Y6" s="59" t="n">
        <v>0</v>
      </c>
      <c r="Z6" s="60" t="n">
        <v>0</v>
      </c>
      <c r="AA6" s="60" t="n">
        <v>0.2</v>
      </c>
      <c r="AB6" s="57" t="n">
        <v>0</v>
      </c>
      <c r="AC6" s="57" t="n">
        <v>0</v>
      </c>
      <c r="AD6" s="57" t="n">
        <v>0</v>
      </c>
      <c r="AE6" s="59" t="n">
        <v>0.01</v>
      </c>
      <c r="AF6" s="59" t="n">
        <v>0.046</v>
      </c>
      <c r="AG6" s="59" t="n">
        <v>0.08</v>
      </c>
      <c r="AH6" s="59" t="n">
        <v>0</v>
      </c>
      <c r="AI6" s="64" t="n">
        <v>0</v>
      </c>
      <c r="AJ6" s="64" t="n">
        <v>2000</v>
      </c>
      <c r="AK6" s="74" t="n">
        <v>0</v>
      </c>
      <c r="AL6" s="62" t="n">
        <v>4</v>
      </c>
      <c r="AM6" s="62" t="n">
        <v>5</v>
      </c>
      <c r="AN6" s="62" t="n">
        <v>0</v>
      </c>
      <c r="AO6" s="59" t="n">
        <v>0.175</v>
      </c>
      <c r="AP6" s="59" t="n">
        <v>0.2</v>
      </c>
      <c r="AQ6" s="59" t="n">
        <v>0.015</v>
      </c>
      <c r="AR6" s="65" t="n">
        <v>63701</v>
      </c>
      <c r="AS6" s="65">
        <f>AR6+((AT6-AR6)/2)</f>
        <v/>
      </c>
      <c r="AT6" s="65" t="n">
        <v>91460</v>
      </c>
      <c r="AU6" s="65">
        <f>(AR6+(AR6*$K6)+(AR6*$T6)+(AR6*$W6)+(AR6*$Z6)+(AR6*$AC6)+(AR6*$AF6)+($AI6)+(AR6*((52+$AL6)/52))*(1+$AO6))*1/$Q6</f>
        <v/>
      </c>
      <c r="AV6" s="65">
        <f>(AS6+(AS6*$K6)+(AS6*$T6)+(AS6*$W6)+(AS6*$Z6)+(AS6*$AC6)+(AS6*$AF6)+($AI6)+(AS6*((52+$AL6)/52))*(1+$AO6))*1/$Q6</f>
        <v/>
      </c>
      <c r="AW6" s="65">
        <f>(AT6+(AT6*$K6)+(AT6*$T6)+(AT6*$W6)+(AT6*$Z6)+(AT6*$AC6)+(AT6*$AF6)+($AI6)+(AT6*((52+$AL6)/52))*(1+$AO6))*1/$Q6</f>
        <v/>
      </c>
      <c r="AX6" s="65">
        <f>AU6/52/$N6</f>
        <v/>
      </c>
      <c r="AY6" s="65">
        <f>AV6/52/$N6</f>
        <v/>
      </c>
      <c r="AZ6" s="65">
        <f>AW6/52/$N6</f>
        <v/>
      </c>
      <c r="BA6" s="78">
        <f>($AS6+($AS6*$J6)+($AS6*$T6)+($AS6*$W6)+($AS6*$Z6)+($AS6*$AC6)+($AS6*$AF6)+($AI6)+($AS6*((52+$AL6)/52))*(1+$AO6))*1/$Q6</f>
        <v/>
      </c>
      <c r="BB6" s="78">
        <f>($AS6+($AS6*$K6)+($AS6*$T6)+($AS6*$W6)+($AS6*$Z6)+($AS6*$AC6)+($AS6*$AF6)+($AI6)+($AS6*((52+$AL6)/52))*(1+$AO6))*1/$Q6</f>
        <v/>
      </c>
      <c r="BC6" s="78">
        <f>($AS6+($AS6*$L6)+($AS6*$T6)+($AS6*$W6)+($AS6*$Z6)+($AS6*$AC6)+($AS6*$AF6)+($AI6)+($AS6*((52+$AL6)/52))*(1+$AO6))*1/$Q6</f>
        <v/>
      </c>
      <c r="BD6" s="78">
        <f>BA6/52/$N6</f>
        <v/>
      </c>
      <c r="BE6" s="78">
        <f>BB6/52/$N6</f>
        <v/>
      </c>
      <c r="BF6" s="78">
        <f>BC6/52/$N6</f>
        <v/>
      </c>
      <c r="BG6" s="78">
        <f>($AS6+($AS6*$K6)+($AS6*$T6)+($AS6*$W6)+($AS6*$Z6)+($AS6*$AC6)+($AS6*$AF6)+($AI6)+($AS6*((52+$AL6)/52))*(1+$AO6))*1/$Q6</f>
        <v/>
      </c>
      <c r="BH6" s="78">
        <f>($AS6+($AS6*$K6)+($AS6*$T6)+($AS6*$W6)+($AS6*$Z6)+($AS6*$AC6)+($AS6*$AF6)+($AI6)+($AS6*((52+$AL6)/52))*(1+$AO6))*1/$Q6</f>
        <v/>
      </c>
      <c r="BI6" s="78">
        <f>($AS6+($AS6*$K6)+($AS6*$T6)+($AS6*$W6)+($AS6*$Z6)+($AS6*$AC6)+($AS6*$AF6)+($AI6)+($AS6*((52+$AL6)/52))*(1+$AO6))*1/$Q6</f>
        <v/>
      </c>
      <c r="BJ6" s="78">
        <f>BG6/52/$O6</f>
        <v/>
      </c>
      <c r="BK6" s="78">
        <f>BH6/52/$N6</f>
        <v/>
      </c>
      <c r="BL6" s="78">
        <f>BI6/52/$M6</f>
        <v/>
      </c>
      <c r="BM6" s="78">
        <f>($AS6+($AS6*$K6)+($AS6*$S6)+($AS6*$W6)+($AS6*$Z6)+($AS6*$AC6)+($AS6*$AF6)+($AI6)+($AS6*((52+$AL6)/52))*(1+$AO6))*1/$Q6</f>
        <v/>
      </c>
      <c r="BN6" s="78">
        <f>($AS6+($AS6*$K6)+($AS6*$T6)+($AS6*$W6)+($AS6*$Z6)+($AS6*$AC6)+($AS6*$AF6)+($AI6)+($AS6*((52+$AL6)/52))*(1+$AO6))*1/$Q6</f>
        <v/>
      </c>
      <c r="BO6" s="78">
        <f>($AS6+($AS6*$K6)+($AS6*$U6)+($AS6*$W6)+($AS6*$Z6)+($AS6*$AC6)+($AS6*$AF6)+($AI6)+($AS6*((52+$AL6)/52))*(1+$AO6))*1/$Q6</f>
        <v/>
      </c>
      <c r="BP6" s="78">
        <f>BM6/52/$N6</f>
        <v/>
      </c>
      <c r="BQ6" s="78">
        <f>BN6/52/$N6</f>
        <v/>
      </c>
      <c r="BR6" s="78">
        <f>BO6/52/$N6</f>
        <v/>
      </c>
      <c r="BS6" s="78">
        <f>($AS6+($AS6*$K6)+($AS6*$T6)+($AS6*$V6)+($AS6*$Z6)+($AS6*$AC6)+($AS6*$AF6)+($AI6)+($AS6*((52+$AL6)/52))*(1+$AO6))*1/$Q6</f>
        <v/>
      </c>
      <c r="BT6" s="78">
        <f>($AS6+($AS6*$K6)+($AS6*$T6)+($AS6*$W6)+($AS6*$Z6)+($AS6*$AC6)+($AS6*$AF6)+($AI6)+($AS6*((52+$AL6)/52))*(1+$AO6))*1/$Q6</f>
        <v/>
      </c>
      <c r="BU6" s="78">
        <f>($AS6+($AS6*$K6)+($AS6*$T6)+($AS6*$X6)+($AS6*$Z6)+($AS6*$AC6)+($AS6*$AF6)+($AI6)+($AS6*((52+$AL6)/52))*(1+$AO6))*1/$Q6</f>
        <v/>
      </c>
      <c r="BV6" s="78">
        <f>BS6/52/$N6</f>
        <v/>
      </c>
      <c r="BW6" s="78">
        <f>BT6/52/$N6</f>
        <v/>
      </c>
      <c r="BX6" s="78">
        <f>BU6/52/$N6</f>
        <v/>
      </c>
      <c r="BY6" s="78">
        <f>($AS6+($AS6*$K6)+($AS6*$T6)+($AS6*$W6)+($AS6*$Y6)+($AS6*$AC6)+($AS6*$AF6)+($AI6)+($AS6*((52+$AL6)/52))*(1+$AO6))*1/$Q6</f>
        <v/>
      </c>
      <c r="BZ6" s="78">
        <f>($AS6+($AS6*$K6)+($AS6*$T6)+($AS6*$W6)+($AS6*$Z6)+($AS6*$AC6)+($AS6*$AF6)+($AI6)+($AS6*((52+$AL6)/52))*(1+$AO6))*1/$Q6</f>
        <v/>
      </c>
      <c r="CA6" s="78">
        <f>($AS6+($AS6*$K6)+($AS6*$T6)+($AS6*$W6)+($AS6*$AA6)+($AS6*$AC6)+($AS6*$AF6)+($AI6)+($AS6*((52+$AL6)/52))*(1+$AO6))*1/$Q6</f>
        <v/>
      </c>
      <c r="CB6" s="78">
        <f>BY6/52/$N6</f>
        <v/>
      </c>
      <c r="CC6" s="78">
        <f>BZ6/52/$N6</f>
        <v/>
      </c>
      <c r="CD6" s="78">
        <f>CA6/52/$N6</f>
        <v/>
      </c>
      <c r="CE6" s="78">
        <f>($AS6+($AS6*$K6)+($AS6*$T6)+($AS6*$W6)+($AS6*$Z6)+($AS6*$AB6)+($AS6*$AF6)+($AI6)+($AS6*((52+$AL6)/52))*(1+$AO6))*1/$Q6</f>
        <v/>
      </c>
      <c r="CF6" s="78">
        <f>($AS6+($AS6*$K6)+($AS6*$T6)+($AS6*$W6)+($AS6*$Z6)+($AS6*$AC6)+($AS6*$AF6)+($AI6)+($AS6*((52+$AL6)/52))*(1+$AO6))*1/$Q6</f>
        <v/>
      </c>
      <c r="CG6" s="78">
        <f>($AS6+($AS6*$K6)+($AS6*$T6)+($AS6*$W6)+($AS6*$Z6)+($AS6*$AD6)+($AS6*$AF6)+($AI6)+($AS6*((52+$AL6)/52))*(1+$AO6))*1/$Q6</f>
        <v/>
      </c>
      <c r="CH6" s="78">
        <f>CE6/52/$N6</f>
        <v/>
      </c>
      <c r="CI6" s="78">
        <f>CF6/52/$N6</f>
        <v/>
      </c>
      <c r="CJ6" s="78">
        <f>CG6/52/$N6</f>
        <v/>
      </c>
      <c r="CK6" s="78">
        <f>($AS6+($AS6*$K6)+($AS6*$T6)+($AS6*$W6)+($AS6*$Z6)+($AS6*$AC6)+($AS6*$AE6)+($AI6)+($AS6*((52+$AL6)/52))*(1+$AO6))*1/$Q6</f>
        <v/>
      </c>
      <c r="CL6" s="78">
        <f>($AS6+($AS6*$K6)+($AS6*$T6)+($AS6*$W6)+($AS6*$Z6)+($AS6*$AC6)+($AS6*$AF6)+($AI6)+($AS6*((52+$AL6)/52))*(1+$AO6))*1/$Q6</f>
        <v/>
      </c>
      <c r="CM6" s="78">
        <f>($AS6+($AS6*$K6)+($AS6*$T6)+($AS6*$W6)+($AS6*$Z6)+($AS6*$AC6)+($AS6*$AG6)+($AI6)+($AS6*((52+$AL6)/52))*(1+$AO6))*1/$Q6</f>
        <v/>
      </c>
      <c r="CN6" s="78">
        <f>CK6/52/$N6</f>
        <v/>
      </c>
      <c r="CO6" s="78">
        <f>CL6/52/$N6</f>
        <v/>
      </c>
      <c r="CP6" s="78">
        <f>CM6/52/$N6</f>
        <v/>
      </c>
      <c r="CQ6" s="78">
        <f>($AS6+($AS6*$K6)+($AS6*$T6)+($AS6*$W6)+($AS6*$Z6)+($AS6*$AC6)+($AS6*$AF6)+($AH6)+($AS6*((52+$AL6)/52))*(1+$AO6))*1/$Q6</f>
        <v/>
      </c>
      <c r="CR6" s="78">
        <f>($AS6+($AS6*$K6)+($AS6*$T6)+($AS6*$W6)+($AS6*$Z6)+($AS6*$AC6)+($AS6*$AF6)+($AI6)+($AS6*((52+$AL6)/52))*(1+$AO6))*1/$Q6</f>
        <v/>
      </c>
      <c r="CS6" s="78">
        <f>($AS6+($AS6*$K6)+($AS6*$T6)+($AS6*$W6)+($AS6*$Z6)+($AS6*$AC6)+($AS6*$AF6)+($AJ6)+($AS6*((52+$AL6)/52))*(1+$AO6))*1/$Q6</f>
        <v/>
      </c>
      <c r="CT6" s="78">
        <f>CQ6/52/$N6</f>
        <v/>
      </c>
      <c r="CU6" s="78">
        <f>CR6/52/$N6</f>
        <v/>
      </c>
      <c r="CV6" s="78">
        <f>CS6/52/$N6</f>
        <v/>
      </c>
      <c r="CW6" s="78">
        <f>($AS6+($AS6*$K6)+($AS6*$T6)+($AS6*$W6)+($AS6*$Z6)+($AS6*$AC6)+($AS6*$AF6)+($AI6)+($AS6*((52+$AK6)/52))*(1+$AO6))*1/$Q6</f>
        <v/>
      </c>
      <c r="CX6" s="78">
        <f>($AS6+($AS6*$K6)+($AS6*$T6)+($AS6*$W6)+($AS6*$Z6)+($AS6*$AC6)+($AS6*$AF6)+($AI6)+($AS6*((52+$AL6)/52))*(1+$AO6))*1/$Q6</f>
        <v/>
      </c>
      <c r="CY6" s="78">
        <f>($AS6+($AS6*$K6)+($AS6*$T6)+($AS6*$W6)+($AS6*$Z6)+($AS6*$AC6)+($AS6*$AF6)+($AI6)+($AS6*((52+$AM6)/52))*(1+$AO6))*1/$Q6</f>
        <v/>
      </c>
      <c r="CZ6" s="78">
        <f>CW6/52/$N6</f>
        <v/>
      </c>
      <c r="DA6" s="78">
        <f>CX6/52/$N6</f>
        <v/>
      </c>
      <c r="DB6" s="78">
        <f>CY6/52/$N6</f>
        <v/>
      </c>
      <c r="DC6" s="78">
        <f>($AS6+($AS6*$K6)+($AS6*$T6)+($AS6*$W6)+($AS6*$Z6)+($AS6*$AC6)+($AS6*$AF6)+($AI6)+($AS6*((52+$AL6)/52))*(1+$AN6))*1/$Q6</f>
        <v/>
      </c>
      <c r="DD6" s="78">
        <f>($AS6+($AS6*$K6)+($AS6*$T6)+($AS6*$W6)+($AS6*$Z6)+($AS6*$AC6)+($AS6*$AF6)+($AI6)+($AS6*((52+$AL6)/52))*(1+$AO6))*1/$Q6</f>
        <v/>
      </c>
      <c r="DE6" s="78">
        <f>($AS6+($AS6*$K6)+($AS6*$T6)+($AS6*$W6)+($AS6*$Z6)+($AS6*$AC6)+($AS6*$AF6)+($AI6)+($AS6*((52+$AL6)/52))*(1+$AP6))*1/$Q6</f>
        <v/>
      </c>
      <c r="DF6" s="78">
        <f>DC6/52/$N6</f>
        <v/>
      </c>
      <c r="DG6" s="78">
        <f>DD6/52/$N6</f>
        <v/>
      </c>
      <c r="DH6" s="78">
        <f>DE6/52/$N6</f>
        <v/>
      </c>
    </row>
    <row r="7">
      <c r="A7" s="45" t="inlineStr">
        <is>
          <t>VIC</t>
        </is>
      </c>
      <c r="B7" s="46" t="inlineStr">
        <is>
          <t>Bioinformatics staff</t>
        </is>
      </c>
      <c r="C7" s="54" t="inlineStr">
        <is>
          <t>BI</t>
        </is>
      </c>
      <c r="D7" s="45" t="inlineStr">
        <is>
          <t>MCRI Professional and Administrative Salaries</t>
        </is>
      </c>
      <c r="E7" s="55" t="inlineStr">
        <is>
          <t>5-8</t>
        </is>
      </c>
      <c r="F7" s="63" t="n"/>
      <c r="G7" s="45" t="inlineStr">
        <is>
          <t>pp247 HS5-HS7 (July 22)</t>
        </is>
      </c>
      <c r="H7" s="56" t="inlineStr">
        <is>
          <t>1785.7-2525.90</t>
        </is>
      </c>
      <c r="I7" s="56" t="n">
        <v>2022</v>
      </c>
      <c r="J7" s="70" t="n">
        <v>0.105</v>
      </c>
      <c r="K7" s="57" t="n">
        <v>0.11</v>
      </c>
      <c r="L7" s="57" t="n">
        <v>0.1275</v>
      </c>
      <c r="M7" s="73" t="n">
        <v>36.3</v>
      </c>
      <c r="N7" s="73" t="n">
        <v>38</v>
      </c>
      <c r="O7" s="73" t="n">
        <v>40</v>
      </c>
      <c r="Q7" s="59" t="n">
        <v>1</v>
      </c>
      <c r="S7" s="59" t="n">
        <v>0</v>
      </c>
      <c r="T7" s="59" t="n">
        <v>0.1</v>
      </c>
      <c r="U7" s="59" t="n">
        <v>0.3</v>
      </c>
      <c r="V7" s="57" t="n">
        <v>0.0295</v>
      </c>
      <c r="W7" s="57" t="n">
        <v>0.035</v>
      </c>
      <c r="X7" s="57" t="n">
        <v>0.04</v>
      </c>
      <c r="Y7" s="59" t="n">
        <v>0</v>
      </c>
      <c r="Z7" s="60" t="n">
        <v>0</v>
      </c>
      <c r="AA7" s="60" t="n">
        <v>0.2</v>
      </c>
      <c r="AB7" s="57" t="n">
        <v>0</v>
      </c>
      <c r="AC7" s="57" t="n">
        <v>0</v>
      </c>
      <c r="AD7" s="57" t="n">
        <v>0</v>
      </c>
      <c r="AE7" s="59" t="n">
        <v>0.01</v>
      </c>
      <c r="AF7" s="59" t="n">
        <v>0.046</v>
      </c>
      <c r="AG7" s="59" t="n">
        <v>0.08</v>
      </c>
      <c r="AH7" s="59" t="n">
        <v>0</v>
      </c>
      <c r="AI7" s="64" t="n">
        <v>0</v>
      </c>
      <c r="AJ7" s="64" t="n">
        <v>2000</v>
      </c>
      <c r="AK7" s="74" t="n">
        <v>0</v>
      </c>
      <c r="AL7" s="62" t="n">
        <v>4</v>
      </c>
      <c r="AM7" s="62" t="n">
        <v>5</v>
      </c>
      <c r="AN7" s="62" t="n">
        <v>0</v>
      </c>
      <c r="AO7" s="59" t="n">
        <v>0.175</v>
      </c>
      <c r="AP7" s="59" t="n">
        <v>0.2</v>
      </c>
      <c r="AQ7" s="59" t="n">
        <v>0.015</v>
      </c>
      <c r="AR7" s="65" t="n">
        <v>79624</v>
      </c>
      <c r="AS7" s="65">
        <f>AR7+((AT7-AR7)/2)</f>
        <v/>
      </c>
      <c r="AT7" s="65" t="n">
        <v>124098</v>
      </c>
      <c r="AU7" s="65">
        <f>(AR7+(AR7*$K7)+(AR7*$T7)+(AR7*$W7)+(AR7*$Z7)+(AR7*$AC7)+(AR7*$AF7)+($AI7)+(AR7*((52+$AL7)/52))*(1+$AO7))*1/$Q7</f>
        <v/>
      </c>
      <c r="AV7" s="65">
        <f>(AS7+(AS7*$K7)+(AS7*$T7)+(AS7*$W7)+(AS7*$Z7)+(AS7*$AC7)+(AS7*$AF7)+($AI7)+(AS7*((52+$AL7)/52))*(1+$AO7))*1/$Q7</f>
        <v/>
      </c>
      <c r="AW7" s="65">
        <f>(AT7+(AT7*$K7)+(AT7*$T7)+(AT7*$W7)+(AT7*$Z7)+(AT7*$AC7)+(AT7*$AF7)+($AI7)+(AT7*((52+$AL7)/52))*(1+$AO7))*1/$Q7</f>
        <v/>
      </c>
      <c r="AX7" s="65">
        <f>AU7/52/$N7</f>
        <v/>
      </c>
      <c r="AY7" s="65">
        <f>AV7/52/$N7</f>
        <v/>
      </c>
      <c r="AZ7" s="65">
        <f>AW7/52/$N7</f>
        <v/>
      </c>
      <c r="BA7" s="78">
        <f>($AS7+($AS7*$J7)+($AS7*$T7)+($AS7*$W7)+($AS7*$Z7)+($AS7*$AC7)+($AS7*$AF7)+($AI7)+($AS7*((52+$AL7)/52))*(1+$AO7))*1/$Q7</f>
        <v/>
      </c>
      <c r="BB7" s="78">
        <f>($AS7+($AS7*$K7)+($AS7*$T7)+($AS7*$W7)+($AS7*$Z7)+($AS7*$AC7)+($AS7*$AF7)+($AI7)+($AS7*((52+$AL7)/52))*(1+$AO7))*1/$Q7</f>
        <v/>
      </c>
      <c r="BC7" s="78">
        <f>($AS7+($AS7*$L7)+($AS7*$T7)+($AS7*$W7)+($AS7*$Z7)+($AS7*$AC7)+($AS7*$AF7)+($AI7)+($AS7*((52+$AL7)/52))*(1+$AO7))*1/$Q7</f>
        <v/>
      </c>
      <c r="BD7" s="78">
        <f>BA7/52/$N7</f>
        <v/>
      </c>
      <c r="BE7" s="78">
        <f>BB7/52/$N7</f>
        <v/>
      </c>
      <c r="BF7" s="78">
        <f>BC7/52/$N7</f>
        <v/>
      </c>
      <c r="BG7" s="78">
        <f>($AS7+($AS7*$K7)+($AS7*$T7)+($AS7*$W7)+($AS7*$Z7)+($AS7*$AC7)+($AS7*$AF7)+($AI7)+($AS7*((52+$AL7)/52))*(1+$AO7))*1/$Q7</f>
        <v/>
      </c>
      <c r="BH7" s="78">
        <f>($AS7+($AS7*$K7)+($AS7*$T7)+($AS7*$W7)+($AS7*$Z7)+($AS7*$AC7)+($AS7*$AF7)+($AI7)+($AS7*((52+$AL7)/52))*(1+$AO7))*1/$Q7</f>
        <v/>
      </c>
      <c r="BI7" s="78">
        <f>($AS7+($AS7*$K7)+($AS7*$T7)+($AS7*$W7)+($AS7*$Z7)+($AS7*$AC7)+($AS7*$AF7)+($AI7)+($AS7*((52+$AL7)/52))*(1+$AO7))*1/$Q7</f>
        <v/>
      </c>
      <c r="BJ7" s="78">
        <f>BG7/52/$O7</f>
        <v/>
      </c>
      <c r="BK7" s="78">
        <f>BH7/52/$N7</f>
        <v/>
      </c>
      <c r="BL7" s="78">
        <f>BI7/52/$M7</f>
        <v/>
      </c>
      <c r="BM7" s="78">
        <f>($AS7+($AS7*$K7)+($AS7*$S7)+($AS7*$W7)+($AS7*$Z7)+($AS7*$AC7)+($AS7*$AF7)+($AI7)+($AS7*((52+$AL7)/52))*(1+$AO7))*1/$Q7</f>
        <v/>
      </c>
      <c r="BN7" s="78">
        <f>($AS7+($AS7*$K7)+($AS7*$T7)+($AS7*$W7)+($AS7*$Z7)+($AS7*$AC7)+($AS7*$AF7)+($AI7)+($AS7*((52+$AL7)/52))*(1+$AO7))*1/$Q7</f>
        <v/>
      </c>
      <c r="BO7" s="78">
        <f>($AS7+($AS7*$K7)+($AS7*$U7)+($AS7*$W7)+($AS7*$Z7)+($AS7*$AC7)+($AS7*$AF7)+($AI7)+($AS7*((52+$AL7)/52))*(1+$AO7))*1/$Q7</f>
        <v/>
      </c>
      <c r="BP7" s="78">
        <f>BM7/52/$N7</f>
        <v/>
      </c>
      <c r="BQ7" s="78">
        <f>BN7/52/$N7</f>
        <v/>
      </c>
      <c r="BR7" s="78">
        <f>BO7/52/$N7</f>
        <v/>
      </c>
      <c r="BS7" s="78">
        <f>($AS7+($AS7*$K7)+($AS7*$T7)+($AS7*$V7)+($AS7*$Z7)+($AS7*$AC7)+($AS7*$AF7)+($AI7)+($AS7*((52+$AL7)/52))*(1+$AO7))*1/$Q7</f>
        <v/>
      </c>
      <c r="BT7" s="78">
        <f>($AS7+($AS7*$K7)+($AS7*$T7)+($AS7*$W7)+($AS7*$Z7)+($AS7*$AC7)+($AS7*$AF7)+($AI7)+($AS7*((52+$AL7)/52))*(1+$AO7))*1/$Q7</f>
        <v/>
      </c>
      <c r="BU7" s="78">
        <f>($AS7+($AS7*$K7)+($AS7*$T7)+($AS7*$X7)+($AS7*$Z7)+($AS7*$AC7)+($AS7*$AF7)+($AI7)+($AS7*((52+$AL7)/52))*(1+$AO7))*1/$Q7</f>
        <v/>
      </c>
      <c r="BV7" s="78">
        <f>BS7/52/$N7</f>
        <v/>
      </c>
      <c r="BW7" s="78">
        <f>BT7/52/$N7</f>
        <v/>
      </c>
      <c r="BX7" s="78">
        <f>BU7/52/$N7</f>
        <v/>
      </c>
      <c r="BY7" s="78">
        <f>($AS7+($AS7*$K7)+($AS7*$T7)+($AS7*$W7)+($AS7*$Y7)+($AS7*$AC7)+($AS7*$AF7)+($AI7)+($AS7*((52+$AL7)/52))*(1+$AO7))*1/$Q7</f>
        <v/>
      </c>
      <c r="BZ7" s="78">
        <f>($AS7+($AS7*$K7)+($AS7*$T7)+($AS7*$W7)+($AS7*$Z7)+($AS7*$AC7)+($AS7*$AF7)+($AI7)+($AS7*((52+$AL7)/52))*(1+$AO7))*1/$Q7</f>
        <v/>
      </c>
      <c r="CA7" s="78">
        <f>($AS7+($AS7*$K7)+($AS7*$T7)+($AS7*$W7)+($AS7*$AA7)+($AS7*$AC7)+($AS7*$AF7)+($AI7)+($AS7*((52+$AL7)/52))*(1+$AO7))*1/$Q7</f>
        <v/>
      </c>
      <c r="CB7" s="78">
        <f>BY7/52/$N7</f>
        <v/>
      </c>
      <c r="CC7" s="78">
        <f>BZ7/52/$N7</f>
        <v/>
      </c>
      <c r="CD7" s="78">
        <f>CA7/52/$N7</f>
        <v/>
      </c>
      <c r="CE7" s="78">
        <f>($AS7+($AS7*$K7)+($AS7*$T7)+($AS7*$W7)+($AS7*$Z7)+($AS7*$AB7)+($AS7*$AF7)+($AI7)+($AS7*((52+$AL7)/52))*(1+$AO7))*1/$Q7</f>
        <v/>
      </c>
      <c r="CF7" s="78">
        <f>($AS7+($AS7*$K7)+($AS7*$T7)+($AS7*$W7)+($AS7*$Z7)+($AS7*$AC7)+($AS7*$AF7)+($AI7)+($AS7*((52+$AL7)/52))*(1+$AO7))*1/$Q7</f>
        <v/>
      </c>
      <c r="CG7" s="78">
        <f>($AS7+($AS7*$K7)+($AS7*$T7)+($AS7*$W7)+($AS7*$Z7)+($AS7*$AD7)+($AS7*$AF7)+($AI7)+($AS7*((52+$AL7)/52))*(1+$AO7))*1/$Q7</f>
        <v/>
      </c>
      <c r="CH7" s="78">
        <f>CE7/52/$N7</f>
        <v/>
      </c>
      <c r="CI7" s="78">
        <f>CF7/52/$N7</f>
        <v/>
      </c>
      <c r="CJ7" s="78">
        <f>CG7/52/$N7</f>
        <v/>
      </c>
      <c r="CK7" s="78">
        <f>($AS7+($AS7*$K7)+($AS7*$T7)+($AS7*$W7)+($AS7*$Z7)+($AS7*$AC7)+($AS7*$AE7)+($AI7)+($AS7*((52+$AL7)/52))*(1+$AO7))*1/$Q7</f>
        <v/>
      </c>
      <c r="CL7" s="78">
        <f>($AS7+($AS7*$K7)+($AS7*$T7)+($AS7*$W7)+($AS7*$Z7)+($AS7*$AC7)+($AS7*$AF7)+($AI7)+($AS7*((52+$AL7)/52))*(1+$AO7))*1/$Q7</f>
        <v/>
      </c>
      <c r="CM7" s="78">
        <f>($AS7+($AS7*$K7)+($AS7*$T7)+($AS7*$W7)+($AS7*$Z7)+($AS7*$AC7)+($AS7*$AG7)+($AI7)+($AS7*((52+$AL7)/52))*(1+$AO7))*1/$Q7</f>
        <v/>
      </c>
      <c r="CN7" s="78">
        <f>CK7/52/$N7</f>
        <v/>
      </c>
      <c r="CO7" s="78">
        <f>CL7/52/$N7</f>
        <v/>
      </c>
      <c r="CP7" s="78">
        <f>CM7/52/$N7</f>
        <v/>
      </c>
      <c r="CQ7" s="78">
        <f>($AS7+($AS7*$K7)+($AS7*$T7)+($AS7*$W7)+($AS7*$Z7)+($AS7*$AC7)+($AS7*$AF7)+($AH7)+($AS7*((52+$AL7)/52))*(1+$AO7))*1/$Q7</f>
        <v/>
      </c>
      <c r="CR7" s="78">
        <f>($AS7+($AS7*$K7)+($AS7*$T7)+($AS7*$W7)+($AS7*$Z7)+($AS7*$AC7)+($AS7*$AF7)+($AI7)+($AS7*((52+$AL7)/52))*(1+$AO7))*1/$Q7</f>
        <v/>
      </c>
      <c r="CS7" s="78">
        <f>($AS7+($AS7*$K7)+($AS7*$T7)+($AS7*$W7)+($AS7*$Z7)+($AS7*$AC7)+($AS7*$AF7)+($AJ7)+($AS7*((52+$AL7)/52))*(1+$AO7))*1/$Q7</f>
        <v/>
      </c>
      <c r="CT7" s="78">
        <f>CQ7/52/$N7</f>
        <v/>
      </c>
      <c r="CU7" s="78">
        <f>CR7/52/$N7</f>
        <v/>
      </c>
      <c r="CV7" s="78">
        <f>CS7/52/$N7</f>
        <v/>
      </c>
      <c r="CW7" s="78">
        <f>($AS7+($AS7*$K7)+($AS7*$T7)+($AS7*$W7)+($AS7*$Z7)+($AS7*$AC7)+($AS7*$AF7)+($AI7)+($AS7*((52+$AK7)/52))*(1+$AO7))*1/$Q7</f>
        <v/>
      </c>
      <c r="CX7" s="78">
        <f>($AS7+($AS7*$K7)+($AS7*$T7)+($AS7*$W7)+($AS7*$Z7)+($AS7*$AC7)+($AS7*$AF7)+($AI7)+($AS7*((52+$AL7)/52))*(1+$AO7))*1/$Q7</f>
        <v/>
      </c>
      <c r="CY7" s="78">
        <f>($AS7+($AS7*$K7)+($AS7*$T7)+($AS7*$W7)+($AS7*$Z7)+($AS7*$AC7)+($AS7*$AF7)+($AI7)+($AS7*((52+$AM7)/52))*(1+$AO7))*1/$Q7</f>
        <v/>
      </c>
      <c r="CZ7" s="78">
        <f>CW7/52/$N7</f>
        <v/>
      </c>
      <c r="DA7" s="78">
        <f>CX7/52/$N7</f>
        <v/>
      </c>
      <c r="DB7" s="78">
        <f>CY7/52/$N7</f>
        <v/>
      </c>
      <c r="DC7" s="78">
        <f>($AS7+($AS7*$K7)+($AS7*$T7)+($AS7*$W7)+($AS7*$Z7)+($AS7*$AC7)+($AS7*$AF7)+($AI7)+($AS7*((52+$AL7)/52))*(1+$AN7))*1/$Q7</f>
        <v/>
      </c>
      <c r="DD7" s="78">
        <f>($AS7+($AS7*$K7)+($AS7*$T7)+($AS7*$W7)+($AS7*$Z7)+($AS7*$AC7)+($AS7*$AF7)+($AI7)+($AS7*((52+$AL7)/52))*(1+$AO7))*1/$Q7</f>
        <v/>
      </c>
      <c r="DE7" s="78">
        <f>($AS7+($AS7*$K7)+($AS7*$T7)+($AS7*$W7)+($AS7*$Z7)+($AS7*$AC7)+($AS7*$AF7)+($AI7)+($AS7*((52+$AL7)/52))*(1+$AP7))*1/$Q7</f>
        <v/>
      </c>
      <c r="DF7" s="78">
        <f>DC7/52/$N7</f>
        <v/>
      </c>
      <c r="DG7" s="78">
        <f>DD7/52/$N7</f>
        <v/>
      </c>
      <c r="DH7" s="78">
        <f>DE7/52/$N7</f>
        <v/>
      </c>
    </row>
    <row r="8">
      <c r="A8" s="45" t="inlineStr">
        <is>
          <t>VIC</t>
        </is>
      </c>
      <c r="B8" s="46" t="inlineStr">
        <is>
          <t>Pathologists</t>
        </is>
      </c>
      <c r="C8" s="54" t="inlineStr">
        <is>
          <t>MP</t>
        </is>
      </c>
      <c r="D8" s="45" t="inlineStr">
        <is>
          <t>MEDICAL SPECIALISTS (VICTORIAN PUBLIC HEALTH SECTOR) (AMA VICTORIA/ASMOF) (SINGLE INTEREST EMPLOYERS) ENTERPRISE AGREEMENT 2022 – 2026</t>
        </is>
      </c>
      <c r="E8" s="55" t="inlineStr">
        <is>
          <t>Assume year 9, full time</t>
        </is>
      </c>
      <c r="F8" s="45" t="inlineStr">
        <is>
          <t>rightward skewed</t>
        </is>
      </c>
      <c r="G8" s="45" t="inlineStr">
        <is>
          <t>-</t>
        </is>
      </c>
      <c r="H8" s="56" t="inlineStr">
        <is>
          <t>6420.1-7383.20</t>
        </is>
      </c>
      <c r="I8" s="56" t="n">
        <v>2022</v>
      </c>
      <c r="J8" s="70" t="n">
        <v>0.105</v>
      </c>
      <c r="K8" s="57" t="n">
        <v>0.11</v>
      </c>
      <c r="L8" s="57" t="n">
        <v>0.1275</v>
      </c>
      <c r="M8" s="73" t="n">
        <v>36.3</v>
      </c>
      <c r="N8" s="73" t="n">
        <v>38</v>
      </c>
      <c r="O8" s="73" t="n">
        <v>40</v>
      </c>
      <c r="Q8" s="59" t="n">
        <v>1</v>
      </c>
      <c r="S8" s="59" t="n">
        <v>0</v>
      </c>
      <c r="T8" s="59" t="n">
        <v>0</v>
      </c>
      <c r="U8" s="59" t="n">
        <v>0.3</v>
      </c>
      <c r="V8" s="57" t="n">
        <v>0.0295</v>
      </c>
      <c r="W8" s="57" t="n">
        <v>0.035</v>
      </c>
      <c r="X8" s="57" t="n">
        <v>0.04</v>
      </c>
      <c r="Y8" s="59" t="n">
        <v>0</v>
      </c>
      <c r="Z8" s="60" t="n">
        <v>0.1</v>
      </c>
      <c r="AA8" s="60" t="n">
        <v>0.2</v>
      </c>
      <c r="AB8" s="57" t="n">
        <v>0</v>
      </c>
      <c r="AC8" s="57" t="n">
        <v>0</v>
      </c>
      <c r="AD8" s="57" t="n">
        <v>0</v>
      </c>
      <c r="AE8" s="59" t="n">
        <v>0.01</v>
      </c>
      <c r="AF8" s="59" t="n">
        <v>0.046</v>
      </c>
      <c r="AG8" s="59" t="n">
        <v>0.08</v>
      </c>
      <c r="AH8" s="59" t="n">
        <v>0</v>
      </c>
      <c r="AI8" s="64" t="n">
        <v>29000.16</v>
      </c>
      <c r="AJ8" s="64" t="n">
        <v>29000</v>
      </c>
      <c r="AK8" s="74" t="n">
        <v>0</v>
      </c>
      <c r="AL8" s="62" t="n">
        <v>4</v>
      </c>
      <c r="AM8" s="62" t="n">
        <v>5</v>
      </c>
      <c r="AN8" s="62" t="n">
        <v>0</v>
      </c>
      <c r="AO8" s="59" t="n">
        <v>0.175</v>
      </c>
      <c r="AP8" s="59" t="n">
        <v>0.2</v>
      </c>
      <c r="AQ8" s="59" t="n">
        <v>0.015</v>
      </c>
      <c r="AR8" s="65">
        <f>4797.5*52</f>
        <v/>
      </c>
      <c r="AS8" s="65">
        <f>AR8+((AT8-AR8)/2)</f>
        <v/>
      </c>
      <c r="AT8" s="65">
        <f>6596.65*52</f>
        <v/>
      </c>
      <c r="AU8" s="65">
        <f>(AR8+(AR8*$K8)+(AR8*$T8)+(AR8*$W8)+(AR8*$Z8)+(AR8*$AC8)+(AR8*$AF8)+($AI8)+(AR8*((52+$AL8)/52))*(1+$AO8))*1/$Q8</f>
        <v/>
      </c>
      <c r="AV8" s="65">
        <f>(AS8+(AS8*$K8)+(AS8*$T8)+(AS8*$W8)+(AS8*$Z8)+(AS8*$AC8)+(AS8*$AF8)+($AI8)+(AS8*((52+$AL8)/52))*(1+$AO8))*1/$Q8</f>
        <v/>
      </c>
      <c r="AW8" s="65">
        <f>(AT8+(AT8*$K8)+(AT8*$T8)+(AT8*$W8)+(AT8*$Z8)+(AT8*$AC8)+(AT8*$AF8)+($AI8)+(AT8*((52+$AL8)/52))*(1+$AO8))*1/$Q8</f>
        <v/>
      </c>
      <c r="AX8" s="65">
        <f>AU8/52/$N8</f>
        <v/>
      </c>
      <c r="AY8" s="65">
        <f>AV8/52/$N8</f>
        <v/>
      </c>
      <c r="AZ8" s="65">
        <f>AW8/52/$N8</f>
        <v/>
      </c>
      <c r="BA8" s="78">
        <f>($AS8+($AS8*$J8)+($AS8*$T8)+($AS8*$W8)+($AS8*$Z8)+($AS8*$AC8)+($AS8*$AF8)+($AI8)+($AS8*((52+$AL8)/52))*(1+$AO8))*1/$Q8</f>
        <v/>
      </c>
      <c r="BB8" s="78">
        <f>($AS8+($AS8*$K8)+($AS8*$T8)+($AS8*$W8)+($AS8*$Z8)+($AS8*$AC8)+($AS8*$AF8)+($AI8)+($AS8*((52+$AL8)/52))*(1+$AO8))*1/$Q8</f>
        <v/>
      </c>
      <c r="BC8" s="78">
        <f>($AS8+($AS8*$L8)+($AS8*$T8)+($AS8*$W8)+($AS8*$Z8)+($AS8*$AC8)+($AS8*$AF8)+($AI8)+($AS8*((52+$AL8)/52))*(1+$AO8))*1/$Q8</f>
        <v/>
      </c>
      <c r="BD8" s="78">
        <f>BA8/52/$N8</f>
        <v/>
      </c>
      <c r="BE8" s="78">
        <f>BB8/52/$N8</f>
        <v/>
      </c>
      <c r="BF8" s="78">
        <f>BC8/52/$N8</f>
        <v/>
      </c>
      <c r="BG8" s="78">
        <f>($AS8+($AS8*$K8)+($AS8*$T8)+($AS8*$W8)+($AS8*$Z8)+($AS8*$AC8)+($AS8*$AF8)+($AI8)+($AS8*((52+$AL8)/52))*(1+$AO8))*1/$Q8</f>
        <v/>
      </c>
      <c r="BH8" s="78">
        <f>($AS8+($AS8*$K8)+($AS8*$T8)+($AS8*$W8)+($AS8*$Z8)+($AS8*$AC8)+($AS8*$AF8)+($AI8)+($AS8*((52+$AL8)/52))*(1+$AO8))*1/$Q8</f>
        <v/>
      </c>
      <c r="BI8" s="78">
        <f>($AS8+($AS8*$K8)+($AS8*$T8)+($AS8*$W8)+($AS8*$Z8)+($AS8*$AC8)+($AS8*$AF8)+($AI8)+($AS8*((52+$AL8)/52))*(1+$AO8))*1/$Q8</f>
        <v/>
      </c>
      <c r="BJ8" s="78">
        <f>BG8/52/$O8</f>
        <v/>
      </c>
      <c r="BK8" s="78">
        <f>BH8/52/$N8</f>
        <v/>
      </c>
      <c r="BL8" s="78">
        <f>BI8/52/$M8</f>
        <v/>
      </c>
      <c r="BM8" s="78">
        <f>($AS8+($AS8*$K8)+($AS8*$S8)+($AS8*$W8)+($AS8*$Z8)+($AS8*$AC8)+($AS8*$AF8)+($AI8)+($AS8*((52+$AL8)/52))*(1+$AO8))*1/$Q8</f>
        <v/>
      </c>
      <c r="BN8" s="78">
        <f>($AS8+($AS8*$K8)+($AS8*$T8)+($AS8*$W8)+($AS8*$Z8)+($AS8*$AC8)+($AS8*$AF8)+($AI8)+($AS8*((52+$AL8)/52))*(1+$AO8))*1/$Q8</f>
        <v/>
      </c>
      <c r="BO8" s="78">
        <f>($AS8+($AS8*$K8)+($AS8*$U8)+($AS8*$W8)+($AS8*$Z8)+($AS8*$AC8)+($AS8*$AF8)+($AI8)+($AS8*((52+$AL8)/52))*(1+$AO8))*1/$Q8</f>
        <v/>
      </c>
      <c r="BP8" s="78">
        <f>BM8/52/$N8</f>
        <v/>
      </c>
      <c r="BQ8" s="78">
        <f>BN8/52/$N8</f>
        <v/>
      </c>
      <c r="BR8" s="78">
        <f>BO8/52/$N8</f>
        <v/>
      </c>
      <c r="BS8" s="78">
        <f>($AS8+($AS8*$K8)+($AS8*$T8)+($AS8*$V8)+($AS8*$Z8)+($AS8*$AC8)+($AS8*$AF8)+($AI8)+($AS8*((52+$AL8)/52))*(1+$AO8))*1/$Q8</f>
        <v/>
      </c>
      <c r="BT8" s="78">
        <f>($AS8+($AS8*$K8)+($AS8*$T8)+($AS8*$W8)+($AS8*$Z8)+($AS8*$AC8)+($AS8*$AF8)+($AI8)+($AS8*((52+$AL8)/52))*(1+$AO8))*1/$Q8</f>
        <v/>
      </c>
      <c r="BU8" s="78">
        <f>($AS8+($AS8*$K8)+($AS8*$T8)+($AS8*$X8)+($AS8*$Z8)+($AS8*$AC8)+($AS8*$AF8)+($AI8)+($AS8*((52+$AL8)/52))*(1+$AO8))*1/$Q8</f>
        <v/>
      </c>
      <c r="BV8" s="78">
        <f>BS8/52/$N8</f>
        <v/>
      </c>
      <c r="BW8" s="78">
        <f>BT8/52/$N8</f>
        <v/>
      </c>
      <c r="BX8" s="78">
        <f>BU8/52/$N8</f>
        <v/>
      </c>
      <c r="BY8" s="78">
        <f>($AS8+($AS8*$K8)+($AS8*$T8)+($AS8*$W8)+($AS8*$Y8)+($AS8*$AC8)+($AS8*$AF8)+($AI8)+($AS8*((52+$AL8)/52))*(1+$AO8))*1/$Q8</f>
        <v/>
      </c>
      <c r="BZ8" s="78">
        <f>($AS8+($AS8*$K8)+($AS8*$T8)+($AS8*$W8)+($AS8*$Z8)+($AS8*$AC8)+($AS8*$AF8)+($AI8)+($AS8*((52+$AL8)/52))*(1+$AO8))*1/$Q8</f>
        <v/>
      </c>
      <c r="CA8" s="78">
        <f>($AS8+($AS8*$K8)+($AS8*$T8)+($AS8*$W8)+($AS8*$AA8)+($AS8*$AC8)+($AS8*$AF8)+($AI8)+($AS8*((52+$AL8)/52))*(1+$AO8))*1/$Q8</f>
        <v/>
      </c>
      <c r="CB8" s="78">
        <f>BY8/52/$N8</f>
        <v/>
      </c>
      <c r="CC8" s="78">
        <f>BZ8/52/$N8</f>
        <v/>
      </c>
      <c r="CD8" s="78">
        <f>CA8/52/$N8</f>
        <v/>
      </c>
      <c r="CE8" s="78">
        <f>($AS8+($AS8*$K8)+($AS8*$T8)+($AS8*$W8)+($AS8*$Z8)+($AS8*$AB8)+($AS8*$AF8)+($AI8)+($AS8*((52+$AL8)/52))*(1+$AO8))*1/$Q8</f>
        <v/>
      </c>
      <c r="CF8" s="78">
        <f>($AS8+($AS8*$K8)+($AS8*$T8)+($AS8*$W8)+($AS8*$Z8)+($AS8*$AC8)+($AS8*$AF8)+($AI8)+($AS8*((52+$AL8)/52))*(1+$AO8))*1/$Q8</f>
        <v/>
      </c>
      <c r="CG8" s="78">
        <f>($AS8+($AS8*$K8)+($AS8*$T8)+($AS8*$W8)+($AS8*$Z8)+($AS8*$AD8)+($AS8*$AF8)+($AI8)+($AS8*((52+$AL8)/52))*(1+$AO8))*1/$Q8</f>
        <v/>
      </c>
      <c r="CH8" s="78">
        <f>CE8/52/$N8</f>
        <v/>
      </c>
      <c r="CI8" s="78">
        <f>CF8/52/$N8</f>
        <v/>
      </c>
      <c r="CJ8" s="78">
        <f>CG8/52/$N8</f>
        <v/>
      </c>
      <c r="CK8" s="78">
        <f>($AS8+($AS8*$K8)+($AS8*$T8)+($AS8*$W8)+($AS8*$Z8)+($AS8*$AC8)+($AS8*$AE8)+($AI8)+($AS8*((52+$AL8)/52))*(1+$AO8))*1/$Q8</f>
        <v/>
      </c>
      <c r="CL8" s="78">
        <f>($AS8+($AS8*$K8)+($AS8*$T8)+($AS8*$W8)+($AS8*$Z8)+($AS8*$AC8)+($AS8*$AF8)+($AI8)+($AS8*((52+$AL8)/52))*(1+$AO8))*1/$Q8</f>
        <v/>
      </c>
      <c r="CM8" s="78">
        <f>($AS8+($AS8*$K8)+($AS8*$T8)+($AS8*$W8)+($AS8*$Z8)+($AS8*$AC8)+($AS8*$AG8)+($AI8)+($AS8*((52+$AL8)/52))*(1+$AO8))*1/$Q8</f>
        <v/>
      </c>
      <c r="CN8" s="78">
        <f>CK8/52/$N8</f>
        <v/>
      </c>
      <c r="CO8" s="78">
        <f>CL8/52/$N8</f>
        <v/>
      </c>
      <c r="CP8" s="78">
        <f>CM8/52/$N8</f>
        <v/>
      </c>
      <c r="CQ8" s="78">
        <f>($AS8+($AS8*$K8)+($AS8*$T8)+($AS8*$W8)+($AS8*$Z8)+($AS8*$AC8)+($AS8*$AF8)+($AH8)+($AS8*((52+$AL8)/52))*(1+$AO8))*1/$Q8</f>
        <v/>
      </c>
      <c r="CR8" s="78">
        <f>($AS8+($AS8*$K8)+($AS8*$T8)+($AS8*$W8)+($AS8*$Z8)+($AS8*$AC8)+($AS8*$AF8)+($AI8)+($AS8*((52+$AL8)/52))*(1+$AO8))*1/$Q8</f>
        <v/>
      </c>
      <c r="CS8" s="78">
        <f>($AS8+($AS8*$K8)+($AS8*$T8)+($AS8*$W8)+($AS8*$Z8)+($AS8*$AC8)+($AS8*$AF8)+($AJ8)+($AS8*((52+$AL8)/52))*(1+$AO8))*1/$Q8</f>
        <v/>
      </c>
      <c r="CT8" s="78">
        <f>CQ8/52/$N8</f>
        <v/>
      </c>
      <c r="CU8" s="78">
        <f>CR8/52/$N8</f>
        <v/>
      </c>
      <c r="CV8" s="78">
        <f>CS8/52/$N8</f>
        <v/>
      </c>
      <c r="CW8" s="78">
        <f>($AS8+($AS8*$K8)+($AS8*$T8)+($AS8*$W8)+($AS8*$Z8)+($AS8*$AC8)+($AS8*$AF8)+($AI8)+($AS8*((52+$AK8)/52))*(1+$AO8))*1/$Q8</f>
        <v/>
      </c>
      <c r="CX8" s="78">
        <f>($AS8+($AS8*$K8)+($AS8*$T8)+($AS8*$W8)+($AS8*$Z8)+($AS8*$AC8)+($AS8*$AF8)+($AI8)+($AS8*((52+$AL8)/52))*(1+$AO8))*1/$Q8</f>
        <v/>
      </c>
      <c r="CY8" s="78">
        <f>($AS8+($AS8*$K8)+($AS8*$T8)+($AS8*$W8)+($AS8*$Z8)+($AS8*$AC8)+($AS8*$AF8)+($AI8)+($AS8*((52+$AM8)/52))*(1+$AO8))*1/$Q8</f>
        <v/>
      </c>
      <c r="CZ8" s="78">
        <f>CW8/52/$N8</f>
        <v/>
      </c>
      <c r="DA8" s="78">
        <f>CX8/52/$N8</f>
        <v/>
      </c>
      <c r="DB8" s="78">
        <f>CY8/52/$N8</f>
        <v/>
      </c>
      <c r="DC8" s="78">
        <f>($AS8+($AS8*$K8)+($AS8*$T8)+($AS8*$W8)+($AS8*$Z8)+($AS8*$AC8)+($AS8*$AF8)+($AI8)+($AS8*((52+$AL8)/52))*(1+$AN8))*1/$Q8</f>
        <v/>
      </c>
      <c r="DD8" s="78">
        <f>($AS8+($AS8*$K8)+($AS8*$T8)+($AS8*$W8)+($AS8*$Z8)+($AS8*$AC8)+($AS8*$AF8)+($AI8)+($AS8*((52+$AL8)/52))*(1+$AO8))*1/$Q8</f>
        <v/>
      </c>
      <c r="DE8" s="78">
        <f>($AS8+($AS8*$K8)+($AS8*$T8)+($AS8*$W8)+($AS8*$Z8)+($AS8*$AC8)+($AS8*$AF8)+($AI8)+($AS8*((52+$AL8)/52))*(1+$AP8))*1/$Q8</f>
        <v/>
      </c>
      <c r="DF8" s="78">
        <f>DC8/52/$N8</f>
        <v/>
      </c>
      <c r="DG8" s="78">
        <f>DD8/52/$N8</f>
        <v/>
      </c>
      <c r="DH8" s="78">
        <f>DE8/52/$N8</f>
        <v/>
      </c>
    </row>
    <row r="9">
      <c r="J9" s="70" t="n"/>
      <c r="AI9" s="64" t="n"/>
      <c r="AJ9" s="64" t="n"/>
      <c r="AQ9" s="59" t="n"/>
      <c r="AR9" s="65" t="n"/>
      <c r="AS9" s="65" t="n"/>
      <c r="AT9" s="65" t="n"/>
      <c r="AU9" s="65" t="n"/>
      <c r="AV9" s="65" t="n"/>
      <c r="AW9" s="65" t="n"/>
      <c r="AX9" s="65" t="n"/>
      <c r="AY9" s="65" t="n"/>
      <c r="AZ9" s="65" t="n"/>
    </row>
    <row r="10">
      <c r="A10" s="45" t="inlineStr">
        <is>
          <t>SA</t>
        </is>
      </c>
      <c r="B10" s="46" t="inlineStr">
        <is>
          <t>Lab technician</t>
        </is>
      </c>
      <c r="C10" s="54" t="inlineStr">
        <is>
          <t>LT</t>
        </is>
      </c>
      <c r="D10" s="45" t="inlineStr">
        <is>
          <t>S.A. PUBLIC SECTOR SALARIED EMPLOYEES INTERIM AWARD</t>
        </is>
      </c>
      <c r="E10" s="55" t="inlineStr">
        <is>
          <t>TG0-1 - TGO-3</t>
        </is>
      </c>
      <c r="G10" s="50" t="inlineStr">
        <is>
          <t>SA Health Costing Table</t>
        </is>
      </c>
      <c r="I10" s="56" t="n">
        <v>2022</v>
      </c>
      <c r="J10" s="70" t="n">
        <v>0.105</v>
      </c>
      <c r="K10" s="57" t="n">
        <v>0.11</v>
      </c>
      <c r="L10" s="57" t="n">
        <v>0.1275</v>
      </c>
      <c r="M10" s="73" t="n">
        <v>36.3</v>
      </c>
      <c r="N10" s="73" t="n">
        <v>38</v>
      </c>
      <c r="O10" s="73" t="n">
        <v>40</v>
      </c>
      <c r="Q10" s="59" t="n">
        <v>1</v>
      </c>
      <c r="S10" s="59" t="n">
        <v>0</v>
      </c>
      <c r="T10" s="59" t="n">
        <v>0.1</v>
      </c>
      <c r="U10" s="59" t="n">
        <v>0.3</v>
      </c>
      <c r="V10" s="57" t="n">
        <v>0.0295</v>
      </c>
      <c r="W10" s="57" t="n">
        <v>0.035</v>
      </c>
      <c r="X10" s="57" t="n">
        <v>0.04</v>
      </c>
      <c r="Y10" s="59" t="n">
        <v>0</v>
      </c>
      <c r="Z10" s="60" t="n">
        <v>0</v>
      </c>
      <c r="AA10" s="60" t="n">
        <v>0.2</v>
      </c>
      <c r="AB10" s="57" t="n">
        <v>0</v>
      </c>
      <c r="AC10" s="57" t="n">
        <v>0</v>
      </c>
      <c r="AD10" s="57" t="n">
        <v>0</v>
      </c>
      <c r="AE10" s="59" t="n">
        <v>0.01</v>
      </c>
      <c r="AF10" s="59" t="n">
        <v>0.046</v>
      </c>
      <c r="AG10" s="59" t="n">
        <v>0.08</v>
      </c>
      <c r="AH10" s="59" t="n">
        <v>0</v>
      </c>
      <c r="AI10" s="64" t="n">
        <v>0</v>
      </c>
      <c r="AJ10" s="64" t="n">
        <v>2000</v>
      </c>
      <c r="AK10" s="74" t="n">
        <v>0</v>
      </c>
      <c r="AL10" s="62" t="n">
        <v>4</v>
      </c>
      <c r="AM10" s="62" t="n">
        <v>5</v>
      </c>
      <c r="AN10" s="62" t="n">
        <v>0</v>
      </c>
      <c r="AO10" s="59" t="n">
        <v>0</v>
      </c>
      <c r="AP10" s="59" t="n">
        <v>0.2</v>
      </c>
      <c r="AQ10" s="59" t="n">
        <v>0.015</v>
      </c>
      <c r="AR10" s="65" t="n">
        <v>54364</v>
      </c>
      <c r="AS10" s="65">
        <f>AR10+((AT10-AR10)/2)</f>
        <v/>
      </c>
      <c r="AT10" s="65" t="n">
        <v>100982</v>
      </c>
      <c r="AU10" s="65">
        <f>(AR10+(AR10*$K10)+(AR10*$T10)+(AR10*$W10)+(AR10*$Z10)+(AR10*$AC10)+(AR10*$AF10)+($AI10)+(AR10*((52+$AL10)/52))*(1+$AO10))*1/$Q10</f>
        <v/>
      </c>
      <c r="AV10" s="65">
        <f>(AS10+(AS10*$K10)+(AS10*$T10)+(AS10*$W10)+(AS10*$Z10)+(AS10*$AC10)+(AS10*$AF10)+($AI10)+(AS10*((52+$AL10)/52))*(1+$AO10))*1/$Q10</f>
        <v/>
      </c>
      <c r="AW10" s="65">
        <f>(AT10+(AT10*$K10)+(AT10*$T10)+(AT10*$W10)+(AT10*$Z10)+(AT10*$AC10)+(AT10*$AF10)+($AI10)+(AT10*((52+$AL10)/52))*(1+$AO10))*1/$Q10</f>
        <v/>
      </c>
      <c r="AX10" s="65">
        <f>AU10/52/$N10</f>
        <v/>
      </c>
      <c r="AY10" s="65">
        <f>AV10/52/$N10</f>
        <v/>
      </c>
      <c r="AZ10" s="65">
        <f>AW10/52/$N10</f>
        <v/>
      </c>
      <c r="BA10" s="78">
        <f>($AS10+($AS10*$J10)+($AS10*$T10)+($AS10*$W10)+($AS10*$Z10)+($AS10*$AC10)+($AS10*$AF10)+($AI10)+($AS10*((52+$AL10)/52))*(1+$AO10))*1/$Q10</f>
        <v/>
      </c>
      <c r="BB10" s="78">
        <f>($AS10+($AS10*$K10)+($AS10*$T10)+($AS10*$W10)+($AS10*$Z10)+($AS10*$AC10)+($AS10*$AF10)+($AI10)+($AS10*((52+$AL10)/52))*(1+$AO10))*1/$Q10</f>
        <v/>
      </c>
      <c r="BC10" s="78">
        <f>($AS10+($AS10*$L10)+($AS10*$T10)+($AS10*$W10)+($AS10*$Z10)+($AS10*$AC10)+($AS10*$AF10)+($AI10)+($AS10*((52+$AL10)/52))*(1+$AO10))*1/$Q10</f>
        <v/>
      </c>
      <c r="BD10" s="78">
        <f>BA10/52/$N10</f>
        <v/>
      </c>
      <c r="BE10" s="78">
        <f>BB10/52/$N10</f>
        <v/>
      </c>
      <c r="BF10" s="78">
        <f>BC10/52/$N10</f>
        <v/>
      </c>
      <c r="BG10" s="78">
        <f>($AS10+($AS10*$K10)+($AS10*$T10)+($AS10*$W10)+($AS10*$Z10)+($AS10*$AC10)+($AS10*$AF10)+($AI10)+($AS10*((52+$AL10)/52))*(1+$AO10))*1/$Q10</f>
        <v/>
      </c>
      <c r="BH10" s="78">
        <f>($AS10+($AS10*$K10)+($AS10*$T10)+($AS10*$W10)+($AS10*$Z10)+($AS10*$AC10)+($AS10*$AF10)+($AI10)+($AS10*((52+$AL10)/52))*(1+$AO10))*1/$Q10</f>
        <v/>
      </c>
      <c r="BI10" s="78">
        <f>($AS10+($AS10*$K10)+($AS10*$T10)+($AS10*$W10)+($AS10*$Z10)+($AS10*$AC10)+($AS10*$AF10)+($AI10)+($AS10*((52+$AL10)/52))*(1+$AO10))*1/$Q10</f>
        <v/>
      </c>
      <c r="BJ10" s="78">
        <f>BG10/52/$O10</f>
        <v/>
      </c>
      <c r="BK10" s="78">
        <f>BH10/52/$N10</f>
        <v/>
      </c>
      <c r="BL10" s="78">
        <f>BI10/52/$M10</f>
        <v/>
      </c>
      <c r="BM10" s="78">
        <f>($AS10+($AS10*$K10)+($AS10*$S10)+($AS10*$W10)+($AS10*$Z10)+($AS10*$AC10)+($AS10*$AF10)+($AI10)+($AS10*((52+$AL10)/52))*(1+$AO10))*1/$Q10</f>
        <v/>
      </c>
      <c r="BN10" s="78">
        <f>($AS10+($AS10*$K10)+($AS10*$T10)+($AS10*$W10)+($AS10*$Z10)+($AS10*$AC10)+($AS10*$AF10)+($AI10)+($AS10*((52+$AL10)/52))*(1+$AO10))*1/$Q10</f>
        <v/>
      </c>
      <c r="BO10" s="78">
        <f>($AS10+($AS10*$K10)+($AS10*$U10)+($AS10*$W10)+($AS10*$Z10)+($AS10*$AC10)+($AS10*$AF10)+($AI10)+($AS10*((52+$AL10)/52))*(1+$AO10))*1/$Q10</f>
        <v/>
      </c>
      <c r="BP10" s="78">
        <f>BM10/52/$N10</f>
        <v/>
      </c>
      <c r="BQ10" s="78">
        <f>BN10/52/$N10</f>
        <v/>
      </c>
      <c r="BR10" s="78">
        <f>BO10/52/$N10</f>
        <v/>
      </c>
      <c r="BS10" s="78">
        <f>($AS10+($AS10*$K10)+($AS10*$T10)+($AS10*$V10)+($AS10*$Z10)+($AS10*$AC10)+($AS10*$AF10)+($AI10)+($AS10*((52+$AL10)/52))*(1+$AO10))*1/$Q10</f>
        <v/>
      </c>
      <c r="BT10" s="78">
        <f>($AS10+($AS10*$K10)+($AS10*$T10)+($AS10*$W10)+($AS10*$Z10)+($AS10*$AC10)+($AS10*$AF10)+($AI10)+($AS10*((52+$AL10)/52))*(1+$AO10))*1/$Q10</f>
        <v/>
      </c>
      <c r="BU10" s="78">
        <f>($AS10+($AS10*$K10)+($AS10*$T10)+($AS10*$X10)+($AS10*$Z10)+($AS10*$AC10)+($AS10*$AF10)+($AI10)+($AS10*((52+$AL10)/52))*(1+$AO10))*1/$Q10</f>
        <v/>
      </c>
      <c r="BV10" s="78">
        <f>BS10/52/$N10</f>
        <v/>
      </c>
      <c r="BW10" s="78">
        <f>BT10/52/$N10</f>
        <v/>
      </c>
      <c r="BX10" s="78">
        <f>BU10/52/$N10</f>
        <v/>
      </c>
      <c r="BY10" s="78">
        <f>($AS10+($AS10*$K10)+($AS10*$T10)+($AS10*$W10)+($AS10*$Y10)+($AS10*$AC10)+($AS10*$AF10)+($AI10)+($AS10*((52+$AL10)/52))*(1+$AO10))*1/$Q10</f>
        <v/>
      </c>
      <c r="BZ10" s="78">
        <f>($AS10+($AS10*$K10)+($AS10*$T10)+($AS10*$W10)+($AS10*$Z10)+($AS10*$AC10)+($AS10*$AF10)+($AI10)+($AS10*((52+$AL10)/52))*(1+$AO10))*1/$Q10</f>
        <v/>
      </c>
      <c r="CA10" s="78">
        <f>($AS10+($AS10*$K10)+($AS10*$T10)+($AS10*$W10)+($AS10*$AA10)+($AS10*$AC10)+($AS10*$AF10)+($AI10)+($AS10*((52+$AL10)/52))*(1+$AO10))*1/$Q10</f>
        <v/>
      </c>
      <c r="CB10" s="78">
        <f>BY10/52/$N10</f>
        <v/>
      </c>
      <c r="CC10" s="78">
        <f>BZ10/52/$N10</f>
        <v/>
      </c>
      <c r="CD10" s="78">
        <f>CA10/52/$N10</f>
        <v/>
      </c>
      <c r="CE10" s="78">
        <f>($AS10+($AS10*$K10)+($AS10*$T10)+($AS10*$W10)+($AS10*$Z10)+($AS10*$AB10)+($AS10*$AF10)+($AI10)+($AS10*((52+$AL10)/52))*(1+$AO10))*1/$Q10</f>
        <v/>
      </c>
      <c r="CF10" s="78">
        <f>($AS10+($AS10*$K10)+($AS10*$T10)+($AS10*$W10)+($AS10*$Z10)+($AS10*$AC10)+($AS10*$AF10)+($AI10)+($AS10*((52+$AL10)/52))*(1+$AO10))*1/$Q10</f>
        <v/>
      </c>
      <c r="CG10" s="78">
        <f>($AS10+($AS10*$K10)+($AS10*$T10)+($AS10*$W10)+($AS10*$Z10)+($AS10*$AD10)+($AS10*$AF10)+($AI10)+($AS10*((52+$AL10)/52))*(1+$AO10))*1/$Q10</f>
        <v/>
      </c>
      <c r="CH10" s="78">
        <f>CE10/52/$N10</f>
        <v/>
      </c>
      <c r="CI10" s="78">
        <f>CF10/52/$N10</f>
        <v/>
      </c>
      <c r="CJ10" s="78">
        <f>CG10/52/$N10</f>
        <v/>
      </c>
      <c r="CK10" s="78">
        <f>($AS10+($AS10*$K10)+($AS10*$T10)+($AS10*$W10)+($AS10*$Z10)+($AS10*$AC10)+($AS10*$AE10)+($AI10)+($AS10*((52+$AL10)/52))*(1+$AO10))*1/$Q10</f>
        <v/>
      </c>
      <c r="CL10" s="78">
        <f>($AS10+($AS10*$K10)+($AS10*$T10)+($AS10*$W10)+($AS10*$Z10)+($AS10*$AC10)+($AS10*$AF10)+($AI10)+($AS10*((52+$AL10)/52))*(1+$AO10))*1/$Q10</f>
        <v/>
      </c>
      <c r="CM10" s="78">
        <f>($AS10+($AS10*$K10)+($AS10*$T10)+($AS10*$W10)+($AS10*$Z10)+($AS10*$AC10)+($AS10*$AG10)+($AI10)+($AS10*((52+$AL10)/52))*(1+$AO10))*1/$Q10</f>
        <v/>
      </c>
      <c r="CN10" s="78">
        <f>CK10/52/$N10</f>
        <v/>
      </c>
      <c r="CO10" s="78">
        <f>CL10/52/$N10</f>
        <v/>
      </c>
      <c r="CP10" s="78">
        <f>CM10/52/$N10</f>
        <v/>
      </c>
      <c r="CQ10" s="78">
        <f>($AS10+($AS10*$K10)+($AS10*$T10)+($AS10*$W10)+($AS10*$Z10)+($AS10*$AC10)+($AS10*$AF10)+($AH10)+($AS10*((52+$AL10)/52))*(1+$AO10))*1/$Q10</f>
        <v/>
      </c>
      <c r="CR10" s="78">
        <f>($AS10+($AS10*$K10)+($AS10*$T10)+($AS10*$W10)+($AS10*$Z10)+($AS10*$AC10)+($AS10*$AF10)+($AI10)+($AS10*((52+$AL10)/52))*(1+$AO10))*1/$Q10</f>
        <v/>
      </c>
      <c r="CS10" s="78">
        <f>($AS10+($AS10*$K10)+($AS10*$T10)+($AS10*$W10)+($AS10*$Z10)+($AS10*$AC10)+($AS10*$AF10)+($AJ10)+($AS10*((52+$AL10)/52))*(1+$AO10))*1/$Q10</f>
        <v/>
      </c>
      <c r="CT10" s="78">
        <f>CQ10/52/$N10</f>
        <v/>
      </c>
      <c r="CU10" s="78">
        <f>CR10/52/$N10</f>
        <v/>
      </c>
      <c r="CV10" s="78">
        <f>CS10/52/$N10</f>
        <v/>
      </c>
      <c r="CW10" s="78">
        <f>($AS10+($AS10*$K10)+($AS10*$T10)+($AS10*$W10)+($AS10*$Z10)+($AS10*$AC10)+($AS10*$AF10)+($AI10)+($AS10*((52+$AK10)/52))*(1+$AO10))*1/$Q10</f>
        <v/>
      </c>
      <c r="CX10" s="78">
        <f>($AS10+($AS10*$K10)+($AS10*$T10)+($AS10*$W10)+($AS10*$Z10)+($AS10*$AC10)+($AS10*$AF10)+($AI10)+($AS10*((52+$AL10)/52))*(1+$AO10))*1/$Q10</f>
        <v/>
      </c>
      <c r="CY10" s="78">
        <f>($AS10+($AS10*$K10)+($AS10*$T10)+($AS10*$W10)+($AS10*$Z10)+($AS10*$AC10)+($AS10*$AF10)+($AI10)+($AS10*((52+$AM10)/52))*(1+$AO10))*1/$Q10</f>
        <v/>
      </c>
      <c r="CZ10" s="78">
        <f>CW10/52/$N10</f>
        <v/>
      </c>
      <c r="DA10" s="78">
        <f>CX10/52/$N10</f>
        <v/>
      </c>
      <c r="DB10" s="78">
        <f>CY10/52/$N10</f>
        <v/>
      </c>
      <c r="DC10" s="78">
        <f>($AS10+($AS10*$K10)+($AS10*$T10)+($AS10*$W10)+($AS10*$Z10)+($AS10*$AC10)+($AS10*$AF10)+($AI10)+($AS10*((52+$AL10)/52))*(1+$AN10))*1/$Q10</f>
        <v/>
      </c>
      <c r="DD10" s="78">
        <f>($AS10+($AS10*$K10)+($AS10*$T10)+($AS10*$W10)+($AS10*$Z10)+($AS10*$AC10)+($AS10*$AF10)+($AI10)+($AS10*((52+$AL10)/52))*(1+$AO10))*1/$Q10</f>
        <v/>
      </c>
      <c r="DE10" s="78">
        <f>($AS10+($AS10*$K10)+($AS10*$T10)+($AS10*$W10)+($AS10*$Z10)+($AS10*$AC10)+($AS10*$AF10)+($AI10)+($AS10*((52+$AL10)/52))*(1+$AP10))*1/$Q10</f>
        <v/>
      </c>
      <c r="DF10" s="78">
        <f>DC10/52/$N10</f>
        <v/>
      </c>
      <c r="DG10" s="78">
        <f>DD10/52/$N10</f>
        <v/>
      </c>
      <c r="DH10" s="78">
        <f>DE10/52/$N10</f>
        <v/>
      </c>
    </row>
    <row r="11">
      <c r="A11" s="45" t="inlineStr">
        <is>
          <t>SA</t>
        </is>
      </c>
      <c r="B11" s="46" t="inlineStr">
        <is>
          <t>Medical scientist</t>
        </is>
      </c>
      <c r="C11" s="54" t="inlineStr">
        <is>
          <t>MS</t>
        </is>
      </c>
      <c r="D11" s="45" t="inlineStr">
        <is>
          <t>MEDICAL SCIENTISTS (SOUTH AUSTRALIAN PUBLIC SECTOR) AWARD</t>
        </is>
      </c>
      <c r="E11" s="55" t="inlineStr">
        <is>
          <t>MS1 - MS4</t>
        </is>
      </c>
      <c r="F11" s="45" t="inlineStr">
        <is>
          <t>-</t>
        </is>
      </c>
      <c r="G11" s="45" t="inlineStr">
        <is>
          <t>pp38 (Schedule 4, pg 1)</t>
        </is>
      </c>
      <c r="H11" s="56" t="inlineStr">
        <is>
          <t>1145.45-2310.89</t>
        </is>
      </c>
      <c r="I11" s="56" t="n">
        <v>2022</v>
      </c>
      <c r="J11" s="70" t="n">
        <v>0.105</v>
      </c>
      <c r="K11" s="57" t="n">
        <v>0.11</v>
      </c>
      <c r="L11" s="57" t="n">
        <v>0.1275</v>
      </c>
      <c r="M11" s="73" t="n">
        <v>36.3</v>
      </c>
      <c r="N11" s="73" t="n">
        <v>38</v>
      </c>
      <c r="O11" s="73" t="n">
        <v>40</v>
      </c>
      <c r="Q11" s="59" t="n">
        <v>1</v>
      </c>
      <c r="S11" s="59" t="n">
        <v>0</v>
      </c>
      <c r="T11" s="59" t="n">
        <v>0.1</v>
      </c>
      <c r="U11" s="59" t="n">
        <v>0.3</v>
      </c>
      <c r="V11" s="57" t="n">
        <v>0.0295</v>
      </c>
      <c r="W11" s="57" t="n">
        <v>0.035</v>
      </c>
      <c r="X11" s="57" t="n">
        <v>0.04</v>
      </c>
      <c r="Y11" s="59" t="n">
        <v>0</v>
      </c>
      <c r="Z11" s="60" t="n">
        <v>0</v>
      </c>
      <c r="AA11" s="60" t="n">
        <v>0.2</v>
      </c>
      <c r="AB11" s="57" t="n">
        <v>0</v>
      </c>
      <c r="AC11" s="57" t="n">
        <v>0</v>
      </c>
      <c r="AD11" s="57" t="n">
        <v>0</v>
      </c>
      <c r="AE11" s="59" t="n">
        <v>0.01</v>
      </c>
      <c r="AF11" s="59" t="n">
        <v>0.046</v>
      </c>
      <c r="AG11" s="59" t="n">
        <v>0.08</v>
      </c>
      <c r="AH11" s="59" t="n">
        <v>0</v>
      </c>
      <c r="AI11" s="64" t="n">
        <v>0</v>
      </c>
      <c r="AJ11" s="64" t="n">
        <v>2000</v>
      </c>
      <c r="AK11" s="74" t="n">
        <v>0</v>
      </c>
      <c r="AL11" s="62" t="n">
        <v>5</v>
      </c>
      <c r="AM11" s="62" t="n">
        <v>5</v>
      </c>
      <c r="AN11" s="62" t="n">
        <v>0</v>
      </c>
      <c r="AO11" s="59" t="n">
        <v>0</v>
      </c>
      <c r="AP11" s="59" t="n">
        <v>0.2</v>
      </c>
      <c r="AQ11" s="59" t="n">
        <v>0.015</v>
      </c>
      <c r="AR11" s="65" t="n">
        <v>66386</v>
      </c>
      <c r="AS11" s="65">
        <f>AR11+((AT11-AR11)/2)</f>
        <v/>
      </c>
      <c r="AT11" s="65" t="n">
        <v>142090</v>
      </c>
      <c r="AU11" s="65">
        <f>(AR11+(AR11*$K11)+(AR11*$T11)+(AR11*$W11)+(AR11*$Z11)+(AR11*$AC11)+(AR11*$AF11)+($AI11)+(AR11*((52+$AL11)/52))*(1+$AO11))*1/$Q11</f>
        <v/>
      </c>
      <c r="AV11" s="65">
        <f>(AS11+(AS11*$K11)+(AS11*$T11)+(AS11*$W11)+(AS11*$Z11)+(AS11*$AC11)+(AS11*$AF11)+($AI11)+(AS11*((52+$AL11)/52))*(1+$AO11))*1/$Q11</f>
        <v/>
      </c>
      <c r="AW11" s="65">
        <f>(AT11+(AT11*$K11)+(AT11*$T11)+(AT11*$W11)+(AT11*$Z11)+(AT11*$AC11)+(AT11*$AF11)+($AI11)+(AT11*((52+$AL11)/52))*(1+$AO11))*1/$Q11</f>
        <v/>
      </c>
      <c r="AX11" s="65">
        <f>AU11/52/$N11</f>
        <v/>
      </c>
      <c r="AY11" s="65">
        <f>AV11/52/$N11</f>
        <v/>
      </c>
      <c r="AZ11" s="65">
        <f>AW11/52/$N11</f>
        <v/>
      </c>
      <c r="BA11" s="78">
        <f>($AS11+($AS11*$J11)+($AS11*$T11)+($AS11*$W11)+($AS11*$Z11)+($AS11*$AC11)+($AS11*$AF11)+($AI11)+($AS11*((52+$AL11)/52))*(1+$AO11))*1/$Q11</f>
        <v/>
      </c>
      <c r="BB11" s="78">
        <f>($AS11+($AS11*$K11)+($AS11*$T11)+($AS11*$W11)+($AS11*$Z11)+($AS11*$AC11)+($AS11*$AF11)+($AI11)+($AS11*((52+$AL11)/52))*(1+$AO11))*1/$Q11</f>
        <v/>
      </c>
      <c r="BC11" s="78">
        <f>($AS11+($AS11*$L11)+($AS11*$T11)+($AS11*$W11)+($AS11*$Z11)+($AS11*$AC11)+($AS11*$AF11)+($AI11)+($AS11*((52+$AL11)/52))*(1+$AO11))*1/$Q11</f>
        <v/>
      </c>
      <c r="BD11" s="78">
        <f>BA11/52/$N11</f>
        <v/>
      </c>
      <c r="BE11" s="78">
        <f>BB11/52/$N11</f>
        <v/>
      </c>
      <c r="BF11" s="78">
        <f>BC11/52/$N11</f>
        <v/>
      </c>
      <c r="BG11" s="78">
        <f>($AS11+($AS11*$K11)+($AS11*$T11)+($AS11*$W11)+($AS11*$Z11)+($AS11*$AC11)+($AS11*$AF11)+($AI11)+($AS11*((52+$AL11)/52))*(1+$AO11))*1/$Q11</f>
        <v/>
      </c>
      <c r="BH11" s="78">
        <f>($AS11+($AS11*$K11)+($AS11*$T11)+($AS11*$W11)+($AS11*$Z11)+($AS11*$AC11)+($AS11*$AF11)+($AI11)+($AS11*((52+$AL11)/52))*(1+$AO11))*1/$Q11</f>
        <v/>
      </c>
      <c r="BI11" s="78">
        <f>($AS11+($AS11*$K11)+($AS11*$T11)+($AS11*$W11)+($AS11*$Z11)+($AS11*$AC11)+($AS11*$AF11)+($AI11)+($AS11*((52+$AL11)/52))*(1+$AO11))*1/$Q11</f>
        <v/>
      </c>
      <c r="BJ11" s="78">
        <f>BG11/52/$O11</f>
        <v/>
      </c>
      <c r="BK11" s="78">
        <f>BH11/52/$N11</f>
        <v/>
      </c>
      <c r="BL11" s="78">
        <f>BI11/52/$M11</f>
        <v/>
      </c>
      <c r="BM11" s="78">
        <f>($AS11+($AS11*$K11)+($AS11*$S11)+($AS11*$W11)+($AS11*$Z11)+($AS11*$AC11)+($AS11*$AF11)+($AI11)+($AS11*((52+$AL11)/52))*(1+$AO11))*1/$Q11</f>
        <v/>
      </c>
      <c r="BN11" s="78">
        <f>($AS11+($AS11*$K11)+($AS11*$T11)+($AS11*$W11)+($AS11*$Z11)+($AS11*$AC11)+($AS11*$AF11)+($AI11)+($AS11*((52+$AL11)/52))*(1+$AO11))*1/$Q11</f>
        <v/>
      </c>
      <c r="BO11" s="78">
        <f>($AS11+($AS11*$K11)+($AS11*$U11)+($AS11*$W11)+($AS11*$Z11)+($AS11*$AC11)+($AS11*$AF11)+($AI11)+($AS11*((52+$AL11)/52))*(1+$AO11))*1/$Q11</f>
        <v/>
      </c>
      <c r="BP11" s="78">
        <f>BM11/52/$N11</f>
        <v/>
      </c>
      <c r="BQ11" s="78">
        <f>BN11/52/$N11</f>
        <v/>
      </c>
      <c r="BR11" s="78">
        <f>BO11/52/$N11</f>
        <v/>
      </c>
      <c r="BS11" s="78">
        <f>($AS11+($AS11*$K11)+($AS11*$T11)+($AS11*$V11)+($AS11*$Z11)+($AS11*$AC11)+($AS11*$AF11)+($AI11)+($AS11*((52+$AL11)/52))*(1+$AO11))*1/$Q11</f>
        <v/>
      </c>
      <c r="BT11" s="78">
        <f>($AS11+($AS11*$K11)+($AS11*$T11)+($AS11*$W11)+($AS11*$Z11)+($AS11*$AC11)+($AS11*$AF11)+($AI11)+($AS11*((52+$AL11)/52))*(1+$AO11))*1/$Q11</f>
        <v/>
      </c>
      <c r="BU11" s="78">
        <f>($AS11+($AS11*$K11)+($AS11*$T11)+($AS11*$X11)+($AS11*$Z11)+($AS11*$AC11)+($AS11*$AF11)+($AI11)+($AS11*((52+$AL11)/52))*(1+$AO11))*1/$Q11</f>
        <v/>
      </c>
      <c r="BV11" s="78">
        <f>BS11/52/$N11</f>
        <v/>
      </c>
      <c r="BW11" s="78">
        <f>BT11/52/$N11</f>
        <v/>
      </c>
      <c r="BX11" s="78">
        <f>BU11/52/$N11</f>
        <v/>
      </c>
      <c r="BY11" s="78">
        <f>($AS11+($AS11*$K11)+($AS11*$T11)+($AS11*$W11)+($AS11*$Y11)+($AS11*$AC11)+($AS11*$AF11)+($AI11)+($AS11*((52+$AL11)/52))*(1+$AO11))*1/$Q11</f>
        <v/>
      </c>
      <c r="BZ11" s="78">
        <f>($AS11+($AS11*$K11)+($AS11*$T11)+($AS11*$W11)+($AS11*$Z11)+($AS11*$AC11)+($AS11*$AF11)+($AI11)+($AS11*((52+$AL11)/52))*(1+$AO11))*1/$Q11</f>
        <v/>
      </c>
      <c r="CA11" s="78">
        <f>($AS11+($AS11*$K11)+($AS11*$T11)+($AS11*$W11)+($AS11*$AA11)+($AS11*$AC11)+($AS11*$AF11)+($AI11)+($AS11*((52+$AL11)/52))*(1+$AO11))*1/$Q11</f>
        <v/>
      </c>
      <c r="CB11" s="78">
        <f>BY11/52/$N11</f>
        <v/>
      </c>
      <c r="CC11" s="78">
        <f>BZ11/52/$N11</f>
        <v/>
      </c>
      <c r="CD11" s="78">
        <f>CA11/52/$N11</f>
        <v/>
      </c>
      <c r="CE11" s="78">
        <f>($AS11+($AS11*$K11)+($AS11*$T11)+($AS11*$W11)+($AS11*$Z11)+($AS11*$AB11)+($AS11*$AF11)+($AI11)+($AS11*((52+$AL11)/52))*(1+$AO11))*1/$Q11</f>
        <v/>
      </c>
      <c r="CF11" s="78">
        <f>($AS11+($AS11*$K11)+($AS11*$T11)+($AS11*$W11)+($AS11*$Z11)+($AS11*$AC11)+($AS11*$AF11)+($AI11)+($AS11*((52+$AL11)/52))*(1+$AO11))*1/$Q11</f>
        <v/>
      </c>
      <c r="CG11" s="78">
        <f>($AS11+($AS11*$K11)+($AS11*$T11)+($AS11*$W11)+($AS11*$Z11)+($AS11*$AD11)+($AS11*$AF11)+($AI11)+($AS11*((52+$AL11)/52))*(1+$AO11))*1/$Q11</f>
        <v/>
      </c>
      <c r="CH11" s="78">
        <f>CE11/52/$N11</f>
        <v/>
      </c>
      <c r="CI11" s="78">
        <f>CF11/52/$N11</f>
        <v/>
      </c>
      <c r="CJ11" s="78">
        <f>CG11/52/$N11</f>
        <v/>
      </c>
      <c r="CK11" s="78">
        <f>($AS11+($AS11*$K11)+($AS11*$T11)+($AS11*$W11)+($AS11*$Z11)+($AS11*$AC11)+($AS11*$AE11)+($AI11)+($AS11*((52+$AL11)/52))*(1+$AO11))*1/$Q11</f>
        <v/>
      </c>
      <c r="CL11" s="78">
        <f>($AS11+($AS11*$K11)+($AS11*$T11)+($AS11*$W11)+($AS11*$Z11)+($AS11*$AC11)+($AS11*$AF11)+($AI11)+($AS11*((52+$AL11)/52))*(1+$AO11))*1/$Q11</f>
        <v/>
      </c>
      <c r="CM11" s="78">
        <f>($AS11+($AS11*$K11)+($AS11*$T11)+($AS11*$W11)+($AS11*$Z11)+($AS11*$AC11)+($AS11*$AG11)+($AI11)+($AS11*((52+$AL11)/52))*(1+$AO11))*1/$Q11</f>
        <v/>
      </c>
      <c r="CN11" s="78">
        <f>CK11/52/$N11</f>
        <v/>
      </c>
      <c r="CO11" s="78">
        <f>CL11/52/$N11</f>
        <v/>
      </c>
      <c r="CP11" s="78">
        <f>CM11/52/$N11</f>
        <v/>
      </c>
      <c r="CQ11" s="78">
        <f>($AS11+($AS11*$K11)+($AS11*$T11)+($AS11*$W11)+($AS11*$Z11)+($AS11*$AC11)+($AS11*$AF11)+($AH11)+($AS11*((52+$AL11)/52))*(1+$AO11))*1/$Q11</f>
        <v/>
      </c>
      <c r="CR11" s="78">
        <f>($AS11+($AS11*$K11)+($AS11*$T11)+($AS11*$W11)+($AS11*$Z11)+($AS11*$AC11)+($AS11*$AF11)+($AI11)+($AS11*((52+$AL11)/52))*(1+$AO11))*1/$Q11</f>
        <v/>
      </c>
      <c r="CS11" s="78">
        <f>($AS11+($AS11*$K11)+($AS11*$T11)+($AS11*$W11)+($AS11*$Z11)+($AS11*$AC11)+($AS11*$AF11)+($AJ11)+($AS11*((52+$AL11)/52))*(1+$AO11))*1/$Q11</f>
        <v/>
      </c>
      <c r="CT11" s="78">
        <f>CQ11/52/$N11</f>
        <v/>
      </c>
      <c r="CU11" s="78">
        <f>CR11/52/$N11</f>
        <v/>
      </c>
      <c r="CV11" s="78">
        <f>CS11/52/$N11</f>
        <v/>
      </c>
      <c r="CW11" s="78">
        <f>($AS11+($AS11*$K11)+($AS11*$T11)+($AS11*$W11)+($AS11*$Z11)+($AS11*$AC11)+($AS11*$AF11)+($AI11)+($AS11*((52+$AK11)/52))*(1+$AO11))*1/$Q11</f>
        <v/>
      </c>
      <c r="CX11" s="78">
        <f>($AS11+($AS11*$K11)+($AS11*$T11)+($AS11*$W11)+($AS11*$Z11)+($AS11*$AC11)+($AS11*$AF11)+($AI11)+($AS11*((52+$AL11)/52))*(1+$AO11))*1/$Q11</f>
        <v/>
      </c>
      <c r="CY11" s="78">
        <f>($AS11+($AS11*$K11)+($AS11*$T11)+($AS11*$W11)+($AS11*$Z11)+($AS11*$AC11)+($AS11*$AF11)+($AI11)+($AS11*((52+$AM11)/52))*(1+$AO11))*1/$Q11</f>
        <v/>
      </c>
      <c r="CZ11" s="78">
        <f>CW11/52/$N11</f>
        <v/>
      </c>
      <c r="DA11" s="78">
        <f>CX11/52/$N11</f>
        <v/>
      </c>
      <c r="DB11" s="78">
        <f>CY11/52/$N11</f>
        <v/>
      </c>
      <c r="DC11" s="78">
        <f>($AS11+($AS11*$K11)+($AS11*$T11)+($AS11*$W11)+($AS11*$Z11)+($AS11*$AC11)+($AS11*$AF11)+($AI11)+($AS11*((52+$AL11)/52))*(1+$AN11))*1/$Q11</f>
        <v/>
      </c>
      <c r="DD11" s="78">
        <f>($AS11+($AS11*$K11)+($AS11*$T11)+($AS11*$W11)+($AS11*$Z11)+($AS11*$AC11)+($AS11*$AF11)+($AI11)+($AS11*((52+$AL11)/52))*(1+$AO11))*1/$Q11</f>
        <v/>
      </c>
      <c r="DE11" s="78">
        <f>($AS11+($AS11*$K11)+($AS11*$T11)+($AS11*$W11)+($AS11*$Z11)+($AS11*$AC11)+($AS11*$AF11)+($AI11)+($AS11*((52+$AL11)/52))*(1+$AP11))*1/$Q11</f>
        <v/>
      </c>
      <c r="DF11" s="78">
        <f>DC11/52/$N11</f>
        <v/>
      </c>
      <c r="DG11" s="78">
        <f>DD11/52/$N11</f>
        <v/>
      </c>
      <c r="DH11" s="78">
        <f>DE11/52/$N11</f>
        <v/>
      </c>
    </row>
    <row r="12">
      <c r="A12" s="45" t="inlineStr">
        <is>
          <t>SA</t>
        </is>
      </c>
      <c r="B12" s="46" t="inlineStr">
        <is>
          <t>Admin staff</t>
        </is>
      </c>
      <c r="C12" s="54" t="inlineStr">
        <is>
          <t>AS</t>
        </is>
      </c>
      <c r="D12" s="45" t="inlineStr">
        <is>
          <t>S.A. PUBLIC SECTOR SALARIED EMPLOYEES INTERIM AWARD</t>
        </is>
      </c>
      <c r="E12" s="55" t="inlineStr">
        <is>
          <t>ASO2-1 - ASO3-3</t>
        </is>
      </c>
      <c r="I12" s="56" t="n">
        <v>2022</v>
      </c>
      <c r="J12" s="70" t="n">
        <v>0.105</v>
      </c>
      <c r="K12" s="57" t="n">
        <v>0.11</v>
      </c>
      <c r="L12" s="57" t="n">
        <v>0.1275</v>
      </c>
      <c r="M12" s="73" t="n">
        <v>36.3</v>
      </c>
      <c r="N12" s="73" t="n">
        <v>38</v>
      </c>
      <c r="O12" s="73" t="n">
        <v>40</v>
      </c>
      <c r="Q12" s="59" t="n">
        <v>1</v>
      </c>
      <c r="S12" s="59" t="n">
        <v>0</v>
      </c>
      <c r="T12" s="59" t="n">
        <v>0.1</v>
      </c>
      <c r="U12" s="59" t="n">
        <v>0.3</v>
      </c>
      <c r="V12" s="57" t="n">
        <v>0.0295</v>
      </c>
      <c r="W12" s="57" t="n">
        <v>0.035</v>
      </c>
      <c r="X12" s="57" t="n">
        <v>0.04</v>
      </c>
      <c r="Y12" s="59" t="n">
        <v>0</v>
      </c>
      <c r="Z12" s="60" t="n">
        <v>0</v>
      </c>
      <c r="AA12" s="60" t="n">
        <v>0.2</v>
      </c>
      <c r="AB12" s="57" t="n">
        <v>0</v>
      </c>
      <c r="AC12" s="57" t="n">
        <v>0</v>
      </c>
      <c r="AD12" s="57" t="n">
        <v>0</v>
      </c>
      <c r="AE12" s="59" t="n">
        <v>0.01</v>
      </c>
      <c r="AF12" s="59" t="n">
        <v>0.046</v>
      </c>
      <c r="AG12" s="59" t="n">
        <v>0.08</v>
      </c>
      <c r="AH12" s="59" t="n">
        <v>0</v>
      </c>
      <c r="AI12" s="64" t="n">
        <v>0</v>
      </c>
      <c r="AJ12" s="64" t="n">
        <v>2000</v>
      </c>
      <c r="AK12" s="74" t="n">
        <v>0</v>
      </c>
      <c r="AL12" s="62" t="n">
        <v>4</v>
      </c>
      <c r="AM12" s="62" t="n">
        <v>5</v>
      </c>
      <c r="AN12" s="62" t="n">
        <v>0</v>
      </c>
      <c r="AO12" s="59" t="n">
        <v>0</v>
      </c>
      <c r="AP12" s="59" t="n">
        <v>0.2</v>
      </c>
      <c r="AQ12" s="59" t="n">
        <v>0.015</v>
      </c>
      <c r="AR12" s="65" t="n">
        <v>56916</v>
      </c>
      <c r="AS12" s="65">
        <f>AR12+((AT12-AR12)/2)</f>
        <v/>
      </c>
      <c r="AT12" s="65" t="n">
        <v>69832</v>
      </c>
      <c r="AU12" s="65">
        <f>(AR12+(AR12*$K12)+(AR12*$T12)+(AR12*$W12)+(AR12*$Z12)+(AR12*$AC12)+(AR12*$AF12)+($AI12)+(AR12*((52+$AL12)/52))*(1+$AO12))*1/$Q12</f>
        <v/>
      </c>
      <c r="AV12" s="65">
        <f>(AS12+(AS12*$K12)+(AS12*$T12)+(AS12*$W12)+(AS12*$Z12)+(AS12*$AC12)+(AS12*$AF12)+($AI12)+(AS12*((52+$AL12)/52))*(1+$AO12))*1/$Q12</f>
        <v/>
      </c>
      <c r="AW12" s="65">
        <f>(AT12+(AT12*$K12)+(AT12*$T12)+(AT12*$W12)+(AT12*$Z12)+(AT12*$AC12)+(AT12*$AF12)+($AI12)+(AT12*((52+$AL12)/52))*(1+$AO12))*1/$Q12</f>
        <v/>
      </c>
      <c r="AX12" s="65">
        <f>AU12/52/$N12</f>
        <v/>
      </c>
      <c r="AY12" s="65">
        <f>AV12/52/$N12</f>
        <v/>
      </c>
      <c r="AZ12" s="65">
        <f>AW12/52/$N12</f>
        <v/>
      </c>
      <c r="BA12" s="78">
        <f>($AS12+($AS12*$J12)+($AS12*$T12)+($AS12*$W12)+($AS12*$Z12)+($AS12*$AC12)+($AS12*$AF12)+($AI12)+($AS12*((52+$AL12)/52))*(1+$AO12))*1/$Q12</f>
        <v/>
      </c>
      <c r="BB12" s="78">
        <f>($AS12+($AS12*$K12)+($AS12*$T12)+($AS12*$W12)+($AS12*$Z12)+($AS12*$AC12)+($AS12*$AF12)+($AI12)+($AS12*((52+$AL12)/52))*(1+$AO12))*1/$Q12</f>
        <v/>
      </c>
      <c r="BC12" s="78">
        <f>($AS12+($AS12*$L12)+($AS12*$T12)+($AS12*$W12)+($AS12*$Z12)+($AS12*$AC12)+($AS12*$AF12)+($AI12)+($AS12*((52+$AL12)/52))*(1+$AO12))*1/$Q12</f>
        <v/>
      </c>
      <c r="BD12" s="78">
        <f>BA12/52/$N12</f>
        <v/>
      </c>
      <c r="BE12" s="78">
        <f>BB12/52/$N12</f>
        <v/>
      </c>
      <c r="BF12" s="78">
        <f>BC12/52/$N12</f>
        <v/>
      </c>
      <c r="BG12" s="78">
        <f>($AS12+($AS12*$K12)+($AS12*$T12)+($AS12*$W12)+($AS12*$Z12)+($AS12*$AC12)+($AS12*$AF12)+($AI12)+($AS12*((52+$AL12)/52))*(1+$AO12))*1/$Q12</f>
        <v/>
      </c>
      <c r="BH12" s="78">
        <f>($AS12+($AS12*$K12)+($AS12*$T12)+($AS12*$W12)+($AS12*$Z12)+($AS12*$AC12)+($AS12*$AF12)+($AI12)+($AS12*((52+$AL12)/52))*(1+$AO12))*1/$Q12</f>
        <v/>
      </c>
      <c r="BI12" s="78">
        <f>($AS12+($AS12*$K12)+($AS12*$T12)+($AS12*$W12)+($AS12*$Z12)+($AS12*$AC12)+($AS12*$AF12)+($AI12)+($AS12*((52+$AL12)/52))*(1+$AO12))*1/$Q12</f>
        <v/>
      </c>
      <c r="BJ12" s="78">
        <f>BG12/52/$O12</f>
        <v/>
      </c>
      <c r="BK12" s="78">
        <f>BH12/52/$N12</f>
        <v/>
      </c>
      <c r="BL12" s="78">
        <f>BI12/52/$M12</f>
        <v/>
      </c>
      <c r="BM12" s="78">
        <f>($AS12+($AS12*$K12)+($AS12*$S12)+($AS12*$W12)+($AS12*$Z12)+($AS12*$AC12)+($AS12*$AF12)+($AI12)+($AS12*((52+$AL12)/52))*(1+$AO12))*1/$Q12</f>
        <v/>
      </c>
      <c r="BN12" s="78">
        <f>($AS12+($AS12*$K12)+($AS12*$T12)+($AS12*$W12)+($AS12*$Z12)+($AS12*$AC12)+($AS12*$AF12)+($AI12)+($AS12*((52+$AL12)/52))*(1+$AO12))*1/$Q12</f>
        <v/>
      </c>
      <c r="BO12" s="78">
        <f>($AS12+($AS12*$K12)+($AS12*$U12)+($AS12*$W12)+($AS12*$Z12)+($AS12*$AC12)+($AS12*$AF12)+($AI12)+($AS12*((52+$AL12)/52))*(1+$AO12))*1/$Q12</f>
        <v/>
      </c>
      <c r="BP12" s="78">
        <f>BM12/52/$N12</f>
        <v/>
      </c>
      <c r="BQ12" s="78">
        <f>BN12/52/$N12</f>
        <v/>
      </c>
      <c r="BR12" s="78">
        <f>BO12/52/$N12</f>
        <v/>
      </c>
      <c r="BS12" s="78">
        <f>($AS12+($AS12*$K12)+($AS12*$T12)+($AS12*$V12)+($AS12*$Z12)+($AS12*$AC12)+($AS12*$AF12)+($AI12)+($AS12*((52+$AL12)/52))*(1+$AO12))*1/$Q12</f>
        <v/>
      </c>
      <c r="BT12" s="78">
        <f>($AS12+($AS12*$K12)+($AS12*$T12)+($AS12*$W12)+($AS12*$Z12)+($AS12*$AC12)+($AS12*$AF12)+($AI12)+($AS12*((52+$AL12)/52))*(1+$AO12))*1/$Q12</f>
        <v/>
      </c>
      <c r="BU12" s="78">
        <f>($AS12+($AS12*$K12)+($AS12*$T12)+($AS12*$X12)+($AS12*$Z12)+($AS12*$AC12)+($AS12*$AF12)+($AI12)+($AS12*((52+$AL12)/52))*(1+$AO12))*1/$Q12</f>
        <v/>
      </c>
      <c r="BV12" s="78">
        <f>BS12/52/$N12</f>
        <v/>
      </c>
      <c r="BW12" s="78">
        <f>BT12/52/$N12</f>
        <v/>
      </c>
      <c r="BX12" s="78">
        <f>BU12/52/$N12</f>
        <v/>
      </c>
      <c r="BY12" s="78">
        <f>($AS12+($AS12*$K12)+($AS12*$T12)+($AS12*$W12)+($AS12*$Y12)+($AS12*$AC12)+($AS12*$AF12)+($AI12)+($AS12*((52+$AL12)/52))*(1+$AO12))*1/$Q12</f>
        <v/>
      </c>
      <c r="BZ12" s="78">
        <f>($AS12+($AS12*$K12)+($AS12*$T12)+($AS12*$W12)+($AS12*$Z12)+($AS12*$AC12)+($AS12*$AF12)+($AI12)+($AS12*((52+$AL12)/52))*(1+$AO12))*1/$Q12</f>
        <v/>
      </c>
      <c r="CA12" s="78">
        <f>($AS12+($AS12*$K12)+($AS12*$T12)+($AS12*$W12)+($AS12*$AA12)+($AS12*$AC12)+($AS12*$AF12)+($AI12)+($AS12*((52+$AL12)/52))*(1+$AO12))*1/$Q12</f>
        <v/>
      </c>
      <c r="CB12" s="78">
        <f>BY12/52/$N12</f>
        <v/>
      </c>
      <c r="CC12" s="78">
        <f>BZ12/52/$N12</f>
        <v/>
      </c>
      <c r="CD12" s="78">
        <f>CA12/52/$N12</f>
        <v/>
      </c>
      <c r="CE12" s="78">
        <f>($AS12+($AS12*$K12)+($AS12*$T12)+($AS12*$W12)+($AS12*$Z12)+($AS12*$AB12)+($AS12*$AF12)+($AI12)+($AS12*((52+$AL12)/52))*(1+$AO12))*1/$Q12</f>
        <v/>
      </c>
      <c r="CF12" s="78">
        <f>($AS12+($AS12*$K12)+($AS12*$T12)+($AS12*$W12)+($AS12*$Z12)+($AS12*$AC12)+($AS12*$AF12)+($AI12)+($AS12*((52+$AL12)/52))*(1+$AO12))*1/$Q12</f>
        <v/>
      </c>
      <c r="CG12" s="78">
        <f>($AS12+($AS12*$K12)+($AS12*$T12)+($AS12*$W12)+($AS12*$Z12)+($AS12*$AD12)+($AS12*$AF12)+($AI12)+($AS12*((52+$AL12)/52))*(1+$AO12))*1/$Q12</f>
        <v/>
      </c>
      <c r="CH12" s="78">
        <f>CE12/52/$N12</f>
        <v/>
      </c>
      <c r="CI12" s="78">
        <f>CF12/52/$N12</f>
        <v/>
      </c>
      <c r="CJ12" s="78">
        <f>CG12/52/$N12</f>
        <v/>
      </c>
      <c r="CK12" s="78">
        <f>($AS12+($AS12*$K12)+($AS12*$T12)+($AS12*$W12)+($AS12*$Z12)+($AS12*$AC12)+($AS12*$AE12)+($AI12)+($AS12*((52+$AL12)/52))*(1+$AO12))*1/$Q12</f>
        <v/>
      </c>
      <c r="CL12" s="78">
        <f>($AS12+($AS12*$K12)+($AS12*$T12)+($AS12*$W12)+($AS12*$Z12)+($AS12*$AC12)+($AS12*$AF12)+($AI12)+($AS12*((52+$AL12)/52))*(1+$AO12))*1/$Q12</f>
        <v/>
      </c>
      <c r="CM12" s="78">
        <f>($AS12+($AS12*$K12)+($AS12*$T12)+($AS12*$W12)+($AS12*$Z12)+($AS12*$AC12)+($AS12*$AG12)+($AI12)+($AS12*((52+$AL12)/52))*(1+$AO12))*1/$Q12</f>
        <v/>
      </c>
      <c r="CN12" s="78">
        <f>CK12/52/$N12</f>
        <v/>
      </c>
      <c r="CO12" s="78">
        <f>CL12/52/$N12</f>
        <v/>
      </c>
      <c r="CP12" s="78">
        <f>CM12/52/$N12</f>
        <v/>
      </c>
      <c r="CQ12" s="78">
        <f>($AS12+($AS12*$K12)+($AS12*$T12)+($AS12*$W12)+($AS12*$Z12)+($AS12*$AC12)+($AS12*$AF12)+($AH12)+($AS12*((52+$AL12)/52))*(1+$AO12))*1/$Q12</f>
        <v/>
      </c>
      <c r="CR12" s="78">
        <f>($AS12+($AS12*$K12)+($AS12*$T12)+($AS12*$W12)+($AS12*$Z12)+($AS12*$AC12)+($AS12*$AF12)+($AI12)+($AS12*((52+$AL12)/52))*(1+$AO12))*1/$Q12</f>
        <v/>
      </c>
      <c r="CS12" s="78">
        <f>($AS12+($AS12*$K12)+($AS12*$T12)+($AS12*$W12)+($AS12*$Z12)+($AS12*$AC12)+($AS12*$AF12)+($AJ12)+($AS12*((52+$AL12)/52))*(1+$AO12))*1/$Q12</f>
        <v/>
      </c>
      <c r="CT12" s="78">
        <f>CQ12/52/$N12</f>
        <v/>
      </c>
      <c r="CU12" s="78">
        <f>CR12/52/$N12</f>
        <v/>
      </c>
      <c r="CV12" s="78">
        <f>CS12/52/$N12</f>
        <v/>
      </c>
      <c r="CW12" s="78">
        <f>($AS12+($AS12*$K12)+($AS12*$T12)+($AS12*$W12)+($AS12*$Z12)+($AS12*$AC12)+($AS12*$AF12)+($AI12)+($AS12*((52+$AK12)/52))*(1+$AO12))*1/$Q12</f>
        <v/>
      </c>
      <c r="CX12" s="78">
        <f>($AS12+($AS12*$K12)+($AS12*$T12)+($AS12*$W12)+($AS12*$Z12)+($AS12*$AC12)+($AS12*$AF12)+($AI12)+($AS12*((52+$AL12)/52))*(1+$AO12))*1/$Q12</f>
        <v/>
      </c>
      <c r="CY12" s="78">
        <f>($AS12+($AS12*$K12)+($AS12*$T12)+($AS12*$W12)+($AS12*$Z12)+($AS12*$AC12)+($AS12*$AF12)+($AI12)+($AS12*((52+$AM12)/52))*(1+$AO12))*1/$Q12</f>
        <v/>
      </c>
      <c r="CZ12" s="78">
        <f>CW12/52/$N12</f>
        <v/>
      </c>
      <c r="DA12" s="78">
        <f>CX12/52/$N12</f>
        <v/>
      </c>
      <c r="DB12" s="78">
        <f>CY12/52/$N12</f>
        <v/>
      </c>
      <c r="DC12" s="78">
        <f>($AS12+($AS12*$K12)+($AS12*$T12)+($AS12*$W12)+($AS12*$Z12)+($AS12*$AC12)+($AS12*$AF12)+($AI12)+($AS12*((52+$AL12)/52))*(1+$AN12))*1/$Q12</f>
        <v/>
      </c>
      <c r="DD12" s="78">
        <f>($AS12+($AS12*$K12)+($AS12*$T12)+($AS12*$W12)+($AS12*$Z12)+($AS12*$AC12)+($AS12*$AF12)+($AI12)+($AS12*((52+$AL12)/52))*(1+$AO12))*1/$Q12</f>
        <v/>
      </c>
      <c r="DE12" s="78">
        <f>($AS12+($AS12*$K12)+($AS12*$T12)+($AS12*$W12)+($AS12*$Z12)+($AS12*$AC12)+($AS12*$AF12)+($AI12)+($AS12*((52+$AL12)/52))*(1+$AP12))*1/$Q12</f>
        <v/>
      </c>
      <c r="DF12" s="78">
        <f>DC12/52/$N12</f>
        <v/>
      </c>
      <c r="DG12" s="78">
        <f>DD12/52/$N12</f>
        <v/>
      </c>
      <c r="DH12" s="78">
        <f>DE12/52/$N12</f>
        <v/>
      </c>
    </row>
    <row r="13">
      <c r="A13" s="45" t="inlineStr">
        <is>
          <t>SA</t>
        </is>
      </c>
      <c r="B13" s="46" t="inlineStr">
        <is>
          <t>Bioinformatics staff</t>
        </is>
      </c>
      <c r="C13" s="54" t="inlineStr">
        <is>
          <t>BI</t>
        </is>
      </c>
      <c r="D13" s="45" t="inlineStr">
        <is>
          <t>S.A. PUBLIC SECTOR SALARIED EMPLOYEES INTERIM AWARD</t>
        </is>
      </c>
      <c r="E13" s="55" t="inlineStr">
        <is>
          <t>PO-1 - PO-4</t>
        </is>
      </c>
      <c r="I13" s="56" t="n">
        <v>2022</v>
      </c>
      <c r="J13" s="70" t="n">
        <v>0.105</v>
      </c>
      <c r="K13" s="57" t="n">
        <v>0.11</v>
      </c>
      <c r="L13" s="57" t="n">
        <v>0.1275</v>
      </c>
      <c r="M13" s="73" t="n">
        <v>36.3</v>
      </c>
      <c r="N13" s="73" t="n">
        <v>38</v>
      </c>
      <c r="O13" s="73" t="n">
        <v>40</v>
      </c>
      <c r="Q13" s="59" t="n">
        <v>1</v>
      </c>
      <c r="S13" s="59" t="n">
        <v>0</v>
      </c>
      <c r="T13" s="59" t="n">
        <v>0.1</v>
      </c>
      <c r="U13" s="59" t="n">
        <v>0.3</v>
      </c>
      <c r="V13" s="57" t="n">
        <v>0.0295</v>
      </c>
      <c r="W13" s="57" t="n">
        <v>0.035</v>
      </c>
      <c r="X13" s="57" t="n">
        <v>0.04</v>
      </c>
      <c r="Y13" s="59" t="n">
        <v>0</v>
      </c>
      <c r="Z13" s="60" t="n">
        <v>0</v>
      </c>
      <c r="AA13" s="60" t="n">
        <v>0.2</v>
      </c>
      <c r="AB13" s="57" t="n">
        <v>0</v>
      </c>
      <c r="AC13" s="57" t="n">
        <v>0</v>
      </c>
      <c r="AD13" s="57" t="n">
        <v>0</v>
      </c>
      <c r="AE13" s="59" t="n">
        <v>0.01</v>
      </c>
      <c r="AF13" s="59" t="n">
        <v>0.046</v>
      </c>
      <c r="AG13" s="59" t="n">
        <v>0.08</v>
      </c>
      <c r="AH13" s="59" t="n">
        <v>0</v>
      </c>
      <c r="AI13" s="64" t="n">
        <v>0</v>
      </c>
      <c r="AJ13" s="64" t="n">
        <v>2000</v>
      </c>
      <c r="AK13" s="74" t="n">
        <v>0</v>
      </c>
      <c r="AL13" s="62" t="n">
        <v>4</v>
      </c>
      <c r="AM13" s="62" t="n">
        <v>5</v>
      </c>
      <c r="AN13" s="62" t="n">
        <v>0</v>
      </c>
      <c r="AO13" s="59" t="n">
        <v>0</v>
      </c>
      <c r="AP13" s="59" t="n">
        <v>0.2</v>
      </c>
      <c r="AQ13" s="59" t="n">
        <v>0.015</v>
      </c>
      <c r="AR13" s="65" t="n">
        <v>66386</v>
      </c>
      <c r="AS13" s="65">
        <f>AR13+((AT13-AR13)/2)</f>
        <v/>
      </c>
      <c r="AT13" s="65" t="n">
        <v>116789</v>
      </c>
      <c r="AU13" s="65">
        <f>(AR13+(AR13*$K13)+(AR13*$T13)+(AR13*$W13)+(AR13*$Z13)+(AR13*$AC13)+(AR13*$AF13)+($AI13)+(AR13*((52+$AL13)/52))*(1+$AO13))*1/$Q13</f>
        <v/>
      </c>
      <c r="AV13" s="65">
        <f>(AS13+(AS13*$K13)+(AS13*$T13)+(AS13*$W13)+(AS13*$Z13)+(AS13*$AC13)+(AS13*$AF13)+($AI13)+(AS13*((52+$AL13)/52))*(1+$AO13))*1/$Q13</f>
        <v/>
      </c>
      <c r="AW13" s="65">
        <f>(AT13+(AT13*$K13)+(AT13*$T13)+(AT13*$W13)+(AT13*$Z13)+(AT13*$AC13)+(AT13*$AF13)+($AI13)+(AT13*((52+$AL13)/52))*(1+$AO13))*1/$Q13</f>
        <v/>
      </c>
      <c r="AX13" s="65">
        <f>AU13/52/$N13</f>
        <v/>
      </c>
      <c r="AY13" s="65">
        <f>AV13/52/$N13</f>
        <v/>
      </c>
      <c r="AZ13" s="65">
        <f>AW13/52/$N13</f>
        <v/>
      </c>
      <c r="BA13" s="78">
        <f>($AS13+($AS13*$J13)+($AS13*$T13)+($AS13*$W13)+($AS13*$Z13)+($AS13*$AC13)+($AS13*$AF13)+($AI13)+($AS13*((52+$AL13)/52))*(1+$AO13))*1/$Q13</f>
        <v/>
      </c>
      <c r="BB13" s="78">
        <f>($AS13+($AS13*$K13)+($AS13*$T13)+($AS13*$W13)+($AS13*$Z13)+($AS13*$AC13)+($AS13*$AF13)+($AI13)+($AS13*((52+$AL13)/52))*(1+$AO13))*1/$Q13</f>
        <v/>
      </c>
      <c r="BC13" s="78">
        <f>($AS13+($AS13*$L13)+($AS13*$T13)+($AS13*$W13)+($AS13*$Z13)+($AS13*$AC13)+($AS13*$AF13)+($AI13)+($AS13*((52+$AL13)/52))*(1+$AO13))*1/$Q13</f>
        <v/>
      </c>
      <c r="BD13" s="78">
        <f>BA13/52/$N13</f>
        <v/>
      </c>
      <c r="BE13" s="78">
        <f>BB13/52/$N13</f>
        <v/>
      </c>
      <c r="BF13" s="78">
        <f>BC13/52/$N13</f>
        <v/>
      </c>
      <c r="BG13" s="78">
        <f>($AS13+($AS13*$K13)+($AS13*$T13)+($AS13*$W13)+($AS13*$Z13)+($AS13*$AC13)+($AS13*$AF13)+($AI13)+($AS13*((52+$AL13)/52))*(1+$AO13))*1/$Q13</f>
        <v/>
      </c>
      <c r="BH13" s="78">
        <f>($AS13+($AS13*$K13)+($AS13*$T13)+($AS13*$W13)+($AS13*$Z13)+($AS13*$AC13)+($AS13*$AF13)+($AI13)+($AS13*((52+$AL13)/52))*(1+$AO13))*1/$Q13</f>
        <v/>
      </c>
      <c r="BI13" s="78">
        <f>($AS13+($AS13*$K13)+($AS13*$T13)+($AS13*$W13)+($AS13*$Z13)+($AS13*$AC13)+($AS13*$AF13)+($AI13)+($AS13*((52+$AL13)/52))*(1+$AO13))*1/$Q13</f>
        <v/>
      </c>
      <c r="BJ13" s="78">
        <f>BG13/52/$O13</f>
        <v/>
      </c>
      <c r="BK13" s="78">
        <f>BH13/52/$N13</f>
        <v/>
      </c>
      <c r="BL13" s="78">
        <f>BI13/52/$M13</f>
        <v/>
      </c>
      <c r="BM13" s="78">
        <f>($AS13+($AS13*$K13)+($AS13*$S13)+($AS13*$W13)+($AS13*$Z13)+($AS13*$AC13)+($AS13*$AF13)+($AI13)+($AS13*((52+$AL13)/52))*(1+$AO13))*1/$Q13</f>
        <v/>
      </c>
      <c r="BN13" s="78">
        <f>($AS13+($AS13*$K13)+($AS13*$T13)+($AS13*$W13)+($AS13*$Z13)+($AS13*$AC13)+($AS13*$AF13)+($AI13)+($AS13*((52+$AL13)/52))*(1+$AO13))*1/$Q13</f>
        <v/>
      </c>
      <c r="BO13" s="78">
        <f>($AS13+($AS13*$K13)+($AS13*$U13)+($AS13*$W13)+($AS13*$Z13)+($AS13*$AC13)+($AS13*$AF13)+($AI13)+($AS13*((52+$AL13)/52))*(1+$AO13))*1/$Q13</f>
        <v/>
      </c>
      <c r="BP13" s="78">
        <f>BM13/52/$N13</f>
        <v/>
      </c>
      <c r="BQ13" s="78">
        <f>BN13/52/$N13</f>
        <v/>
      </c>
      <c r="BR13" s="78">
        <f>BO13/52/$N13</f>
        <v/>
      </c>
      <c r="BS13" s="78">
        <f>($AS13+($AS13*$K13)+($AS13*$T13)+($AS13*$V13)+($AS13*$Z13)+($AS13*$AC13)+($AS13*$AF13)+($AI13)+($AS13*((52+$AL13)/52))*(1+$AO13))*1/$Q13</f>
        <v/>
      </c>
      <c r="BT13" s="78">
        <f>($AS13+($AS13*$K13)+($AS13*$T13)+($AS13*$W13)+($AS13*$Z13)+($AS13*$AC13)+($AS13*$AF13)+($AI13)+($AS13*((52+$AL13)/52))*(1+$AO13))*1/$Q13</f>
        <v/>
      </c>
      <c r="BU13" s="78">
        <f>($AS13+($AS13*$K13)+($AS13*$T13)+($AS13*$X13)+($AS13*$Z13)+($AS13*$AC13)+($AS13*$AF13)+($AI13)+($AS13*((52+$AL13)/52))*(1+$AO13))*1/$Q13</f>
        <v/>
      </c>
      <c r="BV13" s="78">
        <f>BS13/52/$N13</f>
        <v/>
      </c>
      <c r="BW13" s="78">
        <f>BT13/52/$N13</f>
        <v/>
      </c>
      <c r="BX13" s="78">
        <f>BU13/52/$N13</f>
        <v/>
      </c>
      <c r="BY13" s="78">
        <f>($AS13+($AS13*$K13)+($AS13*$T13)+($AS13*$W13)+($AS13*$Y13)+($AS13*$AC13)+($AS13*$AF13)+($AI13)+($AS13*((52+$AL13)/52))*(1+$AO13))*1/$Q13</f>
        <v/>
      </c>
      <c r="BZ13" s="78">
        <f>($AS13+($AS13*$K13)+($AS13*$T13)+($AS13*$W13)+($AS13*$Z13)+($AS13*$AC13)+($AS13*$AF13)+($AI13)+($AS13*((52+$AL13)/52))*(1+$AO13))*1/$Q13</f>
        <v/>
      </c>
      <c r="CA13" s="78">
        <f>($AS13+($AS13*$K13)+($AS13*$T13)+($AS13*$W13)+($AS13*$AA13)+($AS13*$AC13)+($AS13*$AF13)+($AI13)+($AS13*((52+$AL13)/52))*(1+$AO13))*1/$Q13</f>
        <v/>
      </c>
      <c r="CB13" s="78">
        <f>BY13/52/$N13</f>
        <v/>
      </c>
      <c r="CC13" s="78">
        <f>BZ13/52/$N13</f>
        <v/>
      </c>
      <c r="CD13" s="78">
        <f>CA13/52/$N13</f>
        <v/>
      </c>
      <c r="CE13" s="78">
        <f>($AS13+($AS13*$K13)+($AS13*$T13)+($AS13*$W13)+($AS13*$Z13)+($AS13*$AB13)+($AS13*$AF13)+($AI13)+($AS13*((52+$AL13)/52))*(1+$AO13))*1/$Q13</f>
        <v/>
      </c>
      <c r="CF13" s="78">
        <f>($AS13+($AS13*$K13)+($AS13*$T13)+($AS13*$W13)+($AS13*$Z13)+($AS13*$AC13)+($AS13*$AF13)+($AI13)+($AS13*((52+$AL13)/52))*(1+$AO13))*1/$Q13</f>
        <v/>
      </c>
      <c r="CG13" s="78">
        <f>($AS13+($AS13*$K13)+($AS13*$T13)+($AS13*$W13)+($AS13*$Z13)+($AS13*$AD13)+($AS13*$AF13)+($AI13)+($AS13*((52+$AL13)/52))*(1+$AO13))*1/$Q13</f>
        <v/>
      </c>
      <c r="CH13" s="78">
        <f>CE13/52/$N13</f>
        <v/>
      </c>
      <c r="CI13" s="78">
        <f>CF13/52/$N13</f>
        <v/>
      </c>
      <c r="CJ13" s="78">
        <f>CG13/52/$N13</f>
        <v/>
      </c>
      <c r="CK13" s="78">
        <f>($AS13+($AS13*$K13)+($AS13*$T13)+($AS13*$W13)+($AS13*$Z13)+($AS13*$AC13)+($AS13*$AE13)+($AI13)+($AS13*((52+$AL13)/52))*(1+$AO13))*1/$Q13</f>
        <v/>
      </c>
      <c r="CL13" s="78">
        <f>($AS13+($AS13*$K13)+($AS13*$T13)+($AS13*$W13)+($AS13*$Z13)+($AS13*$AC13)+($AS13*$AF13)+($AI13)+($AS13*((52+$AL13)/52))*(1+$AO13))*1/$Q13</f>
        <v/>
      </c>
      <c r="CM13" s="78">
        <f>($AS13+($AS13*$K13)+($AS13*$T13)+($AS13*$W13)+($AS13*$Z13)+($AS13*$AC13)+($AS13*$AG13)+($AI13)+($AS13*((52+$AL13)/52))*(1+$AO13))*1/$Q13</f>
        <v/>
      </c>
      <c r="CN13" s="78">
        <f>CK13/52/$N13</f>
        <v/>
      </c>
      <c r="CO13" s="78">
        <f>CL13/52/$N13</f>
        <v/>
      </c>
      <c r="CP13" s="78">
        <f>CM13/52/$N13</f>
        <v/>
      </c>
      <c r="CQ13" s="78">
        <f>($AS13+($AS13*$K13)+($AS13*$T13)+($AS13*$W13)+($AS13*$Z13)+($AS13*$AC13)+($AS13*$AF13)+($AH13)+($AS13*((52+$AL13)/52))*(1+$AO13))*1/$Q13</f>
        <v/>
      </c>
      <c r="CR13" s="78">
        <f>($AS13+($AS13*$K13)+($AS13*$T13)+($AS13*$W13)+($AS13*$Z13)+($AS13*$AC13)+($AS13*$AF13)+($AI13)+($AS13*((52+$AL13)/52))*(1+$AO13))*1/$Q13</f>
        <v/>
      </c>
      <c r="CS13" s="78">
        <f>($AS13+($AS13*$K13)+($AS13*$T13)+($AS13*$W13)+($AS13*$Z13)+($AS13*$AC13)+($AS13*$AF13)+($AJ13)+($AS13*((52+$AL13)/52))*(1+$AO13))*1/$Q13</f>
        <v/>
      </c>
      <c r="CT13" s="78">
        <f>CQ13/52/$N13</f>
        <v/>
      </c>
      <c r="CU13" s="78">
        <f>CR13/52/$N13</f>
        <v/>
      </c>
      <c r="CV13" s="78">
        <f>CS13/52/$N13</f>
        <v/>
      </c>
      <c r="CW13" s="78">
        <f>($AS13+($AS13*$K13)+($AS13*$T13)+($AS13*$W13)+($AS13*$Z13)+($AS13*$AC13)+($AS13*$AF13)+($AI13)+($AS13*((52+$AK13)/52))*(1+$AO13))*1/$Q13</f>
        <v/>
      </c>
      <c r="CX13" s="78">
        <f>($AS13+($AS13*$K13)+($AS13*$T13)+($AS13*$W13)+($AS13*$Z13)+($AS13*$AC13)+($AS13*$AF13)+($AI13)+($AS13*((52+$AL13)/52))*(1+$AO13))*1/$Q13</f>
        <v/>
      </c>
      <c r="CY13" s="78">
        <f>($AS13+($AS13*$K13)+($AS13*$T13)+($AS13*$W13)+($AS13*$Z13)+($AS13*$AC13)+($AS13*$AF13)+($AI13)+($AS13*((52+$AM13)/52))*(1+$AO13))*1/$Q13</f>
        <v/>
      </c>
      <c r="CZ13" s="78">
        <f>CW13/52/$N13</f>
        <v/>
      </c>
      <c r="DA13" s="78">
        <f>CX13/52/$N13</f>
        <v/>
      </c>
      <c r="DB13" s="78">
        <f>CY13/52/$N13</f>
        <v/>
      </c>
      <c r="DC13" s="78">
        <f>($AS13+($AS13*$K13)+($AS13*$T13)+($AS13*$W13)+($AS13*$Z13)+($AS13*$AC13)+($AS13*$AF13)+($AI13)+($AS13*((52+$AL13)/52))*(1+$AN13))*1/$Q13</f>
        <v/>
      </c>
      <c r="DD13" s="78">
        <f>($AS13+($AS13*$K13)+($AS13*$T13)+($AS13*$W13)+($AS13*$Z13)+($AS13*$AC13)+($AS13*$AF13)+($AI13)+($AS13*((52+$AL13)/52))*(1+$AO13))*1/$Q13</f>
        <v/>
      </c>
      <c r="DE13" s="78">
        <f>($AS13+($AS13*$K13)+($AS13*$T13)+($AS13*$W13)+($AS13*$Z13)+($AS13*$AC13)+($AS13*$AF13)+($AI13)+($AS13*((52+$AL13)/52))*(1+$AP13))*1/$Q13</f>
        <v/>
      </c>
      <c r="DF13" s="78">
        <f>DC13/52/$N13</f>
        <v/>
      </c>
      <c r="DG13" s="78">
        <f>DD13/52/$N13</f>
        <v/>
      </c>
      <c r="DH13" s="78">
        <f>DE13/52/$N13</f>
        <v/>
      </c>
    </row>
    <row r="14">
      <c r="A14" s="45" t="inlineStr">
        <is>
          <t>SA</t>
        </is>
      </c>
      <c r="B14" s="46" t="inlineStr">
        <is>
          <t>Pathologists</t>
        </is>
      </c>
      <c r="C14" s="54" t="inlineStr">
        <is>
          <t>MP</t>
        </is>
      </c>
      <c r="D14" s="45" t="inlineStr">
        <is>
          <t>SA Health Salaried Medical Officers Enterprise Agreement 2022</t>
        </is>
      </c>
      <c r="E14" s="55" t="inlineStr">
        <is>
          <t>MD0201 - MD029G</t>
        </is>
      </c>
      <c r="I14" s="56" t="n">
        <v>2022</v>
      </c>
      <c r="J14" s="70" t="n">
        <v>0.105</v>
      </c>
      <c r="K14" s="57" t="n">
        <v>0.11</v>
      </c>
      <c r="L14" s="57" t="n">
        <v>0.1275</v>
      </c>
      <c r="M14" s="73" t="n">
        <v>36.3</v>
      </c>
      <c r="N14" s="73" t="n">
        <v>38</v>
      </c>
      <c r="O14" s="73" t="n">
        <v>40</v>
      </c>
      <c r="Q14" s="59" t="n">
        <v>1</v>
      </c>
      <c r="S14" s="59" t="n">
        <v>0</v>
      </c>
      <c r="T14" s="59" t="n">
        <v>0</v>
      </c>
      <c r="U14" s="59" t="n">
        <v>0.3</v>
      </c>
      <c r="V14" s="57" t="n">
        <v>0.0295</v>
      </c>
      <c r="W14" s="57" t="n">
        <v>0.035</v>
      </c>
      <c r="X14" s="57" t="n">
        <v>0.04</v>
      </c>
      <c r="Y14" s="59" t="n">
        <v>0</v>
      </c>
      <c r="Z14" s="60" t="n">
        <v>0.1</v>
      </c>
      <c r="AA14" s="60" t="n">
        <v>0.2</v>
      </c>
      <c r="AB14" s="57" t="n">
        <v>0.3</v>
      </c>
      <c r="AC14" s="57" t="n">
        <v>0.6</v>
      </c>
      <c r="AD14" s="57" t="n">
        <v>0.67</v>
      </c>
      <c r="AE14" s="59" t="n">
        <v>0.01</v>
      </c>
      <c r="AF14" s="59" t="n">
        <v>0.046</v>
      </c>
      <c r="AG14" s="59" t="n">
        <v>0.08</v>
      </c>
      <c r="AH14" s="59" t="n">
        <v>0</v>
      </c>
      <c r="AI14" s="64" t="n">
        <v>26000</v>
      </c>
      <c r="AJ14" s="64" t="n">
        <v>26000</v>
      </c>
      <c r="AK14" s="74" t="n">
        <v>0</v>
      </c>
      <c r="AL14" s="62" t="n">
        <v>5</v>
      </c>
      <c r="AM14" s="62" t="n">
        <v>5</v>
      </c>
      <c r="AN14" s="62" t="n">
        <v>0</v>
      </c>
      <c r="AO14" s="59" t="n">
        <v>0.175</v>
      </c>
      <c r="AP14" s="59" t="n">
        <v>0.2</v>
      </c>
      <c r="AQ14" s="59" t="n">
        <v>0.015</v>
      </c>
      <c r="AR14" s="65" t="n">
        <v>221622</v>
      </c>
      <c r="AS14" s="65">
        <f>AR14+((AT14-AR14)/2)</f>
        <v/>
      </c>
      <c r="AT14" s="65" t="n">
        <v>292019</v>
      </c>
      <c r="AU14" s="65">
        <f>(AR14+(AR14*$K14)+(AR14*$T14)+(AR14*$W14)+(AR14*$Z14)+(AR14*$AC14)+(AR14*$AF14)+($AI14)+(AR14*((52+$AL14)/52))*(1+$AO14))*1/$Q14</f>
        <v/>
      </c>
      <c r="AV14" s="65">
        <f>(AS14+(AS14*$K14)+(AS14*$T14)+(AS14*$W14)+(AS14*$Z14)+(AS14*$AC14)+(AS14*$AF14)+($AI14)+(AS14*((52+$AL14)/52))*(1+$AO14))*1/$Q14</f>
        <v/>
      </c>
      <c r="AW14" s="65">
        <f>(AT14+(AT14*$K14)+(AT14*$T14)+(AT14*$W14)+(AT14*$Z14)+(AT14*$AC14)+(AT14*$AF14)+($AI14)+(AT14*((52+$AL14)/52))*(1+$AO14))*1/$Q14</f>
        <v/>
      </c>
      <c r="AX14" s="65">
        <f>AU14/52/$N14</f>
        <v/>
      </c>
      <c r="AY14" s="65">
        <f>AV14/52/$N14</f>
        <v/>
      </c>
      <c r="AZ14" s="65">
        <f>AW14/52/$N14</f>
        <v/>
      </c>
      <c r="BA14" s="78">
        <f>($AS14+($AS14*$J14)+($AS14*$T14)+($AS14*$W14)+($AS14*$Z14)+($AS14*$AC14)+($AS14*$AF14)+($AI14)+($AS14*((52+$AL14)/52))*(1+$AO14))*1/$Q14</f>
        <v/>
      </c>
      <c r="BB14" s="78">
        <f>($AS14+($AS14*$K14)+($AS14*$T14)+($AS14*$W14)+($AS14*$Z14)+($AS14*$AC14)+($AS14*$AF14)+($AI14)+($AS14*((52+$AL14)/52))*(1+$AO14))*1/$Q14</f>
        <v/>
      </c>
      <c r="BC14" s="78">
        <f>($AS14+($AS14*$L14)+($AS14*$T14)+($AS14*$W14)+($AS14*$Z14)+($AS14*$AC14)+($AS14*$AF14)+($AI14)+($AS14*((52+$AL14)/52))*(1+$AO14))*1/$Q14</f>
        <v/>
      </c>
      <c r="BD14" s="78">
        <f>BA14/52/$N14</f>
        <v/>
      </c>
      <c r="BE14" s="78">
        <f>BB14/52/$N14</f>
        <v/>
      </c>
      <c r="BF14" s="78">
        <f>BC14/52/$N14</f>
        <v/>
      </c>
      <c r="BG14" s="78">
        <f>($AS14+($AS14*$K14)+($AS14*$T14)+($AS14*$W14)+($AS14*$Z14)+($AS14*$AC14)+($AS14*$AF14)+($AI14)+($AS14*((52+$AL14)/52))*(1+$AO14))*1/$Q14</f>
        <v/>
      </c>
      <c r="BH14" s="78">
        <f>($AS14+($AS14*$K14)+($AS14*$T14)+($AS14*$W14)+($AS14*$Z14)+($AS14*$AC14)+($AS14*$AF14)+($AI14)+($AS14*((52+$AL14)/52))*(1+$AO14))*1/$Q14</f>
        <v/>
      </c>
      <c r="BI14" s="78">
        <f>($AS14+($AS14*$K14)+($AS14*$T14)+($AS14*$W14)+($AS14*$Z14)+($AS14*$AC14)+($AS14*$AF14)+($AI14)+($AS14*((52+$AL14)/52))*(1+$AO14))*1/$Q14</f>
        <v/>
      </c>
      <c r="BJ14" s="78">
        <f>BG14/52/$O14</f>
        <v/>
      </c>
      <c r="BK14" s="78">
        <f>BH14/52/$N14</f>
        <v/>
      </c>
      <c r="BL14" s="78">
        <f>BI14/52/$M14</f>
        <v/>
      </c>
      <c r="BM14" s="78">
        <f>($AS14+($AS14*$K14)+($AS14*$S14)+($AS14*$W14)+($AS14*$Z14)+($AS14*$AC14)+($AS14*$AF14)+($AI14)+($AS14*((52+$AL14)/52))*(1+$AO14))*1/$Q14</f>
        <v/>
      </c>
      <c r="BN14" s="78">
        <f>($AS14+($AS14*$K14)+($AS14*$T14)+($AS14*$W14)+($AS14*$Z14)+($AS14*$AC14)+($AS14*$AF14)+($AI14)+($AS14*((52+$AL14)/52))*(1+$AO14))*1/$Q14</f>
        <v/>
      </c>
      <c r="BO14" s="78">
        <f>($AS14+($AS14*$K14)+($AS14*$U14)+($AS14*$W14)+($AS14*$Z14)+($AS14*$AC14)+($AS14*$AF14)+($AI14)+($AS14*((52+$AL14)/52))*(1+$AO14))*1/$Q14</f>
        <v/>
      </c>
      <c r="BP14" s="78">
        <f>BM14/52/$N14</f>
        <v/>
      </c>
      <c r="BQ14" s="78">
        <f>BN14/52/$N14</f>
        <v/>
      </c>
      <c r="BR14" s="78">
        <f>BO14/52/$N14</f>
        <v/>
      </c>
      <c r="BS14" s="78">
        <f>($AS14+($AS14*$K14)+($AS14*$T14)+($AS14*$V14)+($AS14*$Z14)+($AS14*$AC14)+($AS14*$AF14)+($AI14)+($AS14*((52+$AL14)/52))*(1+$AO14))*1/$Q14</f>
        <v/>
      </c>
      <c r="BT14" s="78">
        <f>($AS14+($AS14*$K14)+($AS14*$T14)+($AS14*$W14)+($AS14*$Z14)+($AS14*$AC14)+($AS14*$AF14)+($AI14)+($AS14*((52+$AL14)/52))*(1+$AO14))*1/$Q14</f>
        <v/>
      </c>
      <c r="BU14" s="78">
        <f>($AS14+($AS14*$K14)+($AS14*$T14)+($AS14*$X14)+($AS14*$Z14)+($AS14*$AC14)+($AS14*$AF14)+($AI14)+($AS14*((52+$AL14)/52))*(1+$AO14))*1/$Q14</f>
        <v/>
      </c>
      <c r="BV14" s="78">
        <f>BS14/52/$N14</f>
        <v/>
      </c>
      <c r="BW14" s="78">
        <f>BT14/52/$N14</f>
        <v/>
      </c>
      <c r="BX14" s="78">
        <f>BU14/52/$N14</f>
        <v/>
      </c>
      <c r="BY14" s="78">
        <f>($AS14+($AS14*$K14)+($AS14*$T14)+($AS14*$W14)+($AS14*$Y14)+($AS14*$AC14)+($AS14*$AF14)+($AI14)+($AS14*((52+$AL14)/52))*(1+$AO14))*1/$Q14</f>
        <v/>
      </c>
      <c r="BZ14" s="78">
        <f>($AS14+($AS14*$K14)+($AS14*$T14)+($AS14*$W14)+($AS14*$Z14)+($AS14*$AC14)+($AS14*$AF14)+($AI14)+($AS14*((52+$AL14)/52))*(1+$AO14))*1/$Q14</f>
        <v/>
      </c>
      <c r="CA14" s="78">
        <f>($AS14+($AS14*$K14)+($AS14*$T14)+($AS14*$W14)+($AS14*$AA14)+($AS14*$AC14)+($AS14*$AF14)+($AI14)+($AS14*((52+$AL14)/52))*(1+$AO14))*1/$Q14</f>
        <v/>
      </c>
      <c r="CB14" s="78">
        <f>BY14/52/$N14</f>
        <v/>
      </c>
      <c r="CC14" s="78">
        <f>BZ14/52/$N14</f>
        <v/>
      </c>
      <c r="CD14" s="78">
        <f>CA14/52/$N14</f>
        <v/>
      </c>
      <c r="CE14" s="78">
        <f>($AS14+($AS14*$K14)+($AS14*$T14)+($AS14*$W14)+($AS14*$Z14)+($AS14*$AB14)+($AS14*$AF14)+($AI14)+($AS14*((52+$AL14)/52))*(1+$AO14))*1/$Q14</f>
        <v/>
      </c>
      <c r="CF14" s="78">
        <f>($AS14+($AS14*$K14)+($AS14*$T14)+($AS14*$W14)+($AS14*$Z14)+($AS14*$AC14)+($AS14*$AF14)+($AI14)+($AS14*((52+$AL14)/52))*(1+$AO14))*1/$Q14</f>
        <v/>
      </c>
      <c r="CG14" s="78">
        <f>($AS14+($AS14*$K14)+($AS14*$T14)+($AS14*$W14)+($AS14*$Z14)+($AS14*$AD14)+($AS14*$AF14)+($AI14)+($AS14*((52+$AL14)/52))*(1+$AO14))*1/$Q14</f>
        <v/>
      </c>
      <c r="CH14" s="78">
        <f>CE14/52/$N14</f>
        <v/>
      </c>
      <c r="CI14" s="78">
        <f>CF14/52/$N14</f>
        <v/>
      </c>
      <c r="CJ14" s="78">
        <f>CG14/52/$N14</f>
        <v/>
      </c>
      <c r="CK14" s="78">
        <f>($AS14+($AS14*$K14)+($AS14*$T14)+($AS14*$W14)+($AS14*$Z14)+($AS14*$AC14)+($AS14*$AE14)+($AI14)+($AS14*((52+$AL14)/52))*(1+$AO14))*1/$Q14</f>
        <v/>
      </c>
      <c r="CL14" s="78">
        <f>($AS14+($AS14*$K14)+($AS14*$T14)+($AS14*$W14)+($AS14*$Z14)+($AS14*$AC14)+($AS14*$AF14)+($AI14)+($AS14*((52+$AL14)/52))*(1+$AO14))*1/$Q14</f>
        <v/>
      </c>
      <c r="CM14" s="78">
        <f>($AS14+($AS14*$K14)+($AS14*$T14)+($AS14*$W14)+($AS14*$Z14)+($AS14*$AC14)+($AS14*$AG14)+($AI14)+($AS14*((52+$AL14)/52))*(1+$AO14))*1/$Q14</f>
        <v/>
      </c>
      <c r="CN14" s="78">
        <f>CK14/52/$N14</f>
        <v/>
      </c>
      <c r="CO14" s="78">
        <f>CL14/52/$N14</f>
        <v/>
      </c>
      <c r="CP14" s="78">
        <f>CM14/52/$N14</f>
        <v/>
      </c>
      <c r="CQ14" s="78">
        <f>($AS14+($AS14*$K14)+($AS14*$T14)+($AS14*$W14)+($AS14*$Z14)+($AS14*$AC14)+($AS14*$AF14)+($AH14)+($AS14*((52+$AL14)/52))*(1+$AO14))*1/$Q14</f>
        <v/>
      </c>
      <c r="CR14" s="78">
        <f>($AS14+($AS14*$K14)+($AS14*$T14)+($AS14*$W14)+($AS14*$Z14)+($AS14*$AC14)+($AS14*$AF14)+($AI14)+($AS14*((52+$AL14)/52))*(1+$AO14))*1/$Q14</f>
        <v/>
      </c>
      <c r="CS14" s="78">
        <f>($AS14+($AS14*$K14)+($AS14*$T14)+($AS14*$W14)+($AS14*$Z14)+($AS14*$AC14)+($AS14*$AF14)+($AJ14)+($AS14*((52+$AL14)/52))*(1+$AO14))*1/$Q14</f>
        <v/>
      </c>
      <c r="CT14" s="78">
        <f>CQ14/52/$N14</f>
        <v/>
      </c>
      <c r="CU14" s="78">
        <f>CR14/52/$N14</f>
        <v/>
      </c>
      <c r="CV14" s="78">
        <f>CS14/52/$N14</f>
        <v/>
      </c>
      <c r="CW14" s="78">
        <f>($AS14+($AS14*$K14)+($AS14*$T14)+($AS14*$W14)+($AS14*$Z14)+($AS14*$AC14)+($AS14*$AF14)+($AI14)+($AS14*((52+$AK14)/52))*(1+$AO14))*1/$Q14</f>
        <v/>
      </c>
      <c r="CX14" s="78">
        <f>($AS14+($AS14*$K14)+($AS14*$T14)+($AS14*$W14)+($AS14*$Z14)+($AS14*$AC14)+($AS14*$AF14)+($AI14)+($AS14*((52+$AL14)/52))*(1+$AO14))*1/$Q14</f>
        <v/>
      </c>
      <c r="CY14" s="78">
        <f>($AS14+($AS14*$K14)+($AS14*$T14)+($AS14*$W14)+($AS14*$Z14)+($AS14*$AC14)+($AS14*$AF14)+($AI14)+($AS14*((52+$AM14)/52))*(1+$AO14))*1/$Q14</f>
        <v/>
      </c>
      <c r="CZ14" s="78">
        <f>CW14/52/$N14</f>
        <v/>
      </c>
      <c r="DA14" s="78">
        <f>CX14/52/$N14</f>
        <v/>
      </c>
      <c r="DB14" s="78">
        <f>CY14/52/$N14</f>
        <v/>
      </c>
      <c r="DC14" s="78">
        <f>($AS14+($AS14*$K14)+($AS14*$T14)+($AS14*$W14)+($AS14*$Z14)+($AS14*$AC14)+($AS14*$AF14)+($AI14)+($AS14*((52+$AL14)/52))*(1+$AN14))*1/$Q14</f>
        <v/>
      </c>
      <c r="DD14" s="78">
        <f>($AS14+($AS14*$K14)+($AS14*$T14)+($AS14*$W14)+($AS14*$Z14)+($AS14*$AC14)+($AS14*$AF14)+($AI14)+($AS14*((52+$AL14)/52))*(1+$AO14))*1/$Q14</f>
        <v/>
      </c>
      <c r="DE14" s="78">
        <f>($AS14+($AS14*$K14)+($AS14*$T14)+($AS14*$W14)+($AS14*$Z14)+($AS14*$AC14)+($AS14*$AF14)+($AI14)+($AS14*((52+$AL14)/52))*(1+$AP14))*1/$Q14</f>
        <v/>
      </c>
      <c r="DF14" s="78">
        <f>DC14/52/$N14</f>
        <v/>
      </c>
      <c r="DG14" s="78">
        <f>DD14/52/$N14</f>
        <v/>
      </c>
      <c r="DH14" s="78">
        <f>DE14/52/$N14</f>
        <v/>
      </c>
    </row>
    <row r="15">
      <c r="J15" s="70" t="n"/>
      <c r="AI15" s="64" t="n"/>
      <c r="AJ15" s="64" t="n"/>
      <c r="AQ15" s="59" t="n"/>
      <c r="AR15" s="65" t="n"/>
      <c r="AS15" s="65" t="n"/>
      <c r="AT15" s="65" t="n"/>
      <c r="AU15" s="65" t="n"/>
      <c r="AV15" s="65" t="n"/>
      <c r="AW15" s="65" t="n"/>
      <c r="AX15" s="65" t="n"/>
      <c r="AY15" s="65" t="n"/>
      <c r="AZ15" s="65" t="n"/>
    </row>
    <row r="16" ht="15" customHeight="1">
      <c r="A16" s="45" t="inlineStr">
        <is>
          <t>NSW</t>
        </is>
      </c>
      <c r="B16" s="46" t="inlineStr">
        <is>
          <t>Lab technician</t>
        </is>
      </c>
      <c r="C16" s="54" t="inlineStr">
        <is>
          <t>LT</t>
        </is>
      </c>
      <c r="D16" s="45" t="inlineStr">
        <is>
          <t>Health Employees (State) Award</t>
        </is>
      </c>
      <c r="E16" s="55" t="inlineStr">
        <is>
          <t>Tech Assistant G1-3</t>
        </is>
      </c>
      <c r="I16" s="56" t="n">
        <v>2022</v>
      </c>
      <c r="J16" s="70" t="n">
        <v>0.105</v>
      </c>
      <c r="K16" s="57" t="n">
        <v>0.11</v>
      </c>
      <c r="L16" s="57" t="n">
        <v>0.1275</v>
      </c>
      <c r="M16" s="73" t="n">
        <v>36.3</v>
      </c>
      <c r="N16" s="73" t="n">
        <v>38</v>
      </c>
      <c r="O16" s="73" t="n">
        <v>40</v>
      </c>
      <c r="Q16" s="59" t="n">
        <v>1</v>
      </c>
      <c r="S16" s="59" t="n">
        <v>0</v>
      </c>
      <c r="T16" s="59" t="n">
        <v>0.1</v>
      </c>
      <c r="U16" s="59" t="n">
        <v>0.3</v>
      </c>
      <c r="V16" s="57" t="n">
        <v>0.0295</v>
      </c>
      <c r="W16" s="57" t="n">
        <v>0.035</v>
      </c>
      <c r="X16" s="57" t="n">
        <v>0.04</v>
      </c>
      <c r="Y16" s="59" t="n">
        <v>0</v>
      </c>
      <c r="Z16" s="60" t="n">
        <v>0</v>
      </c>
      <c r="AA16" s="60" t="n">
        <v>0.2</v>
      </c>
      <c r="AB16" s="57" t="n">
        <v>0</v>
      </c>
      <c r="AC16" s="57" t="n">
        <v>0</v>
      </c>
      <c r="AD16" s="57" t="n">
        <v>0</v>
      </c>
      <c r="AE16" s="59" t="n">
        <v>0.01</v>
      </c>
      <c r="AF16" s="59" t="n">
        <v>0.046</v>
      </c>
      <c r="AG16" s="59" t="n">
        <v>0.08</v>
      </c>
      <c r="AH16" s="59" t="n">
        <v>0</v>
      </c>
      <c r="AI16" s="64" t="n">
        <v>0</v>
      </c>
      <c r="AJ16" s="64" t="n">
        <v>2000</v>
      </c>
      <c r="AK16" s="74" t="n">
        <v>0</v>
      </c>
      <c r="AL16" s="62" t="n">
        <v>4</v>
      </c>
      <c r="AM16" s="62" t="n">
        <v>5</v>
      </c>
      <c r="AN16" s="62" t="n">
        <v>0</v>
      </c>
      <c r="AO16" s="59" t="n">
        <v>0</v>
      </c>
      <c r="AP16" s="59" t="n">
        <v>0.2</v>
      </c>
      <c r="AQ16" s="59" t="n">
        <v>0.015</v>
      </c>
      <c r="AR16" s="66">
        <f>1154.19*52</f>
        <v/>
      </c>
      <c r="AS16" s="65">
        <f>AR16+((AT16-AR16)/2)</f>
        <v/>
      </c>
      <c r="AT16" s="65">
        <f>1831.87*52</f>
        <v/>
      </c>
      <c r="AU16" s="65">
        <f>(AR16+(AR16*$K16)+(AR16*$T16)+(AR16*$W16)+(AR16*$Z16)+(AR16*$AC16)+(AR16*$AF16)+($AI16)+(AR16*((52+$AL16)/52))*(1+$AO16))*1/$Q16</f>
        <v/>
      </c>
      <c r="AV16" s="65">
        <f>(AS16+(AS16*$K16)+(AS16*$T16)+(AS16*$W16)+(AS16*$Z16)+(AS16*$AC16)+(AS16*$AF16)+($AI16)+(AS16*((52+$AL16)/52))*(1+$AO16))*1/$Q16</f>
        <v/>
      </c>
      <c r="AW16" s="65">
        <f>(AT16+(AT16*$K16)+(AT16*$T16)+(AT16*$W16)+(AT16*$Z16)+(AT16*$AC16)+(AT16*$AF16)+($AI16)+(AT16*((52+$AL16)/52))*(1+$AO16))*1/$Q16</f>
        <v/>
      </c>
      <c r="AX16" s="65">
        <f>AU16/52/$N16</f>
        <v/>
      </c>
      <c r="AY16" s="65">
        <f>AV16/52/$N16</f>
        <v/>
      </c>
      <c r="AZ16" s="65">
        <f>AW16/52/$N16</f>
        <v/>
      </c>
      <c r="BA16" s="78">
        <f>($AS16+($AS16*$J16)+($AS16*$T16)+($AS16*$W16)+($AS16*$Z16)+($AS16*$AC16)+($AS16*$AF16)+($AI16)+($AS16*((52+$AL16)/52))*(1+$AO16))*1/$Q16</f>
        <v/>
      </c>
      <c r="BB16" s="78">
        <f>($AS16+($AS16*$K16)+($AS16*$T16)+($AS16*$W16)+($AS16*$Z16)+($AS16*$AC16)+($AS16*$AF16)+($AI16)+($AS16*((52+$AL16)/52))*(1+$AO16))*1/$Q16</f>
        <v/>
      </c>
      <c r="BC16" s="78">
        <f>($AS16+($AS16*$L16)+($AS16*$T16)+($AS16*$W16)+($AS16*$Z16)+($AS16*$AC16)+($AS16*$AF16)+($AI16)+($AS16*((52+$AL16)/52))*(1+$AO16))*1/$Q16</f>
        <v/>
      </c>
      <c r="BD16" s="78">
        <f>BA16/52/$N16</f>
        <v/>
      </c>
      <c r="BE16" s="78">
        <f>BB16/52/$N16</f>
        <v/>
      </c>
      <c r="BF16" s="78">
        <f>BC16/52/$N16</f>
        <v/>
      </c>
      <c r="BG16" s="78">
        <f>($AS16+($AS16*$K16)+($AS16*$T16)+($AS16*$W16)+($AS16*$Z16)+($AS16*$AC16)+($AS16*$AF16)+($AI16)+($AS16*((52+$AL16)/52))*(1+$AO16))*1/$Q16</f>
        <v/>
      </c>
      <c r="BH16" s="78">
        <f>($AS16+($AS16*$K16)+($AS16*$T16)+($AS16*$W16)+($AS16*$Z16)+($AS16*$AC16)+($AS16*$AF16)+($AI16)+($AS16*((52+$AL16)/52))*(1+$AO16))*1/$Q16</f>
        <v/>
      </c>
      <c r="BI16" s="78">
        <f>($AS16+($AS16*$K16)+($AS16*$T16)+($AS16*$W16)+($AS16*$Z16)+($AS16*$AC16)+($AS16*$AF16)+($AI16)+($AS16*((52+$AL16)/52))*(1+$AO16))*1/$Q16</f>
        <v/>
      </c>
      <c r="BJ16" s="78">
        <f>BG16/52/$O16</f>
        <v/>
      </c>
      <c r="BK16" s="78">
        <f>BH16/52/$N16</f>
        <v/>
      </c>
      <c r="BL16" s="78">
        <f>BI16/52/$M16</f>
        <v/>
      </c>
      <c r="BM16" s="78">
        <f>($AS16+($AS16*$K16)+($AS16*$S16)+($AS16*$W16)+($AS16*$Z16)+($AS16*$AC16)+($AS16*$AF16)+($AI16)+($AS16*((52+$AL16)/52))*(1+$AO16))*1/$Q16</f>
        <v/>
      </c>
      <c r="BN16" s="78">
        <f>($AS16+($AS16*$K16)+($AS16*$T16)+($AS16*$W16)+($AS16*$Z16)+($AS16*$AC16)+($AS16*$AF16)+($AI16)+($AS16*((52+$AL16)/52))*(1+$AO16))*1/$Q16</f>
        <v/>
      </c>
      <c r="BO16" s="78">
        <f>($AS16+($AS16*$K16)+($AS16*$U16)+($AS16*$W16)+($AS16*$Z16)+($AS16*$AC16)+($AS16*$AF16)+($AI16)+($AS16*((52+$AL16)/52))*(1+$AO16))*1/$Q16</f>
        <v/>
      </c>
      <c r="BP16" s="78">
        <f>BM16/52/$N16</f>
        <v/>
      </c>
      <c r="BQ16" s="78">
        <f>BN16/52/$N16</f>
        <v/>
      </c>
      <c r="BR16" s="78">
        <f>BO16/52/$N16</f>
        <v/>
      </c>
      <c r="BS16" s="78">
        <f>($AS16+($AS16*$K16)+($AS16*$T16)+($AS16*$V16)+($AS16*$Z16)+($AS16*$AC16)+($AS16*$AF16)+($AI16)+($AS16*((52+$AL16)/52))*(1+$AO16))*1/$Q16</f>
        <v/>
      </c>
      <c r="BT16" s="78">
        <f>($AS16+($AS16*$K16)+($AS16*$T16)+($AS16*$W16)+($AS16*$Z16)+($AS16*$AC16)+($AS16*$AF16)+($AI16)+($AS16*((52+$AL16)/52))*(1+$AO16))*1/$Q16</f>
        <v/>
      </c>
      <c r="BU16" s="78">
        <f>($AS16+($AS16*$K16)+($AS16*$T16)+($AS16*$X16)+($AS16*$Z16)+($AS16*$AC16)+($AS16*$AF16)+($AI16)+($AS16*((52+$AL16)/52))*(1+$AO16))*1/$Q16</f>
        <v/>
      </c>
      <c r="BV16" s="78">
        <f>BS16/52/$N16</f>
        <v/>
      </c>
      <c r="BW16" s="78">
        <f>BT16/52/$N16</f>
        <v/>
      </c>
      <c r="BX16" s="78">
        <f>BU16/52/$N16</f>
        <v/>
      </c>
      <c r="BY16" s="78">
        <f>($AS16+($AS16*$K16)+($AS16*$T16)+($AS16*$W16)+($AS16*$Y16)+($AS16*$AC16)+($AS16*$AF16)+($AI16)+($AS16*((52+$AL16)/52))*(1+$AO16))*1/$Q16</f>
        <v/>
      </c>
      <c r="BZ16" s="78">
        <f>($AS16+($AS16*$K16)+($AS16*$T16)+($AS16*$W16)+($AS16*$Z16)+($AS16*$AC16)+($AS16*$AF16)+($AI16)+($AS16*((52+$AL16)/52))*(1+$AO16))*1/$Q16</f>
        <v/>
      </c>
      <c r="CA16" s="78">
        <f>($AS16+($AS16*$K16)+($AS16*$T16)+($AS16*$W16)+($AS16*$AA16)+($AS16*$AC16)+($AS16*$AF16)+($AI16)+($AS16*((52+$AL16)/52))*(1+$AO16))*1/$Q16</f>
        <v/>
      </c>
      <c r="CB16" s="78">
        <f>BY16/52/$N16</f>
        <v/>
      </c>
      <c r="CC16" s="78">
        <f>BZ16/52/$N16</f>
        <v/>
      </c>
      <c r="CD16" s="78">
        <f>CA16/52/$N16</f>
        <v/>
      </c>
      <c r="CE16" s="78">
        <f>($AS16+($AS16*$K16)+($AS16*$T16)+($AS16*$W16)+($AS16*$Z16)+($AS16*$AB16)+($AS16*$AF16)+($AI16)+($AS16*((52+$AL16)/52))*(1+$AO16))*1/$Q16</f>
        <v/>
      </c>
      <c r="CF16" s="78">
        <f>($AS16+($AS16*$K16)+($AS16*$T16)+($AS16*$W16)+($AS16*$Z16)+($AS16*$AC16)+($AS16*$AF16)+($AI16)+($AS16*((52+$AL16)/52))*(1+$AO16))*1/$Q16</f>
        <v/>
      </c>
      <c r="CG16" s="78">
        <f>($AS16+($AS16*$K16)+($AS16*$T16)+($AS16*$W16)+($AS16*$Z16)+($AS16*$AD16)+($AS16*$AF16)+($AI16)+($AS16*((52+$AL16)/52))*(1+$AO16))*1/$Q16</f>
        <v/>
      </c>
      <c r="CH16" s="78">
        <f>CE16/52/$N16</f>
        <v/>
      </c>
      <c r="CI16" s="78">
        <f>CF16/52/$N16</f>
        <v/>
      </c>
      <c r="CJ16" s="78">
        <f>CG16/52/$N16</f>
        <v/>
      </c>
      <c r="CK16" s="78">
        <f>($AS16+($AS16*$K16)+($AS16*$T16)+($AS16*$W16)+($AS16*$Z16)+($AS16*$AC16)+($AS16*$AE16)+($AI16)+($AS16*((52+$AL16)/52))*(1+$AO16))*1/$Q16</f>
        <v/>
      </c>
      <c r="CL16" s="78">
        <f>($AS16+($AS16*$K16)+($AS16*$T16)+($AS16*$W16)+($AS16*$Z16)+($AS16*$AC16)+($AS16*$AF16)+($AI16)+($AS16*((52+$AL16)/52))*(1+$AO16))*1/$Q16</f>
        <v/>
      </c>
      <c r="CM16" s="78">
        <f>($AS16+($AS16*$K16)+($AS16*$T16)+($AS16*$W16)+($AS16*$Z16)+($AS16*$AC16)+($AS16*$AG16)+($AI16)+($AS16*((52+$AL16)/52))*(1+$AO16))*1/$Q16</f>
        <v/>
      </c>
      <c r="CN16" s="78">
        <f>CK16/52/$N16</f>
        <v/>
      </c>
      <c r="CO16" s="78">
        <f>CL16/52/$N16</f>
        <v/>
      </c>
      <c r="CP16" s="78">
        <f>CM16/52/$N16</f>
        <v/>
      </c>
      <c r="CQ16" s="78">
        <f>($AS16+($AS16*$K16)+($AS16*$T16)+($AS16*$W16)+($AS16*$Z16)+($AS16*$AC16)+($AS16*$AF16)+($AH16)+($AS16*((52+$AL16)/52))*(1+$AO16))*1/$Q16</f>
        <v/>
      </c>
      <c r="CR16" s="78">
        <f>($AS16+($AS16*$K16)+($AS16*$T16)+($AS16*$W16)+($AS16*$Z16)+($AS16*$AC16)+($AS16*$AF16)+($AI16)+($AS16*((52+$AL16)/52))*(1+$AO16))*1/$Q16</f>
        <v/>
      </c>
      <c r="CS16" s="78">
        <f>($AS16+($AS16*$K16)+($AS16*$T16)+($AS16*$W16)+($AS16*$Z16)+($AS16*$AC16)+($AS16*$AF16)+($AJ16)+($AS16*((52+$AL16)/52))*(1+$AO16))*1/$Q16</f>
        <v/>
      </c>
      <c r="CT16" s="78">
        <f>CQ16/52/$N16</f>
        <v/>
      </c>
      <c r="CU16" s="78">
        <f>CR16/52/$N16</f>
        <v/>
      </c>
      <c r="CV16" s="78">
        <f>CS16/52/$N16</f>
        <v/>
      </c>
      <c r="CW16" s="78">
        <f>($AS16+($AS16*$K16)+($AS16*$T16)+($AS16*$W16)+($AS16*$Z16)+($AS16*$AC16)+($AS16*$AF16)+($AI16)+($AS16*((52+$AK16)/52))*(1+$AO16))*1/$Q16</f>
        <v/>
      </c>
      <c r="CX16" s="78">
        <f>($AS16+($AS16*$K16)+($AS16*$T16)+($AS16*$W16)+($AS16*$Z16)+($AS16*$AC16)+($AS16*$AF16)+($AI16)+($AS16*((52+$AL16)/52))*(1+$AO16))*1/$Q16</f>
        <v/>
      </c>
      <c r="CY16" s="78">
        <f>($AS16+($AS16*$K16)+($AS16*$T16)+($AS16*$W16)+($AS16*$Z16)+($AS16*$AC16)+($AS16*$AF16)+($AI16)+($AS16*((52+$AM16)/52))*(1+$AO16))*1/$Q16</f>
        <v/>
      </c>
      <c r="CZ16" s="78">
        <f>CW16/52/$N16</f>
        <v/>
      </c>
      <c r="DA16" s="78">
        <f>CX16/52/$N16</f>
        <v/>
      </c>
      <c r="DB16" s="78">
        <f>CY16/52/$N16</f>
        <v/>
      </c>
      <c r="DC16" s="78">
        <f>($AS16+($AS16*$K16)+($AS16*$T16)+($AS16*$W16)+($AS16*$Z16)+($AS16*$AC16)+($AS16*$AF16)+($AI16)+($AS16*((52+$AL16)/52))*(1+$AN16))*1/$Q16</f>
        <v/>
      </c>
      <c r="DD16" s="78">
        <f>($AS16+($AS16*$K16)+($AS16*$T16)+($AS16*$W16)+($AS16*$Z16)+($AS16*$AC16)+($AS16*$AF16)+($AI16)+($AS16*((52+$AL16)/52))*(1+$AO16))*1/$Q16</f>
        <v/>
      </c>
      <c r="DE16" s="78">
        <f>($AS16+($AS16*$K16)+($AS16*$T16)+($AS16*$W16)+($AS16*$Z16)+($AS16*$AC16)+($AS16*$AF16)+($AI16)+($AS16*((52+$AL16)/52))*(1+$AP16))*1/$Q16</f>
        <v/>
      </c>
      <c r="DF16" s="78">
        <f>DC16/52/$N16</f>
        <v/>
      </c>
      <c r="DG16" s="78">
        <f>DD16/52/$N16</f>
        <v/>
      </c>
      <c r="DH16" s="78">
        <f>DE16/52/$N16</f>
        <v/>
      </c>
    </row>
    <row r="17">
      <c r="A17" s="45" t="inlineStr">
        <is>
          <t>NSW</t>
        </is>
      </c>
      <c r="B17" s="46" t="inlineStr">
        <is>
          <t>Medical scientist</t>
        </is>
      </c>
      <c r="C17" s="54" t="inlineStr">
        <is>
          <t>MS</t>
        </is>
      </c>
      <c r="D17" s="45" t="inlineStr">
        <is>
          <t>Hospital Scientists (State) Award</t>
        </is>
      </c>
      <c r="E17" s="55" t="inlineStr">
        <is>
          <t>1-3</t>
        </is>
      </c>
      <c r="I17" s="56" t="n">
        <v>2022</v>
      </c>
      <c r="J17" s="70" t="n">
        <v>0.105</v>
      </c>
      <c r="K17" s="57" t="n">
        <v>0.11</v>
      </c>
      <c r="L17" s="57" t="n">
        <v>0.1275</v>
      </c>
      <c r="M17" s="73" t="n">
        <v>36.3</v>
      </c>
      <c r="N17" s="73" t="n">
        <v>38</v>
      </c>
      <c r="O17" s="73" t="n">
        <v>40</v>
      </c>
      <c r="Q17" s="59" t="n">
        <v>1</v>
      </c>
      <c r="S17" s="59" t="n">
        <v>0</v>
      </c>
      <c r="T17" s="59" t="n">
        <v>0.1</v>
      </c>
      <c r="U17" s="59" t="n">
        <v>0.3</v>
      </c>
      <c r="V17" s="57" t="n">
        <v>0.0295</v>
      </c>
      <c r="W17" s="57" t="n">
        <v>0.035</v>
      </c>
      <c r="X17" s="57" t="n">
        <v>0.04</v>
      </c>
      <c r="Y17" s="59" t="n">
        <v>0</v>
      </c>
      <c r="Z17" s="60" t="n">
        <v>0</v>
      </c>
      <c r="AA17" s="60" t="n">
        <v>0.2</v>
      </c>
      <c r="AB17" s="57" t="n">
        <v>0</v>
      </c>
      <c r="AC17" s="57" t="n">
        <v>0</v>
      </c>
      <c r="AD17" s="57" t="n">
        <v>0</v>
      </c>
      <c r="AE17" s="59" t="n">
        <v>0.01</v>
      </c>
      <c r="AF17" s="59" t="n">
        <v>0.046</v>
      </c>
      <c r="AG17" s="59" t="n">
        <v>0.08</v>
      </c>
      <c r="AH17" s="59" t="n">
        <v>0</v>
      </c>
      <c r="AI17" s="64" t="n">
        <v>0</v>
      </c>
      <c r="AJ17" s="64" t="n">
        <v>2000</v>
      </c>
      <c r="AK17" s="74" t="n">
        <v>0</v>
      </c>
      <c r="AL17" s="62" t="n">
        <v>4</v>
      </c>
      <c r="AM17" s="62" t="n">
        <v>5</v>
      </c>
      <c r="AN17" s="62" t="n">
        <v>0</v>
      </c>
      <c r="AO17" s="59" t="n">
        <v>0.175</v>
      </c>
      <c r="AP17" s="59" t="n">
        <v>0.2</v>
      </c>
      <c r="AQ17" s="59" t="n">
        <v>0.015</v>
      </c>
      <c r="AR17" s="65">
        <f>1292.77*52</f>
        <v/>
      </c>
      <c r="AS17" s="65">
        <f>AR17+((AT17-AR17)/2)</f>
        <v/>
      </c>
      <c r="AT17" s="65">
        <f>2664.91*52</f>
        <v/>
      </c>
      <c r="AU17" s="65">
        <f>(AR17+(AR17*$K17)+(AR17*$T17)+(AR17*$W17)+(AR17*$Z17)+(AR17*$AC17)+(AR17*$AF17)+($AI17)+(AR17*((52+$AL17)/52))*(1+$AO17))*1/$Q17</f>
        <v/>
      </c>
      <c r="AV17" s="65">
        <f>(AS17+(AS17*$K17)+(AS17*$T17)+(AS17*$W17)+(AS17*$Z17)+(AS17*$AC17)+(AS17*$AF17)+($AI17)+(AS17*((52+$AL17)/52))*(1+$AO17))*1/$Q17</f>
        <v/>
      </c>
      <c r="AW17" s="65">
        <f>(AT17+(AT17*$K17)+(AT17*$T17)+(AT17*$W17)+(AT17*$Z17)+(AT17*$AC17)+(AT17*$AF17)+($AI17)+(AT17*((52+$AL17)/52))*(1+$AO17))*1/$Q17</f>
        <v/>
      </c>
      <c r="AX17" s="65">
        <f>AU17/52/$N17</f>
        <v/>
      </c>
      <c r="AY17" s="65">
        <f>AV17/52/$N17</f>
        <v/>
      </c>
      <c r="AZ17" s="65">
        <f>AW17/52/$N17</f>
        <v/>
      </c>
      <c r="BA17" s="78">
        <f>($AS17+($AS17*$J17)+($AS17*$T17)+($AS17*$W17)+($AS17*$Z17)+($AS17*$AC17)+($AS17*$AF17)+($AI17)+($AS17*((52+$AL17)/52))*(1+$AO17))*1/$Q17</f>
        <v/>
      </c>
      <c r="BB17" s="78">
        <f>($AS17+($AS17*$K17)+($AS17*$T17)+($AS17*$W17)+($AS17*$Z17)+($AS17*$AC17)+($AS17*$AF17)+($AI17)+($AS17*((52+$AL17)/52))*(1+$AO17))*1/$Q17</f>
        <v/>
      </c>
      <c r="BC17" s="78">
        <f>($AS17+($AS17*$L17)+($AS17*$T17)+($AS17*$W17)+($AS17*$Z17)+($AS17*$AC17)+($AS17*$AF17)+($AI17)+($AS17*((52+$AL17)/52))*(1+$AO17))*1/$Q17</f>
        <v/>
      </c>
      <c r="BD17" s="78">
        <f>BA17/52/$N17</f>
        <v/>
      </c>
      <c r="BE17" s="78">
        <f>BB17/52/$N17</f>
        <v/>
      </c>
      <c r="BF17" s="78">
        <f>BC17/52/$N17</f>
        <v/>
      </c>
      <c r="BG17" s="78">
        <f>($AS17+($AS17*$K17)+($AS17*$T17)+($AS17*$W17)+($AS17*$Z17)+($AS17*$AC17)+($AS17*$AF17)+($AI17)+($AS17*((52+$AL17)/52))*(1+$AO17))*1/$Q17</f>
        <v/>
      </c>
      <c r="BH17" s="78">
        <f>($AS17+($AS17*$K17)+($AS17*$T17)+($AS17*$W17)+($AS17*$Z17)+($AS17*$AC17)+($AS17*$AF17)+($AI17)+($AS17*((52+$AL17)/52))*(1+$AO17))*1/$Q17</f>
        <v/>
      </c>
      <c r="BI17" s="78">
        <f>($AS17+($AS17*$K17)+($AS17*$T17)+($AS17*$W17)+($AS17*$Z17)+($AS17*$AC17)+($AS17*$AF17)+($AI17)+($AS17*((52+$AL17)/52))*(1+$AO17))*1/$Q17</f>
        <v/>
      </c>
      <c r="BJ17" s="78">
        <f>BG17/52/$O17</f>
        <v/>
      </c>
      <c r="BK17" s="78">
        <f>BH17/52/$N17</f>
        <v/>
      </c>
      <c r="BL17" s="78">
        <f>BI17/52/$M17</f>
        <v/>
      </c>
      <c r="BM17" s="78">
        <f>($AS17+($AS17*$K17)+($AS17*$S17)+($AS17*$W17)+($AS17*$Z17)+($AS17*$AC17)+($AS17*$AF17)+($AI17)+($AS17*((52+$AL17)/52))*(1+$AO17))*1/$Q17</f>
        <v/>
      </c>
      <c r="BN17" s="78">
        <f>($AS17+($AS17*$K17)+($AS17*$T17)+($AS17*$W17)+($AS17*$Z17)+($AS17*$AC17)+($AS17*$AF17)+($AI17)+($AS17*((52+$AL17)/52))*(1+$AO17))*1/$Q17</f>
        <v/>
      </c>
      <c r="BO17" s="78">
        <f>($AS17+($AS17*$K17)+($AS17*$U17)+($AS17*$W17)+($AS17*$Z17)+($AS17*$AC17)+($AS17*$AF17)+($AI17)+($AS17*((52+$AL17)/52))*(1+$AO17))*1/$Q17</f>
        <v/>
      </c>
      <c r="BP17" s="78">
        <f>BM17/52/$N17</f>
        <v/>
      </c>
      <c r="BQ17" s="78">
        <f>BN17/52/$N17</f>
        <v/>
      </c>
      <c r="BR17" s="78">
        <f>BO17/52/$N17</f>
        <v/>
      </c>
      <c r="BS17" s="78">
        <f>($AS17+($AS17*$K17)+($AS17*$T17)+($AS17*$V17)+($AS17*$Z17)+($AS17*$AC17)+($AS17*$AF17)+($AI17)+($AS17*((52+$AL17)/52))*(1+$AO17))*1/$Q17</f>
        <v/>
      </c>
      <c r="BT17" s="78">
        <f>($AS17+($AS17*$K17)+($AS17*$T17)+($AS17*$W17)+($AS17*$Z17)+($AS17*$AC17)+($AS17*$AF17)+($AI17)+($AS17*((52+$AL17)/52))*(1+$AO17))*1/$Q17</f>
        <v/>
      </c>
      <c r="BU17" s="78">
        <f>($AS17+($AS17*$K17)+($AS17*$T17)+($AS17*$X17)+($AS17*$Z17)+($AS17*$AC17)+($AS17*$AF17)+($AI17)+($AS17*((52+$AL17)/52))*(1+$AO17))*1/$Q17</f>
        <v/>
      </c>
      <c r="BV17" s="78">
        <f>BS17/52/$N17</f>
        <v/>
      </c>
      <c r="BW17" s="78">
        <f>BT17/52/$N17</f>
        <v/>
      </c>
      <c r="BX17" s="78">
        <f>BU17/52/$N17</f>
        <v/>
      </c>
      <c r="BY17" s="78">
        <f>($AS17+($AS17*$K17)+($AS17*$T17)+($AS17*$W17)+($AS17*$Y17)+($AS17*$AC17)+($AS17*$AF17)+($AI17)+($AS17*((52+$AL17)/52))*(1+$AO17))*1/$Q17</f>
        <v/>
      </c>
      <c r="BZ17" s="78">
        <f>($AS17+($AS17*$K17)+($AS17*$T17)+($AS17*$W17)+($AS17*$Z17)+($AS17*$AC17)+($AS17*$AF17)+($AI17)+($AS17*((52+$AL17)/52))*(1+$AO17))*1/$Q17</f>
        <v/>
      </c>
      <c r="CA17" s="78">
        <f>($AS17+($AS17*$K17)+($AS17*$T17)+($AS17*$W17)+($AS17*$AA17)+($AS17*$AC17)+($AS17*$AF17)+($AI17)+($AS17*((52+$AL17)/52))*(1+$AO17))*1/$Q17</f>
        <v/>
      </c>
      <c r="CB17" s="78">
        <f>BY17/52/$N17</f>
        <v/>
      </c>
      <c r="CC17" s="78">
        <f>BZ17/52/$N17</f>
        <v/>
      </c>
      <c r="CD17" s="78">
        <f>CA17/52/$N17</f>
        <v/>
      </c>
      <c r="CE17" s="78">
        <f>($AS17+($AS17*$K17)+($AS17*$T17)+($AS17*$W17)+($AS17*$Z17)+($AS17*$AB17)+($AS17*$AF17)+($AI17)+($AS17*((52+$AL17)/52))*(1+$AO17))*1/$Q17</f>
        <v/>
      </c>
      <c r="CF17" s="78">
        <f>($AS17+($AS17*$K17)+($AS17*$T17)+($AS17*$W17)+($AS17*$Z17)+($AS17*$AC17)+($AS17*$AF17)+($AI17)+($AS17*((52+$AL17)/52))*(1+$AO17))*1/$Q17</f>
        <v/>
      </c>
      <c r="CG17" s="78">
        <f>($AS17+($AS17*$K17)+($AS17*$T17)+($AS17*$W17)+($AS17*$Z17)+($AS17*$AD17)+($AS17*$AF17)+($AI17)+($AS17*((52+$AL17)/52))*(1+$AO17))*1/$Q17</f>
        <v/>
      </c>
      <c r="CH17" s="78">
        <f>CE17/52/$N17</f>
        <v/>
      </c>
      <c r="CI17" s="78">
        <f>CF17/52/$N17</f>
        <v/>
      </c>
      <c r="CJ17" s="78">
        <f>CG17/52/$N17</f>
        <v/>
      </c>
      <c r="CK17" s="78">
        <f>($AS17+($AS17*$K17)+($AS17*$T17)+($AS17*$W17)+($AS17*$Z17)+($AS17*$AC17)+($AS17*$AE17)+($AI17)+($AS17*((52+$AL17)/52))*(1+$AO17))*1/$Q17</f>
        <v/>
      </c>
      <c r="CL17" s="78">
        <f>($AS17+($AS17*$K17)+($AS17*$T17)+($AS17*$W17)+($AS17*$Z17)+($AS17*$AC17)+($AS17*$AF17)+($AI17)+($AS17*((52+$AL17)/52))*(1+$AO17))*1/$Q17</f>
        <v/>
      </c>
      <c r="CM17" s="78">
        <f>($AS17+($AS17*$K17)+($AS17*$T17)+($AS17*$W17)+($AS17*$Z17)+($AS17*$AC17)+($AS17*$AG17)+($AI17)+($AS17*((52+$AL17)/52))*(1+$AO17))*1/$Q17</f>
        <v/>
      </c>
      <c r="CN17" s="78">
        <f>CK17/52/$N17</f>
        <v/>
      </c>
      <c r="CO17" s="78">
        <f>CL17/52/$N17</f>
        <v/>
      </c>
      <c r="CP17" s="78">
        <f>CM17/52/$N17</f>
        <v/>
      </c>
      <c r="CQ17" s="78">
        <f>($AS17+($AS17*$K17)+($AS17*$T17)+($AS17*$W17)+($AS17*$Z17)+($AS17*$AC17)+($AS17*$AF17)+($AH17)+($AS17*((52+$AL17)/52))*(1+$AO17))*1/$Q17</f>
        <v/>
      </c>
      <c r="CR17" s="78">
        <f>($AS17+($AS17*$K17)+($AS17*$T17)+($AS17*$W17)+($AS17*$Z17)+($AS17*$AC17)+($AS17*$AF17)+($AI17)+($AS17*((52+$AL17)/52))*(1+$AO17))*1/$Q17</f>
        <v/>
      </c>
      <c r="CS17" s="78">
        <f>($AS17+($AS17*$K17)+($AS17*$T17)+($AS17*$W17)+($AS17*$Z17)+($AS17*$AC17)+($AS17*$AF17)+($AJ17)+($AS17*((52+$AL17)/52))*(1+$AO17))*1/$Q17</f>
        <v/>
      </c>
      <c r="CT17" s="78">
        <f>CQ17/52/$N17</f>
        <v/>
      </c>
      <c r="CU17" s="78">
        <f>CR17/52/$N17</f>
        <v/>
      </c>
      <c r="CV17" s="78">
        <f>CS17/52/$N17</f>
        <v/>
      </c>
      <c r="CW17" s="78">
        <f>($AS17+($AS17*$K17)+($AS17*$T17)+($AS17*$W17)+($AS17*$Z17)+($AS17*$AC17)+($AS17*$AF17)+($AI17)+($AS17*((52+$AK17)/52))*(1+$AO17))*1/$Q17</f>
        <v/>
      </c>
      <c r="CX17" s="78">
        <f>($AS17+($AS17*$K17)+($AS17*$T17)+($AS17*$W17)+($AS17*$Z17)+($AS17*$AC17)+($AS17*$AF17)+($AI17)+($AS17*((52+$AL17)/52))*(1+$AO17))*1/$Q17</f>
        <v/>
      </c>
      <c r="CY17" s="78">
        <f>($AS17+($AS17*$K17)+($AS17*$T17)+($AS17*$W17)+($AS17*$Z17)+($AS17*$AC17)+($AS17*$AF17)+($AI17)+($AS17*((52+$AM17)/52))*(1+$AO17))*1/$Q17</f>
        <v/>
      </c>
      <c r="CZ17" s="78">
        <f>CW17/52/$N17</f>
        <v/>
      </c>
      <c r="DA17" s="78">
        <f>CX17/52/$N17</f>
        <v/>
      </c>
      <c r="DB17" s="78">
        <f>CY17/52/$N17</f>
        <v/>
      </c>
      <c r="DC17" s="78">
        <f>($AS17+($AS17*$K17)+($AS17*$T17)+($AS17*$W17)+($AS17*$Z17)+($AS17*$AC17)+($AS17*$AF17)+($AI17)+($AS17*((52+$AL17)/52))*(1+$AN17))*1/$Q17</f>
        <v/>
      </c>
      <c r="DD17" s="78">
        <f>($AS17+($AS17*$K17)+($AS17*$T17)+($AS17*$W17)+($AS17*$Z17)+($AS17*$AC17)+($AS17*$AF17)+($AI17)+($AS17*((52+$AL17)/52))*(1+$AO17))*1/$Q17</f>
        <v/>
      </c>
      <c r="DE17" s="78">
        <f>($AS17+($AS17*$K17)+($AS17*$T17)+($AS17*$W17)+($AS17*$Z17)+($AS17*$AC17)+($AS17*$AF17)+($AI17)+($AS17*((52+$AL17)/52))*(1+$AP17))*1/$Q17</f>
        <v/>
      </c>
      <c r="DF17" s="78">
        <f>DC17/52/$N17</f>
        <v/>
      </c>
      <c r="DG17" s="78">
        <f>DD17/52/$N17</f>
        <v/>
      </c>
      <c r="DH17" s="78">
        <f>DE17/52/$N17</f>
        <v/>
      </c>
    </row>
    <row r="18">
      <c r="A18" s="45" t="inlineStr">
        <is>
          <t>NSW</t>
        </is>
      </c>
      <c r="B18" s="46" t="inlineStr">
        <is>
          <t>Admin staff</t>
        </is>
      </c>
      <c r="C18" s="54" t="inlineStr">
        <is>
          <t>AS</t>
        </is>
      </c>
      <c r="I18" s="56" t="n">
        <v>2022</v>
      </c>
      <c r="J18" s="70" t="n">
        <v>0.105</v>
      </c>
      <c r="K18" s="57" t="n">
        <v>0.11</v>
      </c>
      <c r="L18" s="57" t="n">
        <v>0.1275</v>
      </c>
      <c r="M18" s="73" t="n">
        <v>36.3</v>
      </c>
      <c r="N18" s="73" t="n">
        <v>38</v>
      </c>
      <c r="O18" s="73" t="n">
        <v>40</v>
      </c>
      <c r="Q18" s="59" t="n">
        <v>1</v>
      </c>
      <c r="S18" s="59" t="n">
        <v>0</v>
      </c>
      <c r="T18" s="59" t="n">
        <v>0.1</v>
      </c>
      <c r="U18" s="59" t="n">
        <v>0.3</v>
      </c>
      <c r="V18" s="57" t="n">
        <v>0.0295</v>
      </c>
      <c r="W18" s="57" t="n">
        <v>0.035</v>
      </c>
      <c r="X18" s="57" t="n">
        <v>0.04</v>
      </c>
      <c r="Y18" s="59" t="n">
        <v>0</v>
      </c>
      <c r="Z18" s="60" t="n">
        <v>0</v>
      </c>
      <c r="AA18" s="60" t="n">
        <v>0.2</v>
      </c>
      <c r="AB18" s="57" t="n">
        <v>0</v>
      </c>
      <c r="AC18" s="57" t="n">
        <v>0</v>
      </c>
      <c r="AD18" s="57" t="n">
        <v>0</v>
      </c>
      <c r="AE18" s="59" t="n">
        <v>0.01</v>
      </c>
      <c r="AF18" s="59" t="n">
        <v>0.046</v>
      </c>
      <c r="AG18" s="59" t="n">
        <v>0.08</v>
      </c>
      <c r="AH18" s="59" t="n">
        <v>0</v>
      </c>
      <c r="AI18" s="64" t="n">
        <v>0</v>
      </c>
      <c r="AJ18" s="64" t="n">
        <v>2000</v>
      </c>
      <c r="AK18" s="74" t="n">
        <v>0</v>
      </c>
      <c r="AL18" s="62" t="n">
        <v>4</v>
      </c>
      <c r="AM18" s="62" t="n">
        <v>5</v>
      </c>
      <c r="AN18" s="62" t="n">
        <v>0</v>
      </c>
      <c r="AO18" s="59" t="n">
        <v>0</v>
      </c>
      <c r="AP18" s="59" t="n">
        <v>0.2</v>
      </c>
      <c r="AQ18" s="59" t="n">
        <v>0.015</v>
      </c>
      <c r="AR18" s="65">
        <f>926.56*52</f>
        <v/>
      </c>
      <c r="AS18" s="65">
        <f>AR18+((AT18-AR18)/2)</f>
        <v/>
      </c>
      <c r="AT18" s="65">
        <f>1302.02*52</f>
        <v/>
      </c>
      <c r="AU18" s="65">
        <f>(AR18+(AR18*$K18)+(AR18*$T18)+(AR18*$W18)+(AR18*$Z18)+(AR18*$AC18)+(AR18*$AF18)+($AI18)+(AR18*((52+$AL18)/52))*(1+$AO18))*1/$Q18</f>
        <v/>
      </c>
      <c r="AV18" s="65">
        <f>(AS18+(AS18*$K18)+(AS18*$T18)+(AS18*$W18)+(AS18*$Z18)+(AS18*$AC18)+(AS18*$AF18)+($AI18)+(AS18*((52+$AL18)/52))*(1+$AO18))*1/$Q18</f>
        <v/>
      </c>
      <c r="AW18" s="65">
        <f>(AT18+(AT18*$K18)+(AT18*$T18)+(AT18*$W18)+(AT18*$Z18)+(AT18*$AC18)+(AT18*$AF18)+($AI18)+(AT18*((52+$AL18)/52))*(1+$AO18))*1/$Q18</f>
        <v/>
      </c>
      <c r="AX18" s="65">
        <f>AU18/52/$N18</f>
        <v/>
      </c>
      <c r="AY18" s="65">
        <f>AV18/52/$N18</f>
        <v/>
      </c>
      <c r="AZ18" s="65">
        <f>AW18/52/$N18</f>
        <v/>
      </c>
      <c r="BA18" s="78">
        <f>($AS18+($AS18*$J18)+($AS18*$T18)+($AS18*$W18)+($AS18*$Z18)+($AS18*$AC18)+($AS18*$AF18)+($AI18)+($AS18*((52+$AL18)/52))*(1+$AO18))*1/$Q18</f>
        <v/>
      </c>
      <c r="BB18" s="78">
        <f>($AS18+($AS18*$K18)+($AS18*$T18)+($AS18*$W18)+($AS18*$Z18)+($AS18*$AC18)+($AS18*$AF18)+($AI18)+($AS18*((52+$AL18)/52))*(1+$AO18))*1/$Q18</f>
        <v/>
      </c>
      <c r="BC18" s="78">
        <f>($AS18+($AS18*$L18)+($AS18*$T18)+($AS18*$W18)+($AS18*$Z18)+($AS18*$AC18)+($AS18*$AF18)+($AI18)+($AS18*((52+$AL18)/52))*(1+$AO18))*1/$Q18</f>
        <v/>
      </c>
      <c r="BD18" s="78">
        <f>BA18/52/$N18</f>
        <v/>
      </c>
      <c r="BE18" s="78">
        <f>BB18/52/$N18</f>
        <v/>
      </c>
      <c r="BF18" s="78">
        <f>BC18/52/$N18</f>
        <v/>
      </c>
      <c r="BG18" s="78">
        <f>($AS18+($AS18*$K18)+($AS18*$T18)+($AS18*$W18)+($AS18*$Z18)+($AS18*$AC18)+($AS18*$AF18)+($AI18)+($AS18*((52+$AL18)/52))*(1+$AO18))*1/$Q18</f>
        <v/>
      </c>
      <c r="BH18" s="78">
        <f>($AS18+($AS18*$K18)+($AS18*$T18)+($AS18*$W18)+($AS18*$Z18)+($AS18*$AC18)+($AS18*$AF18)+($AI18)+($AS18*((52+$AL18)/52))*(1+$AO18))*1/$Q18</f>
        <v/>
      </c>
      <c r="BI18" s="78">
        <f>($AS18+($AS18*$K18)+($AS18*$T18)+($AS18*$W18)+($AS18*$Z18)+($AS18*$AC18)+($AS18*$AF18)+($AI18)+($AS18*((52+$AL18)/52))*(1+$AO18))*1/$Q18</f>
        <v/>
      </c>
      <c r="BJ18" s="78">
        <f>BG18/52/$O18</f>
        <v/>
      </c>
      <c r="BK18" s="78">
        <f>BH18/52/$N18</f>
        <v/>
      </c>
      <c r="BL18" s="78">
        <f>BI18/52/$M18</f>
        <v/>
      </c>
      <c r="BM18" s="78">
        <f>($AS18+($AS18*$K18)+($AS18*$S18)+($AS18*$W18)+($AS18*$Z18)+($AS18*$AC18)+($AS18*$AF18)+($AI18)+($AS18*((52+$AL18)/52))*(1+$AO18))*1/$Q18</f>
        <v/>
      </c>
      <c r="BN18" s="78">
        <f>($AS18+($AS18*$K18)+($AS18*$T18)+($AS18*$W18)+($AS18*$Z18)+($AS18*$AC18)+($AS18*$AF18)+($AI18)+($AS18*((52+$AL18)/52))*(1+$AO18))*1/$Q18</f>
        <v/>
      </c>
      <c r="BO18" s="78">
        <f>($AS18+($AS18*$K18)+($AS18*$U18)+($AS18*$W18)+($AS18*$Z18)+($AS18*$AC18)+($AS18*$AF18)+($AI18)+($AS18*((52+$AL18)/52))*(1+$AO18))*1/$Q18</f>
        <v/>
      </c>
      <c r="BP18" s="78">
        <f>BM18/52/$N18</f>
        <v/>
      </c>
      <c r="BQ18" s="78">
        <f>BN18/52/$N18</f>
        <v/>
      </c>
      <c r="BR18" s="78">
        <f>BO18/52/$N18</f>
        <v/>
      </c>
      <c r="BS18" s="78">
        <f>($AS18+($AS18*$K18)+($AS18*$T18)+($AS18*$V18)+($AS18*$Z18)+($AS18*$AC18)+($AS18*$AF18)+($AI18)+($AS18*((52+$AL18)/52))*(1+$AO18))*1/$Q18</f>
        <v/>
      </c>
      <c r="BT18" s="78">
        <f>($AS18+($AS18*$K18)+($AS18*$T18)+($AS18*$W18)+($AS18*$Z18)+($AS18*$AC18)+($AS18*$AF18)+($AI18)+($AS18*((52+$AL18)/52))*(1+$AO18))*1/$Q18</f>
        <v/>
      </c>
      <c r="BU18" s="78">
        <f>($AS18+($AS18*$K18)+($AS18*$T18)+($AS18*$X18)+($AS18*$Z18)+($AS18*$AC18)+($AS18*$AF18)+($AI18)+($AS18*((52+$AL18)/52))*(1+$AO18))*1/$Q18</f>
        <v/>
      </c>
      <c r="BV18" s="78">
        <f>BS18/52/$N18</f>
        <v/>
      </c>
      <c r="BW18" s="78">
        <f>BT18/52/$N18</f>
        <v/>
      </c>
      <c r="BX18" s="78">
        <f>BU18/52/$N18</f>
        <v/>
      </c>
      <c r="BY18" s="78">
        <f>($AS18+($AS18*$K18)+($AS18*$T18)+($AS18*$W18)+($AS18*$Y18)+($AS18*$AC18)+($AS18*$AF18)+($AI18)+($AS18*((52+$AL18)/52))*(1+$AO18))*1/$Q18</f>
        <v/>
      </c>
      <c r="BZ18" s="78">
        <f>($AS18+($AS18*$K18)+($AS18*$T18)+($AS18*$W18)+($AS18*$Z18)+($AS18*$AC18)+($AS18*$AF18)+($AI18)+($AS18*((52+$AL18)/52))*(1+$AO18))*1/$Q18</f>
        <v/>
      </c>
      <c r="CA18" s="78">
        <f>($AS18+($AS18*$K18)+($AS18*$T18)+($AS18*$W18)+($AS18*$AA18)+($AS18*$AC18)+($AS18*$AF18)+($AI18)+($AS18*((52+$AL18)/52))*(1+$AO18))*1/$Q18</f>
        <v/>
      </c>
      <c r="CB18" s="78">
        <f>BY18/52/$N18</f>
        <v/>
      </c>
      <c r="CC18" s="78">
        <f>BZ18/52/$N18</f>
        <v/>
      </c>
      <c r="CD18" s="78">
        <f>CA18/52/$N18</f>
        <v/>
      </c>
      <c r="CE18" s="78">
        <f>($AS18+($AS18*$K18)+($AS18*$T18)+($AS18*$W18)+($AS18*$Z18)+($AS18*$AB18)+($AS18*$AF18)+($AI18)+($AS18*((52+$AL18)/52))*(1+$AO18))*1/$Q18</f>
        <v/>
      </c>
      <c r="CF18" s="78">
        <f>($AS18+($AS18*$K18)+($AS18*$T18)+($AS18*$W18)+($AS18*$Z18)+($AS18*$AC18)+($AS18*$AF18)+($AI18)+($AS18*((52+$AL18)/52))*(1+$AO18))*1/$Q18</f>
        <v/>
      </c>
      <c r="CG18" s="78">
        <f>($AS18+($AS18*$K18)+($AS18*$T18)+($AS18*$W18)+($AS18*$Z18)+($AS18*$AD18)+($AS18*$AF18)+($AI18)+($AS18*((52+$AL18)/52))*(1+$AO18))*1/$Q18</f>
        <v/>
      </c>
      <c r="CH18" s="78">
        <f>CE18/52/$N18</f>
        <v/>
      </c>
      <c r="CI18" s="78">
        <f>CF18/52/$N18</f>
        <v/>
      </c>
      <c r="CJ18" s="78">
        <f>CG18/52/$N18</f>
        <v/>
      </c>
      <c r="CK18" s="78">
        <f>($AS18+($AS18*$K18)+($AS18*$T18)+($AS18*$W18)+($AS18*$Z18)+($AS18*$AC18)+($AS18*$AE18)+($AI18)+($AS18*((52+$AL18)/52))*(1+$AO18))*1/$Q18</f>
        <v/>
      </c>
      <c r="CL18" s="78">
        <f>($AS18+($AS18*$K18)+($AS18*$T18)+($AS18*$W18)+($AS18*$Z18)+($AS18*$AC18)+($AS18*$AF18)+($AI18)+($AS18*((52+$AL18)/52))*(1+$AO18))*1/$Q18</f>
        <v/>
      </c>
      <c r="CM18" s="78">
        <f>($AS18+($AS18*$K18)+($AS18*$T18)+($AS18*$W18)+($AS18*$Z18)+($AS18*$AC18)+($AS18*$AG18)+($AI18)+($AS18*((52+$AL18)/52))*(1+$AO18))*1/$Q18</f>
        <v/>
      </c>
      <c r="CN18" s="78">
        <f>CK18/52/$N18</f>
        <v/>
      </c>
      <c r="CO18" s="78">
        <f>CL18/52/$N18</f>
        <v/>
      </c>
      <c r="CP18" s="78">
        <f>CM18/52/$N18</f>
        <v/>
      </c>
      <c r="CQ18" s="78">
        <f>($AS18+($AS18*$K18)+($AS18*$T18)+($AS18*$W18)+($AS18*$Z18)+($AS18*$AC18)+($AS18*$AF18)+($AH18)+($AS18*((52+$AL18)/52))*(1+$AO18))*1/$Q18</f>
        <v/>
      </c>
      <c r="CR18" s="78">
        <f>($AS18+($AS18*$K18)+($AS18*$T18)+($AS18*$W18)+($AS18*$Z18)+($AS18*$AC18)+($AS18*$AF18)+($AI18)+($AS18*((52+$AL18)/52))*(1+$AO18))*1/$Q18</f>
        <v/>
      </c>
      <c r="CS18" s="78">
        <f>($AS18+($AS18*$K18)+($AS18*$T18)+($AS18*$W18)+($AS18*$Z18)+($AS18*$AC18)+($AS18*$AF18)+($AJ18)+($AS18*((52+$AL18)/52))*(1+$AO18))*1/$Q18</f>
        <v/>
      </c>
      <c r="CT18" s="78">
        <f>CQ18/52/$N18</f>
        <v/>
      </c>
      <c r="CU18" s="78">
        <f>CR18/52/$N18</f>
        <v/>
      </c>
      <c r="CV18" s="78">
        <f>CS18/52/$N18</f>
        <v/>
      </c>
      <c r="CW18" s="78">
        <f>($AS18+($AS18*$K18)+($AS18*$T18)+($AS18*$W18)+($AS18*$Z18)+($AS18*$AC18)+($AS18*$AF18)+($AI18)+($AS18*((52+$AK18)/52))*(1+$AO18))*1/$Q18</f>
        <v/>
      </c>
      <c r="CX18" s="78">
        <f>($AS18+($AS18*$K18)+($AS18*$T18)+($AS18*$W18)+($AS18*$Z18)+($AS18*$AC18)+($AS18*$AF18)+($AI18)+($AS18*((52+$AL18)/52))*(1+$AO18))*1/$Q18</f>
        <v/>
      </c>
      <c r="CY18" s="78">
        <f>($AS18+($AS18*$K18)+($AS18*$T18)+($AS18*$W18)+($AS18*$Z18)+($AS18*$AC18)+($AS18*$AF18)+($AI18)+($AS18*((52+$AM18)/52))*(1+$AO18))*1/$Q18</f>
        <v/>
      </c>
      <c r="CZ18" s="78">
        <f>CW18/52/$N18</f>
        <v/>
      </c>
      <c r="DA18" s="78">
        <f>CX18/52/$N18</f>
        <v/>
      </c>
      <c r="DB18" s="78">
        <f>CY18/52/$N18</f>
        <v/>
      </c>
      <c r="DC18" s="78">
        <f>($AS18+($AS18*$K18)+($AS18*$T18)+($AS18*$W18)+($AS18*$Z18)+($AS18*$AC18)+($AS18*$AF18)+($AI18)+($AS18*((52+$AL18)/52))*(1+$AN18))*1/$Q18</f>
        <v/>
      </c>
      <c r="DD18" s="78">
        <f>($AS18+($AS18*$K18)+($AS18*$T18)+($AS18*$W18)+($AS18*$Z18)+($AS18*$AC18)+($AS18*$AF18)+($AI18)+($AS18*((52+$AL18)/52))*(1+$AO18))*1/$Q18</f>
        <v/>
      </c>
      <c r="DE18" s="78">
        <f>($AS18+($AS18*$K18)+($AS18*$T18)+($AS18*$W18)+($AS18*$Z18)+($AS18*$AC18)+($AS18*$AF18)+($AI18)+($AS18*((52+$AL18)/52))*(1+$AP18))*1/$Q18</f>
        <v/>
      </c>
      <c r="DF18" s="78">
        <f>DC18/52/$N18</f>
        <v/>
      </c>
      <c r="DG18" s="78">
        <f>DD18/52/$N18</f>
        <v/>
      </c>
      <c r="DH18" s="78">
        <f>DE18/52/$N18</f>
        <v/>
      </c>
    </row>
    <row r="19">
      <c r="A19" s="45" t="inlineStr">
        <is>
          <t>NSW</t>
        </is>
      </c>
      <c r="B19" s="46" t="inlineStr">
        <is>
          <t>Bioinformatics staff</t>
        </is>
      </c>
      <c r="C19" s="54" t="inlineStr">
        <is>
          <t>BI</t>
        </is>
      </c>
      <c r="D19" s="45" t="inlineStr">
        <is>
          <t>Hospital Scientists (State) Award</t>
        </is>
      </c>
      <c r="E19" s="55" t="inlineStr">
        <is>
          <t>1-3</t>
        </is>
      </c>
      <c r="I19" s="56" t="n">
        <v>2022</v>
      </c>
      <c r="J19" s="70" t="n">
        <v>0.105</v>
      </c>
      <c r="K19" s="57" t="n">
        <v>0.11</v>
      </c>
      <c r="L19" s="57" t="n">
        <v>0.1275</v>
      </c>
      <c r="M19" s="73" t="n">
        <v>36.3</v>
      </c>
      <c r="N19" s="73" t="n">
        <v>38</v>
      </c>
      <c r="O19" s="73" t="n">
        <v>40</v>
      </c>
      <c r="Q19" s="59" t="n">
        <v>1</v>
      </c>
      <c r="S19" s="59" t="n">
        <v>0</v>
      </c>
      <c r="T19" s="59" t="n">
        <v>0.1</v>
      </c>
      <c r="U19" s="59" t="n">
        <v>0.3</v>
      </c>
      <c r="V19" s="57" t="n">
        <v>0.0295</v>
      </c>
      <c r="W19" s="57" t="n">
        <v>0.035</v>
      </c>
      <c r="X19" s="57" t="n">
        <v>0.04</v>
      </c>
      <c r="Y19" s="59" t="n">
        <v>0</v>
      </c>
      <c r="Z19" s="60" t="n">
        <v>0</v>
      </c>
      <c r="AA19" s="60" t="n">
        <v>0.2</v>
      </c>
      <c r="AB19" s="57" t="n">
        <v>0</v>
      </c>
      <c r="AC19" s="57" t="n">
        <v>0</v>
      </c>
      <c r="AD19" s="57" t="n">
        <v>0</v>
      </c>
      <c r="AE19" s="59" t="n">
        <v>0.01</v>
      </c>
      <c r="AF19" s="59" t="n">
        <v>0.046</v>
      </c>
      <c r="AG19" s="59" t="n">
        <v>0.08</v>
      </c>
      <c r="AH19" s="59" t="n">
        <v>0</v>
      </c>
      <c r="AI19" s="64" t="n">
        <v>0</v>
      </c>
      <c r="AJ19" s="64" t="n">
        <v>2000</v>
      </c>
      <c r="AK19" s="74" t="n">
        <v>0</v>
      </c>
      <c r="AL19" s="62" t="n">
        <v>4</v>
      </c>
      <c r="AM19" s="62" t="n">
        <v>5</v>
      </c>
      <c r="AN19" s="62" t="n">
        <v>0</v>
      </c>
      <c r="AO19" s="59" t="n">
        <v>0.175</v>
      </c>
      <c r="AP19" s="59" t="n">
        <v>0.2</v>
      </c>
      <c r="AQ19" s="59" t="n">
        <v>0.015</v>
      </c>
      <c r="AR19" s="65" t="n">
        <v>66106</v>
      </c>
      <c r="AS19" s="65">
        <f>AR19+((AT19-AR19)/2)</f>
        <v/>
      </c>
      <c r="AT19" s="65" t="n">
        <v>114763</v>
      </c>
      <c r="AU19" s="65">
        <f>(AR19+(AR19*$K19)+(AR19*$T19)+(AR19*$W19)+(AR19*$Z19)+(AR19*$AC19)+(AR19*$AF19)+($AI19)+(AR19*((52+$AL19)/52))*(1+$AO19))*1/$Q19</f>
        <v/>
      </c>
      <c r="AV19" s="65">
        <f>(AS19+(AS19*$K19)+(AS19*$T19)+(AS19*$W19)+(AS19*$Z19)+(AS19*$AC19)+(AS19*$AF19)+($AI19)+(AS19*((52+$AL19)/52))*(1+$AO19))*1/$Q19</f>
        <v/>
      </c>
      <c r="AW19" s="65">
        <f>(AT19+(AT19*$K19)+(AT19*$T19)+(AT19*$W19)+(AT19*$Z19)+(AT19*$AC19)+(AT19*$AF19)+($AI19)+(AT19*((52+$AL19)/52))*(1+$AO19))*1/$Q19</f>
        <v/>
      </c>
      <c r="AX19" s="65">
        <f>AU19/52/$N19</f>
        <v/>
      </c>
      <c r="AY19" s="65">
        <f>AV19/52/$N19</f>
        <v/>
      </c>
      <c r="AZ19" s="65">
        <f>AW19/52/$N19</f>
        <v/>
      </c>
      <c r="BA19" s="78">
        <f>($AS19+($AS19*$J19)+($AS19*$T19)+($AS19*$W19)+($AS19*$Z19)+($AS19*$AC19)+($AS19*$AF19)+($AI19)+($AS19*((52+$AL19)/52))*(1+$AO19))*1/$Q19</f>
        <v/>
      </c>
      <c r="BB19" s="78">
        <f>($AS19+($AS19*$K19)+($AS19*$T19)+($AS19*$W19)+($AS19*$Z19)+($AS19*$AC19)+($AS19*$AF19)+($AI19)+($AS19*((52+$AL19)/52))*(1+$AO19))*1/$Q19</f>
        <v/>
      </c>
      <c r="BC19" s="78">
        <f>($AS19+($AS19*$L19)+($AS19*$T19)+($AS19*$W19)+($AS19*$Z19)+($AS19*$AC19)+($AS19*$AF19)+($AI19)+($AS19*((52+$AL19)/52))*(1+$AO19))*1/$Q19</f>
        <v/>
      </c>
      <c r="BD19" s="78">
        <f>BA19/52/$N19</f>
        <v/>
      </c>
      <c r="BE19" s="78">
        <f>BB19/52/$N19</f>
        <v/>
      </c>
      <c r="BF19" s="78">
        <f>BC19/52/$N19</f>
        <v/>
      </c>
      <c r="BG19" s="78">
        <f>($AS19+($AS19*$K19)+($AS19*$T19)+($AS19*$W19)+($AS19*$Z19)+($AS19*$AC19)+($AS19*$AF19)+($AI19)+($AS19*((52+$AL19)/52))*(1+$AO19))*1/$Q19</f>
        <v/>
      </c>
      <c r="BH19" s="78">
        <f>($AS19+($AS19*$K19)+($AS19*$T19)+($AS19*$W19)+($AS19*$Z19)+($AS19*$AC19)+($AS19*$AF19)+($AI19)+($AS19*((52+$AL19)/52))*(1+$AO19))*1/$Q19</f>
        <v/>
      </c>
      <c r="BI19" s="78">
        <f>($AS19+($AS19*$K19)+($AS19*$T19)+($AS19*$W19)+($AS19*$Z19)+($AS19*$AC19)+($AS19*$AF19)+($AI19)+($AS19*((52+$AL19)/52))*(1+$AO19))*1/$Q19</f>
        <v/>
      </c>
      <c r="BJ19" s="78">
        <f>BG19/52/$O19</f>
        <v/>
      </c>
      <c r="BK19" s="78">
        <f>BH19/52/$N19</f>
        <v/>
      </c>
      <c r="BL19" s="78">
        <f>BI19/52/$M19</f>
        <v/>
      </c>
      <c r="BM19" s="78">
        <f>($AS19+($AS19*$K19)+($AS19*$S19)+($AS19*$W19)+($AS19*$Z19)+($AS19*$AC19)+($AS19*$AF19)+($AI19)+($AS19*((52+$AL19)/52))*(1+$AO19))*1/$Q19</f>
        <v/>
      </c>
      <c r="BN19" s="78">
        <f>($AS19+($AS19*$K19)+($AS19*$T19)+($AS19*$W19)+($AS19*$Z19)+($AS19*$AC19)+($AS19*$AF19)+($AI19)+($AS19*((52+$AL19)/52))*(1+$AO19))*1/$Q19</f>
        <v/>
      </c>
      <c r="BO19" s="78">
        <f>($AS19+($AS19*$K19)+($AS19*$U19)+($AS19*$W19)+($AS19*$Z19)+($AS19*$AC19)+($AS19*$AF19)+($AI19)+($AS19*((52+$AL19)/52))*(1+$AO19))*1/$Q19</f>
        <v/>
      </c>
      <c r="BP19" s="78">
        <f>BM19/52/$N19</f>
        <v/>
      </c>
      <c r="BQ19" s="78">
        <f>BN19/52/$N19</f>
        <v/>
      </c>
      <c r="BR19" s="78">
        <f>BO19/52/$N19</f>
        <v/>
      </c>
      <c r="BS19" s="78">
        <f>($AS19+($AS19*$K19)+($AS19*$T19)+($AS19*$V19)+($AS19*$Z19)+($AS19*$AC19)+($AS19*$AF19)+($AI19)+($AS19*((52+$AL19)/52))*(1+$AO19))*1/$Q19</f>
        <v/>
      </c>
      <c r="BT19" s="78">
        <f>($AS19+($AS19*$K19)+($AS19*$T19)+($AS19*$W19)+($AS19*$Z19)+($AS19*$AC19)+($AS19*$AF19)+($AI19)+($AS19*((52+$AL19)/52))*(1+$AO19))*1/$Q19</f>
        <v/>
      </c>
      <c r="BU19" s="78">
        <f>($AS19+($AS19*$K19)+($AS19*$T19)+($AS19*$X19)+($AS19*$Z19)+($AS19*$AC19)+($AS19*$AF19)+($AI19)+($AS19*((52+$AL19)/52))*(1+$AO19))*1/$Q19</f>
        <v/>
      </c>
      <c r="BV19" s="78">
        <f>BS19/52/$N19</f>
        <v/>
      </c>
      <c r="BW19" s="78">
        <f>BT19/52/$N19</f>
        <v/>
      </c>
      <c r="BX19" s="78">
        <f>BU19/52/$N19</f>
        <v/>
      </c>
      <c r="BY19" s="78">
        <f>($AS19+($AS19*$K19)+($AS19*$T19)+($AS19*$W19)+($AS19*$Y19)+($AS19*$AC19)+($AS19*$AF19)+($AI19)+($AS19*((52+$AL19)/52))*(1+$AO19))*1/$Q19</f>
        <v/>
      </c>
      <c r="BZ19" s="78">
        <f>($AS19+($AS19*$K19)+($AS19*$T19)+($AS19*$W19)+($AS19*$Z19)+($AS19*$AC19)+($AS19*$AF19)+($AI19)+($AS19*((52+$AL19)/52))*(1+$AO19))*1/$Q19</f>
        <v/>
      </c>
      <c r="CA19" s="78">
        <f>($AS19+($AS19*$K19)+($AS19*$T19)+($AS19*$W19)+($AS19*$AA19)+($AS19*$AC19)+($AS19*$AF19)+($AI19)+($AS19*((52+$AL19)/52))*(1+$AO19))*1/$Q19</f>
        <v/>
      </c>
      <c r="CB19" s="78">
        <f>BY19/52/$N19</f>
        <v/>
      </c>
      <c r="CC19" s="78">
        <f>BZ19/52/$N19</f>
        <v/>
      </c>
      <c r="CD19" s="78">
        <f>CA19/52/$N19</f>
        <v/>
      </c>
      <c r="CE19" s="78">
        <f>($AS19+($AS19*$K19)+($AS19*$T19)+($AS19*$W19)+($AS19*$Z19)+($AS19*$AB19)+($AS19*$AF19)+($AI19)+($AS19*((52+$AL19)/52))*(1+$AO19))*1/$Q19</f>
        <v/>
      </c>
      <c r="CF19" s="78">
        <f>($AS19+($AS19*$K19)+($AS19*$T19)+($AS19*$W19)+($AS19*$Z19)+($AS19*$AC19)+($AS19*$AF19)+($AI19)+($AS19*((52+$AL19)/52))*(1+$AO19))*1/$Q19</f>
        <v/>
      </c>
      <c r="CG19" s="78">
        <f>($AS19+($AS19*$K19)+($AS19*$T19)+($AS19*$W19)+($AS19*$Z19)+($AS19*$AD19)+($AS19*$AF19)+($AI19)+($AS19*((52+$AL19)/52))*(1+$AO19))*1/$Q19</f>
        <v/>
      </c>
      <c r="CH19" s="78">
        <f>CE19/52/$N19</f>
        <v/>
      </c>
      <c r="CI19" s="78">
        <f>CF19/52/$N19</f>
        <v/>
      </c>
      <c r="CJ19" s="78">
        <f>CG19/52/$N19</f>
        <v/>
      </c>
      <c r="CK19" s="78">
        <f>($AS19+($AS19*$K19)+($AS19*$T19)+($AS19*$W19)+($AS19*$Z19)+($AS19*$AC19)+($AS19*$AE19)+($AI19)+($AS19*((52+$AL19)/52))*(1+$AO19))*1/$Q19</f>
        <v/>
      </c>
      <c r="CL19" s="78">
        <f>($AS19+($AS19*$K19)+($AS19*$T19)+($AS19*$W19)+($AS19*$Z19)+($AS19*$AC19)+($AS19*$AF19)+($AI19)+($AS19*((52+$AL19)/52))*(1+$AO19))*1/$Q19</f>
        <v/>
      </c>
      <c r="CM19" s="78">
        <f>($AS19+($AS19*$K19)+($AS19*$T19)+($AS19*$W19)+($AS19*$Z19)+($AS19*$AC19)+($AS19*$AG19)+($AI19)+($AS19*((52+$AL19)/52))*(1+$AO19))*1/$Q19</f>
        <v/>
      </c>
      <c r="CN19" s="78">
        <f>CK19/52/$N19</f>
        <v/>
      </c>
      <c r="CO19" s="78">
        <f>CL19/52/$N19</f>
        <v/>
      </c>
      <c r="CP19" s="78">
        <f>CM19/52/$N19</f>
        <v/>
      </c>
      <c r="CQ19" s="78">
        <f>($AS19+($AS19*$K19)+($AS19*$T19)+($AS19*$W19)+($AS19*$Z19)+($AS19*$AC19)+($AS19*$AF19)+($AH19)+($AS19*((52+$AL19)/52))*(1+$AO19))*1/$Q19</f>
        <v/>
      </c>
      <c r="CR19" s="78">
        <f>($AS19+($AS19*$K19)+($AS19*$T19)+($AS19*$W19)+($AS19*$Z19)+($AS19*$AC19)+($AS19*$AF19)+($AI19)+($AS19*((52+$AL19)/52))*(1+$AO19))*1/$Q19</f>
        <v/>
      </c>
      <c r="CS19" s="78">
        <f>($AS19+($AS19*$K19)+($AS19*$T19)+($AS19*$W19)+($AS19*$Z19)+($AS19*$AC19)+($AS19*$AF19)+($AJ19)+($AS19*((52+$AL19)/52))*(1+$AO19))*1/$Q19</f>
        <v/>
      </c>
      <c r="CT19" s="78">
        <f>CQ19/52/$N19</f>
        <v/>
      </c>
      <c r="CU19" s="78">
        <f>CR19/52/$N19</f>
        <v/>
      </c>
      <c r="CV19" s="78">
        <f>CS19/52/$N19</f>
        <v/>
      </c>
      <c r="CW19" s="78">
        <f>($AS19+($AS19*$K19)+($AS19*$T19)+($AS19*$W19)+($AS19*$Z19)+($AS19*$AC19)+($AS19*$AF19)+($AI19)+($AS19*((52+$AK19)/52))*(1+$AO19))*1/$Q19</f>
        <v/>
      </c>
      <c r="CX19" s="78">
        <f>($AS19+($AS19*$K19)+($AS19*$T19)+($AS19*$W19)+($AS19*$Z19)+($AS19*$AC19)+($AS19*$AF19)+($AI19)+($AS19*((52+$AL19)/52))*(1+$AO19))*1/$Q19</f>
        <v/>
      </c>
      <c r="CY19" s="78">
        <f>($AS19+($AS19*$K19)+($AS19*$T19)+($AS19*$W19)+($AS19*$Z19)+($AS19*$AC19)+($AS19*$AF19)+($AI19)+($AS19*((52+$AM19)/52))*(1+$AO19))*1/$Q19</f>
        <v/>
      </c>
      <c r="CZ19" s="78">
        <f>CW19/52/$N19</f>
        <v/>
      </c>
      <c r="DA19" s="78">
        <f>CX19/52/$N19</f>
        <v/>
      </c>
      <c r="DB19" s="78">
        <f>CY19/52/$N19</f>
        <v/>
      </c>
      <c r="DC19" s="78">
        <f>($AS19+($AS19*$K19)+($AS19*$T19)+($AS19*$W19)+($AS19*$Z19)+($AS19*$AC19)+($AS19*$AF19)+($AI19)+($AS19*((52+$AL19)/52))*(1+$AN19))*1/$Q19</f>
        <v/>
      </c>
      <c r="DD19" s="78">
        <f>($AS19+($AS19*$K19)+($AS19*$T19)+($AS19*$W19)+($AS19*$Z19)+($AS19*$AC19)+($AS19*$AF19)+($AI19)+($AS19*((52+$AL19)/52))*(1+$AO19))*1/$Q19</f>
        <v/>
      </c>
      <c r="DE19" s="78">
        <f>($AS19+($AS19*$K19)+($AS19*$T19)+($AS19*$W19)+($AS19*$Z19)+($AS19*$AC19)+($AS19*$AF19)+($AI19)+($AS19*((52+$AL19)/52))*(1+$AP19))*1/$Q19</f>
        <v/>
      </c>
      <c r="DF19" s="78">
        <f>DC19/52/$N19</f>
        <v/>
      </c>
      <c r="DG19" s="78">
        <f>DD19/52/$N19</f>
        <v/>
      </c>
      <c r="DH19" s="78">
        <f>DE19/52/$N19</f>
        <v/>
      </c>
    </row>
    <row r="20">
      <c r="A20" s="45" t="inlineStr">
        <is>
          <t>NSW</t>
        </is>
      </c>
      <c r="B20" s="46" t="inlineStr">
        <is>
          <t>Pathologists</t>
        </is>
      </c>
      <c r="C20" s="54" t="inlineStr">
        <is>
          <t>MP</t>
        </is>
      </c>
      <c r="D20" s="45" t="inlineStr">
        <is>
          <t>STAFF SPECIALISTS (STATE) AWARD 2022</t>
        </is>
      </c>
      <c r="E20" s="55" t="inlineStr">
        <is>
          <t>SS1-SS5</t>
        </is>
      </c>
      <c r="F20" s="45" t="inlineStr">
        <is>
          <t>-</t>
        </is>
      </c>
      <c r="G20" s="45" t="inlineStr">
        <is>
          <t>-</t>
        </is>
      </c>
      <c r="H20" s="67" t="inlineStr">
        <is>
          <t>179078-241940</t>
        </is>
      </c>
      <c r="I20" s="56" t="n">
        <v>2022</v>
      </c>
      <c r="J20" s="70" t="n">
        <v>0.105</v>
      </c>
      <c r="K20" s="57" t="n">
        <v>0.11</v>
      </c>
      <c r="L20" s="57" t="n">
        <v>0.1275</v>
      </c>
      <c r="M20" s="73" t="n">
        <v>36.3</v>
      </c>
      <c r="N20" s="73" t="n">
        <v>38</v>
      </c>
      <c r="O20" s="73" t="n">
        <v>40</v>
      </c>
      <c r="Q20" s="59" t="n">
        <v>1</v>
      </c>
      <c r="S20" s="59" t="n">
        <v>0</v>
      </c>
      <c r="T20" s="59" t="n">
        <v>0</v>
      </c>
      <c r="U20" s="59" t="n">
        <v>0.3</v>
      </c>
      <c r="V20" s="57" t="n">
        <v>0.0295</v>
      </c>
      <c r="W20" s="57" t="n">
        <v>0.035</v>
      </c>
      <c r="X20" s="57" t="n">
        <v>0.04</v>
      </c>
      <c r="Y20" s="59" t="n">
        <v>0</v>
      </c>
      <c r="Z20" s="60" t="n">
        <v>0.1</v>
      </c>
      <c r="AA20" s="60" t="n">
        <v>0.2</v>
      </c>
      <c r="AB20" s="57" t="n">
        <v>0</v>
      </c>
      <c r="AC20" s="57" t="n">
        <v>0.174</v>
      </c>
      <c r="AD20" s="57" t="n">
        <v>0.3</v>
      </c>
      <c r="AE20" s="59" t="n">
        <v>0.01</v>
      </c>
      <c r="AF20" s="59" t="n">
        <v>0.046</v>
      </c>
      <c r="AG20" s="59" t="n">
        <v>0.08</v>
      </c>
      <c r="AH20" s="59" t="n">
        <v>0</v>
      </c>
      <c r="AI20" s="64" t="n">
        <v>38000</v>
      </c>
      <c r="AJ20" s="64" t="n">
        <v>38000</v>
      </c>
      <c r="AK20" s="74" t="n">
        <v>0</v>
      </c>
      <c r="AL20" s="62" t="n">
        <v>5</v>
      </c>
      <c r="AM20" s="62" t="n">
        <v>5</v>
      </c>
      <c r="AN20" s="62" t="n">
        <v>0</v>
      </c>
      <c r="AO20" s="59" t="n">
        <v>0.175</v>
      </c>
      <c r="AP20" s="59" t="n">
        <v>0.2</v>
      </c>
      <c r="AQ20" s="59" t="n">
        <v>0.015</v>
      </c>
      <c r="AR20" s="65" t="n">
        <v>179078</v>
      </c>
      <c r="AS20" s="65">
        <f>AR20+((AT20-AR20)/2)</f>
        <v/>
      </c>
      <c r="AT20" s="65" t="n">
        <v>241940</v>
      </c>
      <c r="AU20" s="65">
        <f>(AR20+(AR20*$K20)+(AR20*$T20)+(AR20*$W20)+(AR20*$Z20)+(AR20*$AC20)+(AR20*$AF20)+($AI20)+(AR20*((52+$AL20)/52))*(1+$AO20))*1/$Q20</f>
        <v/>
      </c>
      <c r="AV20" s="65">
        <f>(AS20+(AS20*$K20)+(AS20*$T20)+(AS20*$W20)+(AS20*$Z20)+(AS20*$AC20)+(AS20*$AF20)+($AI20)+(AS20*((52+$AL20)/52))*(1+$AO20))*1/$Q20</f>
        <v/>
      </c>
      <c r="AW20" s="65">
        <f>(AT20+(AT20*$K20)+(AT20*$T20)+(AT20*$W20)+(AT20*$Z20)+(AT20*$AC20)+(AT20*$AF20)+($AI20)+(AT20*((52+$AL20)/52))*(1+$AO20))*1/$Q20</f>
        <v/>
      </c>
      <c r="AX20" s="65">
        <f>AU20/52/$N20</f>
        <v/>
      </c>
      <c r="AY20" s="65">
        <f>AV20/52/$N20</f>
        <v/>
      </c>
      <c r="AZ20" s="65">
        <f>AW20/52/$N20</f>
        <v/>
      </c>
      <c r="BA20" s="78">
        <f>($AS20+($AS20*$J20)+($AS20*$T20)+($AS20*$W20)+($AS20*$Z20)+($AS20*$AC20)+($AS20*$AF20)+($AI20)+($AS20*((52+$AL20)/52))*(1+$AO20))*1/$Q20</f>
        <v/>
      </c>
      <c r="BB20" s="78">
        <f>($AS20+($AS20*$K20)+($AS20*$T20)+($AS20*$W20)+($AS20*$Z20)+($AS20*$AC20)+($AS20*$AF20)+($AI20)+($AS20*((52+$AL20)/52))*(1+$AO20))*1/$Q20</f>
        <v/>
      </c>
      <c r="BC20" s="78">
        <f>($AS20+($AS20*$L20)+($AS20*$T20)+($AS20*$W20)+($AS20*$Z20)+($AS20*$AC20)+($AS20*$AF20)+($AI20)+($AS20*((52+$AL20)/52))*(1+$AO20))*1/$Q20</f>
        <v/>
      </c>
      <c r="BD20" s="78">
        <f>BA20/52/$N20</f>
        <v/>
      </c>
      <c r="BE20" s="78">
        <f>BB20/52/$N20</f>
        <v/>
      </c>
      <c r="BF20" s="78">
        <f>BC20/52/$N20</f>
        <v/>
      </c>
      <c r="BG20" s="78">
        <f>($AS20+($AS20*$K20)+($AS20*$T20)+($AS20*$W20)+($AS20*$Z20)+($AS20*$AC20)+($AS20*$AF20)+($AI20)+($AS20*((52+$AL20)/52))*(1+$AO20))*1/$Q20</f>
        <v/>
      </c>
      <c r="BH20" s="78">
        <f>($AS20+($AS20*$K20)+($AS20*$T20)+($AS20*$W20)+($AS20*$Z20)+($AS20*$AC20)+($AS20*$AF20)+($AI20)+($AS20*((52+$AL20)/52))*(1+$AO20))*1/$Q20</f>
        <v/>
      </c>
      <c r="BI20" s="78">
        <f>($AS20+($AS20*$K20)+($AS20*$T20)+($AS20*$W20)+($AS20*$Z20)+($AS20*$AC20)+($AS20*$AF20)+($AI20)+($AS20*((52+$AL20)/52))*(1+$AO20))*1/$Q20</f>
        <v/>
      </c>
      <c r="BJ20" s="78">
        <f>BG20/52/$O20</f>
        <v/>
      </c>
      <c r="BK20" s="78">
        <f>BH20/52/$N20</f>
        <v/>
      </c>
      <c r="BL20" s="78">
        <f>BI20/52/$M20</f>
        <v/>
      </c>
      <c r="BM20" s="78">
        <f>($AS20+($AS20*$K20)+($AS20*$S20)+($AS20*$W20)+($AS20*$Z20)+($AS20*$AC20)+($AS20*$AF20)+($AI20)+($AS20*((52+$AL20)/52))*(1+$AO20))*1/$Q20</f>
        <v/>
      </c>
      <c r="BN20" s="78">
        <f>($AS20+($AS20*$K20)+($AS20*$T20)+($AS20*$W20)+($AS20*$Z20)+($AS20*$AC20)+($AS20*$AF20)+($AI20)+($AS20*((52+$AL20)/52))*(1+$AO20))*1/$Q20</f>
        <v/>
      </c>
      <c r="BO20" s="78">
        <f>($AS20+($AS20*$K20)+($AS20*$U20)+($AS20*$W20)+($AS20*$Z20)+($AS20*$AC20)+($AS20*$AF20)+($AI20)+($AS20*((52+$AL20)/52))*(1+$AO20))*1/$Q20</f>
        <v/>
      </c>
      <c r="BP20" s="78">
        <f>BM20/52/$N20</f>
        <v/>
      </c>
      <c r="BQ20" s="78">
        <f>BN20/52/$N20</f>
        <v/>
      </c>
      <c r="BR20" s="78">
        <f>BO20/52/$N20</f>
        <v/>
      </c>
      <c r="BS20" s="78">
        <f>($AS20+($AS20*$K20)+($AS20*$T20)+($AS20*$V20)+($AS20*$Z20)+($AS20*$AC20)+($AS20*$AF20)+($AI20)+($AS20*((52+$AL20)/52))*(1+$AO20))*1/$Q20</f>
        <v/>
      </c>
      <c r="BT20" s="78">
        <f>($AS20+($AS20*$K20)+($AS20*$T20)+($AS20*$W20)+($AS20*$Z20)+($AS20*$AC20)+($AS20*$AF20)+($AI20)+($AS20*((52+$AL20)/52))*(1+$AO20))*1/$Q20</f>
        <v/>
      </c>
      <c r="BU20" s="78">
        <f>($AS20+($AS20*$K20)+($AS20*$T20)+($AS20*$X20)+($AS20*$Z20)+($AS20*$AC20)+($AS20*$AF20)+($AI20)+($AS20*((52+$AL20)/52))*(1+$AO20))*1/$Q20</f>
        <v/>
      </c>
      <c r="BV20" s="78">
        <f>BS20/52/$N20</f>
        <v/>
      </c>
      <c r="BW20" s="78">
        <f>BT20/52/$N20</f>
        <v/>
      </c>
      <c r="BX20" s="78">
        <f>BU20/52/$N20</f>
        <v/>
      </c>
      <c r="BY20" s="78">
        <f>($AS20+($AS20*$K20)+($AS20*$T20)+($AS20*$W20)+($AS20*$Y20)+($AS20*$AC20)+($AS20*$AF20)+($AI20)+($AS20*((52+$AL20)/52))*(1+$AO20))*1/$Q20</f>
        <v/>
      </c>
      <c r="BZ20" s="78">
        <f>($AS20+($AS20*$K20)+($AS20*$T20)+($AS20*$W20)+($AS20*$Z20)+($AS20*$AC20)+($AS20*$AF20)+($AI20)+($AS20*((52+$AL20)/52))*(1+$AO20))*1/$Q20</f>
        <v/>
      </c>
      <c r="CA20" s="78">
        <f>($AS20+($AS20*$K20)+($AS20*$T20)+($AS20*$W20)+($AS20*$AA20)+($AS20*$AC20)+($AS20*$AF20)+($AI20)+($AS20*((52+$AL20)/52))*(1+$AO20))*1/$Q20</f>
        <v/>
      </c>
      <c r="CB20" s="78">
        <f>BY20/52/$N20</f>
        <v/>
      </c>
      <c r="CC20" s="78">
        <f>BZ20/52/$N20</f>
        <v/>
      </c>
      <c r="CD20" s="78">
        <f>CA20/52/$N20</f>
        <v/>
      </c>
      <c r="CE20" s="78">
        <f>($AS20+($AS20*$K20)+($AS20*$T20)+($AS20*$W20)+($AS20*$Z20)+($AS20*$AB20)+($AS20*$AF20)+($AI20)+($AS20*((52+$AL20)/52))*(1+$AO20))*1/$Q20</f>
        <v/>
      </c>
      <c r="CF20" s="78">
        <f>($AS20+($AS20*$K20)+($AS20*$T20)+($AS20*$W20)+($AS20*$Z20)+($AS20*$AC20)+($AS20*$AF20)+($AI20)+($AS20*((52+$AL20)/52))*(1+$AO20))*1/$Q20</f>
        <v/>
      </c>
      <c r="CG20" s="78">
        <f>($AS20+($AS20*$K20)+($AS20*$T20)+($AS20*$W20)+($AS20*$Z20)+($AS20*$AD20)+($AS20*$AF20)+($AI20)+($AS20*((52+$AL20)/52))*(1+$AO20))*1/$Q20</f>
        <v/>
      </c>
      <c r="CH20" s="78">
        <f>CE20/52/$N20</f>
        <v/>
      </c>
      <c r="CI20" s="78">
        <f>CF20/52/$N20</f>
        <v/>
      </c>
      <c r="CJ20" s="78">
        <f>CG20/52/$N20</f>
        <v/>
      </c>
      <c r="CK20" s="78">
        <f>($AS20+($AS20*$K20)+($AS20*$T20)+($AS20*$W20)+($AS20*$Z20)+($AS20*$AC20)+($AS20*$AE20)+($AI20)+($AS20*((52+$AL20)/52))*(1+$AO20))*1/$Q20</f>
        <v/>
      </c>
      <c r="CL20" s="78">
        <f>($AS20+($AS20*$K20)+($AS20*$T20)+($AS20*$W20)+($AS20*$Z20)+($AS20*$AC20)+($AS20*$AF20)+($AI20)+($AS20*((52+$AL20)/52))*(1+$AO20))*1/$Q20</f>
        <v/>
      </c>
      <c r="CM20" s="78">
        <f>($AS20+($AS20*$K20)+($AS20*$T20)+($AS20*$W20)+($AS20*$Z20)+($AS20*$AC20)+($AS20*$AG20)+($AI20)+($AS20*((52+$AL20)/52))*(1+$AO20))*1/$Q20</f>
        <v/>
      </c>
      <c r="CN20" s="78">
        <f>CK20/52/$N20</f>
        <v/>
      </c>
      <c r="CO20" s="78">
        <f>CL20/52/$N20</f>
        <v/>
      </c>
      <c r="CP20" s="78">
        <f>CM20/52/$N20</f>
        <v/>
      </c>
      <c r="CQ20" s="78">
        <f>($AS20+($AS20*$K20)+($AS20*$T20)+($AS20*$W20)+($AS20*$Z20)+($AS20*$AC20)+($AS20*$AF20)+($AH20)+($AS20*((52+$AL20)/52))*(1+$AO20))*1/$Q20</f>
        <v/>
      </c>
      <c r="CR20" s="78">
        <f>($AS20+($AS20*$K20)+($AS20*$T20)+($AS20*$W20)+($AS20*$Z20)+($AS20*$AC20)+($AS20*$AF20)+($AI20)+($AS20*((52+$AL20)/52))*(1+$AO20))*1/$Q20</f>
        <v/>
      </c>
      <c r="CS20" s="78">
        <f>($AS20+($AS20*$K20)+($AS20*$T20)+($AS20*$W20)+($AS20*$Z20)+($AS20*$AC20)+($AS20*$AF20)+($AJ20)+($AS20*((52+$AL20)/52))*(1+$AO20))*1/$Q20</f>
        <v/>
      </c>
      <c r="CT20" s="78">
        <f>CQ20/52/$N20</f>
        <v/>
      </c>
      <c r="CU20" s="78">
        <f>CR20/52/$N20</f>
        <v/>
      </c>
      <c r="CV20" s="78">
        <f>CS20/52/$N20</f>
        <v/>
      </c>
      <c r="CW20" s="78">
        <f>($AS20+($AS20*$K20)+($AS20*$T20)+($AS20*$W20)+($AS20*$Z20)+($AS20*$AC20)+($AS20*$AF20)+($AI20)+($AS20*((52+$AK20)/52))*(1+$AO20))*1/$Q20</f>
        <v/>
      </c>
      <c r="CX20" s="78">
        <f>($AS20+($AS20*$K20)+($AS20*$T20)+($AS20*$W20)+($AS20*$Z20)+($AS20*$AC20)+($AS20*$AF20)+($AI20)+($AS20*((52+$AL20)/52))*(1+$AO20))*1/$Q20</f>
        <v/>
      </c>
      <c r="CY20" s="78">
        <f>($AS20+($AS20*$K20)+($AS20*$T20)+($AS20*$W20)+($AS20*$Z20)+($AS20*$AC20)+($AS20*$AF20)+($AI20)+($AS20*((52+$AM20)/52))*(1+$AO20))*1/$Q20</f>
        <v/>
      </c>
      <c r="CZ20" s="78">
        <f>CW20/52/$N20</f>
        <v/>
      </c>
      <c r="DA20" s="78">
        <f>CX20/52/$N20</f>
        <v/>
      </c>
      <c r="DB20" s="78">
        <f>CY20/52/$N20</f>
        <v/>
      </c>
      <c r="DC20" s="78">
        <f>($AS20+($AS20*$K20)+($AS20*$T20)+($AS20*$W20)+($AS20*$Z20)+($AS20*$AC20)+($AS20*$AF20)+($AI20)+($AS20*((52+$AL20)/52))*(1+$AN20))*1/$Q20</f>
        <v/>
      </c>
      <c r="DD20" s="78">
        <f>($AS20+($AS20*$K20)+($AS20*$T20)+($AS20*$W20)+($AS20*$Z20)+($AS20*$AC20)+($AS20*$AF20)+($AI20)+($AS20*((52+$AL20)/52))*(1+$AO20))*1/$Q20</f>
        <v/>
      </c>
      <c r="DE20" s="78">
        <f>($AS20+($AS20*$K20)+($AS20*$T20)+($AS20*$W20)+($AS20*$Z20)+($AS20*$AC20)+($AS20*$AF20)+($AI20)+($AS20*((52+$AL20)/52))*(1+$AP20))*1/$Q20</f>
        <v/>
      </c>
      <c r="DF20" s="78">
        <f>DC20/52/$N20</f>
        <v/>
      </c>
      <c r="DG20" s="78">
        <f>DD20/52/$N20</f>
        <v/>
      </c>
      <c r="DH20" s="78">
        <f>DE20/52/$N20</f>
        <v/>
      </c>
    </row>
    <row r="21">
      <c r="J21" s="70" t="n"/>
      <c r="AI21" s="64" t="n"/>
      <c r="AJ21" s="64" t="n"/>
      <c r="AQ21" s="59" t="n"/>
      <c r="AR21" s="65" t="n"/>
      <c r="AS21" s="65" t="n"/>
      <c r="AT21" s="65" t="n"/>
      <c r="AU21" s="65" t="n"/>
      <c r="AV21" s="65" t="n"/>
      <c r="AW21" s="65" t="n"/>
      <c r="AX21" s="65" t="n"/>
      <c r="AY21" s="65" t="n"/>
      <c r="AZ21" s="65" t="n"/>
    </row>
    <row r="22">
      <c r="A22" s="45" t="inlineStr">
        <is>
          <t>QLD</t>
        </is>
      </c>
      <c r="B22" s="46" t="inlineStr">
        <is>
          <t>Lab technician</t>
        </is>
      </c>
      <c r="C22" s="54" t="inlineStr">
        <is>
          <t>LT</t>
        </is>
      </c>
      <c r="D22" s="45" t="inlineStr">
        <is>
          <t>Hospital and Health Service General Employees (Queensland Health) Award - State 2015</t>
        </is>
      </c>
      <c r="I22" s="56" t="n">
        <v>2022</v>
      </c>
      <c r="J22" s="70" t="n">
        <v>0.105</v>
      </c>
      <c r="K22" s="57" t="n">
        <v>0.11</v>
      </c>
      <c r="L22" s="57" t="n">
        <v>0.1275</v>
      </c>
      <c r="M22" s="73" t="n">
        <v>36.3</v>
      </c>
      <c r="N22" s="73" t="n">
        <v>38</v>
      </c>
      <c r="O22" s="73" t="n">
        <v>40</v>
      </c>
      <c r="Q22" s="59" t="n">
        <v>1</v>
      </c>
      <c r="S22" s="59" t="n">
        <v>0</v>
      </c>
      <c r="T22" s="59" t="n">
        <v>0.1</v>
      </c>
      <c r="U22" s="59" t="n">
        <v>0.3</v>
      </c>
      <c r="V22" s="57" t="n">
        <v>0.0295</v>
      </c>
      <c r="W22" s="57" t="n">
        <v>0.035</v>
      </c>
      <c r="X22" s="57" t="n">
        <v>0.04</v>
      </c>
      <c r="Y22" s="59" t="n">
        <v>0</v>
      </c>
      <c r="Z22" s="60" t="n">
        <v>0</v>
      </c>
      <c r="AA22" s="60" t="n">
        <v>0.2</v>
      </c>
      <c r="AB22" s="57" t="n">
        <v>0</v>
      </c>
      <c r="AC22" s="57" t="n">
        <v>0</v>
      </c>
      <c r="AD22" s="57" t="n">
        <v>0</v>
      </c>
      <c r="AE22" s="59" t="n">
        <v>0.01</v>
      </c>
      <c r="AF22" s="59" t="n">
        <v>0.046</v>
      </c>
      <c r="AG22" s="59" t="n">
        <v>0.08</v>
      </c>
      <c r="AH22" s="59" t="n">
        <v>0</v>
      </c>
      <c r="AI22" s="64" t="n">
        <v>1826</v>
      </c>
      <c r="AJ22" s="64" t="n">
        <v>2000</v>
      </c>
      <c r="AK22" s="74" t="n">
        <v>0</v>
      </c>
      <c r="AL22" s="62" t="n">
        <v>4</v>
      </c>
      <c r="AM22" s="62" t="n">
        <v>5</v>
      </c>
      <c r="AN22" s="62" t="n">
        <v>0</v>
      </c>
      <c r="AO22" s="59" t="n">
        <v>0</v>
      </c>
      <c r="AP22" s="59" t="n">
        <v>0.2</v>
      </c>
      <c r="AQ22" s="59" t="n">
        <v>0.015</v>
      </c>
      <c r="AR22" s="65" t="n">
        <v>48552</v>
      </c>
      <c r="AS22" s="65">
        <f>AR22+((AT22-AR22)/2)</f>
        <v/>
      </c>
      <c r="AT22" s="65" t="n">
        <v>91840</v>
      </c>
      <c r="AU22" s="65">
        <f>(AR22+(AR22*$K22)+(AR22*$T22)+(AR22*$W22)+(AR22*$Z22)+(AR22*$AC22)+(AR22*$AF22)+($AI22)+(AR22*((52+$AL22)/52))*(1+$AO22))*1/$Q22</f>
        <v/>
      </c>
      <c r="AV22" s="65">
        <f>(AS22+(AS22*$K22)+(AS22*$T22)+(AS22*$W22)+(AS22*$Z22)+(AS22*$AC22)+(AS22*$AF22)+($AI22)+(AS22*((52+$AL22)/52))*(1+$AO22))*1/$Q22</f>
        <v/>
      </c>
      <c r="AW22" s="65">
        <f>(AT22+(AT22*$K22)+(AT22*$T22)+(AT22*$W22)+(AT22*$Z22)+(AT22*$AC22)+(AT22*$AF22)+($AI22)+(AT22*((52+$AL22)/52))*(1+$AO22))*1/$Q22</f>
        <v/>
      </c>
      <c r="AX22" s="65">
        <f>AU22/52/$N22</f>
        <v/>
      </c>
      <c r="AY22" s="65">
        <f>AV22/52/$N22</f>
        <v/>
      </c>
      <c r="AZ22" s="65">
        <f>AW22/52/$N22</f>
        <v/>
      </c>
      <c r="BA22" s="78">
        <f>($AS22+($AS22*$J22)+($AS22*$T22)+($AS22*$W22)+($AS22*$Z22)+($AS22*$AC22)+($AS22*$AF22)+($AI22)+($AS22*((52+$AL22)/52))*(1+$AO22))*1/$Q22</f>
        <v/>
      </c>
      <c r="BB22" s="78">
        <f>($AS22+($AS22*$K22)+($AS22*$T22)+($AS22*$W22)+($AS22*$Z22)+($AS22*$AC22)+($AS22*$AF22)+($AI22)+($AS22*((52+$AL22)/52))*(1+$AO22))*1/$Q22</f>
        <v/>
      </c>
      <c r="BC22" s="78">
        <f>($AS22+($AS22*$L22)+($AS22*$T22)+($AS22*$W22)+($AS22*$Z22)+($AS22*$AC22)+($AS22*$AF22)+($AI22)+($AS22*((52+$AL22)/52))*(1+$AO22))*1/$Q22</f>
        <v/>
      </c>
      <c r="BD22" s="78">
        <f>BA22/52/$N22</f>
        <v/>
      </c>
      <c r="BE22" s="78">
        <f>BB22/52/$N22</f>
        <v/>
      </c>
      <c r="BF22" s="78">
        <f>BC22/52/$N22</f>
        <v/>
      </c>
      <c r="BG22" s="78">
        <f>($AS22+($AS22*$K22)+($AS22*$T22)+($AS22*$W22)+($AS22*$Z22)+($AS22*$AC22)+($AS22*$AF22)+($AI22)+($AS22*((52+$AL22)/52))*(1+$AO22))*1/$Q22</f>
        <v/>
      </c>
      <c r="BH22" s="78">
        <f>($AS22+($AS22*$K22)+($AS22*$T22)+($AS22*$W22)+($AS22*$Z22)+($AS22*$AC22)+($AS22*$AF22)+($AI22)+($AS22*((52+$AL22)/52))*(1+$AO22))*1/$Q22</f>
        <v/>
      </c>
      <c r="BI22" s="78">
        <f>($AS22+($AS22*$K22)+($AS22*$T22)+($AS22*$W22)+($AS22*$Z22)+($AS22*$AC22)+($AS22*$AF22)+($AI22)+($AS22*((52+$AL22)/52))*(1+$AO22))*1/$Q22</f>
        <v/>
      </c>
      <c r="BJ22" s="78">
        <f>BG22/52/$O22</f>
        <v/>
      </c>
      <c r="BK22" s="78">
        <f>BH22/52/$N22</f>
        <v/>
      </c>
      <c r="BL22" s="78">
        <f>BI22/52/$M22</f>
        <v/>
      </c>
      <c r="BM22" s="78">
        <f>($AS22+($AS22*$K22)+($AS22*$S22)+($AS22*$W22)+($AS22*$Z22)+($AS22*$AC22)+($AS22*$AF22)+($AI22)+($AS22*((52+$AL22)/52))*(1+$AO22))*1/$Q22</f>
        <v/>
      </c>
      <c r="BN22" s="78">
        <f>($AS22+($AS22*$K22)+($AS22*$T22)+($AS22*$W22)+($AS22*$Z22)+($AS22*$AC22)+($AS22*$AF22)+($AI22)+($AS22*((52+$AL22)/52))*(1+$AO22))*1/$Q22</f>
        <v/>
      </c>
      <c r="BO22" s="78">
        <f>($AS22+($AS22*$K22)+($AS22*$U22)+($AS22*$W22)+($AS22*$Z22)+($AS22*$AC22)+($AS22*$AF22)+($AI22)+($AS22*((52+$AL22)/52))*(1+$AO22))*1/$Q22</f>
        <v/>
      </c>
      <c r="BP22" s="78">
        <f>BM22/52/$N22</f>
        <v/>
      </c>
      <c r="BQ22" s="78">
        <f>BN22/52/$N22</f>
        <v/>
      </c>
      <c r="BR22" s="78">
        <f>BO22/52/$N22</f>
        <v/>
      </c>
      <c r="BS22" s="78">
        <f>($AS22+($AS22*$K22)+($AS22*$T22)+($AS22*$V22)+($AS22*$Z22)+($AS22*$AC22)+($AS22*$AF22)+($AI22)+($AS22*((52+$AL22)/52))*(1+$AO22))*1/$Q22</f>
        <v/>
      </c>
      <c r="BT22" s="78">
        <f>($AS22+($AS22*$K22)+($AS22*$T22)+($AS22*$W22)+($AS22*$Z22)+($AS22*$AC22)+($AS22*$AF22)+($AI22)+($AS22*((52+$AL22)/52))*(1+$AO22))*1/$Q22</f>
        <v/>
      </c>
      <c r="BU22" s="78">
        <f>($AS22+($AS22*$K22)+($AS22*$T22)+($AS22*$X22)+($AS22*$Z22)+($AS22*$AC22)+($AS22*$AF22)+($AI22)+($AS22*((52+$AL22)/52))*(1+$AO22))*1/$Q22</f>
        <v/>
      </c>
      <c r="BV22" s="78">
        <f>BS22/52/$N22</f>
        <v/>
      </c>
      <c r="BW22" s="78">
        <f>BT22/52/$N22</f>
        <v/>
      </c>
      <c r="BX22" s="78">
        <f>BU22/52/$N22</f>
        <v/>
      </c>
      <c r="BY22" s="78">
        <f>($AS22+($AS22*$K22)+($AS22*$T22)+($AS22*$W22)+($AS22*$Y22)+($AS22*$AC22)+($AS22*$AF22)+($AI22)+($AS22*((52+$AL22)/52))*(1+$AO22))*1/$Q22</f>
        <v/>
      </c>
      <c r="BZ22" s="78">
        <f>($AS22+($AS22*$K22)+($AS22*$T22)+($AS22*$W22)+($AS22*$Z22)+($AS22*$AC22)+($AS22*$AF22)+($AI22)+($AS22*((52+$AL22)/52))*(1+$AO22))*1/$Q22</f>
        <v/>
      </c>
      <c r="CA22" s="78">
        <f>($AS22+($AS22*$K22)+($AS22*$T22)+($AS22*$W22)+($AS22*$AA22)+($AS22*$AC22)+($AS22*$AF22)+($AI22)+($AS22*((52+$AL22)/52))*(1+$AO22))*1/$Q22</f>
        <v/>
      </c>
      <c r="CB22" s="78">
        <f>BY22/52/$N22</f>
        <v/>
      </c>
      <c r="CC22" s="78">
        <f>BZ22/52/$N22</f>
        <v/>
      </c>
      <c r="CD22" s="78">
        <f>CA22/52/$N22</f>
        <v/>
      </c>
      <c r="CE22" s="78">
        <f>($AS22+($AS22*$K22)+($AS22*$T22)+($AS22*$W22)+($AS22*$Z22)+($AS22*$AB22)+($AS22*$AF22)+($AI22)+($AS22*((52+$AL22)/52))*(1+$AO22))*1/$Q22</f>
        <v/>
      </c>
      <c r="CF22" s="78">
        <f>($AS22+($AS22*$K22)+($AS22*$T22)+($AS22*$W22)+($AS22*$Z22)+($AS22*$AC22)+($AS22*$AF22)+($AI22)+($AS22*((52+$AL22)/52))*(1+$AO22))*1/$Q22</f>
        <v/>
      </c>
      <c r="CG22" s="78">
        <f>($AS22+($AS22*$K22)+($AS22*$T22)+($AS22*$W22)+($AS22*$Z22)+($AS22*$AD22)+($AS22*$AF22)+($AI22)+($AS22*((52+$AL22)/52))*(1+$AO22))*1/$Q22</f>
        <v/>
      </c>
      <c r="CH22" s="78">
        <f>CE22/52/$N22</f>
        <v/>
      </c>
      <c r="CI22" s="78">
        <f>CF22/52/$N22</f>
        <v/>
      </c>
      <c r="CJ22" s="78">
        <f>CG22/52/$N22</f>
        <v/>
      </c>
      <c r="CK22" s="78">
        <f>($AS22+($AS22*$K22)+($AS22*$T22)+($AS22*$W22)+($AS22*$Z22)+($AS22*$AC22)+($AS22*$AE22)+($AI22)+($AS22*((52+$AL22)/52))*(1+$AO22))*1/$Q22</f>
        <v/>
      </c>
      <c r="CL22" s="78">
        <f>($AS22+($AS22*$K22)+($AS22*$T22)+($AS22*$W22)+($AS22*$Z22)+($AS22*$AC22)+($AS22*$AF22)+($AI22)+($AS22*((52+$AL22)/52))*(1+$AO22))*1/$Q22</f>
        <v/>
      </c>
      <c r="CM22" s="78">
        <f>($AS22+($AS22*$K22)+($AS22*$T22)+($AS22*$W22)+($AS22*$Z22)+($AS22*$AC22)+($AS22*$AG22)+($AI22)+($AS22*((52+$AL22)/52))*(1+$AO22))*1/$Q22</f>
        <v/>
      </c>
      <c r="CN22" s="78">
        <f>CK22/52/$N22</f>
        <v/>
      </c>
      <c r="CO22" s="78">
        <f>CL22/52/$N22</f>
        <v/>
      </c>
      <c r="CP22" s="78">
        <f>CM22/52/$N22</f>
        <v/>
      </c>
      <c r="CQ22" s="78">
        <f>($AS22+($AS22*$K22)+($AS22*$T22)+($AS22*$W22)+($AS22*$Z22)+($AS22*$AC22)+($AS22*$AF22)+($AH22)+($AS22*((52+$AL22)/52))*(1+$AO22))*1/$Q22</f>
        <v/>
      </c>
      <c r="CR22" s="78">
        <f>($AS22+($AS22*$K22)+($AS22*$T22)+($AS22*$W22)+($AS22*$Z22)+($AS22*$AC22)+($AS22*$AF22)+($AI22)+($AS22*((52+$AL22)/52))*(1+$AO22))*1/$Q22</f>
        <v/>
      </c>
      <c r="CS22" s="78">
        <f>($AS22+($AS22*$K22)+($AS22*$T22)+($AS22*$W22)+($AS22*$Z22)+($AS22*$AC22)+($AS22*$AF22)+($AJ22)+($AS22*((52+$AL22)/52))*(1+$AO22))*1/$Q22</f>
        <v/>
      </c>
      <c r="CT22" s="78">
        <f>CQ22/52/$N22</f>
        <v/>
      </c>
      <c r="CU22" s="78">
        <f>CR22/52/$N22</f>
        <v/>
      </c>
      <c r="CV22" s="78">
        <f>CS22/52/$N22</f>
        <v/>
      </c>
      <c r="CW22" s="78">
        <f>($AS22+($AS22*$K22)+($AS22*$T22)+($AS22*$W22)+($AS22*$Z22)+($AS22*$AC22)+($AS22*$AF22)+($AI22)+($AS22*((52+$AK22)/52))*(1+$AO22))*1/$Q22</f>
        <v/>
      </c>
      <c r="CX22" s="78">
        <f>($AS22+($AS22*$K22)+($AS22*$T22)+($AS22*$W22)+($AS22*$Z22)+($AS22*$AC22)+($AS22*$AF22)+($AI22)+($AS22*((52+$AL22)/52))*(1+$AO22))*1/$Q22</f>
        <v/>
      </c>
      <c r="CY22" s="78">
        <f>($AS22+($AS22*$K22)+($AS22*$T22)+($AS22*$W22)+($AS22*$Z22)+($AS22*$AC22)+($AS22*$AF22)+($AI22)+($AS22*((52+$AM22)/52))*(1+$AO22))*1/$Q22</f>
        <v/>
      </c>
      <c r="CZ22" s="78">
        <f>CW22/52/$N22</f>
        <v/>
      </c>
      <c r="DA22" s="78">
        <f>CX22/52/$N22</f>
        <v/>
      </c>
      <c r="DB22" s="78">
        <f>CY22/52/$N22</f>
        <v/>
      </c>
      <c r="DC22" s="78">
        <f>($AS22+($AS22*$K22)+($AS22*$T22)+($AS22*$W22)+($AS22*$Z22)+($AS22*$AC22)+($AS22*$AF22)+($AI22)+($AS22*((52+$AL22)/52))*(1+$AN22))*1/$Q22</f>
        <v/>
      </c>
      <c r="DD22" s="78">
        <f>($AS22+($AS22*$K22)+($AS22*$T22)+($AS22*$W22)+($AS22*$Z22)+($AS22*$AC22)+($AS22*$AF22)+($AI22)+($AS22*((52+$AL22)/52))*(1+$AO22))*1/$Q22</f>
        <v/>
      </c>
      <c r="DE22" s="78">
        <f>($AS22+($AS22*$K22)+($AS22*$T22)+($AS22*$W22)+($AS22*$Z22)+($AS22*$AC22)+($AS22*$AF22)+($AI22)+($AS22*((52+$AL22)/52))*(1+$AP22))*1/$Q22</f>
        <v/>
      </c>
      <c r="DF22" s="78">
        <f>DC22/52/$N22</f>
        <v/>
      </c>
      <c r="DG22" s="78">
        <f>DD22/52/$N22</f>
        <v/>
      </c>
      <c r="DH22" s="78">
        <f>DE22/52/$N22</f>
        <v/>
      </c>
    </row>
    <row r="23">
      <c r="A23" s="45" t="inlineStr">
        <is>
          <t>QLD</t>
        </is>
      </c>
      <c r="B23" s="46" t="inlineStr">
        <is>
          <t>Medical scientist</t>
        </is>
      </c>
      <c r="C23" s="54" t="inlineStr">
        <is>
          <t>MS</t>
        </is>
      </c>
      <c r="D23" s="45" t="inlineStr">
        <is>
          <t>Hospital and Health Service General Employees (Queensland Health) Award - State 2015</t>
        </is>
      </c>
      <c r="E23" s="55" t="inlineStr">
        <is>
          <t>HP2-3</t>
        </is>
      </c>
      <c r="I23" s="56" t="n">
        <v>2022</v>
      </c>
      <c r="J23" s="70" t="n">
        <v>0.105</v>
      </c>
      <c r="K23" s="57" t="n">
        <v>0.11</v>
      </c>
      <c r="L23" s="57" t="n">
        <v>0.1275</v>
      </c>
      <c r="M23" s="73" t="n">
        <v>36.3</v>
      </c>
      <c r="N23" s="73" t="n">
        <v>38</v>
      </c>
      <c r="O23" s="73" t="n">
        <v>40</v>
      </c>
      <c r="Q23" s="59" t="n">
        <v>1</v>
      </c>
      <c r="S23" s="59" t="n">
        <v>0</v>
      </c>
      <c r="T23" s="59" t="n">
        <v>0.1</v>
      </c>
      <c r="U23" s="59" t="n">
        <v>0.3</v>
      </c>
      <c r="V23" s="57" t="n">
        <v>0.0295</v>
      </c>
      <c r="W23" s="57" t="n">
        <v>0.035</v>
      </c>
      <c r="X23" s="57" t="n">
        <v>0.04</v>
      </c>
      <c r="Y23" s="59" t="n">
        <v>0</v>
      </c>
      <c r="Z23" s="60" t="n">
        <v>0</v>
      </c>
      <c r="AA23" s="60" t="n">
        <v>0.2</v>
      </c>
      <c r="AB23" s="57" t="n">
        <v>0</v>
      </c>
      <c r="AC23" s="57" t="n">
        <v>0</v>
      </c>
      <c r="AD23" s="57" t="n">
        <v>0</v>
      </c>
      <c r="AE23" s="59" t="n">
        <v>0.01</v>
      </c>
      <c r="AF23" s="59" t="n">
        <v>0.046</v>
      </c>
      <c r="AG23" s="59" t="n">
        <v>0.08</v>
      </c>
      <c r="AH23" s="59" t="n">
        <v>0</v>
      </c>
      <c r="AI23" s="64" t="n">
        <v>1826</v>
      </c>
      <c r="AJ23" s="64" t="n">
        <v>2000</v>
      </c>
      <c r="AK23" s="74" t="n">
        <v>0</v>
      </c>
      <c r="AL23" s="62" t="n">
        <v>4</v>
      </c>
      <c r="AM23" s="62" t="n">
        <v>5</v>
      </c>
      <c r="AN23" s="62" t="n">
        <v>0</v>
      </c>
      <c r="AO23" s="59" t="n">
        <v>0</v>
      </c>
      <c r="AP23" s="59" t="n">
        <v>0.2</v>
      </c>
      <c r="AQ23" s="59" t="n">
        <v>0.015</v>
      </c>
      <c r="AR23" s="65" t="n">
        <v>69031</v>
      </c>
      <c r="AS23" s="65">
        <f>AR23+((AT23-AR23)/2)</f>
        <v/>
      </c>
      <c r="AT23" s="65" t="n">
        <v>139576</v>
      </c>
      <c r="AU23" s="65">
        <f>(AR23+(AR23*$K23)+(AR23*$T23)+(AR23*$W23)+(AR23*$Z23)+(AR23*$AC23)+(AR23*$AF23)+($AI23)+(AR23*((52+$AL23)/52))*(1+$AO23))*1/$Q23</f>
        <v/>
      </c>
      <c r="AV23" s="65">
        <f>(AS23+(AS23*$K23)+(AS23*$T23)+(AS23*$W23)+(AS23*$Z23)+(AS23*$AC23)+(AS23*$AF23)+($AI23)+(AS23*((52+$AL23)/52))*(1+$AO23))*1/$Q23</f>
        <v/>
      </c>
      <c r="AW23" s="65">
        <f>(AT23+(AT23*$K23)+(AT23*$T23)+(AT23*$W23)+(AT23*$Z23)+(AT23*$AC23)+(AT23*$AF23)+($AI23)+(AT23*((52+$AL23)/52))*(1+$AO23))*1/$Q23</f>
        <v/>
      </c>
      <c r="AX23" s="65">
        <f>AU23/52/$N23</f>
        <v/>
      </c>
      <c r="AY23" s="65">
        <f>AV23/52/$N23</f>
        <v/>
      </c>
      <c r="AZ23" s="65">
        <f>AW23/52/$N23</f>
        <v/>
      </c>
      <c r="BA23" s="78">
        <f>($AS23+($AS23*$J23)+($AS23*$T23)+($AS23*$W23)+($AS23*$Z23)+($AS23*$AC23)+($AS23*$AF23)+($AI23)+($AS23*((52+$AL23)/52))*(1+$AO23))*1/$Q23</f>
        <v/>
      </c>
      <c r="BB23" s="78">
        <f>($AS23+($AS23*$K23)+($AS23*$T23)+($AS23*$W23)+($AS23*$Z23)+($AS23*$AC23)+($AS23*$AF23)+($AI23)+($AS23*((52+$AL23)/52))*(1+$AO23))*1/$Q23</f>
        <v/>
      </c>
      <c r="BC23" s="78">
        <f>($AS23+($AS23*$L23)+($AS23*$T23)+($AS23*$W23)+($AS23*$Z23)+($AS23*$AC23)+($AS23*$AF23)+($AI23)+($AS23*((52+$AL23)/52))*(1+$AO23))*1/$Q23</f>
        <v/>
      </c>
      <c r="BD23" s="78">
        <f>BA23/52/$N23</f>
        <v/>
      </c>
      <c r="BE23" s="78">
        <f>BB23/52/$N23</f>
        <v/>
      </c>
      <c r="BF23" s="78">
        <f>BC23/52/$N23</f>
        <v/>
      </c>
      <c r="BG23" s="78">
        <f>($AS23+($AS23*$K23)+($AS23*$T23)+($AS23*$W23)+($AS23*$Z23)+($AS23*$AC23)+($AS23*$AF23)+($AI23)+($AS23*((52+$AL23)/52))*(1+$AO23))*1/$Q23</f>
        <v/>
      </c>
      <c r="BH23" s="78">
        <f>($AS23+($AS23*$K23)+($AS23*$T23)+($AS23*$W23)+($AS23*$Z23)+($AS23*$AC23)+($AS23*$AF23)+($AI23)+($AS23*((52+$AL23)/52))*(1+$AO23))*1/$Q23</f>
        <v/>
      </c>
      <c r="BI23" s="78">
        <f>($AS23+($AS23*$K23)+($AS23*$T23)+($AS23*$W23)+($AS23*$Z23)+($AS23*$AC23)+($AS23*$AF23)+($AI23)+($AS23*((52+$AL23)/52))*(1+$AO23))*1/$Q23</f>
        <v/>
      </c>
      <c r="BJ23" s="78">
        <f>BG23/52/$O23</f>
        <v/>
      </c>
      <c r="BK23" s="78">
        <f>BH23/52/$N23</f>
        <v/>
      </c>
      <c r="BL23" s="78">
        <f>BI23/52/$M23</f>
        <v/>
      </c>
      <c r="BM23" s="78">
        <f>($AS23+($AS23*$K23)+($AS23*$S23)+($AS23*$W23)+($AS23*$Z23)+($AS23*$AC23)+($AS23*$AF23)+($AI23)+($AS23*((52+$AL23)/52))*(1+$AO23))*1/$Q23</f>
        <v/>
      </c>
      <c r="BN23" s="78">
        <f>($AS23+($AS23*$K23)+($AS23*$T23)+($AS23*$W23)+($AS23*$Z23)+($AS23*$AC23)+($AS23*$AF23)+($AI23)+($AS23*((52+$AL23)/52))*(1+$AO23))*1/$Q23</f>
        <v/>
      </c>
      <c r="BO23" s="78">
        <f>($AS23+($AS23*$K23)+($AS23*$U23)+($AS23*$W23)+($AS23*$Z23)+($AS23*$AC23)+($AS23*$AF23)+($AI23)+($AS23*((52+$AL23)/52))*(1+$AO23))*1/$Q23</f>
        <v/>
      </c>
      <c r="BP23" s="78">
        <f>BM23/52/$N23</f>
        <v/>
      </c>
      <c r="BQ23" s="78">
        <f>BN23/52/$N23</f>
        <v/>
      </c>
      <c r="BR23" s="78">
        <f>BO23/52/$N23</f>
        <v/>
      </c>
      <c r="BS23" s="78">
        <f>($AS23+($AS23*$K23)+($AS23*$T23)+($AS23*$V23)+($AS23*$Z23)+($AS23*$AC23)+($AS23*$AF23)+($AI23)+($AS23*((52+$AL23)/52))*(1+$AO23))*1/$Q23</f>
        <v/>
      </c>
      <c r="BT23" s="78">
        <f>($AS23+($AS23*$K23)+($AS23*$T23)+($AS23*$W23)+($AS23*$Z23)+($AS23*$AC23)+($AS23*$AF23)+($AI23)+($AS23*((52+$AL23)/52))*(1+$AO23))*1/$Q23</f>
        <v/>
      </c>
      <c r="BU23" s="78">
        <f>($AS23+($AS23*$K23)+($AS23*$T23)+($AS23*$X23)+($AS23*$Z23)+($AS23*$AC23)+($AS23*$AF23)+($AI23)+($AS23*((52+$AL23)/52))*(1+$AO23))*1/$Q23</f>
        <v/>
      </c>
      <c r="BV23" s="78">
        <f>BS23/52/$N23</f>
        <v/>
      </c>
      <c r="BW23" s="78">
        <f>BT23/52/$N23</f>
        <v/>
      </c>
      <c r="BX23" s="78">
        <f>BU23/52/$N23</f>
        <v/>
      </c>
      <c r="BY23" s="78">
        <f>($AS23+($AS23*$K23)+($AS23*$T23)+($AS23*$W23)+($AS23*$Y23)+($AS23*$AC23)+($AS23*$AF23)+($AI23)+($AS23*((52+$AL23)/52))*(1+$AO23))*1/$Q23</f>
        <v/>
      </c>
      <c r="BZ23" s="78">
        <f>($AS23+($AS23*$K23)+($AS23*$T23)+($AS23*$W23)+($AS23*$Z23)+($AS23*$AC23)+($AS23*$AF23)+($AI23)+($AS23*((52+$AL23)/52))*(1+$AO23))*1/$Q23</f>
        <v/>
      </c>
      <c r="CA23" s="78">
        <f>($AS23+($AS23*$K23)+($AS23*$T23)+($AS23*$W23)+($AS23*$AA23)+($AS23*$AC23)+($AS23*$AF23)+($AI23)+($AS23*((52+$AL23)/52))*(1+$AO23))*1/$Q23</f>
        <v/>
      </c>
      <c r="CB23" s="78">
        <f>BY23/52/$N23</f>
        <v/>
      </c>
      <c r="CC23" s="78">
        <f>BZ23/52/$N23</f>
        <v/>
      </c>
      <c r="CD23" s="78">
        <f>CA23/52/$N23</f>
        <v/>
      </c>
      <c r="CE23" s="78">
        <f>($AS23+($AS23*$K23)+($AS23*$T23)+($AS23*$W23)+($AS23*$Z23)+($AS23*$AB23)+($AS23*$AF23)+($AI23)+($AS23*((52+$AL23)/52))*(1+$AO23))*1/$Q23</f>
        <v/>
      </c>
      <c r="CF23" s="78">
        <f>($AS23+($AS23*$K23)+($AS23*$T23)+($AS23*$W23)+($AS23*$Z23)+($AS23*$AC23)+($AS23*$AF23)+($AI23)+($AS23*((52+$AL23)/52))*(1+$AO23))*1/$Q23</f>
        <v/>
      </c>
      <c r="CG23" s="78">
        <f>($AS23+($AS23*$K23)+($AS23*$T23)+($AS23*$W23)+($AS23*$Z23)+($AS23*$AD23)+($AS23*$AF23)+($AI23)+($AS23*((52+$AL23)/52))*(1+$AO23))*1/$Q23</f>
        <v/>
      </c>
      <c r="CH23" s="78">
        <f>CE23/52/$N23</f>
        <v/>
      </c>
      <c r="CI23" s="78">
        <f>CF23/52/$N23</f>
        <v/>
      </c>
      <c r="CJ23" s="78">
        <f>CG23/52/$N23</f>
        <v/>
      </c>
      <c r="CK23" s="78">
        <f>($AS23+($AS23*$K23)+($AS23*$T23)+($AS23*$W23)+($AS23*$Z23)+($AS23*$AC23)+($AS23*$AE23)+($AI23)+($AS23*((52+$AL23)/52))*(1+$AO23))*1/$Q23</f>
        <v/>
      </c>
      <c r="CL23" s="78">
        <f>($AS23+($AS23*$K23)+($AS23*$T23)+($AS23*$W23)+($AS23*$Z23)+($AS23*$AC23)+($AS23*$AF23)+($AI23)+($AS23*((52+$AL23)/52))*(1+$AO23))*1/$Q23</f>
        <v/>
      </c>
      <c r="CM23" s="78">
        <f>($AS23+($AS23*$K23)+($AS23*$T23)+($AS23*$W23)+($AS23*$Z23)+($AS23*$AC23)+($AS23*$AG23)+($AI23)+($AS23*((52+$AL23)/52))*(1+$AO23))*1/$Q23</f>
        <v/>
      </c>
      <c r="CN23" s="78">
        <f>CK23/52/$N23</f>
        <v/>
      </c>
      <c r="CO23" s="78">
        <f>CL23/52/$N23</f>
        <v/>
      </c>
      <c r="CP23" s="78">
        <f>CM23/52/$N23</f>
        <v/>
      </c>
      <c r="CQ23" s="78">
        <f>($AS23+($AS23*$K23)+($AS23*$T23)+($AS23*$W23)+($AS23*$Z23)+($AS23*$AC23)+($AS23*$AF23)+($AH23)+($AS23*((52+$AL23)/52))*(1+$AO23))*1/$Q23</f>
        <v/>
      </c>
      <c r="CR23" s="78">
        <f>($AS23+($AS23*$K23)+($AS23*$T23)+($AS23*$W23)+($AS23*$Z23)+($AS23*$AC23)+($AS23*$AF23)+($AI23)+($AS23*((52+$AL23)/52))*(1+$AO23))*1/$Q23</f>
        <v/>
      </c>
      <c r="CS23" s="78">
        <f>($AS23+($AS23*$K23)+($AS23*$T23)+($AS23*$W23)+($AS23*$Z23)+($AS23*$AC23)+($AS23*$AF23)+($AJ23)+($AS23*((52+$AL23)/52))*(1+$AO23))*1/$Q23</f>
        <v/>
      </c>
      <c r="CT23" s="78">
        <f>CQ23/52/$N23</f>
        <v/>
      </c>
      <c r="CU23" s="78">
        <f>CR23/52/$N23</f>
        <v/>
      </c>
      <c r="CV23" s="78">
        <f>CS23/52/$N23</f>
        <v/>
      </c>
      <c r="CW23" s="78">
        <f>($AS23+($AS23*$K23)+($AS23*$T23)+($AS23*$W23)+($AS23*$Z23)+($AS23*$AC23)+($AS23*$AF23)+($AI23)+($AS23*((52+$AK23)/52))*(1+$AO23))*1/$Q23</f>
        <v/>
      </c>
      <c r="CX23" s="78">
        <f>($AS23+($AS23*$K23)+($AS23*$T23)+($AS23*$W23)+($AS23*$Z23)+($AS23*$AC23)+($AS23*$AF23)+($AI23)+($AS23*((52+$AL23)/52))*(1+$AO23))*1/$Q23</f>
        <v/>
      </c>
      <c r="CY23" s="78">
        <f>($AS23+($AS23*$K23)+($AS23*$T23)+($AS23*$W23)+($AS23*$Z23)+($AS23*$AC23)+($AS23*$AF23)+($AI23)+($AS23*((52+$AM23)/52))*(1+$AO23))*1/$Q23</f>
        <v/>
      </c>
      <c r="CZ23" s="78">
        <f>CW23/52/$N23</f>
        <v/>
      </c>
      <c r="DA23" s="78">
        <f>CX23/52/$N23</f>
        <v/>
      </c>
      <c r="DB23" s="78">
        <f>CY23/52/$N23</f>
        <v/>
      </c>
      <c r="DC23" s="78">
        <f>($AS23+($AS23*$K23)+($AS23*$T23)+($AS23*$W23)+($AS23*$Z23)+($AS23*$AC23)+($AS23*$AF23)+($AI23)+($AS23*((52+$AL23)/52))*(1+$AN23))*1/$Q23</f>
        <v/>
      </c>
      <c r="DD23" s="78">
        <f>($AS23+($AS23*$K23)+($AS23*$T23)+($AS23*$W23)+($AS23*$Z23)+($AS23*$AC23)+($AS23*$AF23)+($AI23)+($AS23*((52+$AL23)/52))*(1+$AO23))*1/$Q23</f>
        <v/>
      </c>
      <c r="DE23" s="78">
        <f>($AS23+($AS23*$K23)+($AS23*$T23)+($AS23*$W23)+($AS23*$Z23)+($AS23*$AC23)+($AS23*$AF23)+($AI23)+($AS23*((52+$AL23)/52))*(1+$AP23))*1/$Q23</f>
        <v/>
      </c>
      <c r="DF23" s="78">
        <f>DC23/52/$N23</f>
        <v/>
      </c>
      <c r="DG23" s="78">
        <f>DD23/52/$N23</f>
        <v/>
      </c>
      <c r="DH23" s="78">
        <f>DE23/52/$N23</f>
        <v/>
      </c>
    </row>
    <row r="24">
      <c r="A24" s="45" t="inlineStr">
        <is>
          <t>QLD</t>
        </is>
      </c>
      <c r="B24" s="46" t="inlineStr">
        <is>
          <t>Admin staff</t>
        </is>
      </c>
      <c r="C24" s="54" t="inlineStr">
        <is>
          <t>AS</t>
        </is>
      </c>
      <c r="D24" s="45" t="inlineStr">
        <is>
          <t>Hospital and Health Service General Employees (Queensland Health) Award - State 2015</t>
        </is>
      </c>
      <c r="I24" s="56" t="n">
        <v>2022</v>
      </c>
      <c r="J24" s="70" t="n">
        <v>0.105</v>
      </c>
      <c r="K24" s="57" t="n">
        <v>0.11</v>
      </c>
      <c r="L24" s="57" t="n">
        <v>0.1275</v>
      </c>
      <c r="M24" s="73" t="n">
        <v>36.3</v>
      </c>
      <c r="N24" s="73" t="n">
        <v>38</v>
      </c>
      <c r="O24" s="73" t="n">
        <v>40</v>
      </c>
      <c r="Q24" s="59" t="n">
        <v>1</v>
      </c>
      <c r="S24" s="59" t="n">
        <v>0</v>
      </c>
      <c r="T24" s="59" t="n">
        <v>0.1</v>
      </c>
      <c r="U24" s="59" t="n">
        <v>0.3</v>
      </c>
      <c r="V24" s="57" t="n">
        <v>0.0295</v>
      </c>
      <c r="W24" s="57" t="n">
        <v>0.035</v>
      </c>
      <c r="X24" s="57" t="n">
        <v>0.04</v>
      </c>
      <c r="Y24" s="59" t="n">
        <v>0</v>
      </c>
      <c r="Z24" s="60" t="n">
        <v>0</v>
      </c>
      <c r="AA24" s="60" t="n">
        <v>0.2</v>
      </c>
      <c r="AB24" s="57" t="n">
        <v>0</v>
      </c>
      <c r="AC24" s="57" t="n">
        <v>0</v>
      </c>
      <c r="AD24" s="57" t="n">
        <v>0</v>
      </c>
      <c r="AE24" s="59" t="n">
        <v>0.01</v>
      </c>
      <c r="AF24" s="59" t="n">
        <v>0.046</v>
      </c>
      <c r="AG24" s="59" t="n">
        <v>0.08</v>
      </c>
      <c r="AH24" s="59" t="n">
        <v>0</v>
      </c>
      <c r="AI24" s="64" t="n">
        <v>1826</v>
      </c>
      <c r="AJ24" s="64" t="n">
        <v>2000</v>
      </c>
      <c r="AK24" s="74" t="n">
        <v>0</v>
      </c>
      <c r="AL24" s="62" t="n">
        <v>4</v>
      </c>
      <c r="AM24" s="62" t="n">
        <v>5</v>
      </c>
      <c r="AN24" s="62" t="n">
        <v>0</v>
      </c>
      <c r="AO24" s="59" t="n">
        <v>0</v>
      </c>
      <c r="AP24" s="59" t="n">
        <v>0.2</v>
      </c>
      <c r="AQ24" s="59" t="n">
        <v>0.015</v>
      </c>
      <c r="AR24" s="65" t="n">
        <v>47704</v>
      </c>
      <c r="AS24" s="65">
        <f>AR24+((AT24-AR24)/2)</f>
        <v/>
      </c>
      <c r="AT24" s="65" t="n">
        <v>79901</v>
      </c>
      <c r="AU24" s="65">
        <f>(AR24+(AR24*$K24)+(AR24*$T24)+(AR24*$W24)+(AR24*$Z24)+(AR24*$AC24)+(AR24*$AF24)+($AI24)+(AR24*((52+$AL24)/52))*(1+$AO24))*1/$Q24</f>
        <v/>
      </c>
      <c r="AV24" s="65">
        <f>(AS24+(AS24*$K24)+(AS24*$T24)+(AS24*$W24)+(AS24*$Z24)+(AS24*$AC24)+(AS24*$AF24)+($AI24)+(AS24*((52+$AL24)/52))*(1+$AO24))*1/$Q24</f>
        <v/>
      </c>
      <c r="AW24" s="65">
        <f>(AT24+(AT24*$K24)+(AT24*$T24)+(AT24*$W24)+(AT24*$Z24)+(AT24*$AC24)+(AT24*$AF24)+($AI24)+(AT24*((52+$AL24)/52))*(1+$AO24))*1/$Q24</f>
        <v/>
      </c>
      <c r="AX24" s="65">
        <f>AU24/52/$N24</f>
        <v/>
      </c>
      <c r="AY24" s="65">
        <f>AV24/52/$N24</f>
        <v/>
      </c>
      <c r="AZ24" s="65">
        <f>AW24/52/$N24</f>
        <v/>
      </c>
      <c r="BA24" s="78">
        <f>($AS24+($AS24*$J24)+($AS24*$T24)+($AS24*$W24)+($AS24*$Z24)+($AS24*$AC24)+($AS24*$AF24)+($AI24)+($AS24*((52+$AL24)/52))*(1+$AO24))*1/$Q24</f>
        <v/>
      </c>
      <c r="BB24" s="78">
        <f>($AS24+($AS24*$K24)+($AS24*$T24)+($AS24*$W24)+($AS24*$Z24)+($AS24*$AC24)+($AS24*$AF24)+($AI24)+($AS24*((52+$AL24)/52))*(1+$AO24))*1/$Q24</f>
        <v/>
      </c>
      <c r="BC24" s="78">
        <f>($AS24+($AS24*$L24)+($AS24*$T24)+($AS24*$W24)+($AS24*$Z24)+($AS24*$AC24)+($AS24*$AF24)+($AI24)+($AS24*((52+$AL24)/52))*(1+$AO24))*1/$Q24</f>
        <v/>
      </c>
      <c r="BD24" s="78">
        <f>BA24/52/$N24</f>
        <v/>
      </c>
      <c r="BE24" s="78">
        <f>BB24/52/$N24</f>
        <v/>
      </c>
      <c r="BF24" s="78">
        <f>BC24/52/$N24</f>
        <v/>
      </c>
      <c r="BG24" s="78">
        <f>($AS24+($AS24*$K24)+($AS24*$T24)+($AS24*$W24)+($AS24*$Z24)+($AS24*$AC24)+($AS24*$AF24)+($AI24)+($AS24*((52+$AL24)/52))*(1+$AO24))*1/$Q24</f>
        <v/>
      </c>
      <c r="BH24" s="78">
        <f>($AS24+($AS24*$K24)+($AS24*$T24)+($AS24*$W24)+($AS24*$Z24)+($AS24*$AC24)+($AS24*$AF24)+($AI24)+($AS24*((52+$AL24)/52))*(1+$AO24))*1/$Q24</f>
        <v/>
      </c>
      <c r="BI24" s="78">
        <f>($AS24+($AS24*$K24)+($AS24*$T24)+($AS24*$W24)+($AS24*$Z24)+($AS24*$AC24)+($AS24*$AF24)+($AI24)+($AS24*((52+$AL24)/52))*(1+$AO24))*1/$Q24</f>
        <v/>
      </c>
      <c r="BJ24" s="78">
        <f>BG24/52/$O24</f>
        <v/>
      </c>
      <c r="BK24" s="78">
        <f>BH24/52/$N24</f>
        <v/>
      </c>
      <c r="BL24" s="78">
        <f>BI24/52/$M24</f>
        <v/>
      </c>
      <c r="BM24" s="78">
        <f>($AS24+($AS24*$K24)+($AS24*$S24)+($AS24*$W24)+($AS24*$Z24)+($AS24*$AC24)+($AS24*$AF24)+($AI24)+($AS24*((52+$AL24)/52))*(1+$AO24))*1/$Q24</f>
        <v/>
      </c>
      <c r="BN24" s="78">
        <f>($AS24+($AS24*$K24)+($AS24*$T24)+($AS24*$W24)+($AS24*$Z24)+($AS24*$AC24)+($AS24*$AF24)+($AI24)+($AS24*((52+$AL24)/52))*(1+$AO24))*1/$Q24</f>
        <v/>
      </c>
      <c r="BO24" s="78">
        <f>($AS24+($AS24*$K24)+($AS24*$U24)+($AS24*$W24)+($AS24*$Z24)+($AS24*$AC24)+($AS24*$AF24)+($AI24)+($AS24*((52+$AL24)/52))*(1+$AO24))*1/$Q24</f>
        <v/>
      </c>
      <c r="BP24" s="78">
        <f>BM24/52/$N24</f>
        <v/>
      </c>
      <c r="BQ24" s="78">
        <f>BN24/52/$N24</f>
        <v/>
      </c>
      <c r="BR24" s="78">
        <f>BO24/52/$N24</f>
        <v/>
      </c>
      <c r="BS24" s="78">
        <f>($AS24+($AS24*$K24)+($AS24*$T24)+($AS24*$V24)+($AS24*$Z24)+($AS24*$AC24)+($AS24*$AF24)+($AI24)+($AS24*((52+$AL24)/52))*(1+$AO24))*1/$Q24</f>
        <v/>
      </c>
      <c r="BT24" s="78">
        <f>($AS24+($AS24*$K24)+($AS24*$T24)+($AS24*$W24)+($AS24*$Z24)+($AS24*$AC24)+($AS24*$AF24)+($AI24)+($AS24*((52+$AL24)/52))*(1+$AO24))*1/$Q24</f>
        <v/>
      </c>
      <c r="BU24" s="78">
        <f>($AS24+($AS24*$K24)+($AS24*$T24)+($AS24*$X24)+($AS24*$Z24)+($AS24*$AC24)+($AS24*$AF24)+($AI24)+($AS24*((52+$AL24)/52))*(1+$AO24))*1/$Q24</f>
        <v/>
      </c>
      <c r="BV24" s="78">
        <f>BS24/52/$N24</f>
        <v/>
      </c>
      <c r="BW24" s="78">
        <f>BT24/52/$N24</f>
        <v/>
      </c>
      <c r="BX24" s="78">
        <f>BU24/52/$N24</f>
        <v/>
      </c>
      <c r="BY24" s="78">
        <f>($AS24+($AS24*$K24)+($AS24*$T24)+($AS24*$W24)+($AS24*$Y24)+($AS24*$AC24)+($AS24*$AF24)+($AI24)+($AS24*((52+$AL24)/52))*(1+$AO24))*1/$Q24</f>
        <v/>
      </c>
      <c r="BZ24" s="78">
        <f>($AS24+($AS24*$K24)+($AS24*$T24)+($AS24*$W24)+($AS24*$Z24)+($AS24*$AC24)+($AS24*$AF24)+($AI24)+($AS24*((52+$AL24)/52))*(1+$AO24))*1/$Q24</f>
        <v/>
      </c>
      <c r="CA24" s="78">
        <f>($AS24+($AS24*$K24)+($AS24*$T24)+($AS24*$W24)+($AS24*$AA24)+($AS24*$AC24)+($AS24*$AF24)+($AI24)+($AS24*((52+$AL24)/52))*(1+$AO24))*1/$Q24</f>
        <v/>
      </c>
      <c r="CB24" s="78">
        <f>BY24/52/$N24</f>
        <v/>
      </c>
      <c r="CC24" s="78">
        <f>BZ24/52/$N24</f>
        <v/>
      </c>
      <c r="CD24" s="78">
        <f>CA24/52/$N24</f>
        <v/>
      </c>
      <c r="CE24" s="78">
        <f>($AS24+($AS24*$K24)+($AS24*$T24)+($AS24*$W24)+($AS24*$Z24)+($AS24*$AB24)+($AS24*$AF24)+($AI24)+($AS24*((52+$AL24)/52))*(1+$AO24))*1/$Q24</f>
        <v/>
      </c>
      <c r="CF24" s="78">
        <f>($AS24+($AS24*$K24)+($AS24*$T24)+($AS24*$W24)+($AS24*$Z24)+($AS24*$AC24)+($AS24*$AF24)+($AI24)+($AS24*((52+$AL24)/52))*(1+$AO24))*1/$Q24</f>
        <v/>
      </c>
      <c r="CG24" s="78">
        <f>($AS24+($AS24*$K24)+($AS24*$T24)+($AS24*$W24)+($AS24*$Z24)+($AS24*$AD24)+($AS24*$AF24)+($AI24)+($AS24*((52+$AL24)/52))*(1+$AO24))*1/$Q24</f>
        <v/>
      </c>
      <c r="CH24" s="78">
        <f>CE24/52/$N24</f>
        <v/>
      </c>
      <c r="CI24" s="78">
        <f>CF24/52/$N24</f>
        <v/>
      </c>
      <c r="CJ24" s="78">
        <f>CG24/52/$N24</f>
        <v/>
      </c>
      <c r="CK24" s="78">
        <f>($AS24+($AS24*$K24)+($AS24*$T24)+($AS24*$W24)+($AS24*$Z24)+($AS24*$AC24)+($AS24*$AE24)+($AI24)+($AS24*((52+$AL24)/52))*(1+$AO24))*1/$Q24</f>
        <v/>
      </c>
      <c r="CL24" s="78">
        <f>($AS24+($AS24*$K24)+($AS24*$T24)+($AS24*$W24)+($AS24*$Z24)+($AS24*$AC24)+($AS24*$AF24)+($AI24)+($AS24*((52+$AL24)/52))*(1+$AO24))*1/$Q24</f>
        <v/>
      </c>
      <c r="CM24" s="78">
        <f>($AS24+($AS24*$K24)+($AS24*$T24)+($AS24*$W24)+($AS24*$Z24)+($AS24*$AC24)+($AS24*$AG24)+($AI24)+($AS24*((52+$AL24)/52))*(1+$AO24))*1/$Q24</f>
        <v/>
      </c>
      <c r="CN24" s="78">
        <f>CK24/52/$N24</f>
        <v/>
      </c>
      <c r="CO24" s="78">
        <f>CL24/52/$N24</f>
        <v/>
      </c>
      <c r="CP24" s="78">
        <f>CM24/52/$N24</f>
        <v/>
      </c>
      <c r="CQ24" s="78">
        <f>($AS24+($AS24*$K24)+($AS24*$T24)+($AS24*$W24)+($AS24*$Z24)+($AS24*$AC24)+($AS24*$AF24)+($AH24)+($AS24*((52+$AL24)/52))*(1+$AO24))*1/$Q24</f>
        <v/>
      </c>
      <c r="CR24" s="78">
        <f>($AS24+($AS24*$K24)+($AS24*$T24)+($AS24*$W24)+($AS24*$Z24)+($AS24*$AC24)+($AS24*$AF24)+($AI24)+($AS24*((52+$AL24)/52))*(1+$AO24))*1/$Q24</f>
        <v/>
      </c>
      <c r="CS24" s="78">
        <f>($AS24+($AS24*$K24)+($AS24*$T24)+($AS24*$W24)+($AS24*$Z24)+($AS24*$AC24)+($AS24*$AF24)+($AJ24)+($AS24*((52+$AL24)/52))*(1+$AO24))*1/$Q24</f>
        <v/>
      </c>
      <c r="CT24" s="78">
        <f>CQ24/52/$N24</f>
        <v/>
      </c>
      <c r="CU24" s="78">
        <f>CR24/52/$N24</f>
        <v/>
      </c>
      <c r="CV24" s="78">
        <f>CS24/52/$N24</f>
        <v/>
      </c>
      <c r="CW24" s="78">
        <f>($AS24+($AS24*$K24)+($AS24*$T24)+($AS24*$W24)+($AS24*$Z24)+($AS24*$AC24)+($AS24*$AF24)+($AI24)+($AS24*((52+$AK24)/52))*(1+$AO24))*1/$Q24</f>
        <v/>
      </c>
      <c r="CX24" s="78">
        <f>($AS24+($AS24*$K24)+($AS24*$T24)+($AS24*$W24)+($AS24*$Z24)+($AS24*$AC24)+($AS24*$AF24)+($AI24)+($AS24*((52+$AL24)/52))*(1+$AO24))*1/$Q24</f>
        <v/>
      </c>
      <c r="CY24" s="78">
        <f>($AS24+($AS24*$K24)+($AS24*$T24)+($AS24*$W24)+($AS24*$Z24)+($AS24*$AC24)+($AS24*$AF24)+($AI24)+($AS24*((52+$AM24)/52))*(1+$AO24))*1/$Q24</f>
        <v/>
      </c>
      <c r="CZ24" s="78">
        <f>CW24/52/$N24</f>
        <v/>
      </c>
      <c r="DA24" s="78">
        <f>CX24/52/$N24</f>
        <v/>
      </c>
      <c r="DB24" s="78">
        <f>CY24/52/$N24</f>
        <v/>
      </c>
      <c r="DC24" s="78">
        <f>($AS24+($AS24*$K24)+($AS24*$T24)+($AS24*$W24)+($AS24*$Z24)+($AS24*$AC24)+($AS24*$AF24)+($AI24)+($AS24*((52+$AL24)/52))*(1+$AN24))*1/$Q24</f>
        <v/>
      </c>
      <c r="DD24" s="78">
        <f>($AS24+($AS24*$K24)+($AS24*$T24)+($AS24*$W24)+($AS24*$Z24)+($AS24*$AC24)+($AS24*$AF24)+($AI24)+($AS24*((52+$AL24)/52))*(1+$AO24))*1/$Q24</f>
        <v/>
      </c>
      <c r="DE24" s="78">
        <f>($AS24+($AS24*$K24)+($AS24*$T24)+($AS24*$W24)+($AS24*$Z24)+($AS24*$AC24)+($AS24*$AF24)+($AI24)+($AS24*((52+$AL24)/52))*(1+$AP24))*1/$Q24</f>
        <v/>
      </c>
      <c r="DF24" s="78">
        <f>DC24/52/$N24</f>
        <v/>
      </c>
      <c r="DG24" s="78">
        <f>DD24/52/$N24</f>
        <v/>
      </c>
      <c r="DH24" s="78">
        <f>DE24/52/$N24</f>
        <v/>
      </c>
    </row>
    <row r="25">
      <c r="A25" s="45" t="inlineStr">
        <is>
          <t>QLD</t>
        </is>
      </c>
      <c r="B25" s="46" t="inlineStr">
        <is>
          <t>Bioinformatics staff</t>
        </is>
      </c>
      <c r="C25" s="54" t="inlineStr">
        <is>
          <t>BI</t>
        </is>
      </c>
      <c r="D25" s="45" t="inlineStr">
        <is>
          <t>Hospital and Health Service General Employees (Queensland Health) Award - State 2015</t>
        </is>
      </c>
      <c r="I25" s="56" t="n">
        <v>2022</v>
      </c>
      <c r="J25" s="70" t="n">
        <v>0.105</v>
      </c>
      <c r="K25" s="57" t="n">
        <v>0.11</v>
      </c>
      <c r="L25" s="57" t="n">
        <v>0.1275</v>
      </c>
      <c r="M25" s="73" t="n">
        <v>36.3</v>
      </c>
      <c r="N25" s="73" t="n">
        <v>38</v>
      </c>
      <c r="O25" s="73" t="n">
        <v>40</v>
      </c>
      <c r="Q25" s="59" t="n">
        <v>1</v>
      </c>
      <c r="S25" s="59" t="n">
        <v>0</v>
      </c>
      <c r="T25" s="59" t="n">
        <v>0.1</v>
      </c>
      <c r="U25" s="59" t="n">
        <v>0.3</v>
      </c>
      <c r="V25" s="57" t="n">
        <v>0.0295</v>
      </c>
      <c r="W25" s="57" t="n">
        <v>0.035</v>
      </c>
      <c r="X25" s="57" t="n">
        <v>0.04</v>
      </c>
      <c r="Y25" s="59" t="n">
        <v>0</v>
      </c>
      <c r="Z25" s="60" t="n">
        <v>0</v>
      </c>
      <c r="AA25" s="60" t="n">
        <v>0.2</v>
      </c>
      <c r="AB25" s="57" t="n">
        <v>0</v>
      </c>
      <c r="AC25" s="57" t="n">
        <v>0</v>
      </c>
      <c r="AD25" s="57" t="n">
        <v>0</v>
      </c>
      <c r="AE25" s="59" t="n">
        <v>0.01</v>
      </c>
      <c r="AF25" s="59" t="n">
        <v>0.046</v>
      </c>
      <c r="AG25" s="59" t="n">
        <v>0.08</v>
      </c>
      <c r="AH25" s="59" t="n">
        <v>0</v>
      </c>
      <c r="AI25" s="64" t="n">
        <v>1826</v>
      </c>
      <c r="AJ25" s="64" t="n">
        <v>2000</v>
      </c>
      <c r="AK25" s="74" t="n">
        <v>0</v>
      </c>
      <c r="AL25" s="62" t="n">
        <v>4</v>
      </c>
      <c r="AM25" s="62" t="n">
        <v>5</v>
      </c>
      <c r="AN25" s="62" t="n">
        <v>0</v>
      </c>
      <c r="AO25" s="59" t="n">
        <v>0</v>
      </c>
      <c r="AP25" s="59" t="n">
        <v>0.2</v>
      </c>
      <c r="AQ25" s="59" t="n">
        <v>0.015</v>
      </c>
      <c r="AR25" s="65" t="n">
        <v>69031</v>
      </c>
      <c r="AS25" s="65">
        <f>AR25+((AT25-AR25)/2)</f>
        <v/>
      </c>
      <c r="AT25" s="65" t="n">
        <v>139576</v>
      </c>
      <c r="AU25" s="65">
        <f>(AR25+(AR25*$K25)+(AR25*$T25)+(AR25*$W25)+(AR25*$Z25)+(AR25*$AC25)+(AR25*$AF25)+($AI25)+(AR25*((52+$AL25)/52))*(1+$AO25))*1/$Q25</f>
        <v/>
      </c>
      <c r="AV25" s="65">
        <f>(AS25+(AS25*$K25)+(AS25*$T25)+(AS25*$W25)+(AS25*$Z25)+(AS25*$AC25)+(AS25*$AF25)+($AI25)+(AS25*((52+$AL25)/52))*(1+$AO25))*1/$Q25</f>
        <v/>
      </c>
      <c r="AW25" s="65">
        <f>(AT25+(AT25*$K25)+(AT25*$T25)+(AT25*$W25)+(AT25*$Z25)+(AT25*$AC25)+(AT25*$AF25)+($AI25)+(AT25*((52+$AL25)/52))*(1+$AO25))*1/$Q25</f>
        <v/>
      </c>
      <c r="AX25" s="65">
        <f>AU25/52/$N25</f>
        <v/>
      </c>
      <c r="AY25" s="65">
        <f>AV25/52/$N25</f>
        <v/>
      </c>
      <c r="AZ25" s="65">
        <f>AW25/52/$N25</f>
        <v/>
      </c>
      <c r="BA25" s="78">
        <f>($AS25+($AS25*$J25)+($AS25*$T25)+($AS25*$W25)+($AS25*$Z25)+($AS25*$AC25)+($AS25*$AF25)+($AI25)+($AS25*((52+$AL25)/52))*(1+$AO25))*1/$Q25</f>
        <v/>
      </c>
      <c r="BB25" s="78">
        <f>($AS25+($AS25*$K25)+($AS25*$T25)+($AS25*$W25)+($AS25*$Z25)+($AS25*$AC25)+($AS25*$AF25)+($AI25)+($AS25*((52+$AL25)/52))*(1+$AO25))*1/$Q25</f>
        <v/>
      </c>
      <c r="BC25" s="78">
        <f>($AS25+($AS25*$L25)+($AS25*$T25)+($AS25*$W25)+($AS25*$Z25)+($AS25*$AC25)+($AS25*$AF25)+($AI25)+($AS25*((52+$AL25)/52))*(1+$AO25))*1/$Q25</f>
        <v/>
      </c>
      <c r="BD25" s="78">
        <f>BA25/52/$N25</f>
        <v/>
      </c>
      <c r="BE25" s="78">
        <f>BB25/52/$N25</f>
        <v/>
      </c>
      <c r="BF25" s="78">
        <f>BC25/52/$N25</f>
        <v/>
      </c>
      <c r="BG25" s="78">
        <f>($AS25+($AS25*$K25)+($AS25*$T25)+($AS25*$W25)+($AS25*$Z25)+($AS25*$AC25)+($AS25*$AF25)+($AI25)+($AS25*((52+$AL25)/52))*(1+$AO25))*1/$Q25</f>
        <v/>
      </c>
      <c r="BH25" s="78">
        <f>($AS25+($AS25*$K25)+($AS25*$T25)+($AS25*$W25)+($AS25*$Z25)+($AS25*$AC25)+($AS25*$AF25)+($AI25)+($AS25*((52+$AL25)/52))*(1+$AO25))*1/$Q25</f>
        <v/>
      </c>
      <c r="BI25" s="78">
        <f>($AS25+($AS25*$K25)+($AS25*$T25)+($AS25*$W25)+($AS25*$Z25)+($AS25*$AC25)+($AS25*$AF25)+($AI25)+($AS25*((52+$AL25)/52))*(1+$AO25))*1/$Q25</f>
        <v/>
      </c>
      <c r="BJ25" s="78">
        <f>BG25/52/$O25</f>
        <v/>
      </c>
      <c r="BK25" s="78">
        <f>BH25/52/$N25</f>
        <v/>
      </c>
      <c r="BL25" s="78">
        <f>BI25/52/$M25</f>
        <v/>
      </c>
      <c r="BM25" s="78">
        <f>($AS25+($AS25*$K25)+($AS25*$S25)+($AS25*$W25)+($AS25*$Z25)+($AS25*$AC25)+($AS25*$AF25)+($AI25)+($AS25*((52+$AL25)/52))*(1+$AO25))*1/$Q25</f>
        <v/>
      </c>
      <c r="BN25" s="78">
        <f>($AS25+($AS25*$K25)+($AS25*$T25)+($AS25*$W25)+($AS25*$Z25)+($AS25*$AC25)+($AS25*$AF25)+($AI25)+($AS25*((52+$AL25)/52))*(1+$AO25))*1/$Q25</f>
        <v/>
      </c>
      <c r="BO25" s="78">
        <f>($AS25+($AS25*$K25)+($AS25*$U25)+($AS25*$W25)+($AS25*$Z25)+($AS25*$AC25)+($AS25*$AF25)+($AI25)+($AS25*((52+$AL25)/52))*(1+$AO25))*1/$Q25</f>
        <v/>
      </c>
      <c r="BP25" s="78">
        <f>BM25/52/$N25</f>
        <v/>
      </c>
      <c r="BQ25" s="78">
        <f>BN25/52/$N25</f>
        <v/>
      </c>
      <c r="BR25" s="78">
        <f>BO25/52/$N25</f>
        <v/>
      </c>
      <c r="BS25" s="78">
        <f>($AS25+($AS25*$K25)+($AS25*$T25)+($AS25*$V25)+($AS25*$Z25)+($AS25*$AC25)+($AS25*$AF25)+($AI25)+($AS25*((52+$AL25)/52))*(1+$AO25))*1/$Q25</f>
        <v/>
      </c>
      <c r="BT25" s="78">
        <f>($AS25+($AS25*$K25)+($AS25*$T25)+($AS25*$W25)+($AS25*$Z25)+($AS25*$AC25)+($AS25*$AF25)+($AI25)+($AS25*((52+$AL25)/52))*(1+$AO25))*1/$Q25</f>
        <v/>
      </c>
      <c r="BU25" s="78">
        <f>($AS25+($AS25*$K25)+($AS25*$T25)+($AS25*$X25)+($AS25*$Z25)+($AS25*$AC25)+($AS25*$AF25)+($AI25)+($AS25*((52+$AL25)/52))*(1+$AO25))*1/$Q25</f>
        <v/>
      </c>
      <c r="BV25" s="78">
        <f>BS25/52/$N25</f>
        <v/>
      </c>
      <c r="BW25" s="78">
        <f>BT25/52/$N25</f>
        <v/>
      </c>
      <c r="BX25" s="78">
        <f>BU25/52/$N25</f>
        <v/>
      </c>
      <c r="BY25" s="78">
        <f>($AS25+($AS25*$K25)+($AS25*$T25)+($AS25*$W25)+($AS25*$Y25)+($AS25*$AC25)+($AS25*$AF25)+($AI25)+($AS25*((52+$AL25)/52))*(1+$AO25))*1/$Q25</f>
        <v/>
      </c>
      <c r="BZ25" s="78">
        <f>($AS25+($AS25*$K25)+($AS25*$T25)+($AS25*$W25)+($AS25*$Z25)+($AS25*$AC25)+($AS25*$AF25)+($AI25)+($AS25*((52+$AL25)/52))*(1+$AO25))*1/$Q25</f>
        <v/>
      </c>
      <c r="CA25" s="78">
        <f>($AS25+($AS25*$K25)+($AS25*$T25)+($AS25*$W25)+($AS25*$AA25)+($AS25*$AC25)+($AS25*$AF25)+($AI25)+($AS25*((52+$AL25)/52))*(1+$AO25))*1/$Q25</f>
        <v/>
      </c>
      <c r="CB25" s="78">
        <f>BY25/52/$N25</f>
        <v/>
      </c>
      <c r="CC25" s="78">
        <f>BZ25/52/$N25</f>
        <v/>
      </c>
      <c r="CD25" s="78">
        <f>CA25/52/$N25</f>
        <v/>
      </c>
      <c r="CE25" s="78">
        <f>($AS25+($AS25*$K25)+($AS25*$T25)+($AS25*$W25)+($AS25*$Z25)+($AS25*$AB25)+($AS25*$AF25)+($AI25)+($AS25*((52+$AL25)/52))*(1+$AO25))*1/$Q25</f>
        <v/>
      </c>
      <c r="CF25" s="78">
        <f>($AS25+($AS25*$K25)+($AS25*$T25)+($AS25*$W25)+($AS25*$Z25)+($AS25*$AC25)+($AS25*$AF25)+($AI25)+($AS25*((52+$AL25)/52))*(1+$AO25))*1/$Q25</f>
        <v/>
      </c>
      <c r="CG25" s="78">
        <f>($AS25+($AS25*$K25)+($AS25*$T25)+($AS25*$W25)+($AS25*$Z25)+($AS25*$AD25)+($AS25*$AF25)+($AI25)+($AS25*((52+$AL25)/52))*(1+$AO25))*1/$Q25</f>
        <v/>
      </c>
      <c r="CH25" s="78">
        <f>CE25/52/$N25</f>
        <v/>
      </c>
      <c r="CI25" s="78">
        <f>CF25/52/$N25</f>
        <v/>
      </c>
      <c r="CJ25" s="78">
        <f>CG25/52/$N25</f>
        <v/>
      </c>
      <c r="CK25" s="78">
        <f>($AS25+($AS25*$K25)+($AS25*$T25)+($AS25*$W25)+($AS25*$Z25)+($AS25*$AC25)+($AS25*$AE25)+($AI25)+($AS25*((52+$AL25)/52))*(1+$AO25))*1/$Q25</f>
        <v/>
      </c>
      <c r="CL25" s="78">
        <f>($AS25+($AS25*$K25)+($AS25*$T25)+($AS25*$W25)+($AS25*$Z25)+($AS25*$AC25)+($AS25*$AF25)+($AI25)+($AS25*((52+$AL25)/52))*(1+$AO25))*1/$Q25</f>
        <v/>
      </c>
      <c r="CM25" s="78">
        <f>($AS25+($AS25*$K25)+($AS25*$T25)+($AS25*$W25)+($AS25*$Z25)+($AS25*$AC25)+($AS25*$AG25)+($AI25)+($AS25*((52+$AL25)/52))*(1+$AO25))*1/$Q25</f>
        <v/>
      </c>
      <c r="CN25" s="78">
        <f>CK25/52/$N25</f>
        <v/>
      </c>
      <c r="CO25" s="78">
        <f>CL25/52/$N25</f>
        <v/>
      </c>
      <c r="CP25" s="78">
        <f>CM25/52/$N25</f>
        <v/>
      </c>
      <c r="CQ25" s="78">
        <f>($AS25+($AS25*$K25)+($AS25*$T25)+($AS25*$W25)+($AS25*$Z25)+($AS25*$AC25)+($AS25*$AF25)+($AH25)+($AS25*((52+$AL25)/52))*(1+$AO25))*1/$Q25</f>
        <v/>
      </c>
      <c r="CR25" s="78">
        <f>($AS25+($AS25*$K25)+($AS25*$T25)+($AS25*$W25)+($AS25*$Z25)+($AS25*$AC25)+($AS25*$AF25)+($AI25)+($AS25*((52+$AL25)/52))*(1+$AO25))*1/$Q25</f>
        <v/>
      </c>
      <c r="CS25" s="78">
        <f>($AS25+($AS25*$K25)+($AS25*$T25)+($AS25*$W25)+($AS25*$Z25)+($AS25*$AC25)+($AS25*$AF25)+($AJ25)+($AS25*((52+$AL25)/52))*(1+$AO25))*1/$Q25</f>
        <v/>
      </c>
      <c r="CT25" s="78">
        <f>CQ25/52/$N25</f>
        <v/>
      </c>
      <c r="CU25" s="78">
        <f>CR25/52/$N25</f>
        <v/>
      </c>
      <c r="CV25" s="78">
        <f>CS25/52/$N25</f>
        <v/>
      </c>
      <c r="CW25" s="78">
        <f>($AS25+($AS25*$K25)+($AS25*$T25)+($AS25*$W25)+($AS25*$Z25)+($AS25*$AC25)+($AS25*$AF25)+($AI25)+($AS25*((52+$AK25)/52))*(1+$AO25))*1/$Q25</f>
        <v/>
      </c>
      <c r="CX25" s="78">
        <f>($AS25+($AS25*$K25)+($AS25*$T25)+($AS25*$W25)+($AS25*$Z25)+($AS25*$AC25)+($AS25*$AF25)+($AI25)+($AS25*((52+$AL25)/52))*(1+$AO25))*1/$Q25</f>
        <v/>
      </c>
      <c r="CY25" s="78">
        <f>($AS25+($AS25*$K25)+($AS25*$T25)+($AS25*$W25)+($AS25*$Z25)+($AS25*$AC25)+($AS25*$AF25)+($AI25)+($AS25*((52+$AM25)/52))*(1+$AO25))*1/$Q25</f>
        <v/>
      </c>
      <c r="CZ25" s="78">
        <f>CW25/52/$N25</f>
        <v/>
      </c>
      <c r="DA25" s="78">
        <f>CX25/52/$N25</f>
        <v/>
      </c>
      <c r="DB25" s="78">
        <f>CY25/52/$N25</f>
        <v/>
      </c>
      <c r="DC25" s="78">
        <f>($AS25+($AS25*$K25)+($AS25*$T25)+($AS25*$W25)+($AS25*$Z25)+($AS25*$AC25)+($AS25*$AF25)+($AI25)+($AS25*((52+$AL25)/52))*(1+$AN25))*1/$Q25</f>
        <v/>
      </c>
      <c r="DD25" s="78">
        <f>($AS25+($AS25*$K25)+($AS25*$T25)+($AS25*$W25)+($AS25*$Z25)+($AS25*$AC25)+($AS25*$AF25)+($AI25)+($AS25*((52+$AL25)/52))*(1+$AO25))*1/$Q25</f>
        <v/>
      </c>
      <c r="DE25" s="78">
        <f>($AS25+($AS25*$K25)+($AS25*$T25)+($AS25*$W25)+($AS25*$Z25)+($AS25*$AC25)+($AS25*$AF25)+($AI25)+($AS25*((52+$AL25)/52))*(1+$AP25))*1/$Q25</f>
        <v/>
      </c>
      <c r="DF25" s="78">
        <f>DC25/52/$N25</f>
        <v/>
      </c>
      <c r="DG25" s="78">
        <f>DD25/52/$N25</f>
        <v/>
      </c>
      <c r="DH25" s="78">
        <f>DE25/52/$N25</f>
        <v/>
      </c>
    </row>
    <row r="26">
      <c r="A26" s="45" t="inlineStr">
        <is>
          <t>QLD</t>
        </is>
      </c>
      <c r="B26" s="46" t="inlineStr">
        <is>
          <t>Pathologists</t>
        </is>
      </c>
      <c r="C26" s="54" t="inlineStr">
        <is>
          <t>MP</t>
        </is>
      </c>
      <c r="D26" s="45" t="inlineStr">
        <is>
          <t>MEDICAL OFFICERS (QUEENSLAND HEALTH) AWARD – STATE 2015</t>
        </is>
      </c>
      <c r="E26" s="55" t="inlineStr">
        <is>
          <t>L18-L27</t>
        </is>
      </c>
      <c r="H26" s="56" t="inlineStr">
        <is>
          <t>189406-262090</t>
        </is>
      </c>
      <c r="I26" s="56" t="n">
        <v>2022</v>
      </c>
      <c r="J26" s="70" t="n">
        <v>0.105</v>
      </c>
      <c r="K26" s="57" t="n">
        <v>0.11</v>
      </c>
      <c r="L26" s="57" t="n">
        <v>0.1275</v>
      </c>
      <c r="M26" s="73" t="n">
        <v>36.3</v>
      </c>
      <c r="N26" s="73" t="n">
        <v>38</v>
      </c>
      <c r="O26" s="73" t="n">
        <v>40</v>
      </c>
      <c r="Q26" s="59" t="n">
        <v>1</v>
      </c>
      <c r="S26" s="59" t="n">
        <v>0</v>
      </c>
      <c r="T26" s="59" t="n">
        <v>0</v>
      </c>
      <c r="U26" s="59" t="n">
        <v>0.3</v>
      </c>
      <c r="V26" s="57" t="n">
        <v>0.0295</v>
      </c>
      <c r="W26" s="57" t="n">
        <v>0.035</v>
      </c>
      <c r="X26" s="57" t="n">
        <v>0.04</v>
      </c>
      <c r="Y26" s="59" t="n">
        <v>0</v>
      </c>
      <c r="Z26" s="60" t="n">
        <v>0.1</v>
      </c>
      <c r="AA26" s="60" t="n">
        <v>0.2</v>
      </c>
      <c r="AB26" s="57" t="n">
        <v>0</v>
      </c>
      <c r="AC26" s="57" t="n">
        <v>0.5</v>
      </c>
      <c r="AD26" s="57" t="n">
        <v>0.6</v>
      </c>
      <c r="AE26" s="59" t="n">
        <v>0.01</v>
      </c>
      <c r="AF26" s="59" t="n">
        <v>0.046</v>
      </c>
      <c r="AG26" s="59" t="n">
        <v>0.08</v>
      </c>
      <c r="AH26" s="59" t="n">
        <v>0</v>
      </c>
      <c r="AI26" s="64" t="n">
        <v>21500</v>
      </c>
      <c r="AJ26" s="64" t="n">
        <v>21500</v>
      </c>
      <c r="AK26" s="74" t="n">
        <v>0</v>
      </c>
      <c r="AL26" s="62" t="n">
        <v>4</v>
      </c>
      <c r="AM26" s="62" t="n">
        <v>5</v>
      </c>
      <c r="AN26" s="62" t="n">
        <v>0</v>
      </c>
      <c r="AO26" s="59" t="n">
        <v>0</v>
      </c>
      <c r="AP26" s="59" t="n">
        <v>0.2</v>
      </c>
      <c r="AQ26" s="59" t="n">
        <v>0.015</v>
      </c>
      <c r="AR26" s="65" t="n">
        <v>189406</v>
      </c>
      <c r="AS26" s="65">
        <f>AR26+((AT26-AR26)/2)</f>
        <v/>
      </c>
      <c r="AT26" s="65" t="n">
        <v>262090</v>
      </c>
      <c r="AU26" s="65">
        <f>(AR26+(AR26*$K26)+(AR26*$T26)+(AR26*$W26)+(AR26*$Z26)+(AR26*$AC26)+(AR26*$AF26)+($AI26)+(AR26*((52+$AL26)/52))*(1+$AO26))*1/$Q26</f>
        <v/>
      </c>
      <c r="AV26" s="65">
        <f>(AS26+(AS26*$K26)+(AS26*$T26)+(AS26*$W26)+(AS26*$Z26)+(AS26*$AC26)+(AS26*$AF26)+($AI26)+(AS26*((52+$AL26)/52))*(1+$AO26))*1/$Q26</f>
        <v/>
      </c>
      <c r="AW26" s="65">
        <f>(AT26+(AT26*$K26)+(AT26*$T26)+(AT26*$W26)+(AT26*$Z26)+(AT26*$AC26)+(AT26*$AF26)+($AI26)+(AT26*((52+$AL26)/52))*(1+$AO26))*1/$Q26</f>
        <v/>
      </c>
      <c r="AX26" s="65">
        <f>AU26/52/$N26</f>
        <v/>
      </c>
      <c r="AY26" s="65">
        <f>AV26/52/$N26</f>
        <v/>
      </c>
      <c r="AZ26" s="65">
        <f>AW26/52/$N26</f>
        <v/>
      </c>
      <c r="BA26" s="78">
        <f>($AS26+($AS26*$J26)+($AS26*$T26)+($AS26*$W26)+($AS26*$Z26)+($AS26*$AC26)+($AS26*$AF26)+($AI26)+($AS26*((52+$AL26)/52))*(1+$AO26))*1/$Q26</f>
        <v/>
      </c>
      <c r="BB26" s="78">
        <f>($AS26+($AS26*$K26)+($AS26*$T26)+($AS26*$W26)+($AS26*$Z26)+($AS26*$AC26)+($AS26*$AF26)+($AI26)+($AS26*((52+$AL26)/52))*(1+$AO26))*1/$Q26</f>
        <v/>
      </c>
      <c r="BC26" s="78">
        <f>($AS26+($AS26*$L26)+($AS26*$T26)+($AS26*$W26)+($AS26*$Z26)+($AS26*$AC26)+($AS26*$AF26)+($AI26)+($AS26*((52+$AL26)/52))*(1+$AO26))*1/$Q26</f>
        <v/>
      </c>
      <c r="BD26" s="78">
        <f>BA26/52/$N26</f>
        <v/>
      </c>
      <c r="BE26" s="78">
        <f>BB26/52/$N26</f>
        <v/>
      </c>
      <c r="BF26" s="78">
        <f>BC26/52/$N26</f>
        <v/>
      </c>
      <c r="BG26" s="78">
        <f>($AS26+($AS26*$K26)+($AS26*$T26)+($AS26*$W26)+($AS26*$Z26)+($AS26*$AC26)+($AS26*$AF26)+($AI26)+($AS26*((52+$AL26)/52))*(1+$AO26))*1/$Q26</f>
        <v/>
      </c>
      <c r="BH26" s="78">
        <f>($AS26+($AS26*$K26)+($AS26*$T26)+($AS26*$W26)+($AS26*$Z26)+($AS26*$AC26)+($AS26*$AF26)+($AI26)+($AS26*((52+$AL26)/52))*(1+$AO26))*1/$Q26</f>
        <v/>
      </c>
      <c r="BI26" s="78">
        <f>($AS26+($AS26*$K26)+($AS26*$T26)+($AS26*$W26)+($AS26*$Z26)+($AS26*$AC26)+($AS26*$AF26)+($AI26)+($AS26*((52+$AL26)/52))*(1+$AO26))*1/$Q26</f>
        <v/>
      </c>
      <c r="BJ26" s="78">
        <f>BG26/52/$O26</f>
        <v/>
      </c>
      <c r="BK26" s="78">
        <f>BH26/52/$N26</f>
        <v/>
      </c>
      <c r="BL26" s="78">
        <f>BI26/52/$M26</f>
        <v/>
      </c>
      <c r="BM26" s="78">
        <f>($AS26+($AS26*$K26)+($AS26*$S26)+($AS26*$W26)+($AS26*$Z26)+($AS26*$AC26)+($AS26*$AF26)+($AI26)+($AS26*((52+$AL26)/52))*(1+$AO26))*1/$Q26</f>
        <v/>
      </c>
      <c r="BN26" s="78">
        <f>($AS26+($AS26*$K26)+($AS26*$T26)+($AS26*$W26)+($AS26*$Z26)+($AS26*$AC26)+($AS26*$AF26)+($AI26)+($AS26*((52+$AL26)/52))*(1+$AO26))*1/$Q26</f>
        <v/>
      </c>
      <c r="BO26" s="78">
        <f>($AS26+($AS26*$K26)+($AS26*$U26)+($AS26*$W26)+($AS26*$Z26)+($AS26*$AC26)+($AS26*$AF26)+($AI26)+($AS26*((52+$AL26)/52))*(1+$AO26))*1/$Q26</f>
        <v/>
      </c>
      <c r="BP26" s="78">
        <f>BM26/52/$N26</f>
        <v/>
      </c>
      <c r="BQ26" s="78">
        <f>BN26/52/$N26</f>
        <v/>
      </c>
      <c r="BR26" s="78">
        <f>BO26/52/$N26</f>
        <v/>
      </c>
      <c r="BS26" s="78">
        <f>($AS26+($AS26*$K26)+($AS26*$T26)+($AS26*$V26)+($AS26*$Z26)+($AS26*$AC26)+($AS26*$AF26)+($AI26)+($AS26*((52+$AL26)/52))*(1+$AO26))*1/$Q26</f>
        <v/>
      </c>
      <c r="BT26" s="78">
        <f>($AS26+($AS26*$K26)+($AS26*$T26)+($AS26*$W26)+($AS26*$Z26)+($AS26*$AC26)+($AS26*$AF26)+($AI26)+($AS26*((52+$AL26)/52))*(1+$AO26))*1/$Q26</f>
        <v/>
      </c>
      <c r="BU26" s="78">
        <f>($AS26+($AS26*$K26)+($AS26*$T26)+($AS26*$X26)+($AS26*$Z26)+($AS26*$AC26)+($AS26*$AF26)+($AI26)+($AS26*((52+$AL26)/52))*(1+$AO26))*1/$Q26</f>
        <v/>
      </c>
      <c r="BV26" s="78">
        <f>BS26/52/$N26</f>
        <v/>
      </c>
      <c r="BW26" s="78">
        <f>BT26/52/$N26</f>
        <v/>
      </c>
      <c r="BX26" s="78">
        <f>BU26/52/$N26</f>
        <v/>
      </c>
      <c r="BY26" s="78">
        <f>($AS26+($AS26*$K26)+($AS26*$T26)+($AS26*$W26)+($AS26*$Y26)+($AS26*$AC26)+($AS26*$AF26)+($AI26)+($AS26*((52+$AL26)/52))*(1+$AO26))*1/$Q26</f>
        <v/>
      </c>
      <c r="BZ26" s="78">
        <f>($AS26+($AS26*$K26)+($AS26*$T26)+($AS26*$W26)+($AS26*$Z26)+($AS26*$AC26)+($AS26*$AF26)+($AI26)+($AS26*((52+$AL26)/52))*(1+$AO26))*1/$Q26</f>
        <v/>
      </c>
      <c r="CA26" s="78">
        <f>($AS26+($AS26*$K26)+($AS26*$T26)+($AS26*$W26)+($AS26*$AA26)+($AS26*$AC26)+($AS26*$AF26)+($AI26)+($AS26*((52+$AL26)/52))*(1+$AO26))*1/$Q26</f>
        <v/>
      </c>
      <c r="CB26" s="78">
        <f>BY26/52/$N26</f>
        <v/>
      </c>
      <c r="CC26" s="78">
        <f>BZ26/52/$N26</f>
        <v/>
      </c>
      <c r="CD26" s="78">
        <f>CA26/52/$N26</f>
        <v/>
      </c>
      <c r="CE26" s="78">
        <f>($AS26+($AS26*$K26)+($AS26*$T26)+($AS26*$W26)+($AS26*$Z26)+($AS26*$AB26)+($AS26*$AF26)+($AI26)+($AS26*((52+$AL26)/52))*(1+$AO26))*1/$Q26</f>
        <v/>
      </c>
      <c r="CF26" s="78">
        <f>($AS26+($AS26*$K26)+($AS26*$T26)+($AS26*$W26)+($AS26*$Z26)+($AS26*$AC26)+($AS26*$AF26)+($AI26)+($AS26*((52+$AL26)/52))*(1+$AO26))*1/$Q26</f>
        <v/>
      </c>
      <c r="CG26" s="78">
        <f>($AS26+($AS26*$K26)+($AS26*$T26)+($AS26*$W26)+($AS26*$Z26)+($AS26*$AD26)+($AS26*$AF26)+($AI26)+($AS26*((52+$AL26)/52))*(1+$AO26))*1/$Q26</f>
        <v/>
      </c>
      <c r="CH26" s="78">
        <f>CE26/52/$N26</f>
        <v/>
      </c>
      <c r="CI26" s="78">
        <f>CF26/52/$N26</f>
        <v/>
      </c>
      <c r="CJ26" s="78">
        <f>CG26/52/$N26</f>
        <v/>
      </c>
      <c r="CK26" s="78">
        <f>($AS26+($AS26*$K26)+($AS26*$T26)+($AS26*$W26)+($AS26*$Z26)+($AS26*$AC26)+($AS26*$AE26)+($AI26)+($AS26*((52+$AL26)/52))*(1+$AO26))*1/$Q26</f>
        <v/>
      </c>
      <c r="CL26" s="78">
        <f>($AS26+($AS26*$K26)+($AS26*$T26)+($AS26*$W26)+($AS26*$Z26)+($AS26*$AC26)+($AS26*$AF26)+($AI26)+($AS26*((52+$AL26)/52))*(1+$AO26))*1/$Q26</f>
        <v/>
      </c>
      <c r="CM26" s="78">
        <f>($AS26+($AS26*$K26)+($AS26*$T26)+($AS26*$W26)+($AS26*$Z26)+($AS26*$AC26)+($AS26*$AG26)+($AI26)+($AS26*((52+$AL26)/52))*(1+$AO26))*1/$Q26</f>
        <v/>
      </c>
      <c r="CN26" s="78">
        <f>CK26/52/$N26</f>
        <v/>
      </c>
      <c r="CO26" s="78">
        <f>CL26/52/$N26</f>
        <v/>
      </c>
      <c r="CP26" s="78">
        <f>CM26/52/$N26</f>
        <v/>
      </c>
      <c r="CQ26" s="78">
        <f>($AS26+($AS26*$K26)+($AS26*$T26)+($AS26*$W26)+($AS26*$Z26)+($AS26*$AC26)+($AS26*$AF26)+($AH26)+($AS26*((52+$AL26)/52))*(1+$AO26))*1/$Q26</f>
        <v/>
      </c>
      <c r="CR26" s="78">
        <f>($AS26+($AS26*$K26)+($AS26*$T26)+($AS26*$W26)+($AS26*$Z26)+($AS26*$AC26)+($AS26*$AF26)+($AI26)+($AS26*((52+$AL26)/52))*(1+$AO26))*1/$Q26</f>
        <v/>
      </c>
      <c r="CS26" s="78">
        <f>($AS26+($AS26*$K26)+($AS26*$T26)+($AS26*$W26)+($AS26*$Z26)+($AS26*$AC26)+($AS26*$AF26)+($AJ26)+($AS26*((52+$AL26)/52))*(1+$AO26))*1/$Q26</f>
        <v/>
      </c>
      <c r="CT26" s="78">
        <f>CQ26/52/$N26</f>
        <v/>
      </c>
      <c r="CU26" s="78">
        <f>CR26/52/$N26</f>
        <v/>
      </c>
      <c r="CV26" s="78">
        <f>CS26/52/$N26</f>
        <v/>
      </c>
      <c r="CW26" s="78">
        <f>($AS26+($AS26*$K26)+($AS26*$T26)+($AS26*$W26)+($AS26*$Z26)+($AS26*$AC26)+($AS26*$AF26)+($AI26)+($AS26*((52+$AK26)/52))*(1+$AO26))*1/$Q26</f>
        <v/>
      </c>
      <c r="CX26" s="78">
        <f>($AS26+($AS26*$K26)+($AS26*$T26)+($AS26*$W26)+($AS26*$Z26)+($AS26*$AC26)+($AS26*$AF26)+($AI26)+($AS26*((52+$AL26)/52))*(1+$AO26))*1/$Q26</f>
        <v/>
      </c>
      <c r="CY26" s="78">
        <f>($AS26+($AS26*$K26)+($AS26*$T26)+($AS26*$W26)+($AS26*$Z26)+($AS26*$AC26)+($AS26*$AF26)+($AI26)+($AS26*((52+$AM26)/52))*(1+$AO26))*1/$Q26</f>
        <v/>
      </c>
      <c r="CZ26" s="78">
        <f>CW26/52/$N26</f>
        <v/>
      </c>
      <c r="DA26" s="78">
        <f>CX26/52/$N26</f>
        <v/>
      </c>
      <c r="DB26" s="78">
        <f>CY26/52/$N26</f>
        <v/>
      </c>
      <c r="DC26" s="78">
        <f>($AS26+($AS26*$K26)+($AS26*$T26)+($AS26*$W26)+($AS26*$Z26)+($AS26*$AC26)+($AS26*$AF26)+($AI26)+($AS26*((52+$AL26)/52))*(1+$AN26))*1/$Q26</f>
        <v/>
      </c>
      <c r="DD26" s="78">
        <f>($AS26+($AS26*$K26)+($AS26*$T26)+($AS26*$W26)+($AS26*$Z26)+($AS26*$AC26)+($AS26*$AF26)+($AI26)+($AS26*((52+$AL26)/52))*(1+$AO26))*1/$Q26</f>
        <v/>
      </c>
      <c r="DE26" s="78">
        <f>($AS26+($AS26*$K26)+($AS26*$T26)+($AS26*$W26)+($AS26*$Z26)+($AS26*$AC26)+($AS26*$AF26)+($AI26)+($AS26*((52+$AL26)/52))*(1+$AP26))*1/$Q26</f>
        <v/>
      </c>
      <c r="DF26" s="78">
        <f>DC26/52/$N26</f>
        <v/>
      </c>
      <c r="DG26" s="78">
        <f>DD26/52/$N26</f>
        <v/>
      </c>
      <c r="DH26" s="78">
        <f>DE26/52/$N26</f>
        <v/>
      </c>
    </row>
    <row r="27">
      <c r="J27" s="70" t="n"/>
      <c r="AI27" s="64" t="n"/>
      <c r="AJ27" s="64" t="n"/>
      <c r="AQ27" s="59" t="n"/>
      <c r="AR27" s="65" t="n"/>
      <c r="AS27" s="65" t="n"/>
      <c r="AT27" s="65" t="n"/>
      <c r="AU27" s="65" t="n"/>
      <c r="AV27" s="65" t="n"/>
      <c r="AW27" s="65" t="n"/>
      <c r="AX27" s="65" t="n"/>
      <c r="AY27" s="65" t="n"/>
      <c r="AZ27" s="65" t="n"/>
    </row>
    <row r="28">
      <c r="A28" s="45" t="inlineStr">
        <is>
          <t>WA</t>
        </is>
      </c>
      <c r="B28" s="46" t="inlineStr">
        <is>
          <t>Lab technician</t>
        </is>
      </c>
      <c r="C28" s="54" t="inlineStr">
        <is>
          <t>LT</t>
        </is>
      </c>
      <c r="D28" s="45" t="inlineStr">
        <is>
          <t xml:space="preserve">Health Salaried Officers Agreement </t>
        </is>
      </c>
      <c r="E28" s="55" t="inlineStr">
        <is>
          <t>G1-3</t>
        </is>
      </c>
      <c r="I28" s="56" t="n">
        <v>2022</v>
      </c>
      <c r="J28" s="70" t="n">
        <v>0.105</v>
      </c>
      <c r="K28" s="57" t="n">
        <v>0.11</v>
      </c>
      <c r="L28" s="57" t="n">
        <v>0.1275</v>
      </c>
      <c r="M28" s="73" t="n">
        <v>36.3</v>
      </c>
      <c r="N28" s="73" t="n">
        <v>38</v>
      </c>
      <c r="O28" s="73" t="n">
        <v>40</v>
      </c>
      <c r="Q28" s="59" t="n">
        <v>1</v>
      </c>
      <c r="S28" s="59" t="n">
        <v>0</v>
      </c>
      <c r="T28" s="59" t="n">
        <v>0.1</v>
      </c>
      <c r="U28" s="59" t="n">
        <v>0.3</v>
      </c>
      <c r="V28" s="57" t="n">
        <v>0.0295</v>
      </c>
      <c r="W28" s="57" t="n">
        <v>0.035</v>
      </c>
      <c r="X28" s="57" t="n">
        <v>0.04</v>
      </c>
      <c r="Y28" s="59" t="n">
        <v>0</v>
      </c>
      <c r="Z28" s="60" t="n">
        <v>0</v>
      </c>
      <c r="AA28" s="60" t="n">
        <v>0.2</v>
      </c>
      <c r="AB28" s="57" t="n">
        <v>0</v>
      </c>
      <c r="AC28" s="57" t="n">
        <v>0</v>
      </c>
      <c r="AD28" s="57" t="n">
        <v>0</v>
      </c>
      <c r="AE28" s="59" t="n">
        <v>0.01</v>
      </c>
      <c r="AF28" s="59" t="n">
        <v>0.046</v>
      </c>
      <c r="AG28" s="59" t="n">
        <v>0.08</v>
      </c>
      <c r="AH28" s="59" t="n">
        <v>0</v>
      </c>
      <c r="AI28" s="64" t="n">
        <v>0</v>
      </c>
      <c r="AJ28" s="64" t="n">
        <v>2000</v>
      </c>
      <c r="AK28" s="74" t="n">
        <v>0</v>
      </c>
      <c r="AL28" s="62" t="n">
        <v>4</v>
      </c>
      <c r="AM28" s="62" t="n">
        <v>5</v>
      </c>
      <c r="AN28" s="62" t="n">
        <v>0</v>
      </c>
      <c r="AO28" s="59" t="n">
        <v>0.2</v>
      </c>
      <c r="AP28" s="59" t="n">
        <v>0.2</v>
      </c>
      <c r="AQ28" s="59" t="n">
        <v>0.015</v>
      </c>
      <c r="AR28" s="65" t="n">
        <v>57579</v>
      </c>
      <c r="AS28" s="65">
        <f>AR28+((AT28-AR28)/2)</f>
        <v/>
      </c>
      <c r="AT28" s="65" t="n">
        <v>85157</v>
      </c>
      <c r="AU28" s="65">
        <f>(AR28+(AR28*$K28)+(AR28*$T28)+(AR28*$W28)+(AR28*$Z28)+(AR28*$AC28)+(AR28*$AF28)+($AI28)+(AR28*((52+$AL28)/52))*(1+$AO28))*1/$Q28</f>
        <v/>
      </c>
      <c r="AV28" s="65">
        <f>(AS28+(AS28*$K28)+(AS28*$T28)+(AS28*$W28)+(AS28*$Z28)+(AS28*$AC28)+(AS28*$AF28)+($AI28)+(AS28*((52+$AL28)/52))*(1+$AO28))*1/$Q28</f>
        <v/>
      </c>
      <c r="AW28" s="65">
        <f>(AT28+(AT28*$K28)+(AT28*$T28)+(AT28*$W28)+(AT28*$Z28)+(AT28*$AC28)+(AT28*$AF28)+($AI28)+(AT28*((52+$AL28)/52))*(1+$AO28))*1/$Q28</f>
        <v/>
      </c>
      <c r="AX28" s="65">
        <f>AU28/52/$N28</f>
        <v/>
      </c>
      <c r="AY28" s="65">
        <f>AV28/52/$N28</f>
        <v/>
      </c>
      <c r="AZ28" s="65">
        <f>AW28/52/$N28</f>
        <v/>
      </c>
      <c r="BA28" s="78">
        <f>($AS28+($AS28*$J28)+($AS28*$T28)+($AS28*$W28)+($AS28*$Z28)+($AS28*$AC28)+($AS28*$AF28)+($AI28)+($AS28*((52+$AL28)/52))*(1+$AO28))*1/$Q28</f>
        <v/>
      </c>
      <c r="BB28" s="78">
        <f>($AS28+($AS28*$K28)+($AS28*$T28)+($AS28*$W28)+($AS28*$Z28)+($AS28*$AC28)+($AS28*$AF28)+($AI28)+($AS28*((52+$AL28)/52))*(1+$AO28))*1/$Q28</f>
        <v/>
      </c>
      <c r="BC28" s="78">
        <f>($AS28+($AS28*$L28)+($AS28*$T28)+($AS28*$W28)+($AS28*$Z28)+($AS28*$AC28)+($AS28*$AF28)+($AI28)+($AS28*((52+$AL28)/52))*(1+$AO28))*1/$Q28</f>
        <v/>
      </c>
      <c r="BD28" s="78">
        <f>BA28/52/$N28</f>
        <v/>
      </c>
      <c r="BE28" s="78">
        <f>BB28/52/$N28</f>
        <v/>
      </c>
      <c r="BF28" s="78">
        <f>BC28/52/$N28</f>
        <v/>
      </c>
      <c r="BG28" s="78">
        <f>($AS28+($AS28*$K28)+($AS28*$T28)+($AS28*$W28)+($AS28*$Z28)+($AS28*$AC28)+($AS28*$AF28)+($AI28)+($AS28*((52+$AL28)/52))*(1+$AO28))*1/$Q28</f>
        <v/>
      </c>
      <c r="BH28" s="78">
        <f>($AS28+($AS28*$K28)+($AS28*$T28)+($AS28*$W28)+($AS28*$Z28)+($AS28*$AC28)+($AS28*$AF28)+($AI28)+($AS28*((52+$AL28)/52))*(1+$AO28))*1/$Q28</f>
        <v/>
      </c>
      <c r="BI28" s="78">
        <f>($AS28+($AS28*$K28)+($AS28*$T28)+($AS28*$W28)+($AS28*$Z28)+($AS28*$AC28)+($AS28*$AF28)+($AI28)+($AS28*((52+$AL28)/52))*(1+$AO28))*1/$Q28</f>
        <v/>
      </c>
      <c r="BJ28" s="78">
        <f>BG28/52/$O28</f>
        <v/>
      </c>
      <c r="BK28" s="78">
        <f>BH28/52/$N28</f>
        <v/>
      </c>
      <c r="BL28" s="78">
        <f>BI28/52/$M28</f>
        <v/>
      </c>
      <c r="BM28" s="78">
        <f>($AS28+($AS28*$K28)+($AS28*$S28)+($AS28*$W28)+($AS28*$Z28)+($AS28*$AC28)+($AS28*$AF28)+($AI28)+($AS28*((52+$AL28)/52))*(1+$AO28))*1/$Q28</f>
        <v/>
      </c>
      <c r="BN28" s="78">
        <f>($AS28+($AS28*$K28)+($AS28*$T28)+($AS28*$W28)+($AS28*$Z28)+($AS28*$AC28)+($AS28*$AF28)+($AI28)+($AS28*((52+$AL28)/52))*(1+$AO28))*1/$Q28</f>
        <v/>
      </c>
      <c r="BO28" s="78">
        <f>($AS28+($AS28*$K28)+($AS28*$U28)+($AS28*$W28)+($AS28*$Z28)+($AS28*$AC28)+($AS28*$AF28)+($AI28)+($AS28*((52+$AL28)/52))*(1+$AO28))*1/$Q28</f>
        <v/>
      </c>
      <c r="BP28" s="78">
        <f>BM28/52/$N28</f>
        <v/>
      </c>
      <c r="BQ28" s="78">
        <f>BN28/52/$N28</f>
        <v/>
      </c>
      <c r="BR28" s="78">
        <f>BO28/52/$N28</f>
        <v/>
      </c>
      <c r="BS28" s="78">
        <f>($AS28+($AS28*$K28)+($AS28*$T28)+($AS28*$V28)+($AS28*$Z28)+($AS28*$AC28)+($AS28*$AF28)+($AI28)+($AS28*((52+$AL28)/52))*(1+$AO28))*1/$Q28</f>
        <v/>
      </c>
      <c r="BT28" s="78">
        <f>($AS28+($AS28*$K28)+($AS28*$T28)+($AS28*$W28)+($AS28*$Z28)+($AS28*$AC28)+($AS28*$AF28)+($AI28)+($AS28*((52+$AL28)/52))*(1+$AO28))*1/$Q28</f>
        <v/>
      </c>
      <c r="BU28" s="78">
        <f>($AS28+($AS28*$K28)+($AS28*$T28)+($AS28*$X28)+($AS28*$Z28)+($AS28*$AC28)+($AS28*$AF28)+($AI28)+($AS28*((52+$AL28)/52))*(1+$AO28))*1/$Q28</f>
        <v/>
      </c>
      <c r="BV28" s="78">
        <f>BS28/52/$N28</f>
        <v/>
      </c>
      <c r="BW28" s="78">
        <f>BT28/52/$N28</f>
        <v/>
      </c>
      <c r="BX28" s="78">
        <f>BU28/52/$N28</f>
        <v/>
      </c>
      <c r="BY28" s="78">
        <f>($AS28+($AS28*$K28)+($AS28*$T28)+($AS28*$W28)+($AS28*$Y28)+($AS28*$AC28)+($AS28*$AF28)+($AI28)+($AS28*((52+$AL28)/52))*(1+$AO28))*1/$Q28</f>
        <v/>
      </c>
      <c r="BZ28" s="78">
        <f>($AS28+($AS28*$K28)+($AS28*$T28)+($AS28*$W28)+($AS28*$Z28)+($AS28*$AC28)+($AS28*$AF28)+($AI28)+($AS28*((52+$AL28)/52))*(1+$AO28))*1/$Q28</f>
        <v/>
      </c>
      <c r="CA28" s="78">
        <f>($AS28+($AS28*$K28)+($AS28*$T28)+($AS28*$W28)+($AS28*$AA28)+($AS28*$AC28)+($AS28*$AF28)+($AI28)+($AS28*((52+$AL28)/52))*(1+$AO28))*1/$Q28</f>
        <v/>
      </c>
      <c r="CB28" s="78">
        <f>BY28/52/$N28</f>
        <v/>
      </c>
      <c r="CC28" s="78">
        <f>BZ28/52/$N28</f>
        <v/>
      </c>
      <c r="CD28" s="78">
        <f>CA28/52/$N28</f>
        <v/>
      </c>
      <c r="CE28" s="78">
        <f>($AS28+($AS28*$K28)+($AS28*$T28)+($AS28*$W28)+($AS28*$Z28)+($AS28*$AB28)+($AS28*$AF28)+($AI28)+($AS28*((52+$AL28)/52))*(1+$AO28))*1/$Q28</f>
        <v/>
      </c>
      <c r="CF28" s="78">
        <f>($AS28+($AS28*$K28)+($AS28*$T28)+($AS28*$W28)+($AS28*$Z28)+($AS28*$AC28)+($AS28*$AF28)+($AI28)+($AS28*((52+$AL28)/52))*(1+$AO28))*1/$Q28</f>
        <v/>
      </c>
      <c r="CG28" s="78">
        <f>($AS28+($AS28*$K28)+($AS28*$T28)+($AS28*$W28)+($AS28*$Z28)+($AS28*$AD28)+($AS28*$AF28)+($AI28)+($AS28*((52+$AL28)/52))*(1+$AO28))*1/$Q28</f>
        <v/>
      </c>
      <c r="CH28" s="78">
        <f>CE28/52/$N28</f>
        <v/>
      </c>
      <c r="CI28" s="78">
        <f>CF28/52/$N28</f>
        <v/>
      </c>
      <c r="CJ28" s="78">
        <f>CG28/52/$N28</f>
        <v/>
      </c>
      <c r="CK28" s="78">
        <f>($AS28+($AS28*$K28)+($AS28*$T28)+($AS28*$W28)+($AS28*$Z28)+($AS28*$AC28)+($AS28*$AE28)+($AI28)+($AS28*((52+$AL28)/52))*(1+$AO28))*1/$Q28</f>
        <v/>
      </c>
      <c r="CL28" s="78">
        <f>($AS28+($AS28*$K28)+($AS28*$T28)+($AS28*$W28)+($AS28*$Z28)+($AS28*$AC28)+($AS28*$AF28)+($AI28)+($AS28*((52+$AL28)/52))*(1+$AO28))*1/$Q28</f>
        <v/>
      </c>
      <c r="CM28" s="78">
        <f>($AS28+($AS28*$K28)+($AS28*$T28)+($AS28*$W28)+($AS28*$Z28)+($AS28*$AC28)+($AS28*$AG28)+($AI28)+($AS28*((52+$AL28)/52))*(1+$AO28))*1/$Q28</f>
        <v/>
      </c>
      <c r="CN28" s="78">
        <f>CK28/52/$N28</f>
        <v/>
      </c>
      <c r="CO28" s="78">
        <f>CL28/52/$N28</f>
        <v/>
      </c>
      <c r="CP28" s="78">
        <f>CM28/52/$N28</f>
        <v/>
      </c>
      <c r="CQ28" s="78">
        <f>($AS28+($AS28*$K28)+($AS28*$T28)+($AS28*$W28)+($AS28*$Z28)+($AS28*$AC28)+($AS28*$AF28)+($AH28)+($AS28*((52+$AL28)/52))*(1+$AO28))*1/$Q28</f>
        <v/>
      </c>
      <c r="CR28" s="78">
        <f>($AS28+($AS28*$K28)+($AS28*$T28)+($AS28*$W28)+($AS28*$Z28)+($AS28*$AC28)+($AS28*$AF28)+($AI28)+($AS28*((52+$AL28)/52))*(1+$AO28))*1/$Q28</f>
        <v/>
      </c>
      <c r="CS28" s="78">
        <f>($AS28+($AS28*$K28)+($AS28*$T28)+($AS28*$W28)+($AS28*$Z28)+($AS28*$AC28)+($AS28*$AF28)+($AJ28)+($AS28*((52+$AL28)/52))*(1+$AO28))*1/$Q28</f>
        <v/>
      </c>
      <c r="CT28" s="78">
        <f>CQ28/52/$N28</f>
        <v/>
      </c>
      <c r="CU28" s="78">
        <f>CR28/52/$N28</f>
        <v/>
      </c>
      <c r="CV28" s="78">
        <f>CS28/52/$N28</f>
        <v/>
      </c>
      <c r="CW28" s="78">
        <f>($AS28+($AS28*$K28)+($AS28*$T28)+($AS28*$W28)+($AS28*$Z28)+($AS28*$AC28)+($AS28*$AF28)+($AI28)+($AS28*((52+$AK28)/52))*(1+$AO28))*1/$Q28</f>
        <v/>
      </c>
      <c r="CX28" s="78">
        <f>($AS28+($AS28*$K28)+($AS28*$T28)+($AS28*$W28)+($AS28*$Z28)+($AS28*$AC28)+($AS28*$AF28)+($AI28)+($AS28*((52+$AL28)/52))*(1+$AO28))*1/$Q28</f>
        <v/>
      </c>
      <c r="CY28" s="78">
        <f>($AS28+($AS28*$K28)+($AS28*$T28)+($AS28*$W28)+($AS28*$Z28)+($AS28*$AC28)+($AS28*$AF28)+($AI28)+($AS28*((52+$AM28)/52))*(1+$AO28))*1/$Q28</f>
        <v/>
      </c>
      <c r="CZ28" s="78">
        <f>CW28/52/$N28</f>
        <v/>
      </c>
      <c r="DA28" s="78">
        <f>CX28/52/$N28</f>
        <v/>
      </c>
      <c r="DB28" s="78">
        <f>CY28/52/$N28</f>
        <v/>
      </c>
      <c r="DC28" s="78">
        <f>($AS28+($AS28*$K28)+($AS28*$T28)+($AS28*$W28)+($AS28*$Z28)+($AS28*$AC28)+($AS28*$AF28)+($AI28)+($AS28*((52+$AL28)/52))*(1+$AN28))*1/$Q28</f>
        <v/>
      </c>
      <c r="DD28" s="78">
        <f>($AS28+($AS28*$K28)+($AS28*$T28)+($AS28*$W28)+($AS28*$Z28)+($AS28*$AC28)+($AS28*$AF28)+($AI28)+($AS28*((52+$AL28)/52))*(1+$AO28))*1/$Q28</f>
        <v/>
      </c>
      <c r="DE28" s="78">
        <f>($AS28+($AS28*$K28)+($AS28*$T28)+($AS28*$W28)+($AS28*$Z28)+($AS28*$AC28)+($AS28*$AF28)+($AI28)+($AS28*((52+$AL28)/52))*(1+$AP28))*1/$Q28</f>
        <v/>
      </c>
      <c r="DF28" s="78">
        <f>DC28/52/$N28</f>
        <v/>
      </c>
      <c r="DG28" s="78">
        <f>DD28/52/$N28</f>
        <v/>
      </c>
      <c r="DH28" s="78">
        <f>DE28/52/$N28</f>
        <v/>
      </c>
    </row>
    <row r="29">
      <c r="A29" s="45" t="inlineStr">
        <is>
          <t>WA</t>
        </is>
      </c>
      <c r="B29" s="46" t="inlineStr">
        <is>
          <t>Medical scientist</t>
        </is>
      </c>
      <c r="C29" s="54" t="inlineStr">
        <is>
          <t>MS</t>
        </is>
      </c>
      <c r="D29" s="45" t="inlineStr">
        <is>
          <t xml:space="preserve">Health Salaried Officers Agreement </t>
        </is>
      </c>
      <c r="E29" s="55" t="inlineStr">
        <is>
          <t>P1-5</t>
        </is>
      </c>
      <c r="I29" s="56" t="n">
        <v>2022</v>
      </c>
      <c r="J29" s="70" t="n">
        <v>0.105</v>
      </c>
      <c r="K29" s="57" t="n">
        <v>0.11</v>
      </c>
      <c r="L29" s="57" t="n">
        <v>0.1275</v>
      </c>
      <c r="M29" s="73" t="n">
        <v>36.3</v>
      </c>
      <c r="N29" s="73" t="n">
        <v>38</v>
      </c>
      <c r="O29" s="73" t="n">
        <v>40</v>
      </c>
      <c r="Q29" s="59" t="n">
        <v>1</v>
      </c>
      <c r="S29" s="59" t="n">
        <v>0</v>
      </c>
      <c r="T29" s="59" t="n">
        <v>0.1</v>
      </c>
      <c r="U29" s="59" t="n">
        <v>0.3</v>
      </c>
      <c r="V29" s="57" t="n">
        <v>0.0295</v>
      </c>
      <c r="W29" s="57" t="n">
        <v>0.035</v>
      </c>
      <c r="X29" s="57" t="n">
        <v>0.04</v>
      </c>
      <c r="Y29" s="59" t="n">
        <v>0</v>
      </c>
      <c r="Z29" s="60" t="n">
        <v>0</v>
      </c>
      <c r="AA29" s="60" t="n">
        <v>0.2</v>
      </c>
      <c r="AB29" s="57" t="n">
        <v>0</v>
      </c>
      <c r="AC29" s="57" t="n">
        <v>0</v>
      </c>
      <c r="AD29" s="57" t="n">
        <v>0</v>
      </c>
      <c r="AE29" s="59" t="n">
        <v>0.01</v>
      </c>
      <c r="AF29" s="59" t="n">
        <v>0.046</v>
      </c>
      <c r="AG29" s="59" t="n">
        <v>0.08</v>
      </c>
      <c r="AH29" s="59" t="n">
        <v>0</v>
      </c>
      <c r="AI29" s="64" t="n">
        <v>0</v>
      </c>
      <c r="AJ29" s="64" t="n">
        <v>2000</v>
      </c>
      <c r="AK29" s="74" t="n">
        <v>0</v>
      </c>
      <c r="AL29" s="62" t="n">
        <v>4</v>
      </c>
      <c r="AM29" s="62" t="n">
        <v>5</v>
      </c>
      <c r="AN29" s="62" t="n">
        <v>0</v>
      </c>
      <c r="AO29" s="59" t="n">
        <v>0.2</v>
      </c>
      <c r="AP29" s="59" t="n">
        <v>0.2</v>
      </c>
      <c r="AQ29" s="59" t="n">
        <v>0.015</v>
      </c>
      <c r="AR29" s="65" t="n">
        <v>77833</v>
      </c>
      <c r="AS29" s="65">
        <f>AR29+((AT29-AR29)/2)</f>
        <v/>
      </c>
      <c r="AT29" s="65" t="n">
        <v>140249</v>
      </c>
      <c r="AU29" s="65">
        <f>(AR29+(AR29*$K29)+(AR29*$T29)+(AR29*$W29)+(AR29*$Z29)+(AR29*$AC29)+(AR29*$AF29)+($AI29)+(AR29*((52+$AL29)/52))*(1+$AO29))*1/$Q29</f>
        <v/>
      </c>
      <c r="AV29" s="65">
        <f>(AS29+(AS29*$K29)+(AS29*$T29)+(AS29*$W29)+(AS29*$Z29)+(AS29*$AC29)+(AS29*$AF29)+($AI29)+(AS29*((52+$AL29)/52))*(1+$AO29))*1/$Q29</f>
        <v/>
      </c>
      <c r="AW29" s="65">
        <f>(AT29+(AT29*$K29)+(AT29*$T29)+(AT29*$W29)+(AT29*$Z29)+(AT29*$AC29)+(AT29*$AF29)+($AI29)+(AT29*((52+$AL29)/52))*(1+$AO29))*1/$Q29</f>
        <v/>
      </c>
      <c r="AX29" s="65">
        <f>AU29/52/$N29</f>
        <v/>
      </c>
      <c r="AY29" s="65">
        <f>AV29/52/$N29</f>
        <v/>
      </c>
      <c r="AZ29" s="65">
        <f>AW29/52/$N29</f>
        <v/>
      </c>
      <c r="BA29" s="78">
        <f>($AS29+($AS29*$J29)+($AS29*$T29)+($AS29*$W29)+($AS29*$Z29)+($AS29*$AC29)+($AS29*$AF29)+($AI29)+($AS29*((52+$AL29)/52))*(1+$AO29))*1/$Q29</f>
        <v/>
      </c>
      <c r="BB29" s="78">
        <f>($AS29+($AS29*$K29)+($AS29*$T29)+($AS29*$W29)+($AS29*$Z29)+($AS29*$AC29)+($AS29*$AF29)+($AI29)+($AS29*((52+$AL29)/52))*(1+$AO29))*1/$Q29</f>
        <v/>
      </c>
      <c r="BC29" s="78">
        <f>($AS29+($AS29*$L29)+($AS29*$T29)+($AS29*$W29)+($AS29*$Z29)+($AS29*$AC29)+($AS29*$AF29)+($AI29)+($AS29*((52+$AL29)/52))*(1+$AO29))*1/$Q29</f>
        <v/>
      </c>
      <c r="BD29" s="78">
        <f>BA29/52/$N29</f>
        <v/>
      </c>
      <c r="BE29" s="78">
        <f>BB29/52/$N29</f>
        <v/>
      </c>
      <c r="BF29" s="78">
        <f>BC29/52/$N29</f>
        <v/>
      </c>
      <c r="BG29" s="78">
        <f>($AS29+($AS29*$K29)+($AS29*$T29)+($AS29*$W29)+($AS29*$Z29)+($AS29*$AC29)+($AS29*$AF29)+($AI29)+($AS29*((52+$AL29)/52))*(1+$AO29))*1/$Q29</f>
        <v/>
      </c>
      <c r="BH29" s="78">
        <f>($AS29+($AS29*$K29)+($AS29*$T29)+($AS29*$W29)+($AS29*$Z29)+($AS29*$AC29)+($AS29*$AF29)+($AI29)+($AS29*((52+$AL29)/52))*(1+$AO29))*1/$Q29</f>
        <v/>
      </c>
      <c r="BI29" s="78">
        <f>($AS29+($AS29*$K29)+($AS29*$T29)+($AS29*$W29)+($AS29*$Z29)+($AS29*$AC29)+($AS29*$AF29)+($AI29)+($AS29*((52+$AL29)/52))*(1+$AO29))*1/$Q29</f>
        <v/>
      </c>
      <c r="BJ29" s="78">
        <f>BG29/52/$O29</f>
        <v/>
      </c>
      <c r="BK29" s="78">
        <f>BH29/52/$N29</f>
        <v/>
      </c>
      <c r="BL29" s="78">
        <f>BI29/52/$M29</f>
        <v/>
      </c>
      <c r="BM29" s="78">
        <f>($AS29+($AS29*$K29)+($AS29*$S29)+($AS29*$W29)+($AS29*$Z29)+($AS29*$AC29)+($AS29*$AF29)+($AI29)+($AS29*((52+$AL29)/52))*(1+$AO29))*1/$Q29</f>
        <v/>
      </c>
      <c r="BN29" s="78">
        <f>($AS29+($AS29*$K29)+($AS29*$T29)+($AS29*$W29)+($AS29*$Z29)+($AS29*$AC29)+($AS29*$AF29)+($AI29)+($AS29*((52+$AL29)/52))*(1+$AO29))*1/$Q29</f>
        <v/>
      </c>
      <c r="BO29" s="78">
        <f>($AS29+($AS29*$K29)+($AS29*$U29)+($AS29*$W29)+($AS29*$Z29)+($AS29*$AC29)+($AS29*$AF29)+($AI29)+($AS29*((52+$AL29)/52))*(1+$AO29))*1/$Q29</f>
        <v/>
      </c>
      <c r="BP29" s="78">
        <f>BM29/52/$N29</f>
        <v/>
      </c>
      <c r="BQ29" s="78">
        <f>BN29/52/$N29</f>
        <v/>
      </c>
      <c r="BR29" s="78">
        <f>BO29/52/$N29</f>
        <v/>
      </c>
      <c r="BS29" s="78">
        <f>($AS29+($AS29*$K29)+($AS29*$T29)+($AS29*$V29)+($AS29*$Z29)+($AS29*$AC29)+($AS29*$AF29)+($AI29)+($AS29*((52+$AL29)/52))*(1+$AO29))*1/$Q29</f>
        <v/>
      </c>
      <c r="BT29" s="78">
        <f>($AS29+($AS29*$K29)+($AS29*$T29)+($AS29*$W29)+($AS29*$Z29)+($AS29*$AC29)+($AS29*$AF29)+($AI29)+($AS29*((52+$AL29)/52))*(1+$AO29))*1/$Q29</f>
        <v/>
      </c>
      <c r="BU29" s="78">
        <f>($AS29+($AS29*$K29)+($AS29*$T29)+($AS29*$X29)+($AS29*$Z29)+($AS29*$AC29)+($AS29*$AF29)+($AI29)+($AS29*((52+$AL29)/52))*(1+$AO29))*1/$Q29</f>
        <v/>
      </c>
      <c r="BV29" s="78">
        <f>BS29/52/$N29</f>
        <v/>
      </c>
      <c r="BW29" s="78">
        <f>BT29/52/$N29</f>
        <v/>
      </c>
      <c r="BX29" s="78">
        <f>BU29/52/$N29</f>
        <v/>
      </c>
      <c r="BY29" s="78">
        <f>($AS29+($AS29*$K29)+($AS29*$T29)+($AS29*$W29)+($AS29*$Y29)+($AS29*$AC29)+($AS29*$AF29)+($AI29)+($AS29*((52+$AL29)/52))*(1+$AO29))*1/$Q29</f>
        <v/>
      </c>
      <c r="BZ29" s="78">
        <f>($AS29+($AS29*$K29)+($AS29*$T29)+($AS29*$W29)+($AS29*$Z29)+($AS29*$AC29)+($AS29*$AF29)+($AI29)+($AS29*((52+$AL29)/52))*(1+$AO29))*1/$Q29</f>
        <v/>
      </c>
      <c r="CA29" s="78">
        <f>($AS29+($AS29*$K29)+($AS29*$T29)+($AS29*$W29)+($AS29*$AA29)+($AS29*$AC29)+($AS29*$AF29)+($AI29)+($AS29*((52+$AL29)/52))*(1+$AO29))*1/$Q29</f>
        <v/>
      </c>
      <c r="CB29" s="78">
        <f>BY29/52/$N29</f>
        <v/>
      </c>
      <c r="CC29" s="78">
        <f>BZ29/52/$N29</f>
        <v/>
      </c>
      <c r="CD29" s="78">
        <f>CA29/52/$N29</f>
        <v/>
      </c>
      <c r="CE29" s="78">
        <f>($AS29+($AS29*$K29)+($AS29*$T29)+($AS29*$W29)+($AS29*$Z29)+($AS29*$AB29)+($AS29*$AF29)+($AI29)+($AS29*((52+$AL29)/52))*(1+$AO29))*1/$Q29</f>
        <v/>
      </c>
      <c r="CF29" s="78">
        <f>($AS29+($AS29*$K29)+($AS29*$T29)+($AS29*$W29)+($AS29*$Z29)+($AS29*$AC29)+($AS29*$AF29)+($AI29)+($AS29*((52+$AL29)/52))*(1+$AO29))*1/$Q29</f>
        <v/>
      </c>
      <c r="CG29" s="78">
        <f>($AS29+($AS29*$K29)+($AS29*$T29)+($AS29*$W29)+($AS29*$Z29)+($AS29*$AD29)+($AS29*$AF29)+($AI29)+($AS29*((52+$AL29)/52))*(1+$AO29))*1/$Q29</f>
        <v/>
      </c>
      <c r="CH29" s="78">
        <f>CE29/52/$N29</f>
        <v/>
      </c>
      <c r="CI29" s="78">
        <f>CF29/52/$N29</f>
        <v/>
      </c>
      <c r="CJ29" s="78">
        <f>CG29/52/$N29</f>
        <v/>
      </c>
      <c r="CK29" s="78">
        <f>($AS29+($AS29*$K29)+($AS29*$T29)+($AS29*$W29)+($AS29*$Z29)+($AS29*$AC29)+($AS29*$AE29)+($AI29)+($AS29*((52+$AL29)/52))*(1+$AO29))*1/$Q29</f>
        <v/>
      </c>
      <c r="CL29" s="78">
        <f>($AS29+($AS29*$K29)+($AS29*$T29)+($AS29*$W29)+($AS29*$Z29)+($AS29*$AC29)+($AS29*$AF29)+($AI29)+($AS29*((52+$AL29)/52))*(1+$AO29))*1/$Q29</f>
        <v/>
      </c>
      <c r="CM29" s="78">
        <f>($AS29+($AS29*$K29)+($AS29*$T29)+($AS29*$W29)+($AS29*$Z29)+($AS29*$AC29)+($AS29*$AG29)+($AI29)+($AS29*((52+$AL29)/52))*(1+$AO29))*1/$Q29</f>
        <v/>
      </c>
      <c r="CN29" s="78">
        <f>CK29/52/$N29</f>
        <v/>
      </c>
      <c r="CO29" s="78">
        <f>CL29/52/$N29</f>
        <v/>
      </c>
      <c r="CP29" s="78">
        <f>CM29/52/$N29</f>
        <v/>
      </c>
      <c r="CQ29" s="78">
        <f>($AS29+($AS29*$K29)+($AS29*$T29)+($AS29*$W29)+($AS29*$Z29)+($AS29*$AC29)+($AS29*$AF29)+($AH29)+($AS29*((52+$AL29)/52))*(1+$AO29))*1/$Q29</f>
        <v/>
      </c>
      <c r="CR29" s="78">
        <f>($AS29+($AS29*$K29)+($AS29*$T29)+($AS29*$W29)+($AS29*$Z29)+($AS29*$AC29)+($AS29*$AF29)+($AI29)+($AS29*((52+$AL29)/52))*(1+$AO29))*1/$Q29</f>
        <v/>
      </c>
      <c r="CS29" s="78">
        <f>($AS29+($AS29*$K29)+($AS29*$T29)+($AS29*$W29)+($AS29*$Z29)+($AS29*$AC29)+($AS29*$AF29)+($AJ29)+($AS29*((52+$AL29)/52))*(1+$AO29))*1/$Q29</f>
        <v/>
      </c>
      <c r="CT29" s="78">
        <f>CQ29/52/$N29</f>
        <v/>
      </c>
      <c r="CU29" s="78">
        <f>CR29/52/$N29</f>
        <v/>
      </c>
      <c r="CV29" s="78">
        <f>CS29/52/$N29</f>
        <v/>
      </c>
      <c r="CW29" s="78">
        <f>($AS29+($AS29*$K29)+($AS29*$T29)+($AS29*$W29)+($AS29*$Z29)+($AS29*$AC29)+($AS29*$AF29)+($AI29)+($AS29*((52+$AK29)/52))*(1+$AO29))*1/$Q29</f>
        <v/>
      </c>
      <c r="CX29" s="78">
        <f>($AS29+($AS29*$K29)+($AS29*$T29)+($AS29*$W29)+($AS29*$Z29)+($AS29*$AC29)+($AS29*$AF29)+($AI29)+($AS29*((52+$AL29)/52))*(1+$AO29))*1/$Q29</f>
        <v/>
      </c>
      <c r="CY29" s="78">
        <f>($AS29+($AS29*$K29)+($AS29*$T29)+($AS29*$W29)+($AS29*$Z29)+($AS29*$AC29)+($AS29*$AF29)+($AI29)+($AS29*((52+$AM29)/52))*(1+$AO29))*1/$Q29</f>
        <v/>
      </c>
      <c r="CZ29" s="78">
        <f>CW29/52/$N29</f>
        <v/>
      </c>
      <c r="DA29" s="78">
        <f>CX29/52/$N29</f>
        <v/>
      </c>
      <c r="DB29" s="78">
        <f>CY29/52/$N29</f>
        <v/>
      </c>
      <c r="DC29" s="78">
        <f>($AS29+($AS29*$K29)+($AS29*$T29)+($AS29*$W29)+($AS29*$Z29)+($AS29*$AC29)+($AS29*$AF29)+($AI29)+($AS29*((52+$AL29)/52))*(1+$AN29))*1/$Q29</f>
        <v/>
      </c>
      <c r="DD29" s="78">
        <f>($AS29+($AS29*$K29)+($AS29*$T29)+($AS29*$W29)+($AS29*$Z29)+($AS29*$AC29)+($AS29*$AF29)+($AI29)+($AS29*((52+$AL29)/52))*(1+$AO29))*1/$Q29</f>
        <v/>
      </c>
      <c r="DE29" s="78">
        <f>($AS29+($AS29*$K29)+($AS29*$T29)+($AS29*$W29)+($AS29*$Z29)+($AS29*$AC29)+($AS29*$AF29)+($AI29)+($AS29*((52+$AL29)/52))*(1+$AP29))*1/$Q29</f>
        <v/>
      </c>
      <c r="DF29" s="78">
        <f>DC29/52/$N29</f>
        <v/>
      </c>
      <c r="DG29" s="78">
        <f>DD29/52/$N29</f>
        <v/>
      </c>
      <c r="DH29" s="78">
        <f>DE29/52/$N29</f>
        <v/>
      </c>
    </row>
    <row r="30">
      <c r="A30" s="45" t="inlineStr">
        <is>
          <t>WA</t>
        </is>
      </c>
      <c r="B30" s="46" t="inlineStr">
        <is>
          <t>Admin staff</t>
        </is>
      </c>
      <c r="C30" s="54" t="inlineStr">
        <is>
          <t>AS</t>
        </is>
      </c>
      <c r="D30" s="45" t="inlineStr">
        <is>
          <t xml:space="preserve">Health Salaried Officers Agreement </t>
        </is>
      </c>
      <c r="E30" s="55" t="inlineStr">
        <is>
          <t>G1-2</t>
        </is>
      </c>
      <c r="I30" s="56" t="n">
        <v>2022</v>
      </c>
      <c r="J30" s="70" t="n">
        <v>0.105</v>
      </c>
      <c r="K30" s="57" t="n">
        <v>0.11</v>
      </c>
      <c r="L30" s="57" t="n">
        <v>0.1275</v>
      </c>
      <c r="M30" s="73" t="n">
        <v>36.3</v>
      </c>
      <c r="N30" s="73" t="n">
        <v>38</v>
      </c>
      <c r="O30" s="73" t="n">
        <v>40</v>
      </c>
      <c r="Q30" s="59" t="n">
        <v>1</v>
      </c>
      <c r="S30" s="59" t="n">
        <v>0</v>
      </c>
      <c r="T30" s="59" t="n">
        <v>0.1</v>
      </c>
      <c r="U30" s="59" t="n">
        <v>0.3</v>
      </c>
      <c r="V30" s="57" t="n">
        <v>0.0295</v>
      </c>
      <c r="W30" s="57" t="n">
        <v>0.035</v>
      </c>
      <c r="X30" s="57" t="n">
        <v>0.04</v>
      </c>
      <c r="Y30" s="59" t="n">
        <v>0</v>
      </c>
      <c r="Z30" s="60" t="n">
        <v>0</v>
      </c>
      <c r="AA30" s="60" t="n">
        <v>0.2</v>
      </c>
      <c r="AB30" s="57" t="n">
        <v>0</v>
      </c>
      <c r="AC30" s="57" t="n">
        <v>0</v>
      </c>
      <c r="AD30" s="57" t="n">
        <v>0</v>
      </c>
      <c r="AE30" s="59" t="n">
        <v>0.01</v>
      </c>
      <c r="AF30" s="59" t="n">
        <v>0.046</v>
      </c>
      <c r="AG30" s="59" t="n">
        <v>0.08</v>
      </c>
      <c r="AH30" s="59" t="n">
        <v>0</v>
      </c>
      <c r="AI30" s="64" t="n">
        <v>0</v>
      </c>
      <c r="AJ30" s="64" t="n">
        <v>2000</v>
      </c>
      <c r="AK30" s="74" t="n">
        <v>0</v>
      </c>
      <c r="AL30" s="62" t="n">
        <v>4</v>
      </c>
      <c r="AM30" s="62" t="n">
        <v>5</v>
      </c>
      <c r="AN30" s="62" t="n">
        <v>0</v>
      </c>
      <c r="AO30" s="59" t="n">
        <v>0.2</v>
      </c>
      <c r="AP30" s="59" t="n">
        <v>0.2</v>
      </c>
      <c r="AQ30" s="59" t="n">
        <v>0.015</v>
      </c>
      <c r="AR30" s="65" t="n">
        <v>57579</v>
      </c>
      <c r="AS30" s="65">
        <f>AR30+((AT30-AR30)/2)</f>
        <v/>
      </c>
      <c r="AT30" s="65" t="n">
        <v>69049</v>
      </c>
      <c r="AU30" s="65">
        <f>(AR30+(AR30*$K30)+(AR30*$T30)+(AR30*$W30)+(AR30*$Z30)+(AR30*$AC30)+(AR30*$AF30)+($AI30)+(AR30*((52+$AL30)/52))*(1+$AO30))*1/$Q30</f>
        <v/>
      </c>
      <c r="AV30" s="65">
        <f>(AS30+(AS30*$K30)+(AS30*$T30)+(AS30*$W30)+(AS30*$Z30)+(AS30*$AC30)+(AS30*$AF30)+($AI30)+(AS30*((52+$AL30)/52))*(1+$AO30))*1/$Q30</f>
        <v/>
      </c>
      <c r="AW30" s="65">
        <f>(AT30+(AT30*$K30)+(AT30*$T30)+(AT30*$W30)+(AT30*$Z30)+(AT30*$AC30)+(AT30*$AF30)+($AI30)+(AT30*((52+$AL30)/52))*(1+$AO30))*1/$Q30</f>
        <v/>
      </c>
      <c r="AX30" s="65">
        <f>AU30/52/$N30</f>
        <v/>
      </c>
      <c r="AY30" s="65">
        <f>AV30/52/$N30</f>
        <v/>
      </c>
      <c r="AZ30" s="65">
        <f>AW30/52/$N30</f>
        <v/>
      </c>
      <c r="BA30" s="78">
        <f>($AS30+($AS30*$J30)+($AS30*$T30)+($AS30*$W30)+($AS30*$Z30)+($AS30*$AC30)+($AS30*$AF30)+($AI30)+($AS30*((52+$AL30)/52))*(1+$AO30))*1/$Q30</f>
        <v/>
      </c>
      <c r="BB30" s="78">
        <f>($AS30+($AS30*$K30)+($AS30*$T30)+($AS30*$W30)+($AS30*$Z30)+($AS30*$AC30)+($AS30*$AF30)+($AI30)+($AS30*((52+$AL30)/52))*(1+$AO30))*1/$Q30</f>
        <v/>
      </c>
      <c r="BC30" s="78">
        <f>($AS30+($AS30*$L30)+($AS30*$T30)+($AS30*$W30)+($AS30*$Z30)+($AS30*$AC30)+($AS30*$AF30)+($AI30)+($AS30*((52+$AL30)/52))*(1+$AO30))*1/$Q30</f>
        <v/>
      </c>
      <c r="BD30" s="78">
        <f>BA30/52/$N30</f>
        <v/>
      </c>
      <c r="BE30" s="78">
        <f>BB30/52/$N30</f>
        <v/>
      </c>
      <c r="BF30" s="78">
        <f>BC30/52/$N30</f>
        <v/>
      </c>
      <c r="BG30" s="78">
        <f>($AS30+($AS30*$K30)+($AS30*$T30)+($AS30*$W30)+($AS30*$Z30)+($AS30*$AC30)+($AS30*$AF30)+($AI30)+($AS30*((52+$AL30)/52))*(1+$AO30))*1/$Q30</f>
        <v/>
      </c>
      <c r="BH30" s="78">
        <f>($AS30+($AS30*$K30)+($AS30*$T30)+($AS30*$W30)+($AS30*$Z30)+($AS30*$AC30)+($AS30*$AF30)+($AI30)+($AS30*((52+$AL30)/52))*(1+$AO30))*1/$Q30</f>
        <v/>
      </c>
      <c r="BI30" s="78">
        <f>($AS30+($AS30*$K30)+($AS30*$T30)+($AS30*$W30)+($AS30*$Z30)+($AS30*$AC30)+($AS30*$AF30)+($AI30)+($AS30*((52+$AL30)/52))*(1+$AO30))*1/$Q30</f>
        <v/>
      </c>
      <c r="BJ30" s="78">
        <f>BG30/52/$O30</f>
        <v/>
      </c>
      <c r="BK30" s="78">
        <f>BH30/52/$N30</f>
        <v/>
      </c>
      <c r="BL30" s="78">
        <f>BI30/52/$M30</f>
        <v/>
      </c>
      <c r="BM30" s="78">
        <f>($AS30+($AS30*$K30)+($AS30*$S30)+($AS30*$W30)+($AS30*$Z30)+($AS30*$AC30)+($AS30*$AF30)+($AI30)+($AS30*((52+$AL30)/52))*(1+$AO30))*1/$Q30</f>
        <v/>
      </c>
      <c r="BN30" s="78">
        <f>($AS30+($AS30*$K30)+($AS30*$T30)+($AS30*$W30)+($AS30*$Z30)+($AS30*$AC30)+($AS30*$AF30)+($AI30)+($AS30*((52+$AL30)/52))*(1+$AO30))*1/$Q30</f>
        <v/>
      </c>
      <c r="BO30" s="78">
        <f>($AS30+($AS30*$K30)+($AS30*$U30)+($AS30*$W30)+($AS30*$Z30)+($AS30*$AC30)+($AS30*$AF30)+($AI30)+($AS30*((52+$AL30)/52))*(1+$AO30))*1/$Q30</f>
        <v/>
      </c>
      <c r="BP30" s="78">
        <f>BM30/52/$N30</f>
        <v/>
      </c>
      <c r="BQ30" s="78">
        <f>BN30/52/$N30</f>
        <v/>
      </c>
      <c r="BR30" s="78">
        <f>BO30/52/$N30</f>
        <v/>
      </c>
      <c r="BS30" s="78">
        <f>($AS30+($AS30*$K30)+($AS30*$T30)+($AS30*$V30)+($AS30*$Z30)+($AS30*$AC30)+($AS30*$AF30)+($AI30)+($AS30*((52+$AL30)/52))*(1+$AO30))*1/$Q30</f>
        <v/>
      </c>
      <c r="BT30" s="78">
        <f>($AS30+($AS30*$K30)+($AS30*$T30)+($AS30*$W30)+($AS30*$Z30)+($AS30*$AC30)+($AS30*$AF30)+($AI30)+($AS30*((52+$AL30)/52))*(1+$AO30))*1/$Q30</f>
        <v/>
      </c>
      <c r="BU30" s="78">
        <f>($AS30+($AS30*$K30)+($AS30*$T30)+($AS30*$X30)+($AS30*$Z30)+($AS30*$AC30)+($AS30*$AF30)+($AI30)+($AS30*((52+$AL30)/52))*(1+$AO30))*1/$Q30</f>
        <v/>
      </c>
      <c r="BV30" s="78">
        <f>BS30/52/$N30</f>
        <v/>
      </c>
      <c r="BW30" s="78">
        <f>BT30/52/$N30</f>
        <v/>
      </c>
      <c r="BX30" s="78">
        <f>BU30/52/$N30</f>
        <v/>
      </c>
      <c r="BY30" s="78">
        <f>($AS30+($AS30*$K30)+($AS30*$T30)+($AS30*$W30)+($AS30*$Y30)+($AS30*$AC30)+($AS30*$AF30)+($AI30)+($AS30*((52+$AL30)/52))*(1+$AO30))*1/$Q30</f>
        <v/>
      </c>
      <c r="BZ30" s="78">
        <f>($AS30+($AS30*$K30)+($AS30*$T30)+($AS30*$W30)+($AS30*$Z30)+($AS30*$AC30)+($AS30*$AF30)+($AI30)+($AS30*((52+$AL30)/52))*(1+$AO30))*1/$Q30</f>
        <v/>
      </c>
      <c r="CA30" s="78">
        <f>($AS30+($AS30*$K30)+($AS30*$T30)+($AS30*$W30)+($AS30*$AA30)+($AS30*$AC30)+($AS30*$AF30)+($AI30)+($AS30*((52+$AL30)/52))*(1+$AO30))*1/$Q30</f>
        <v/>
      </c>
      <c r="CB30" s="78">
        <f>BY30/52/$N30</f>
        <v/>
      </c>
      <c r="CC30" s="78">
        <f>BZ30/52/$N30</f>
        <v/>
      </c>
      <c r="CD30" s="78">
        <f>CA30/52/$N30</f>
        <v/>
      </c>
      <c r="CE30" s="78">
        <f>($AS30+($AS30*$K30)+($AS30*$T30)+($AS30*$W30)+($AS30*$Z30)+($AS30*$AB30)+($AS30*$AF30)+($AI30)+($AS30*((52+$AL30)/52))*(1+$AO30))*1/$Q30</f>
        <v/>
      </c>
      <c r="CF30" s="78">
        <f>($AS30+($AS30*$K30)+($AS30*$T30)+($AS30*$W30)+($AS30*$Z30)+($AS30*$AC30)+($AS30*$AF30)+($AI30)+($AS30*((52+$AL30)/52))*(1+$AO30))*1/$Q30</f>
        <v/>
      </c>
      <c r="CG30" s="78">
        <f>($AS30+($AS30*$K30)+($AS30*$T30)+($AS30*$W30)+($AS30*$Z30)+($AS30*$AD30)+($AS30*$AF30)+($AI30)+($AS30*((52+$AL30)/52))*(1+$AO30))*1/$Q30</f>
        <v/>
      </c>
      <c r="CH30" s="78">
        <f>CE30/52/$N30</f>
        <v/>
      </c>
      <c r="CI30" s="78">
        <f>CF30/52/$N30</f>
        <v/>
      </c>
      <c r="CJ30" s="78">
        <f>CG30/52/$N30</f>
        <v/>
      </c>
      <c r="CK30" s="78">
        <f>($AS30+($AS30*$K30)+($AS30*$T30)+($AS30*$W30)+($AS30*$Z30)+($AS30*$AC30)+($AS30*$AE30)+($AI30)+($AS30*((52+$AL30)/52))*(1+$AO30))*1/$Q30</f>
        <v/>
      </c>
      <c r="CL30" s="78">
        <f>($AS30+($AS30*$K30)+($AS30*$T30)+($AS30*$W30)+($AS30*$Z30)+($AS30*$AC30)+($AS30*$AF30)+($AI30)+($AS30*((52+$AL30)/52))*(1+$AO30))*1/$Q30</f>
        <v/>
      </c>
      <c r="CM30" s="78">
        <f>($AS30+($AS30*$K30)+($AS30*$T30)+($AS30*$W30)+($AS30*$Z30)+($AS30*$AC30)+($AS30*$AG30)+($AI30)+($AS30*((52+$AL30)/52))*(1+$AO30))*1/$Q30</f>
        <v/>
      </c>
      <c r="CN30" s="78">
        <f>CK30/52/$N30</f>
        <v/>
      </c>
      <c r="CO30" s="78">
        <f>CL30/52/$N30</f>
        <v/>
      </c>
      <c r="CP30" s="78">
        <f>CM30/52/$N30</f>
        <v/>
      </c>
      <c r="CQ30" s="78">
        <f>($AS30+($AS30*$K30)+($AS30*$T30)+($AS30*$W30)+($AS30*$Z30)+($AS30*$AC30)+($AS30*$AF30)+($AH30)+($AS30*((52+$AL30)/52))*(1+$AO30))*1/$Q30</f>
        <v/>
      </c>
      <c r="CR30" s="78">
        <f>($AS30+($AS30*$K30)+($AS30*$T30)+($AS30*$W30)+($AS30*$Z30)+($AS30*$AC30)+($AS30*$AF30)+($AI30)+($AS30*((52+$AL30)/52))*(1+$AO30))*1/$Q30</f>
        <v/>
      </c>
      <c r="CS30" s="78">
        <f>($AS30+($AS30*$K30)+($AS30*$T30)+($AS30*$W30)+($AS30*$Z30)+($AS30*$AC30)+($AS30*$AF30)+($AJ30)+($AS30*((52+$AL30)/52))*(1+$AO30))*1/$Q30</f>
        <v/>
      </c>
      <c r="CT30" s="78">
        <f>CQ30/52/$N30</f>
        <v/>
      </c>
      <c r="CU30" s="78">
        <f>CR30/52/$N30</f>
        <v/>
      </c>
      <c r="CV30" s="78">
        <f>CS30/52/$N30</f>
        <v/>
      </c>
      <c r="CW30" s="78">
        <f>($AS30+($AS30*$K30)+($AS30*$T30)+($AS30*$W30)+($AS30*$Z30)+($AS30*$AC30)+($AS30*$AF30)+($AI30)+($AS30*((52+$AK30)/52))*(1+$AO30))*1/$Q30</f>
        <v/>
      </c>
      <c r="CX30" s="78">
        <f>($AS30+($AS30*$K30)+($AS30*$T30)+($AS30*$W30)+($AS30*$Z30)+($AS30*$AC30)+($AS30*$AF30)+($AI30)+($AS30*((52+$AL30)/52))*(1+$AO30))*1/$Q30</f>
        <v/>
      </c>
      <c r="CY30" s="78">
        <f>($AS30+($AS30*$K30)+($AS30*$T30)+($AS30*$W30)+($AS30*$Z30)+($AS30*$AC30)+($AS30*$AF30)+($AI30)+($AS30*((52+$AM30)/52))*(1+$AO30))*1/$Q30</f>
        <v/>
      </c>
      <c r="CZ30" s="78">
        <f>CW30/52/$N30</f>
        <v/>
      </c>
      <c r="DA30" s="78">
        <f>CX30/52/$N30</f>
        <v/>
      </c>
      <c r="DB30" s="78">
        <f>CY30/52/$N30</f>
        <v/>
      </c>
      <c r="DC30" s="78">
        <f>($AS30+($AS30*$K30)+($AS30*$T30)+($AS30*$W30)+($AS30*$Z30)+($AS30*$AC30)+($AS30*$AF30)+($AI30)+($AS30*((52+$AL30)/52))*(1+$AN30))*1/$Q30</f>
        <v/>
      </c>
      <c r="DD30" s="78">
        <f>($AS30+($AS30*$K30)+($AS30*$T30)+($AS30*$W30)+($AS30*$Z30)+($AS30*$AC30)+($AS30*$AF30)+($AI30)+($AS30*((52+$AL30)/52))*(1+$AO30))*1/$Q30</f>
        <v/>
      </c>
      <c r="DE30" s="78">
        <f>($AS30+($AS30*$K30)+($AS30*$T30)+($AS30*$W30)+($AS30*$Z30)+($AS30*$AC30)+($AS30*$AF30)+($AI30)+($AS30*((52+$AL30)/52))*(1+$AP30))*1/$Q30</f>
        <v/>
      </c>
      <c r="DF30" s="78">
        <f>DC30/52/$N30</f>
        <v/>
      </c>
      <c r="DG30" s="78">
        <f>DD30/52/$N30</f>
        <v/>
      </c>
      <c r="DH30" s="78">
        <f>DE30/52/$N30</f>
        <v/>
      </c>
    </row>
    <row r="31">
      <c r="A31" s="45" t="inlineStr">
        <is>
          <t>WA</t>
        </is>
      </c>
      <c r="B31" s="46" t="inlineStr">
        <is>
          <t>Bioinformatics staff</t>
        </is>
      </c>
      <c r="C31" s="54" t="inlineStr">
        <is>
          <t>BI</t>
        </is>
      </c>
      <c r="D31" s="45" t="inlineStr">
        <is>
          <t xml:space="preserve">Health Salaried Officers Agreement </t>
        </is>
      </c>
      <c r="E31" s="55" t="inlineStr">
        <is>
          <t>G4-5</t>
        </is>
      </c>
      <c r="I31" s="56" t="n">
        <v>2022</v>
      </c>
      <c r="J31" s="70" t="n">
        <v>0.105</v>
      </c>
      <c r="K31" s="57" t="n">
        <v>0.11</v>
      </c>
      <c r="L31" s="57" t="n">
        <v>0.1275</v>
      </c>
      <c r="M31" s="73" t="n">
        <v>36.3</v>
      </c>
      <c r="N31" s="73" t="n">
        <v>38</v>
      </c>
      <c r="O31" s="73" t="n">
        <v>40</v>
      </c>
      <c r="Q31" s="59" t="n">
        <v>1</v>
      </c>
      <c r="S31" s="59" t="n">
        <v>0</v>
      </c>
      <c r="T31" s="59" t="n">
        <v>0.1</v>
      </c>
      <c r="U31" s="59" t="n">
        <v>0.3</v>
      </c>
      <c r="V31" s="57" t="n">
        <v>0.0295</v>
      </c>
      <c r="W31" s="57" t="n">
        <v>0.035</v>
      </c>
      <c r="X31" s="57" t="n">
        <v>0.04</v>
      </c>
      <c r="Y31" s="59" t="n">
        <v>0</v>
      </c>
      <c r="Z31" s="60" t="n">
        <v>0</v>
      </c>
      <c r="AA31" s="60" t="n">
        <v>0.2</v>
      </c>
      <c r="AB31" s="57" t="n">
        <v>0</v>
      </c>
      <c r="AC31" s="57" t="n">
        <v>0</v>
      </c>
      <c r="AD31" s="57" t="n">
        <v>0</v>
      </c>
      <c r="AE31" s="59" t="n">
        <v>0.01</v>
      </c>
      <c r="AF31" s="59" t="n">
        <v>0.046</v>
      </c>
      <c r="AG31" s="59" t="n">
        <v>0.08</v>
      </c>
      <c r="AH31" s="59" t="n">
        <v>0</v>
      </c>
      <c r="AI31" s="64" t="n">
        <v>0</v>
      </c>
      <c r="AJ31" s="64" t="n">
        <v>2000</v>
      </c>
      <c r="AK31" s="74" t="n">
        <v>0</v>
      </c>
      <c r="AL31" s="62" t="n">
        <v>4</v>
      </c>
      <c r="AM31" s="62" t="n">
        <v>5</v>
      </c>
      <c r="AN31" s="62" t="n">
        <v>0</v>
      </c>
      <c r="AO31" s="59" t="n">
        <v>0.2</v>
      </c>
      <c r="AP31" s="59" t="n">
        <v>0.2</v>
      </c>
      <c r="AQ31" s="59" t="n">
        <v>0.015</v>
      </c>
      <c r="AR31" s="65" t="n">
        <v>79898</v>
      </c>
      <c r="AS31" s="65">
        <f>AR31+((AT31-AR31)/2)</f>
        <v/>
      </c>
      <c r="AT31" s="65" t="n">
        <v>93664</v>
      </c>
      <c r="AU31" s="65">
        <f>(AR31+(AR31*$K31)+(AR31*$T31)+(AR31*$W31)+(AR31*$Z31)+(AR31*$AC31)+(AR31*$AF31)+($AI31)+(AR31*((52+$AL31)/52))*(1+$AO31))*1/$Q31</f>
        <v/>
      </c>
      <c r="AV31" s="65">
        <f>(AS31+(AS31*$K31)+(AS31*$T31)+(AS31*$W31)+(AS31*$Z31)+(AS31*$AC31)+(AS31*$AF31)+($AI31)+(AS31*((52+$AL31)/52))*(1+$AO31))*1/$Q31</f>
        <v/>
      </c>
      <c r="AW31" s="65">
        <f>(AT31+(AT31*$K31)+(AT31*$T31)+(AT31*$W31)+(AT31*$Z31)+(AT31*$AC31)+(AT31*$AF31)+($AI31)+(AT31*((52+$AL31)/52))*(1+$AO31))*1/$Q31</f>
        <v/>
      </c>
      <c r="AX31" s="65">
        <f>AU31/52/$N31</f>
        <v/>
      </c>
      <c r="AY31" s="65">
        <f>AV31/52/$N31</f>
        <v/>
      </c>
      <c r="AZ31" s="65">
        <f>AW31/52/$N31</f>
        <v/>
      </c>
      <c r="BA31" s="78">
        <f>($AS31+($AS31*$J31)+($AS31*$T31)+($AS31*$W31)+($AS31*$Z31)+($AS31*$AC31)+($AS31*$AF31)+($AI31)+($AS31*((52+$AL31)/52))*(1+$AO31))*1/$Q31</f>
        <v/>
      </c>
      <c r="BB31" s="78">
        <f>($AS31+($AS31*$K31)+($AS31*$T31)+($AS31*$W31)+($AS31*$Z31)+($AS31*$AC31)+($AS31*$AF31)+($AI31)+($AS31*((52+$AL31)/52))*(1+$AO31))*1/$Q31</f>
        <v/>
      </c>
      <c r="BC31" s="78">
        <f>($AS31+($AS31*$L31)+($AS31*$T31)+($AS31*$W31)+($AS31*$Z31)+($AS31*$AC31)+($AS31*$AF31)+($AI31)+($AS31*((52+$AL31)/52))*(1+$AO31))*1/$Q31</f>
        <v/>
      </c>
      <c r="BD31" s="78">
        <f>BA31/52/$N31</f>
        <v/>
      </c>
      <c r="BE31" s="78">
        <f>BB31/52/$N31</f>
        <v/>
      </c>
      <c r="BF31" s="78">
        <f>BC31/52/$N31</f>
        <v/>
      </c>
      <c r="BG31" s="78">
        <f>($AS31+($AS31*$K31)+($AS31*$T31)+($AS31*$W31)+($AS31*$Z31)+($AS31*$AC31)+($AS31*$AF31)+($AI31)+($AS31*((52+$AL31)/52))*(1+$AO31))*1/$Q31</f>
        <v/>
      </c>
      <c r="BH31" s="78">
        <f>($AS31+($AS31*$K31)+($AS31*$T31)+($AS31*$W31)+($AS31*$Z31)+($AS31*$AC31)+($AS31*$AF31)+($AI31)+($AS31*((52+$AL31)/52))*(1+$AO31))*1/$Q31</f>
        <v/>
      </c>
      <c r="BI31" s="78">
        <f>($AS31+($AS31*$K31)+($AS31*$T31)+($AS31*$W31)+($AS31*$Z31)+($AS31*$AC31)+($AS31*$AF31)+($AI31)+($AS31*((52+$AL31)/52))*(1+$AO31))*1/$Q31</f>
        <v/>
      </c>
      <c r="BJ31" s="78">
        <f>BG31/52/$O31</f>
        <v/>
      </c>
      <c r="BK31" s="78">
        <f>BH31/52/$N31</f>
        <v/>
      </c>
      <c r="BL31" s="78">
        <f>BI31/52/$M31</f>
        <v/>
      </c>
      <c r="BM31" s="78">
        <f>($AS31+($AS31*$K31)+($AS31*$S31)+($AS31*$W31)+($AS31*$Z31)+($AS31*$AC31)+($AS31*$AF31)+($AI31)+($AS31*((52+$AL31)/52))*(1+$AO31))*1/$Q31</f>
        <v/>
      </c>
      <c r="BN31" s="78">
        <f>($AS31+($AS31*$K31)+($AS31*$T31)+($AS31*$W31)+($AS31*$Z31)+($AS31*$AC31)+($AS31*$AF31)+($AI31)+($AS31*((52+$AL31)/52))*(1+$AO31))*1/$Q31</f>
        <v/>
      </c>
      <c r="BO31" s="78">
        <f>($AS31+($AS31*$K31)+($AS31*$U31)+($AS31*$W31)+($AS31*$Z31)+($AS31*$AC31)+($AS31*$AF31)+($AI31)+($AS31*((52+$AL31)/52))*(1+$AO31))*1/$Q31</f>
        <v/>
      </c>
      <c r="BP31" s="78">
        <f>BM31/52/$N31</f>
        <v/>
      </c>
      <c r="BQ31" s="78">
        <f>BN31/52/$N31</f>
        <v/>
      </c>
      <c r="BR31" s="78">
        <f>BO31/52/$N31</f>
        <v/>
      </c>
      <c r="BS31" s="78">
        <f>($AS31+($AS31*$K31)+($AS31*$T31)+($AS31*$V31)+($AS31*$Z31)+($AS31*$AC31)+($AS31*$AF31)+($AI31)+($AS31*((52+$AL31)/52))*(1+$AO31))*1/$Q31</f>
        <v/>
      </c>
      <c r="BT31" s="78">
        <f>($AS31+($AS31*$K31)+($AS31*$T31)+($AS31*$W31)+($AS31*$Z31)+($AS31*$AC31)+($AS31*$AF31)+($AI31)+($AS31*((52+$AL31)/52))*(1+$AO31))*1/$Q31</f>
        <v/>
      </c>
      <c r="BU31" s="78">
        <f>($AS31+($AS31*$K31)+($AS31*$T31)+($AS31*$X31)+($AS31*$Z31)+($AS31*$AC31)+($AS31*$AF31)+($AI31)+($AS31*((52+$AL31)/52))*(1+$AO31))*1/$Q31</f>
        <v/>
      </c>
      <c r="BV31" s="78">
        <f>BS31/52/$N31</f>
        <v/>
      </c>
      <c r="BW31" s="78">
        <f>BT31/52/$N31</f>
        <v/>
      </c>
      <c r="BX31" s="78">
        <f>BU31/52/$N31</f>
        <v/>
      </c>
      <c r="BY31" s="78">
        <f>($AS31+($AS31*$K31)+($AS31*$T31)+($AS31*$W31)+($AS31*$Y31)+($AS31*$AC31)+($AS31*$AF31)+($AI31)+($AS31*((52+$AL31)/52))*(1+$AO31))*1/$Q31</f>
        <v/>
      </c>
      <c r="BZ31" s="78">
        <f>($AS31+($AS31*$K31)+($AS31*$T31)+($AS31*$W31)+($AS31*$Z31)+($AS31*$AC31)+($AS31*$AF31)+($AI31)+($AS31*((52+$AL31)/52))*(1+$AO31))*1/$Q31</f>
        <v/>
      </c>
      <c r="CA31" s="78">
        <f>($AS31+($AS31*$K31)+($AS31*$T31)+($AS31*$W31)+($AS31*$AA31)+($AS31*$AC31)+($AS31*$AF31)+($AI31)+($AS31*((52+$AL31)/52))*(1+$AO31))*1/$Q31</f>
        <v/>
      </c>
      <c r="CB31" s="78">
        <f>BY31/52/$N31</f>
        <v/>
      </c>
      <c r="CC31" s="78">
        <f>BZ31/52/$N31</f>
        <v/>
      </c>
      <c r="CD31" s="78">
        <f>CA31/52/$N31</f>
        <v/>
      </c>
      <c r="CE31" s="78">
        <f>($AS31+($AS31*$K31)+($AS31*$T31)+($AS31*$W31)+($AS31*$Z31)+($AS31*$AB31)+($AS31*$AF31)+($AI31)+($AS31*((52+$AL31)/52))*(1+$AO31))*1/$Q31</f>
        <v/>
      </c>
      <c r="CF31" s="78">
        <f>($AS31+($AS31*$K31)+($AS31*$T31)+($AS31*$W31)+($AS31*$Z31)+($AS31*$AC31)+($AS31*$AF31)+($AI31)+($AS31*((52+$AL31)/52))*(1+$AO31))*1/$Q31</f>
        <v/>
      </c>
      <c r="CG31" s="78">
        <f>($AS31+($AS31*$K31)+($AS31*$T31)+($AS31*$W31)+($AS31*$Z31)+($AS31*$AD31)+($AS31*$AF31)+($AI31)+($AS31*((52+$AL31)/52))*(1+$AO31))*1/$Q31</f>
        <v/>
      </c>
      <c r="CH31" s="78">
        <f>CE31/52/$N31</f>
        <v/>
      </c>
      <c r="CI31" s="78">
        <f>CF31/52/$N31</f>
        <v/>
      </c>
      <c r="CJ31" s="78">
        <f>CG31/52/$N31</f>
        <v/>
      </c>
      <c r="CK31" s="78">
        <f>($AS31+($AS31*$K31)+($AS31*$T31)+($AS31*$W31)+($AS31*$Z31)+($AS31*$AC31)+($AS31*$AE31)+($AI31)+($AS31*((52+$AL31)/52))*(1+$AO31))*1/$Q31</f>
        <v/>
      </c>
      <c r="CL31" s="78">
        <f>($AS31+($AS31*$K31)+($AS31*$T31)+($AS31*$W31)+($AS31*$Z31)+($AS31*$AC31)+($AS31*$AF31)+($AI31)+($AS31*((52+$AL31)/52))*(1+$AO31))*1/$Q31</f>
        <v/>
      </c>
      <c r="CM31" s="78">
        <f>($AS31+($AS31*$K31)+($AS31*$T31)+($AS31*$W31)+($AS31*$Z31)+($AS31*$AC31)+($AS31*$AG31)+($AI31)+($AS31*((52+$AL31)/52))*(1+$AO31))*1/$Q31</f>
        <v/>
      </c>
      <c r="CN31" s="78">
        <f>CK31/52/$N31</f>
        <v/>
      </c>
      <c r="CO31" s="78">
        <f>CL31/52/$N31</f>
        <v/>
      </c>
      <c r="CP31" s="78">
        <f>CM31/52/$N31</f>
        <v/>
      </c>
      <c r="CQ31" s="78">
        <f>($AS31+($AS31*$K31)+($AS31*$T31)+($AS31*$W31)+($AS31*$Z31)+($AS31*$AC31)+($AS31*$AF31)+($AH31)+($AS31*((52+$AL31)/52))*(1+$AO31))*1/$Q31</f>
        <v/>
      </c>
      <c r="CR31" s="78">
        <f>($AS31+($AS31*$K31)+($AS31*$T31)+($AS31*$W31)+($AS31*$Z31)+($AS31*$AC31)+($AS31*$AF31)+($AI31)+($AS31*((52+$AL31)/52))*(1+$AO31))*1/$Q31</f>
        <v/>
      </c>
      <c r="CS31" s="78">
        <f>($AS31+($AS31*$K31)+($AS31*$T31)+($AS31*$W31)+($AS31*$Z31)+($AS31*$AC31)+($AS31*$AF31)+($AJ31)+($AS31*((52+$AL31)/52))*(1+$AO31))*1/$Q31</f>
        <v/>
      </c>
      <c r="CT31" s="78">
        <f>CQ31/52/$N31</f>
        <v/>
      </c>
      <c r="CU31" s="78">
        <f>CR31/52/$N31</f>
        <v/>
      </c>
      <c r="CV31" s="78">
        <f>CS31/52/$N31</f>
        <v/>
      </c>
      <c r="CW31" s="78">
        <f>($AS31+($AS31*$K31)+($AS31*$T31)+($AS31*$W31)+($AS31*$Z31)+($AS31*$AC31)+($AS31*$AF31)+($AI31)+($AS31*((52+$AK31)/52))*(1+$AO31))*1/$Q31</f>
        <v/>
      </c>
      <c r="CX31" s="78">
        <f>($AS31+($AS31*$K31)+($AS31*$T31)+($AS31*$W31)+($AS31*$Z31)+($AS31*$AC31)+($AS31*$AF31)+($AI31)+($AS31*((52+$AL31)/52))*(1+$AO31))*1/$Q31</f>
        <v/>
      </c>
      <c r="CY31" s="78">
        <f>($AS31+($AS31*$K31)+($AS31*$T31)+($AS31*$W31)+($AS31*$Z31)+($AS31*$AC31)+($AS31*$AF31)+($AI31)+($AS31*((52+$AM31)/52))*(1+$AO31))*1/$Q31</f>
        <v/>
      </c>
      <c r="CZ31" s="78">
        <f>CW31/52/$N31</f>
        <v/>
      </c>
      <c r="DA31" s="78">
        <f>CX31/52/$N31</f>
        <v/>
      </c>
      <c r="DB31" s="78">
        <f>CY31/52/$N31</f>
        <v/>
      </c>
      <c r="DC31" s="78">
        <f>($AS31+($AS31*$K31)+($AS31*$T31)+($AS31*$W31)+($AS31*$Z31)+($AS31*$AC31)+($AS31*$AF31)+($AI31)+($AS31*((52+$AL31)/52))*(1+$AN31))*1/$Q31</f>
        <v/>
      </c>
      <c r="DD31" s="78">
        <f>($AS31+($AS31*$K31)+($AS31*$T31)+($AS31*$W31)+($AS31*$Z31)+($AS31*$AC31)+($AS31*$AF31)+($AI31)+($AS31*((52+$AL31)/52))*(1+$AO31))*1/$Q31</f>
        <v/>
      </c>
      <c r="DE31" s="78">
        <f>($AS31+($AS31*$K31)+($AS31*$T31)+($AS31*$W31)+($AS31*$Z31)+($AS31*$AC31)+($AS31*$AF31)+($AI31)+($AS31*((52+$AL31)/52))*(1+$AP31))*1/$Q31</f>
        <v/>
      </c>
      <c r="DF31" s="78">
        <f>DC31/52/$N31</f>
        <v/>
      </c>
      <c r="DG31" s="78">
        <f>DD31/52/$N31</f>
        <v/>
      </c>
      <c r="DH31" s="78">
        <f>DE31/52/$N31</f>
        <v/>
      </c>
    </row>
    <row r="32">
      <c r="A32" s="45" t="inlineStr">
        <is>
          <t>WA</t>
        </is>
      </c>
      <c r="B32" s="46" t="inlineStr">
        <is>
          <t>Pathologists</t>
        </is>
      </c>
      <c r="C32" s="54" t="inlineStr">
        <is>
          <t>MP</t>
        </is>
      </c>
      <c r="D32" s="45" t="inlineStr">
        <is>
          <t>WA HEALTH SYSTEM – MEDICAL PRACTITIONERS – AMA INDUSTRIAL AGREEMENT 2022</t>
        </is>
      </c>
      <c r="E32" s="55" t="inlineStr">
        <is>
          <t>Consultant Year 1-9</t>
        </is>
      </c>
      <c r="I32" s="56" t="n">
        <v>2022</v>
      </c>
      <c r="J32" s="70" t="n">
        <v>0.105</v>
      </c>
      <c r="K32" s="57" t="n">
        <v>0.11</v>
      </c>
      <c r="L32" s="57" t="n">
        <v>0.1275</v>
      </c>
      <c r="M32" s="73" t="n">
        <v>36.3</v>
      </c>
      <c r="N32" s="73" t="n">
        <v>38</v>
      </c>
      <c r="O32" s="73" t="n">
        <v>40</v>
      </c>
      <c r="Q32" s="59" t="n">
        <v>1</v>
      </c>
      <c r="S32" s="59" t="n">
        <v>0</v>
      </c>
      <c r="T32" s="59" t="n">
        <v>0</v>
      </c>
      <c r="U32" s="59" t="n">
        <v>0.3</v>
      </c>
      <c r="V32" s="57" t="n">
        <v>0.0295</v>
      </c>
      <c r="W32" s="57" t="n">
        <v>0.035</v>
      </c>
      <c r="X32" s="57" t="n">
        <v>0.04</v>
      </c>
      <c r="Y32" s="59" t="n">
        <v>0</v>
      </c>
      <c r="Z32" s="60" t="n">
        <v>0.1</v>
      </c>
      <c r="AA32" s="60" t="n">
        <v>0.2</v>
      </c>
      <c r="AB32" s="57" t="n">
        <v>0</v>
      </c>
      <c r="AC32" s="57" t="n">
        <v>0</v>
      </c>
      <c r="AD32" s="57" t="n">
        <v>0</v>
      </c>
      <c r="AE32" s="59" t="n">
        <v>0.01</v>
      </c>
      <c r="AF32" s="59" t="n">
        <v>0.046</v>
      </c>
      <c r="AG32" s="59" t="n">
        <v>0.08</v>
      </c>
      <c r="AH32" s="59" t="n">
        <v>0</v>
      </c>
      <c r="AI32" s="64" t="n">
        <v>28909</v>
      </c>
      <c r="AJ32" s="64" t="n">
        <v>28909</v>
      </c>
      <c r="AK32" s="74" t="n">
        <v>0</v>
      </c>
      <c r="AL32" s="62">
        <f>160/40</f>
        <v/>
      </c>
      <c r="AM32" s="62" t="n">
        <v>5</v>
      </c>
      <c r="AN32" s="62" t="n">
        <v>0</v>
      </c>
      <c r="AO32" s="59" t="n">
        <v>0</v>
      </c>
      <c r="AP32" s="59" t="n">
        <v>0.2</v>
      </c>
      <c r="AQ32" s="59" t="n">
        <v>0.015</v>
      </c>
      <c r="AR32" s="65" t="n">
        <v>297757</v>
      </c>
      <c r="AS32" s="65">
        <f>AR32+((AT32-AR32)/2)</f>
        <v/>
      </c>
      <c r="AT32" s="65" t="n">
        <v>386515</v>
      </c>
      <c r="AU32" s="65">
        <f>(AR32+(AR32*$K32)+(AR32*$T32)+(AR32*$W32)+(AR32*$Z32)+(AR32*$AC32)+(AR32*$AF32)+($AI32)+(AR32*((52+$AL32)/52))*(1+$AO32))*1/$Q32</f>
        <v/>
      </c>
      <c r="AV32" s="65">
        <f>(AS32+(AS32*$K32)+(AS32*$T32)+(AS32*$W32)+(AS32*$Z32)+(AS32*$AC32)+(AS32*$AF32)+($AI32)+(AS32*((52+$AL32)/52))*(1+$AO32))*1/$Q32</f>
        <v/>
      </c>
      <c r="AW32" s="65">
        <f>(AT32+(AT32*$K32)+(AT32*$T32)+(AT32*$W32)+(AT32*$Z32)+(AT32*$AC32)+(AT32*$AF32)+($AI32)+(AT32*((52+$AL32)/52))*(1+$AO32))*1/$Q32</f>
        <v/>
      </c>
      <c r="AX32" s="65">
        <f>AU32/52/$N32</f>
        <v/>
      </c>
      <c r="AY32" s="65">
        <f>AV32/52/$N32</f>
        <v/>
      </c>
      <c r="AZ32" s="65">
        <f>AW32/52/$N32</f>
        <v/>
      </c>
      <c r="BA32" s="78">
        <f>($AS32+($AS32*$J32)+($AS32*$T32)+($AS32*$W32)+($AS32*$Z32)+($AS32*$AC32)+($AS32*$AF32)+($AI32)+($AS32*((52+$AL32)/52))*(1+$AO32))*1/$Q32</f>
        <v/>
      </c>
      <c r="BB32" s="78">
        <f>($AS32+($AS32*$K32)+($AS32*$T32)+($AS32*$W32)+($AS32*$Z32)+($AS32*$AC32)+($AS32*$AF32)+($AI32)+($AS32*((52+$AL32)/52))*(1+$AO32))*1/$Q32</f>
        <v/>
      </c>
      <c r="BC32" s="78">
        <f>($AS32+($AS32*$L32)+($AS32*$T32)+($AS32*$W32)+($AS32*$Z32)+($AS32*$AC32)+($AS32*$AF32)+($AI32)+($AS32*((52+$AL32)/52))*(1+$AO32))*1/$Q32</f>
        <v/>
      </c>
      <c r="BD32" s="78">
        <f>BA32/52/$N32</f>
        <v/>
      </c>
      <c r="BE32" s="78">
        <f>BB32/52/$N32</f>
        <v/>
      </c>
      <c r="BF32" s="78">
        <f>BC32/52/$N32</f>
        <v/>
      </c>
      <c r="BG32" s="78">
        <f>($AS32+($AS32*$K32)+($AS32*$T32)+($AS32*$W32)+($AS32*$Z32)+($AS32*$AC32)+($AS32*$AF32)+($AI32)+($AS32*((52+$AL32)/52))*(1+$AO32))*1/$Q32</f>
        <v/>
      </c>
      <c r="BH32" s="78">
        <f>($AS32+($AS32*$K32)+($AS32*$T32)+($AS32*$W32)+($AS32*$Z32)+($AS32*$AC32)+($AS32*$AF32)+($AI32)+($AS32*((52+$AL32)/52))*(1+$AO32))*1/$Q32</f>
        <v/>
      </c>
      <c r="BI32" s="78">
        <f>($AS32+($AS32*$K32)+($AS32*$T32)+($AS32*$W32)+($AS32*$Z32)+($AS32*$AC32)+($AS32*$AF32)+($AI32)+($AS32*((52+$AL32)/52))*(1+$AO32))*1/$Q32</f>
        <v/>
      </c>
      <c r="BJ32" s="78">
        <f>BG32/52/$O32</f>
        <v/>
      </c>
      <c r="BK32" s="78">
        <f>BH32/52/$N32</f>
        <v/>
      </c>
      <c r="BL32" s="78">
        <f>BI32/52/$M32</f>
        <v/>
      </c>
      <c r="BM32" s="78">
        <f>($AS32+($AS32*$K32)+($AS32*$S32)+($AS32*$W32)+($AS32*$Z32)+($AS32*$AC32)+($AS32*$AF32)+($AI32)+($AS32*((52+$AL32)/52))*(1+$AO32))*1/$Q32</f>
        <v/>
      </c>
      <c r="BN32" s="78">
        <f>($AS32+($AS32*$K32)+($AS32*$T32)+($AS32*$W32)+($AS32*$Z32)+($AS32*$AC32)+($AS32*$AF32)+($AI32)+($AS32*((52+$AL32)/52))*(1+$AO32))*1/$Q32</f>
        <v/>
      </c>
      <c r="BO32" s="78">
        <f>($AS32+($AS32*$K32)+($AS32*$U32)+($AS32*$W32)+($AS32*$Z32)+($AS32*$AC32)+($AS32*$AF32)+($AI32)+($AS32*((52+$AL32)/52))*(1+$AO32))*1/$Q32</f>
        <v/>
      </c>
      <c r="BP32" s="78">
        <f>BM32/52/$N32</f>
        <v/>
      </c>
      <c r="BQ32" s="78">
        <f>BN32/52/$N32</f>
        <v/>
      </c>
      <c r="BR32" s="78">
        <f>BO32/52/$N32</f>
        <v/>
      </c>
      <c r="BS32" s="78">
        <f>($AS32+($AS32*$K32)+($AS32*$T32)+($AS32*$V32)+($AS32*$Z32)+($AS32*$AC32)+($AS32*$AF32)+($AI32)+($AS32*((52+$AL32)/52))*(1+$AO32))*1/$Q32</f>
        <v/>
      </c>
      <c r="BT32" s="78">
        <f>($AS32+($AS32*$K32)+($AS32*$T32)+($AS32*$W32)+($AS32*$Z32)+($AS32*$AC32)+($AS32*$AF32)+($AI32)+($AS32*((52+$AL32)/52))*(1+$AO32))*1/$Q32</f>
        <v/>
      </c>
      <c r="BU32" s="78">
        <f>($AS32+($AS32*$K32)+($AS32*$T32)+($AS32*$X32)+($AS32*$Z32)+($AS32*$AC32)+($AS32*$AF32)+($AI32)+($AS32*((52+$AL32)/52))*(1+$AO32))*1/$Q32</f>
        <v/>
      </c>
      <c r="BV32" s="78">
        <f>BS32/52/$N32</f>
        <v/>
      </c>
      <c r="BW32" s="78">
        <f>BT32/52/$N32</f>
        <v/>
      </c>
      <c r="BX32" s="78">
        <f>BU32/52/$N32</f>
        <v/>
      </c>
      <c r="BY32" s="78">
        <f>($AS32+($AS32*$K32)+($AS32*$T32)+($AS32*$W32)+($AS32*$Y32)+($AS32*$AC32)+($AS32*$AF32)+($AI32)+($AS32*((52+$AL32)/52))*(1+$AO32))*1/$Q32</f>
        <v/>
      </c>
      <c r="BZ32" s="78">
        <f>($AS32+($AS32*$K32)+($AS32*$T32)+($AS32*$W32)+($AS32*$Z32)+($AS32*$AC32)+($AS32*$AF32)+($AI32)+($AS32*((52+$AL32)/52))*(1+$AO32))*1/$Q32</f>
        <v/>
      </c>
      <c r="CA32" s="78">
        <f>($AS32+($AS32*$K32)+($AS32*$T32)+($AS32*$W32)+($AS32*$AA32)+($AS32*$AC32)+($AS32*$AF32)+($AI32)+($AS32*((52+$AL32)/52))*(1+$AO32))*1/$Q32</f>
        <v/>
      </c>
      <c r="CB32" s="78">
        <f>BY32/52/$N32</f>
        <v/>
      </c>
      <c r="CC32" s="78">
        <f>BZ32/52/$N32</f>
        <v/>
      </c>
      <c r="CD32" s="78">
        <f>CA32/52/$N32</f>
        <v/>
      </c>
      <c r="CE32" s="78">
        <f>($AS32+($AS32*$K32)+($AS32*$T32)+($AS32*$W32)+($AS32*$Z32)+($AS32*$AB32)+($AS32*$AF32)+($AI32)+($AS32*((52+$AL32)/52))*(1+$AO32))*1/$Q32</f>
        <v/>
      </c>
      <c r="CF32" s="78">
        <f>($AS32+($AS32*$K32)+($AS32*$T32)+($AS32*$W32)+($AS32*$Z32)+($AS32*$AC32)+($AS32*$AF32)+($AI32)+($AS32*((52+$AL32)/52))*(1+$AO32))*1/$Q32</f>
        <v/>
      </c>
      <c r="CG32" s="78">
        <f>($AS32+($AS32*$K32)+($AS32*$T32)+($AS32*$W32)+($AS32*$Z32)+($AS32*$AD32)+($AS32*$AF32)+($AI32)+($AS32*((52+$AL32)/52))*(1+$AO32))*1/$Q32</f>
        <v/>
      </c>
      <c r="CH32" s="78">
        <f>CE32/52/$N32</f>
        <v/>
      </c>
      <c r="CI32" s="78">
        <f>CF32/52/$N32</f>
        <v/>
      </c>
      <c r="CJ32" s="78">
        <f>CG32/52/$N32</f>
        <v/>
      </c>
      <c r="CK32" s="78">
        <f>($AS32+($AS32*$K32)+($AS32*$T32)+($AS32*$W32)+($AS32*$Z32)+($AS32*$AC32)+($AS32*$AE32)+($AI32)+($AS32*((52+$AL32)/52))*(1+$AO32))*1/$Q32</f>
        <v/>
      </c>
      <c r="CL32" s="78">
        <f>($AS32+($AS32*$K32)+($AS32*$T32)+($AS32*$W32)+($AS32*$Z32)+($AS32*$AC32)+($AS32*$AF32)+($AI32)+($AS32*((52+$AL32)/52))*(1+$AO32))*1/$Q32</f>
        <v/>
      </c>
      <c r="CM32" s="78">
        <f>($AS32+($AS32*$K32)+($AS32*$T32)+($AS32*$W32)+($AS32*$Z32)+($AS32*$AC32)+($AS32*$AG32)+($AI32)+($AS32*((52+$AL32)/52))*(1+$AO32))*1/$Q32</f>
        <v/>
      </c>
      <c r="CN32" s="78">
        <f>CK32/52/$N32</f>
        <v/>
      </c>
      <c r="CO32" s="78">
        <f>CL32/52/$N32</f>
        <v/>
      </c>
      <c r="CP32" s="78">
        <f>CM32/52/$N32</f>
        <v/>
      </c>
      <c r="CQ32" s="78">
        <f>($AS32+($AS32*$K32)+($AS32*$T32)+($AS32*$W32)+($AS32*$Z32)+($AS32*$AC32)+($AS32*$AF32)+($AH32)+($AS32*((52+$AL32)/52))*(1+$AO32))*1/$Q32</f>
        <v/>
      </c>
      <c r="CR32" s="78">
        <f>($AS32+($AS32*$K32)+($AS32*$T32)+($AS32*$W32)+($AS32*$Z32)+($AS32*$AC32)+($AS32*$AF32)+($AI32)+($AS32*((52+$AL32)/52))*(1+$AO32))*1/$Q32</f>
        <v/>
      </c>
      <c r="CS32" s="78">
        <f>($AS32+($AS32*$K32)+($AS32*$T32)+($AS32*$W32)+($AS32*$Z32)+($AS32*$AC32)+($AS32*$AF32)+($AJ32)+($AS32*((52+$AL32)/52))*(1+$AO32))*1/$Q32</f>
        <v/>
      </c>
      <c r="CT32" s="78">
        <f>CQ32/52/$N32</f>
        <v/>
      </c>
      <c r="CU32" s="78">
        <f>CR32/52/$N32</f>
        <v/>
      </c>
      <c r="CV32" s="78">
        <f>CS32/52/$N32</f>
        <v/>
      </c>
      <c r="CW32" s="78">
        <f>($AS32+($AS32*$K32)+($AS32*$T32)+($AS32*$W32)+($AS32*$Z32)+($AS32*$AC32)+($AS32*$AF32)+($AI32)+($AS32*((52+$AK32)/52))*(1+$AO32))*1/$Q32</f>
        <v/>
      </c>
      <c r="CX32" s="78">
        <f>($AS32+($AS32*$K32)+($AS32*$T32)+($AS32*$W32)+($AS32*$Z32)+($AS32*$AC32)+($AS32*$AF32)+($AI32)+($AS32*((52+$AL32)/52))*(1+$AO32))*1/$Q32</f>
        <v/>
      </c>
      <c r="CY32" s="78">
        <f>($AS32+($AS32*$K32)+($AS32*$T32)+($AS32*$W32)+($AS32*$Z32)+($AS32*$AC32)+($AS32*$AF32)+($AI32)+($AS32*((52+$AM32)/52))*(1+$AO32))*1/$Q32</f>
        <v/>
      </c>
      <c r="CZ32" s="78">
        <f>CW32/52/$N32</f>
        <v/>
      </c>
      <c r="DA32" s="78">
        <f>CX32/52/$N32</f>
        <v/>
      </c>
      <c r="DB32" s="78">
        <f>CY32/52/$N32</f>
        <v/>
      </c>
      <c r="DC32" s="78">
        <f>($AS32+($AS32*$K32)+($AS32*$T32)+($AS32*$W32)+($AS32*$Z32)+($AS32*$AC32)+($AS32*$AF32)+($AI32)+($AS32*((52+$AL32)/52))*(1+$AN32))*1/$Q32</f>
        <v/>
      </c>
      <c r="DD32" s="78">
        <f>($AS32+($AS32*$K32)+($AS32*$T32)+($AS32*$W32)+($AS32*$Z32)+($AS32*$AC32)+($AS32*$AF32)+($AI32)+($AS32*((52+$AL32)/52))*(1+$AO32))*1/$Q32</f>
        <v/>
      </c>
      <c r="DE32" s="78">
        <f>($AS32+($AS32*$K32)+($AS32*$T32)+($AS32*$W32)+($AS32*$Z32)+($AS32*$AC32)+($AS32*$AF32)+($AI32)+($AS32*((52+$AL32)/52))*(1+$AP32))*1/$Q32</f>
        <v/>
      </c>
      <c r="DF32" s="78">
        <f>DC32/52/$N32</f>
        <v/>
      </c>
      <c r="DG32" s="78">
        <f>DD32/52/$N32</f>
        <v/>
      </c>
      <c r="DH32" s="78">
        <f>DE32/52/$N32</f>
        <v/>
      </c>
    </row>
    <row r="33">
      <c r="J33" s="70" t="n"/>
      <c r="AI33" s="64" t="n"/>
      <c r="AJ33" s="64" t="n"/>
      <c r="AQ33" s="59" t="n"/>
      <c r="AR33" s="65" t="n"/>
      <c r="AS33" s="65" t="n"/>
      <c r="AT33" s="65" t="n"/>
      <c r="AU33" s="65" t="n"/>
      <c r="AV33" s="65" t="n"/>
      <c r="AW33" s="65" t="n"/>
      <c r="AX33" s="65" t="n"/>
      <c r="AY33" s="65" t="n"/>
      <c r="AZ33" s="65" t="n"/>
    </row>
    <row r="34">
      <c r="A34" s="45" t="inlineStr">
        <is>
          <t>ALL</t>
        </is>
      </c>
      <c r="B34" s="46" t="inlineStr">
        <is>
          <t>Lab technician</t>
        </is>
      </c>
      <c r="J34" s="70" t="n">
        <v>0.105</v>
      </c>
      <c r="K34" s="57" t="n">
        <v>0.11</v>
      </c>
      <c r="L34" s="57" t="n">
        <v>0.1275</v>
      </c>
      <c r="M34" s="73" t="n">
        <v>36.3</v>
      </c>
      <c r="N34" s="73" t="n">
        <v>38</v>
      </c>
      <c r="O34" s="73" t="n">
        <v>40</v>
      </c>
      <c r="Q34" s="59">
        <f>AVERAGE(Q28,Q22,Q16,Q10,Q4)</f>
        <v/>
      </c>
      <c r="S34" s="59" t="n">
        <v>0</v>
      </c>
      <c r="T34" s="59">
        <f>AVERAGE(T28,T22,T16,T10,T4)</f>
        <v/>
      </c>
      <c r="U34" s="59" t="n">
        <v>0.3</v>
      </c>
      <c r="V34" s="57" t="n">
        <v>0.0295</v>
      </c>
      <c r="W34" s="57" t="n">
        <v>0.035</v>
      </c>
      <c r="X34" s="57" t="n">
        <v>0.04</v>
      </c>
      <c r="Y34" s="59" t="n">
        <v>0</v>
      </c>
      <c r="Z34" s="60">
        <f>AVERAGE(Z28,Z22,Z16,Z10,Z4)</f>
        <v/>
      </c>
      <c r="AA34" s="60" t="n">
        <v>0.2</v>
      </c>
      <c r="AB34" s="57" t="n">
        <v>0</v>
      </c>
      <c r="AC34" s="57">
        <f>AVERAGE(AC28,AC22,AC16,AC10,AC4)</f>
        <v/>
      </c>
      <c r="AD34" s="57" t="n">
        <v>0</v>
      </c>
      <c r="AE34" s="59" t="n">
        <v>0.01</v>
      </c>
      <c r="AF34" s="59" t="n">
        <v>0.046</v>
      </c>
      <c r="AG34" s="59" t="n">
        <v>0.08</v>
      </c>
      <c r="AH34" s="59" t="n">
        <v>0</v>
      </c>
      <c r="AI34" s="64">
        <f>AVERAGE(AI28,AI22,AI16,AI10,AI4)</f>
        <v/>
      </c>
      <c r="AJ34" s="64" t="n">
        <v>2000</v>
      </c>
      <c r="AL34" s="58">
        <f>AVERAGE(AL28,AL22,AL16,AL10,AL4)</f>
        <v/>
      </c>
      <c r="AM34" s="62" t="n">
        <v>5</v>
      </c>
      <c r="AN34" s="62" t="n">
        <v>0</v>
      </c>
      <c r="AO34" s="59">
        <f>AVERAGE(AO28,AO22,AO16,AO10,AO4)</f>
        <v/>
      </c>
      <c r="AP34" s="59" t="n">
        <v>0.2</v>
      </c>
      <c r="AQ34" s="59">
        <f>AVERAGE(AQ28,AQ22,AQ16,AQ10,AQ4)</f>
        <v/>
      </c>
      <c r="AR34" s="65">
        <f>MIN(AR28,AR22,AR16,AR10,AR4)</f>
        <v/>
      </c>
      <c r="AS34" s="65">
        <f>AVERAGE(AS28,AS22,AS16,AS10,AS4)</f>
        <v/>
      </c>
      <c r="AT34" s="65">
        <f>MAX(AT28,AT22,AT16,AT10,AT4)</f>
        <v/>
      </c>
      <c r="AU34" s="65">
        <f>MIN(AU28,AU22,AU16,AU10,AU4)</f>
        <v/>
      </c>
      <c r="AV34" s="65">
        <f>AVERAGE(AV28,AV22,AV16,AV10,AV4)</f>
        <v/>
      </c>
      <c r="AW34" s="65">
        <f>MAX(AW28,AW22,AW16,AW10,AW4)</f>
        <v/>
      </c>
      <c r="AX34" s="65">
        <f>MIN(AX28,AX22,AX16,AX10,AX4)</f>
        <v/>
      </c>
      <c r="AY34" s="65">
        <f>AVERAGE(AY28,AY22,AY16,AY10,AY4)</f>
        <v/>
      </c>
      <c r="AZ34" s="65">
        <f>MAX(AZ28,AZ22,AZ16,AZ10,AZ4)</f>
        <v/>
      </c>
      <c r="BA34" s="78">
        <f>($AS34+($AS34*$J34)+($AS34*$T34)+($AS34*$W34)+($AS34*$Z34)+($AS34*$AC34)+($AS34*$AF34)+($AI34)+($AS34*((52+$AL34)/52))*(1+$AO34))*1/$Q34</f>
        <v/>
      </c>
      <c r="BB34" s="78">
        <f>($AS34+($AS34*$K34)+($AS34*$T34)+($AS34*$W34)+($AS34*$Z34)+($AS34*$AC34)+($AS34*$AF34)+($AI34)+($AS34*((52+$AL34)/52))*(1+$AO34))*1/$Q34</f>
        <v/>
      </c>
      <c r="BC34" s="78">
        <f>($AS34+($AS34*$L34)+($AS34*$T34)+($AS34*$W34)+($AS34*$Z34)+($AS34*$AC34)+($AS34*$AF34)+($AI34)+($AS34*((52+$AL34)/52))*(1+$AO34))*1/$Q34</f>
        <v/>
      </c>
      <c r="BD34" s="78">
        <f>BA34/52/$N34</f>
        <v/>
      </c>
      <c r="BE34" s="78">
        <f>BB34/52/$N34</f>
        <v/>
      </c>
      <c r="BF34" s="78">
        <f>BC34/52/$N34</f>
        <v/>
      </c>
      <c r="BG34" s="78">
        <f>($AS34+($AS34*$K34)+($AS34*$T34)+($AS34*$W34)+($AS34*$Z34)+($AS34*$AC34)+($AS34*$AF34)+($AI34)+($AS34*((52+$AL34)/52))*(1+$AO34))*1/$Q34</f>
        <v/>
      </c>
      <c r="BH34" s="78">
        <f>($AS34+($AS34*$K34)+($AS34*$T34)+($AS34*$W34)+($AS34*$Z34)+($AS34*$AC34)+($AS34*$AF34)+($AI34)+($AS34*((52+$AL34)/52))*(1+$AO34))*1/$Q34</f>
        <v/>
      </c>
      <c r="BI34" s="78">
        <f>($AS34+($AS34*$K34)+($AS34*$T34)+($AS34*$W34)+($AS34*$Z34)+($AS34*$AC34)+($AS34*$AF34)+($AI34)+($AS34*((52+$AL34)/52))*(1+$AO34))*1/$Q34</f>
        <v/>
      </c>
      <c r="BJ34" s="78">
        <f>BG34/52/$O34</f>
        <v/>
      </c>
      <c r="BK34" s="78">
        <f>BH34/52/$N34</f>
        <v/>
      </c>
      <c r="BL34" s="78">
        <f>BI34/52/$M34</f>
        <v/>
      </c>
      <c r="BM34" s="78">
        <f>($AS34+($AS34*$K34)+($AS34*$S34)+($AS34*$W34)+($AS34*$Z34)+($AS34*$AC34)+($AS34*$AF34)+($AI34)+($AS34*((52+$AL34)/52))*(1+$AO34))*1/$Q34</f>
        <v/>
      </c>
      <c r="BN34" s="78">
        <f>($AS34+($AS34*$K34)+($AS34*$T34)+($AS34*$W34)+($AS34*$Z34)+($AS34*$AC34)+($AS34*$AF34)+($AI34)+($AS34*((52+$AL34)/52))*(1+$AO34))*1/$Q34</f>
        <v/>
      </c>
      <c r="BO34" s="78">
        <f>($AS34+($AS34*$K34)+($AS34*$U34)+($AS34*$W34)+($AS34*$Z34)+($AS34*$AC34)+($AS34*$AF34)+($AI34)+($AS34*((52+$AL34)/52))*(1+$AO34))*1/$Q34</f>
        <v/>
      </c>
      <c r="BP34" s="78">
        <f>BM34/52/$N34</f>
        <v/>
      </c>
      <c r="BQ34" s="78">
        <f>BN34/52/$N34</f>
        <v/>
      </c>
      <c r="BR34" s="78">
        <f>BO34/52/$N34</f>
        <v/>
      </c>
      <c r="BS34" s="78">
        <f>($AS34+($AS34*$K34)+($AS34*$T34)+($AS34*$V34)+($AS34*$Z34)+($AS34*$AC34)+($AS34*$AF34)+($AI34)+($AS34*((52+$AL34)/52))*(1+$AO34))*1/$Q34</f>
        <v/>
      </c>
      <c r="BT34" s="78">
        <f>($AS34+($AS34*$K34)+($AS34*$T34)+($AS34*$W34)+($AS34*$Z34)+($AS34*$AC34)+($AS34*$AF34)+($AI34)+($AS34*((52+$AL34)/52))*(1+$AO34))*1/$Q34</f>
        <v/>
      </c>
      <c r="BU34" s="78">
        <f>($AS34+($AS34*$K34)+($AS34*$T34)+($AS34*$X34)+($AS34*$Z34)+($AS34*$AC34)+($AS34*$AF34)+($AI34)+($AS34*((52+$AL34)/52))*(1+$AO34))*1/$Q34</f>
        <v/>
      </c>
      <c r="BV34" s="78">
        <f>BS34/52/$N34</f>
        <v/>
      </c>
      <c r="BW34" s="78">
        <f>BT34/52/$N34</f>
        <v/>
      </c>
      <c r="BX34" s="78">
        <f>BU34/52/$N34</f>
        <v/>
      </c>
      <c r="BY34" s="78">
        <f>($AS34+($AS34*$K34)+($AS34*$T34)+($AS34*$W34)+($AS34*$Y34)+($AS34*$AC34)+($AS34*$AF34)+($AI34)+($AS34*((52+$AL34)/52))*(1+$AO34))*1/$Q34</f>
        <v/>
      </c>
      <c r="BZ34" s="78">
        <f>($AS34+($AS34*$K34)+($AS34*$T34)+($AS34*$W34)+($AS34*$Z34)+($AS34*$AC34)+($AS34*$AF34)+($AI34)+($AS34*((52+$AL34)/52))*(1+$AO34))*1/$Q34</f>
        <v/>
      </c>
      <c r="CA34" s="78">
        <f>($AS34+($AS34*$K34)+($AS34*$T34)+($AS34*$W34)+($AS34*$AA34)+($AS34*$AC34)+($AS34*$AF34)+($AI34)+($AS34*((52+$AL34)/52))*(1+$AO34))*1/$Q34</f>
        <v/>
      </c>
      <c r="CB34" s="78">
        <f>BY34/52/$N34</f>
        <v/>
      </c>
      <c r="CC34" s="78">
        <f>BZ34/52/$N34</f>
        <v/>
      </c>
      <c r="CD34" s="78">
        <f>CA34/52/$N34</f>
        <v/>
      </c>
      <c r="CE34" s="78">
        <f>($AS34+($AS34*$K34)+($AS34*$T34)+($AS34*$W34)+($AS34*$Z34)+($AS34*$AB34)+($AS34*$AF34)+($AI34)+($AS34*((52+$AL34)/52))*(1+$AO34))*1/$Q34</f>
        <v/>
      </c>
      <c r="CF34" s="78">
        <f>($AS34+($AS34*$K34)+($AS34*$T34)+($AS34*$W34)+($AS34*$Z34)+($AS34*$AC34)+($AS34*$AF34)+($AI34)+($AS34*((52+$AL34)/52))*(1+$AO34))*1/$Q34</f>
        <v/>
      </c>
      <c r="CG34" s="78">
        <f>($AS34+($AS34*$K34)+($AS34*$T34)+($AS34*$W34)+($AS34*$Z34)+($AS34*$AD34)+($AS34*$AF34)+($AI34)+($AS34*((52+$AL34)/52))*(1+$AO34))*1/$Q34</f>
        <v/>
      </c>
      <c r="CH34" s="78">
        <f>CE34/52/$N34</f>
        <v/>
      </c>
      <c r="CI34" s="78">
        <f>CF34/52/$N34</f>
        <v/>
      </c>
      <c r="CJ34" s="78">
        <f>CG34/52/$N34</f>
        <v/>
      </c>
      <c r="CK34" s="78">
        <f>($AS34+($AS34*$K34)+($AS34*$T34)+($AS34*$W34)+($AS34*$Z34)+($AS34*$AC34)+($AS34*$AE34)+($AI34)+($AS34*((52+$AL34)/52))*(1+$AO34))*1/$Q34</f>
        <v/>
      </c>
      <c r="CL34" s="78">
        <f>($AS34+($AS34*$K34)+($AS34*$T34)+($AS34*$W34)+($AS34*$Z34)+($AS34*$AC34)+($AS34*$AF34)+($AI34)+($AS34*((52+$AL34)/52))*(1+$AO34))*1/$Q34</f>
        <v/>
      </c>
      <c r="CM34" s="78">
        <f>($AS34+($AS34*$K34)+($AS34*$T34)+($AS34*$W34)+($AS34*$Z34)+($AS34*$AC34)+($AS34*$AG34)+($AI34)+($AS34*((52+$AL34)/52))*(1+$AO34))*1/$Q34</f>
        <v/>
      </c>
      <c r="CN34" s="78">
        <f>CK34/52/$N34</f>
        <v/>
      </c>
      <c r="CO34" s="78">
        <f>CL34/52/$N34</f>
        <v/>
      </c>
      <c r="CP34" s="78">
        <f>CM34/52/$N34</f>
        <v/>
      </c>
      <c r="CQ34" s="78">
        <f>($AS34+($AS34*$K34)+($AS34*$T34)+($AS34*$W34)+($AS34*$Z34)+($AS34*$AC34)+($AS34*$AF34)+($AH34)+($AS34*((52+$AL34)/52))*(1+$AO34))*1/$Q34</f>
        <v/>
      </c>
      <c r="CR34" s="78">
        <f>($AS34+($AS34*$K34)+($AS34*$T34)+($AS34*$W34)+($AS34*$Z34)+($AS34*$AC34)+($AS34*$AF34)+($AI34)+($AS34*((52+$AL34)/52))*(1+$AO34))*1/$Q34</f>
        <v/>
      </c>
      <c r="CS34" s="78">
        <f>($AS34+($AS34*$K34)+($AS34*$T34)+($AS34*$W34)+($AS34*$Z34)+($AS34*$AC34)+($AS34*$AF34)+($AJ34)+($AS34*((52+$AL34)/52))*(1+$AO34))*1/$Q34</f>
        <v/>
      </c>
      <c r="CT34" s="78">
        <f>CQ34/52/$N34</f>
        <v/>
      </c>
      <c r="CU34" s="78">
        <f>CR34/52/$N34</f>
        <v/>
      </c>
      <c r="CV34" s="78">
        <f>CS34/52/$N34</f>
        <v/>
      </c>
      <c r="CW34" s="78">
        <f>($AS34+($AS34*$K34)+($AS34*$T34)+($AS34*$W34)+($AS34*$Z34)+($AS34*$AC34)+($AS34*$AF34)+($AI34)+($AS34*((52+$AK34)/52))*(1+$AO34))*1/$Q34</f>
        <v/>
      </c>
      <c r="CX34" s="78">
        <f>($AS34+($AS34*$K34)+($AS34*$T34)+($AS34*$W34)+($AS34*$Z34)+($AS34*$AC34)+($AS34*$AF34)+($AI34)+($AS34*((52+$AL34)/52))*(1+$AO34))*1/$Q34</f>
        <v/>
      </c>
      <c r="CY34" s="78">
        <f>($AS34+($AS34*$K34)+($AS34*$T34)+($AS34*$W34)+($AS34*$Z34)+($AS34*$AC34)+($AS34*$AF34)+($AI34)+($AS34*((52+$AM34)/52))*(1+$AO34))*1/$Q34</f>
        <v/>
      </c>
      <c r="CZ34" s="78">
        <f>CW34/52/$N34</f>
        <v/>
      </c>
      <c r="DA34" s="78">
        <f>CX34/52/$N34</f>
        <v/>
      </c>
      <c r="DB34" s="78">
        <f>CY34/52/$N34</f>
        <v/>
      </c>
      <c r="DC34" s="78">
        <f>(AR34+(AR34*$K34)+(AR34*$T34)+(AR34*$W34)+(AR34*$Z34)+(AR34*$AC34)+(AR34*$AF34)+($AI34)+(AR34*((52+$AL34)/52))*(1+$AO34))*1/$Q34</f>
        <v/>
      </c>
      <c r="DD34" s="78">
        <f>(AS34+(AS34*$K34)+(AS34*$T34)+(AS34*$W34)+(AS34*$Z34)+(AS34*$AC34)+(AS34*$AF34)+($AI34)+(AS34*((52+$AL34)/52))*(1+$AO34))*1/$Q34</f>
        <v/>
      </c>
      <c r="DE34" s="78">
        <f>(AT34+(AT34*$K34)+(AT34*$T34)+(AT34*$W34)+(AT34*$Z34)+(AT34*$AC34)+(AT34*$AF34)+($AI34)+(AT34*((52+$AL34)/52))*(1+$AO34))*1/$Q34</f>
        <v/>
      </c>
      <c r="DF34" s="78">
        <f>DC34/52/$N34</f>
        <v/>
      </c>
      <c r="DG34" s="78">
        <f>DD34/52/$N34</f>
        <v/>
      </c>
      <c r="DH34" s="78">
        <f>DE34/52/$N34</f>
        <v/>
      </c>
    </row>
    <row r="35">
      <c r="A35" s="45" t="inlineStr">
        <is>
          <t>ALL</t>
        </is>
      </c>
      <c r="B35" s="46" t="inlineStr">
        <is>
          <t>Medical scientist</t>
        </is>
      </c>
      <c r="J35" s="70" t="n">
        <v>0.105</v>
      </c>
      <c r="K35" s="57" t="n">
        <v>0.11</v>
      </c>
      <c r="L35" s="57" t="n">
        <v>0.1275</v>
      </c>
      <c r="M35" s="73" t="n">
        <v>36.3</v>
      </c>
      <c r="N35" s="73" t="n">
        <v>38</v>
      </c>
      <c r="O35" s="73" t="n">
        <v>40</v>
      </c>
      <c r="Q35" s="59">
        <f>AVERAGE(Q29,Q23,Q17,Q11,Q5)</f>
        <v/>
      </c>
      <c r="S35" s="59" t="n">
        <v>0</v>
      </c>
      <c r="T35" s="59">
        <f>AVERAGE(T29,T23,T17,T11,T5)</f>
        <v/>
      </c>
      <c r="U35" s="59" t="n">
        <v>0.3</v>
      </c>
      <c r="V35" s="57" t="n">
        <v>0.0295</v>
      </c>
      <c r="W35" s="57" t="n">
        <v>0.035</v>
      </c>
      <c r="X35" s="57" t="n">
        <v>0.04</v>
      </c>
      <c r="Y35" s="59" t="n">
        <v>0</v>
      </c>
      <c r="Z35" s="60">
        <f>AVERAGE(Z29,Z23,Z17,Z11,Z5)</f>
        <v/>
      </c>
      <c r="AA35" s="60" t="n">
        <v>0.2</v>
      </c>
      <c r="AB35" s="57" t="n">
        <v>0</v>
      </c>
      <c r="AC35" s="57">
        <f>AVERAGE(AC29,AC23,AC17,AC11,AC5)</f>
        <v/>
      </c>
      <c r="AD35" s="57" t="n">
        <v>0</v>
      </c>
      <c r="AE35" s="59" t="n">
        <v>0.01</v>
      </c>
      <c r="AF35" s="59" t="n">
        <v>0.046</v>
      </c>
      <c r="AG35" s="59" t="n">
        <v>0.08</v>
      </c>
      <c r="AH35" s="59" t="n">
        <v>0</v>
      </c>
      <c r="AI35" s="64">
        <f>AVERAGE(AI29,AI23,AI17,AI11,AI5)</f>
        <v/>
      </c>
      <c r="AJ35" s="64" t="n">
        <v>2000</v>
      </c>
      <c r="AK35" s="74" t="n">
        <v>0</v>
      </c>
      <c r="AL35" s="58">
        <f>AVERAGE(AL29,AL23,AL17,AL11,AL5)</f>
        <v/>
      </c>
      <c r="AM35" s="62" t="n">
        <v>5</v>
      </c>
      <c r="AN35" s="62" t="n">
        <v>0</v>
      </c>
      <c r="AO35" s="59">
        <f>AVERAGE(AO29,AO23,AO17,AO11,AO5)</f>
        <v/>
      </c>
      <c r="AP35" s="59" t="n">
        <v>0.2</v>
      </c>
      <c r="AQ35" s="59">
        <f>AVERAGE(AQ29,AQ23,AQ17,AQ11,AQ5)</f>
        <v/>
      </c>
      <c r="AR35" s="65">
        <f>MIN(AR29,AR23,AR17,AR11,AR5)</f>
        <v/>
      </c>
      <c r="AS35" s="65">
        <f>AVERAGE(AS29,AS23,AS17,AS11,AS5)</f>
        <v/>
      </c>
      <c r="AT35" s="65">
        <f>MAX(AT29,AT23,AT17,AT11,AT5)</f>
        <v/>
      </c>
      <c r="AU35" s="65">
        <f>MIN(AU29,AU23,AU17,AU11,AU5)</f>
        <v/>
      </c>
      <c r="AV35" s="65">
        <f>AVERAGE(AV29,AV23,AV17,AV11,AV5)</f>
        <v/>
      </c>
      <c r="AW35" s="65">
        <f>MAX(AW29,AW23,AW17,AW11,AW5)</f>
        <v/>
      </c>
      <c r="AX35" s="65">
        <f>MIN(AX29,AX23,AX17,AX11,AX5)</f>
        <v/>
      </c>
      <c r="AY35" s="65">
        <f>AVERAGE(AY29,AY23,AY17,AY11,AY5)</f>
        <v/>
      </c>
      <c r="AZ35" s="65">
        <f>MAX(AZ29,AZ23,AZ17,AZ11,AZ5)</f>
        <v/>
      </c>
      <c r="BA35" s="78">
        <f>($AS35+($AS35*$J35)+($AS35*$T35)+($AS35*$W35)+($AS35*$Z35)+($AS35*$AC35)+($AS35*$AF35)+($AI35)+($AS35*((52+$AL35)/52))*(1+$AO35))*1/$Q35</f>
        <v/>
      </c>
      <c r="BB35" s="78">
        <f>($AS35+($AS35*$K35)+($AS35*$T35)+($AS35*$W35)+($AS35*$Z35)+($AS35*$AC35)+($AS35*$AF35)+($AI35)+($AS35*((52+$AL35)/52))*(1+$AO35))*1/$Q35</f>
        <v/>
      </c>
      <c r="BC35" s="78">
        <f>($AS35+($AS35*$L35)+($AS35*$T35)+($AS35*$W35)+($AS35*$Z35)+($AS35*$AC35)+($AS35*$AF35)+($AI35)+($AS35*((52+$AL35)/52))*(1+$AO35))*1/$Q35</f>
        <v/>
      </c>
      <c r="BD35" s="78">
        <f>BA35/52/$N35</f>
        <v/>
      </c>
      <c r="BE35" s="78">
        <f>BB35/52/$N35</f>
        <v/>
      </c>
      <c r="BF35" s="78">
        <f>BC35/52/$N35</f>
        <v/>
      </c>
      <c r="BG35" s="78">
        <f>($AS35+($AS35*$K35)+($AS35*$T35)+($AS35*$W35)+($AS35*$Z35)+($AS35*$AC35)+($AS35*$AF35)+($AI35)+($AS35*((52+$AL35)/52))*(1+$AO35))*1/$Q35</f>
        <v/>
      </c>
      <c r="BH35" s="78">
        <f>($AS35+($AS35*$K35)+($AS35*$T35)+($AS35*$W35)+($AS35*$Z35)+($AS35*$AC35)+($AS35*$AF35)+($AI35)+($AS35*((52+$AL35)/52))*(1+$AO35))*1/$Q35</f>
        <v/>
      </c>
      <c r="BI35" s="78">
        <f>($AS35+($AS35*$K35)+($AS35*$T35)+($AS35*$W35)+($AS35*$Z35)+($AS35*$AC35)+($AS35*$AF35)+($AI35)+($AS35*((52+$AL35)/52))*(1+$AO35))*1/$Q35</f>
        <v/>
      </c>
      <c r="BJ35" s="78">
        <f>BG35/52/$O35</f>
        <v/>
      </c>
      <c r="BK35" s="78">
        <f>BH35/52/$N35</f>
        <v/>
      </c>
      <c r="BL35" s="78">
        <f>BI35/52/$M35</f>
        <v/>
      </c>
      <c r="BM35" s="78">
        <f>($AS35+($AS35*$K35)+($AS35*$S35)+($AS35*$W35)+($AS35*$Z35)+($AS35*$AC35)+($AS35*$AF35)+($AI35)+($AS35*((52+$AL35)/52))*(1+$AO35))*1/$Q35</f>
        <v/>
      </c>
      <c r="BN35" s="78">
        <f>($AS35+($AS35*$K35)+($AS35*$T35)+($AS35*$W35)+($AS35*$Z35)+($AS35*$AC35)+($AS35*$AF35)+($AI35)+($AS35*((52+$AL35)/52))*(1+$AO35))*1/$Q35</f>
        <v/>
      </c>
      <c r="BO35" s="78">
        <f>($AS35+($AS35*$K35)+($AS35*$U35)+($AS35*$W35)+($AS35*$Z35)+($AS35*$AC35)+($AS35*$AF35)+($AI35)+($AS35*((52+$AL35)/52))*(1+$AO35))*1/$Q35</f>
        <v/>
      </c>
      <c r="BP35" s="78">
        <f>BM35/52/$N35</f>
        <v/>
      </c>
      <c r="BQ35" s="78">
        <f>BN35/52/$N35</f>
        <v/>
      </c>
      <c r="BR35" s="78">
        <f>BO35/52/$N35</f>
        <v/>
      </c>
      <c r="BS35" s="78">
        <f>($AS35+($AS35*$K35)+($AS35*$T35)+($AS35*$V35)+($AS35*$Z35)+($AS35*$AC35)+($AS35*$AF35)+($AI35)+($AS35*((52+$AL35)/52))*(1+$AO35))*1/$Q35</f>
        <v/>
      </c>
      <c r="BT35" s="78">
        <f>($AS35+($AS35*$K35)+($AS35*$T35)+($AS35*$W35)+($AS35*$Z35)+($AS35*$AC35)+($AS35*$AF35)+($AI35)+($AS35*((52+$AL35)/52))*(1+$AO35))*1/$Q35</f>
        <v/>
      </c>
      <c r="BU35" s="78">
        <f>($AS35+($AS35*$K35)+($AS35*$T35)+($AS35*$X35)+($AS35*$Z35)+($AS35*$AC35)+($AS35*$AF35)+($AI35)+($AS35*((52+$AL35)/52))*(1+$AO35))*1/$Q35</f>
        <v/>
      </c>
      <c r="BV35" s="78">
        <f>BS35/52/$N35</f>
        <v/>
      </c>
      <c r="BW35" s="78">
        <f>BT35/52/$N35</f>
        <v/>
      </c>
      <c r="BX35" s="78">
        <f>BU35/52/$N35</f>
        <v/>
      </c>
      <c r="BY35" s="78">
        <f>($AS35+($AS35*$K35)+($AS35*$T35)+($AS35*$W35)+($AS35*$Y35)+($AS35*$AC35)+($AS35*$AF35)+($AI35)+($AS35*((52+$AL35)/52))*(1+$AO35))*1/$Q35</f>
        <v/>
      </c>
      <c r="BZ35" s="78">
        <f>($AS35+($AS35*$K35)+($AS35*$T35)+($AS35*$W35)+($AS35*$Z35)+($AS35*$AC35)+($AS35*$AF35)+($AI35)+($AS35*((52+$AL35)/52))*(1+$AO35))*1/$Q35</f>
        <v/>
      </c>
      <c r="CA35" s="78">
        <f>($AS35+($AS35*$K35)+($AS35*$T35)+($AS35*$W35)+($AS35*$AA35)+($AS35*$AC35)+($AS35*$AF35)+($AI35)+($AS35*((52+$AL35)/52))*(1+$AO35))*1/$Q35</f>
        <v/>
      </c>
      <c r="CB35" s="78">
        <f>BY35/52/$N35</f>
        <v/>
      </c>
      <c r="CC35" s="78">
        <f>BZ35/52/$N35</f>
        <v/>
      </c>
      <c r="CD35" s="78">
        <f>CA35/52/$N35</f>
        <v/>
      </c>
      <c r="CE35" s="78">
        <f>($AS35+($AS35*$K35)+($AS35*$T35)+($AS35*$W35)+($AS35*$Z35)+($AS35*$AB35)+($AS35*$AF35)+($AI35)+($AS35*((52+$AL35)/52))*(1+$AO35))*1/$Q35</f>
        <v/>
      </c>
      <c r="CF35" s="78">
        <f>($AS35+($AS35*$K35)+($AS35*$T35)+($AS35*$W35)+($AS35*$Z35)+($AS35*$AC35)+($AS35*$AF35)+($AI35)+($AS35*((52+$AL35)/52))*(1+$AO35))*1/$Q35</f>
        <v/>
      </c>
      <c r="CG35" s="78">
        <f>($AS35+($AS35*$K35)+($AS35*$T35)+($AS35*$W35)+($AS35*$Z35)+($AS35*$AD35)+($AS35*$AF35)+($AI35)+($AS35*((52+$AL35)/52))*(1+$AO35))*1/$Q35</f>
        <v/>
      </c>
      <c r="CH35" s="78">
        <f>CE35/52/$N35</f>
        <v/>
      </c>
      <c r="CI35" s="78">
        <f>CF35/52/$N35</f>
        <v/>
      </c>
      <c r="CJ35" s="78">
        <f>CG35/52/$N35</f>
        <v/>
      </c>
      <c r="CK35" s="78">
        <f>($AS35+($AS35*$K35)+($AS35*$T35)+($AS35*$W35)+($AS35*$Z35)+($AS35*$AC35)+($AS35*$AE35)+($AI35)+($AS35*((52+$AL35)/52))*(1+$AO35))*1/$Q35</f>
        <v/>
      </c>
      <c r="CL35" s="78">
        <f>($AS35+($AS35*$K35)+($AS35*$T35)+($AS35*$W35)+($AS35*$Z35)+($AS35*$AC35)+($AS35*$AF35)+($AI35)+($AS35*((52+$AL35)/52))*(1+$AO35))*1/$Q35</f>
        <v/>
      </c>
      <c r="CM35" s="78">
        <f>($AS35+($AS35*$K35)+($AS35*$T35)+($AS35*$W35)+($AS35*$Z35)+($AS35*$AC35)+($AS35*$AG35)+($AI35)+($AS35*((52+$AL35)/52))*(1+$AO35))*1/$Q35</f>
        <v/>
      </c>
      <c r="CN35" s="78">
        <f>CK35/52/$N35</f>
        <v/>
      </c>
      <c r="CO35" s="78">
        <f>CL35/52/$N35</f>
        <v/>
      </c>
      <c r="CP35" s="78">
        <f>CM35/52/$N35</f>
        <v/>
      </c>
      <c r="CQ35" s="78">
        <f>($AS35+($AS35*$K35)+($AS35*$T35)+($AS35*$W35)+($AS35*$Z35)+($AS35*$AC35)+($AS35*$AF35)+($AH35)+($AS35*((52+$AL35)/52))*(1+$AO35))*1/$Q35</f>
        <v/>
      </c>
      <c r="CR35" s="78">
        <f>($AS35+($AS35*$K35)+($AS35*$T35)+($AS35*$W35)+($AS35*$Z35)+($AS35*$AC35)+($AS35*$AF35)+($AI35)+($AS35*((52+$AL35)/52))*(1+$AO35))*1/$Q35</f>
        <v/>
      </c>
      <c r="CS35" s="78">
        <f>($AS35+($AS35*$K35)+($AS35*$T35)+($AS35*$W35)+($AS35*$Z35)+($AS35*$AC35)+($AS35*$AF35)+($AJ35)+($AS35*((52+$AL35)/52))*(1+$AO35))*1/$Q35</f>
        <v/>
      </c>
      <c r="CT35" s="78">
        <f>CQ35/52/$N35</f>
        <v/>
      </c>
      <c r="CU35" s="78">
        <f>CR35/52/$N35</f>
        <v/>
      </c>
      <c r="CV35" s="78">
        <f>CS35/52/$N35</f>
        <v/>
      </c>
      <c r="CW35" s="78">
        <f>($AS35+($AS35*$K35)+($AS35*$T35)+($AS35*$W35)+($AS35*$Z35)+($AS35*$AC35)+($AS35*$AF35)+($AI35)+($AS35*((52+$AK35)/52))*(1+$AO35))*1/$Q35</f>
        <v/>
      </c>
      <c r="CX35" s="78">
        <f>($AS35+($AS35*$K35)+($AS35*$T35)+($AS35*$W35)+($AS35*$Z35)+($AS35*$AC35)+($AS35*$AF35)+($AI35)+($AS35*((52+$AL35)/52))*(1+$AO35))*1/$Q35</f>
        <v/>
      </c>
      <c r="CY35" s="78">
        <f>($AS35+($AS35*$K35)+($AS35*$T35)+($AS35*$W35)+($AS35*$Z35)+($AS35*$AC35)+($AS35*$AF35)+($AI35)+($AS35*((52+$AM35)/52))*(1+$AO35))*1/$Q35</f>
        <v/>
      </c>
      <c r="CZ35" s="78">
        <f>CW35/52/$N35</f>
        <v/>
      </c>
      <c r="DA35" s="78">
        <f>CX35/52/$N35</f>
        <v/>
      </c>
      <c r="DB35" s="78">
        <f>CY35/52/$N35</f>
        <v/>
      </c>
      <c r="DC35" s="78">
        <f>(AR35+(AR35*$K35)+(AR35*$T35)+(AR35*$W35)+(AR35*$Z35)+(AR35*$AC35)+(AR35*$AF35)+($AI35)+(AR35*((52+$AL35)/52))*(1+$AO35))*1/$Q35</f>
        <v/>
      </c>
      <c r="DD35" s="78">
        <f>(AS35+(AS35*$K35)+(AS35*$T35)+(AS35*$W35)+(AS35*$Z35)+(AS35*$AC35)+(AS35*$AF35)+($AI35)+(AS35*((52+$AL35)/52))*(1+$AO35))*1/$Q35</f>
        <v/>
      </c>
      <c r="DE35" s="78">
        <f>(AT35+(AT35*$K35)+(AT35*$T35)+(AT35*$W35)+(AT35*$Z35)+(AT35*$AC35)+(AT35*$AF35)+($AI35)+(AT35*((52+$AL35)/52))*(1+$AO35))*1/$Q35</f>
        <v/>
      </c>
      <c r="DF35" s="78">
        <f>DC35/52/$N35</f>
        <v/>
      </c>
      <c r="DG35" s="78">
        <f>DD35/52/$N35</f>
        <v/>
      </c>
      <c r="DH35" s="78">
        <f>DE35/52/$N35</f>
        <v/>
      </c>
    </row>
    <row r="36">
      <c r="A36" s="45" t="inlineStr">
        <is>
          <t>ALL</t>
        </is>
      </c>
      <c r="B36" s="46" t="inlineStr">
        <is>
          <t>Admin staff</t>
        </is>
      </c>
      <c r="J36" s="70" t="n">
        <v>0.105</v>
      </c>
      <c r="K36" s="57" t="n">
        <v>0.11</v>
      </c>
      <c r="L36" s="57" t="n">
        <v>0.1275</v>
      </c>
      <c r="M36" s="73" t="n">
        <v>36.3</v>
      </c>
      <c r="N36" s="73" t="n">
        <v>38</v>
      </c>
      <c r="O36" s="73" t="n">
        <v>40</v>
      </c>
      <c r="Q36" s="59">
        <f>AVERAGE(Q30,Q24,Q18,Q12,Q6)</f>
        <v/>
      </c>
      <c r="S36" s="59" t="n">
        <v>0</v>
      </c>
      <c r="T36" s="59">
        <f>AVERAGE(T30,T24,T18,T12,T6)</f>
        <v/>
      </c>
      <c r="U36" s="59" t="n">
        <v>0.3</v>
      </c>
      <c r="V36" s="57" t="n">
        <v>0.0295</v>
      </c>
      <c r="W36" s="57" t="n">
        <v>0.035</v>
      </c>
      <c r="X36" s="57" t="n">
        <v>0.04</v>
      </c>
      <c r="Y36" s="59" t="n">
        <v>0</v>
      </c>
      <c r="Z36" s="60">
        <f>AVERAGE(Z30,Z24,Z18,Z12,Z6)</f>
        <v/>
      </c>
      <c r="AA36" s="60" t="n">
        <v>0.2</v>
      </c>
      <c r="AB36" s="57" t="n">
        <v>0</v>
      </c>
      <c r="AC36" s="57">
        <f>AVERAGE(AC30,AC24,AC18,AC12,AC6)</f>
        <v/>
      </c>
      <c r="AD36" s="57" t="n">
        <v>0</v>
      </c>
      <c r="AE36" s="59" t="n">
        <v>0.01</v>
      </c>
      <c r="AF36" s="59" t="n">
        <v>0.046</v>
      </c>
      <c r="AG36" s="59" t="n">
        <v>0.08</v>
      </c>
      <c r="AH36" s="59" t="n">
        <v>0</v>
      </c>
      <c r="AI36" s="64">
        <f>AVERAGE(AI30,AI24,AI18,AI12,AI6)</f>
        <v/>
      </c>
      <c r="AJ36" s="64" t="n">
        <v>2000</v>
      </c>
      <c r="AK36" s="74" t="n">
        <v>0</v>
      </c>
      <c r="AL36" s="58">
        <f>AVERAGE(AL30,AL24,AL18,AL12,AL6)</f>
        <v/>
      </c>
      <c r="AM36" s="62" t="n">
        <v>5</v>
      </c>
      <c r="AN36" s="62" t="n">
        <v>0</v>
      </c>
      <c r="AO36" s="59">
        <f>AVERAGE(AO30,AO24,AO18,AO12,AO6)</f>
        <v/>
      </c>
      <c r="AP36" s="59" t="n">
        <v>0.2</v>
      </c>
      <c r="AQ36" s="59">
        <f>AVERAGE(AQ30,AQ24,AQ18,AQ12,AQ6)</f>
        <v/>
      </c>
      <c r="AR36" s="65">
        <f>MIN(AR30,AR24,AR18,AR12,AR6)</f>
        <v/>
      </c>
      <c r="AS36" s="65">
        <f>AVERAGE(AS30,AS24,AS18,AS12,AS6)</f>
        <v/>
      </c>
      <c r="AT36" s="65">
        <f>MAX(AT30,AT24,AT18,AT12,AT6)</f>
        <v/>
      </c>
      <c r="AU36" s="65">
        <f>MIN(AU30,AU24,AU18,AU12,AU6)</f>
        <v/>
      </c>
      <c r="AV36" s="65">
        <f>AVERAGE(AV30,AV24,AV18,AV12,AV6)</f>
        <v/>
      </c>
      <c r="AW36" s="65">
        <f>MAX(AW30,AW24,AW18,AW12,AW6)</f>
        <v/>
      </c>
      <c r="AX36" s="65">
        <f>MIN(AX30,AX24,AX18,AX12,AX6)</f>
        <v/>
      </c>
      <c r="AY36" s="65">
        <f>AVERAGE(AY30,AY24,AY18,AY12,AY6)</f>
        <v/>
      </c>
      <c r="AZ36" s="65">
        <f>MAX(AZ30,AZ24,AZ18,AZ12,AZ6)</f>
        <v/>
      </c>
      <c r="BA36" s="78">
        <f>($AS36+($AS36*$J36)+($AS36*$T36)+($AS36*$W36)+($AS36*$Z36)+($AS36*$AC36)+($AS36*$AF36)+($AI36)+($AS36*((52+$AL36)/52))*(1+$AO36))*1/$Q36</f>
        <v/>
      </c>
      <c r="BB36" s="78">
        <f>($AS36+($AS36*$K36)+($AS36*$T36)+($AS36*$W36)+($AS36*$Z36)+($AS36*$AC36)+($AS36*$AF36)+($AI36)+($AS36*((52+$AL36)/52))*(1+$AO36))*1/$Q36</f>
        <v/>
      </c>
      <c r="BC36" s="78">
        <f>($AS36+($AS36*$L36)+($AS36*$T36)+($AS36*$W36)+($AS36*$Z36)+($AS36*$AC36)+($AS36*$AF36)+($AI36)+($AS36*((52+$AL36)/52))*(1+$AO36))*1/$Q36</f>
        <v/>
      </c>
      <c r="BD36" s="78">
        <f>BA36/52/$N36</f>
        <v/>
      </c>
      <c r="BE36" s="78">
        <f>BB36/52/$N36</f>
        <v/>
      </c>
      <c r="BF36" s="78">
        <f>BC36/52/$N36</f>
        <v/>
      </c>
      <c r="BG36" s="78">
        <f>($AS36+($AS36*$K36)+($AS36*$T36)+($AS36*$W36)+($AS36*$Z36)+($AS36*$AC36)+($AS36*$AF36)+($AI36)+($AS36*((52+$AL36)/52))*(1+$AO36))*1/$Q36</f>
        <v/>
      </c>
      <c r="BH36" s="78">
        <f>($AS36+($AS36*$K36)+($AS36*$T36)+($AS36*$W36)+($AS36*$Z36)+($AS36*$AC36)+($AS36*$AF36)+($AI36)+($AS36*((52+$AL36)/52))*(1+$AO36))*1/$Q36</f>
        <v/>
      </c>
      <c r="BI36" s="78">
        <f>($AS36+($AS36*$K36)+($AS36*$T36)+($AS36*$W36)+($AS36*$Z36)+($AS36*$AC36)+($AS36*$AF36)+($AI36)+($AS36*((52+$AL36)/52))*(1+$AO36))*1/$Q36</f>
        <v/>
      </c>
      <c r="BJ36" s="78">
        <f>BG36/52/$O36</f>
        <v/>
      </c>
      <c r="BK36" s="78">
        <f>BH36/52/$N36</f>
        <v/>
      </c>
      <c r="BL36" s="78">
        <f>BI36/52/$M36</f>
        <v/>
      </c>
      <c r="BM36" s="78">
        <f>($AS36+($AS36*$K36)+($AS36*$S36)+($AS36*$W36)+($AS36*$Z36)+($AS36*$AC36)+($AS36*$AF36)+($AI36)+($AS36*((52+$AL36)/52))*(1+$AO36))*1/$Q36</f>
        <v/>
      </c>
      <c r="BN36" s="78">
        <f>($AS36+($AS36*$K36)+($AS36*$T36)+($AS36*$W36)+($AS36*$Z36)+($AS36*$AC36)+($AS36*$AF36)+($AI36)+($AS36*((52+$AL36)/52))*(1+$AO36))*1/$Q36</f>
        <v/>
      </c>
      <c r="BO36" s="78">
        <f>($AS36+($AS36*$K36)+($AS36*$U36)+($AS36*$W36)+($AS36*$Z36)+($AS36*$AC36)+($AS36*$AF36)+($AI36)+($AS36*((52+$AL36)/52))*(1+$AO36))*1/$Q36</f>
        <v/>
      </c>
      <c r="BP36" s="78">
        <f>BM36/52/$N36</f>
        <v/>
      </c>
      <c r="BQ36" s="78">
        <f>BN36/52/$N36</f>
        <v/>
      </c>
      <c r="BR36" s="78">
        <f>BO36/52/$N36</f>
        <v/>
      </c>
      <c r="BS36" s="78">
        <f>($AS36+($AS36*$K36)+($AS36*$T36)+($AS36*$V36)+($AS36*$Z36)+($AS36*$AC36)+($AS36*$AF36)+($AI36)+($AS36*((52+$AL36)/52))*(1+$AO36))*1/$Q36</f>
        <v/>
      </c>
      <c r="BT36" s="78">
        <f>($AS36+($AS36*$K36)+($AS36*$T36)+($AS36*$W36)+($AS36*$Z36)+($AS36*$AC36)+($AS36*$AF36)+($AI36)+($AS36*((52+$AL36)/52))*(1+$AO36))*1/$Q36</f>
        <v/>
      </c>
      <c r="BU36" s="78">
        <f>($AS36+($AS36*$K36)+($AS36*$T36)+($AS36*$X36)+($AS36*$Z36)+($AS36*$AC36)+($AS36*$AF36)+($AI36)+($AS36*((52+$AL36)/52))*(1+$AO36))*1/$Q36</f>
        <v/>
      </c>
      <c r="BV36" s="78">
        <f>BS36/52/$N36</f>
        <v/>
      </c>
      <c r="BW36" s="78">
        <f>BT36/52/$N36</f>
        <v/>
      </c>
      <c r="BX36" s="78">
        <f>BU36/52/$N36</f>
        <v/>
      </c>
      <c r="BY36" s="78">
        <f>($AS36+($AS36*$K36)+($AS36*$T36)+($AS36*$W36)+($AS36*$Y36)+($AS36*$AC36)+($AS36*$AF36)+($AI36)+($AS36*((52+$AL36)/52))*(1+$AO36))*1/$Q36</f>
        <v/>
      </c>
      <c r="BZ36" s="78">
        <f>($AS36+($AS36*$K36)+($AS36*$T36)+($AS36*$W36)+($AS36*$Z36)+($AS36*$AC36)+($AS36*$AF36)+($AI36)+($AS36*((52+$AL36)/52))*(1+$AO36))*1/$Q36</f>
        <v/>
      </c>
      <c r="CA36" s="78">
        <f>($AS36+($AS36*$K36)+($AS36*$T36)+($AS36*$W36)+($AS36*$AA36)+($AS36*$AC36)+($AS36*$AF36)+($AI36)+($AS36*((52+$AL36)/52))*(1+$AO36))*1/$Q36</f>
        <v/>
      </c>
      <c r="CB36" s="78">
        <f>BY36/52/$N36</f>
        <v/>
      </c>
      <c r="CC36" s="78">
        <f>BZ36/52/$N36</f>
        <v/>
      </c>
      <c r="CD36" s="78">
        <f>CA36/52/$N36</f>
        <v/>
      </c>
      <c r="CE36" s="78">
        <f>($AS36+($AS36*$K36)+($AS36*$T36)+($AS36*$W36)+($AS36*$Z36)+($AS36*$AB36)+($AS36*$AF36)+($AI36)+($AS36*((52+$AL36)/52))*(1+$AO36))*1/$Q36</f>
        <v/>
      </c>
      <c r="CF36" s="78">
        <f>($AS36+($AS36*$K36)+($AS36*$T36)+($AS36*$W36)+($AS36*$Z36)+($AS36*$AC36)+($AS36*$AF36)+($AI36)+($AS36*((52+$AL36)/52))*(1+$AO36))*1/$Q36</f>
        <v/>
      </c>
      <c r="CG36" s="78">
        <f>($AS36+($AS36*$K36)+($AS36*$T36)+($AS36*$W36)+($AS36*$Z36)+($AS36*$AD36)+($AS36*$AF36)+($AI36)+($AS36*((52+$AL36)/52))*(1+$AO36))*1/$Q36</f>
        <v/>
      </c>
      <c r="CH36" s="78">
        <f>CE36/52/$N36</f>
        <v/>
      </c>
      <c r="CI36" s="78">
        <f>CF36/52/$N36</f>
        <v/>
      </c>
      <c r="CJ36" s="78">
        <f>CG36/52/$N36</f>
        <v/>
      </c>
      <c r="CK36" s="78">
        <f>($AS36+($AS36*$K36)+($AS36*$T36)+($AS36*$W36)+($AS36*$Z36)+($AS36*$AC36)+($AS36*$AE36)+($AI36)+($AS36*((52+$AL36)/52))*(1+$AO36))*1/$Q36</f>
        <v/>
      </c>
      <c r="CL36" s="78">
        <f>($AS36+($AS36*$K36)+($AS36*$T36)+($AS36*$W36)+($AS36*$Z36)+($AS36*$AC36)+($AS36*$AF36)+($AI36)+($AS36*((52+$AL36)/52))*(1+$AO36))*1/$Q36</f>
        <v/>
      </c>
      <c r="CM36" s="78">
        <f>($AS36+($AS36*$K36)+($AS36*$T36)+($AS36*$W36)+($AS36*$Z36)+($AS36*$AC36)+($AS36*$AG36)+($AI36)+($AS36*((52+$AL36)/52))*(1+$AO36))*1/$Q36</f>
        <v/>
      </c>
      <c r="CN36" s="78">
        <f>CK36/52/$N36</f>
        <v/>
      </c>
      <c r="CO36" s="78">
        <f>CL36/52/$N36</f>
        <v/>
      </c>
      <c r="CP36" s="78">
        <f>CM36/52/$N36</f>
        <v/>
      </c>
      <c r="CQ36" s="78">
        <f>($AS36+($AS36*$K36)+($AS36*$T36)+($AS36*$W36)+($AS36*$Z36)+($AS36*$AC36)+($AS36*$AF36)+($AH36)+($AS36*((52+$AL36)/52))*(1+$AO36))*1/$Q36</f>
        <v/>
      </c>
      <c r="CR36" s="78">
        <f>($AS36+($AS36*$K36)+($AS36*$T36)+($AS36*$W36)+($AS36*$Z36)+($AS36*$AC36)+($AS36*$AF36)+($AI36)+($AS36*((52+$AL36)/52))*(1+$AO36))*1/$Q36</f>
        <v/>
      </c>
      <c r="CS36" s="78">
        <f>($AS36+($AS36*$K36)+($AS36*$T36)+($AS36*$W36)+($AS36*$Z36)+($AS36*$AC36)+($AS36*$AF36)+($AJ36)+($AS36*((52+$AL36)/52))*(1+$AO36))*1/$Q36</f>
        <v/>
      </c>
      <c r="CT36" s="78">
        <f>CQ36/52/$N36</f>
        <v/>
      </c>
      <c r="CU36" s="78">
        <f>CR36/52/$N36</f>
        <v/>
      </c>
      <c r="CV36" s="78">
        <f>CS36/52/$N36</f>
        <v/>
      </c>
      <c r="CW36" s="78">
        <f>($AS36+($AS36*$K36)+($AS36*$T36)+($AS36*$W36)+($AS36*$Z36)+($AS36*$AC36)+($AS36*$AF36)+($AI36)+($AS36*((52+$AK36)/52))*(1+$AO36))*1/$Q36</f>
        <v/>
      </c>
      <c r="CX36" s="78">
        <f>($AS36+($AS36*$K36)+($AS36*$T36)+($AS36*$W36)+($AS36*$Z36)+($AS36*$AC36)+($AS36*$AF36)+($AI36)+($AS36*((52+$AL36)/52))*(1+$AO36))*1/$Q36</f>
        <v/>
      </c>
      <c r="CY36" s="78">
        <f>($AS36+($AS36*$K36)+($AS36*$T36)+($AS36*$W36)+($AS36*$Z36)+($AS36*$AC36)+($AS36*$AF36)+($AI36)+($AS36*((52+$AM36)/52))*(1+$AO36))*1/$Q36</f>
        <v/>
      </c>
      <c r="CZ36" s="78">
        <f>CW36/52/$N36</f>
        <v/>
      </c>
      <c r="DA36" s="78">
        <f>CX36/52/$N36</f>
        <v/>
      </c>
      <c r="DB36" s="78">
        <f>CY36/52/$N36</f>
        <v/>
      </c>
      <c r="DC36" s="78">
        <f>(AR36+(AR36*$K36)+(AR36*$T36)+(AR36*$W36)+(AR36*$Z36)+(AR36*$AC36)+(AR36*$AF36)+($AI36)+(AR36*((52+$AL36)/52))*(1+$AO36))*1/$Q36</f>
        <v/>
      </c>
      <c r="DD36" s="78">
        <f>(AS36+(AS36*$K36)+(AS36*$T36)+(AS36*$W36)+(AS36*$Z36)+(AS36*$AC36)+(AS36*$AF36)+($AI36)+(AS36*((52+$AL36)/52))*(1+$AO36))*1/$Q36</f>
        <v/>
      </c>
      <c r="DE36" s="78">
        <f>(AT36+(AT36*$K36)+(AT36*$T36)+(AT36*$W36)+(AT36*$Z36)+(AT36*$AC36)+(AT36*$AF36)+($AI36)+(AT36*((52+$AL36)/52))*(1+$AO36))*1/$Q36</f>
        <v/>
      </c>
      <c r="DF36" s="78">
        <f>DC36/52/$N36</f>
        <v/>
      </c>
      <c r="DG36" s="78">
        <f>DD36/52/$N36</f>
        <v/>
      </c>
      <c r="DH36" s="78">
        <f>DE36/52/$N36</f>
        <v/>
      </c>
    </row>
    <row r="37">
      <c r="A37" s="45" t="inlineStr">
        <is>
          <t>ALL</t>
        </is>
      </c>
      <c r="B37" s="46" t="inlineStr">
        <is>
          <t>Bioinformatics staff</t>
        </is>
      </c>
      <c r="J37" s="70" t="n">
        <v>0.105</v>
      </c>
      <c r="K37" s="57" t="n">
        <v>0.11</v>
      </c>
      <c r="L37" s="57" t="n">
        <v>0.1275</v>
      </c>
      <c r="M37" s="73" t="n">
        <v>36.3</v>
      </c>
      <c r="N37" s="73" t="n">
        <v>38</v>
      </c>
      <c r="O37" s="73" t="n">
        <v>40</v>
      </c>
      <c r="Q37" s="59">
        <f>AVERAGE(Q31,Q25,Q19,Q13,Q7)</f>
        <v/>
      </c>
      <c r="S37" s="59" t="n">
        <v>0</v>
      </c>
      <c r="T37" s="59">
        <f>AVERAGE(T31,T25,T19,T13,T7)</f>
        <v/>
      </c>
      <c r="U37" s="59" t="n">
        <v>0.3</v>
      </c>
      <c r="V37" s="57" t="n">
        <v>0.0295</v>
      </c>
      <c r="W37" s="57" t="n">
        <v>0.035</v>
      </c>
      <c r="X37" s="57" t="n">
        <v>0.04</v>
      </c>
      <c r="Y37" s="59" t="n">
        <v>0</v>
      </c>
      <c r="Z37" s="60">
        <f>AVERAGE(Z31,Z25,Z19,Z13,Z7)</f>
        <v/>
      </c>
      <c r="AA37" s="60" t="n">
        <v>0.2</v>
      </c>
      <c r="AB37" s="57" t="n">
        <v>0</v>
      </c>
      <c r="AC37" s="57">
        <f>AVERAGE(AC31,AC25,AC19,AC13,AC7)</f>
        <v/>
      </c>
      <c r="AD37" s="57" t="n">
        <v>0</v>
      </c>
      <c r="AE37" s="59" t="n">
        <v>0.01</v>
      </c>
      <c r="AF37" s="59" t="n">
        <v>0.046</v>
      </c>
      <c r="AG37" s="59" t="n">
        <v>0.08</v>
      </c>
      <c r="AH37" s="59" t="n">
        <v>0</v>
      </c>
      <c r="AI37" s="64">
        <f>AVERAGE(AI31,AI25,AI19,AI13,AI7)</f>
        <v/>
      </c>
      <c r="AJ37" s="64" t="n">
        <v>2000</v>
      </c>
      <c r="AK37" s="74" t="n">
        <v>0</v>
      </c>
      <c r="AL37" s="58">
        <f>AVERAGE(AL31,AL25,AL19,AL13,AL7)</f>
        <v/>
      </c>
      <c r="AM37" s="62" t="n">
        <v>5</v>
      </c>
      <c r="AN37" s="62" t="n">
        <v>0</v>
      </c>
      <c r="AO37" s="59">
        <f>AVERAGE(AO31,AO25,AO19,AO13,AO7)</f>
        <v/>
      </c>
      <c r="AP37" s="59" t="n">
        <v>0.2</v>
      </c>
      <c r="AQ37" s="59">
        <f>AVERAGE(AQ31,AQ25,AQ19,AQ13,AQ7)</f>
        <v/>
      </c>
      <c r="AR37" s="65">
        <f>MIN(AR31,AR25,AR19,AR13,AR7)</f>
        <v/>
      </c>
      <c r="AS37" s="65">
        <f>AVERAGE(AS31,AS25,AS19,AS13,AS7)</f>
        <v/>
      </c>
      <c r="AT37" s="65">
        <f>MAX(AT31,AT25,AT19,AT13,AT7)</f>
        <v/>
      </c>
      <c r="AU37" s="65">
        <f>MIN(AU31,AU25,AU19,AU13,AU7)</f>
        <v/>
      </c>
      <c r="AV37" s="65">
        <f>AVERAGE(AV31,AV25,AV19,AV13,AV7)</f>
        <v/>
      </c>
      <c r="AW37" s="65">
        <f>MAX(AW31,AW25,AW19,AW13,AW7)</f>
        <v/>
      </c>
      <c r="AX37" s="65">
        <f>MIN(AX31,AX25,AX19,AX13,AX7)</f>
        <v/>
      </c>
      <c r="AY37" s="65">
        <f>AVERAGE(AY31,AY25,AY19,AY13,AY7)</f>
        <v/>
      </c>
      <c r="AZ37" s="65">
        <f>MAX(AZ31,AZ25,AZ19,AZ13,AZ7)</f>
        <v/>
      </c>
      <c r="BA37" s="78">
        <f>($AS37+($AS37*$J37)+($AS37*$T37)+($AS37*$W37)+($AS37*$Z37)+($AS37*$AC37)+($AS37*$AF37)+($AI37)+($AS37*((52+$AL37)/52))*(1+$AO37))*1/$Q37</f>
        <v/>
      </c>
      <c r="BB37" s="78">
        <f>($AS37+($AS37*$K37)+($AS37*$T37)+($AS37*$W37)+($AS37*$Z37)+($AS37*$AC37)+($AS37*$AF37)+($AI37)+($AS37*((52+$AL37)/52))*(1+$AO37))*1/$Q37</f>
        <v/>
      </c>
      <c r="BC37" s="78">
        <f>($AS37+($AS37*$L37)+($AS37*$T37)+($AS37*$W37)+($AS37*$Z37)+($AS37*$AC37)+($AS37*$AF37)+($AI37)+($AS37*((52+$AL37)/52))*(1+$AO37))*1/$Q37</f>
        <v/>
      </c>
      <c r="BD37" s="78">
        <f>BA37/52/$N37</f>
        <v/>
      </c>
      <c r="BE37" s="78">
        <f>BB37/52/$N37</f>
        <v/>
      </c>
      <c r="BF37" s="78">
        <f>BC37/52/$N37</f>
        <v/>
      </c>
      <c r="BG37" s="78">
        <f>($AS37+($AS37*$K37)+($AS37*$T37)+($AS37*$W37)+($AS37*$Z37)+($AS37*$AC37)+($AS37*$AF37)+($AI37)+($AS37*((52+$AL37)/52))*(1+$AO37))*1/$Q37</f>
        <v/>
      </c>
      <c r="BH37" s="78">
        <f>($AS37+($AS37*$K37)+($AS37*$T37)+($AS37*$W37)+($AS37*$Z37)+($AS37*$AC37)+($AS37*$AF37)+($AI37)+($AS37*((52+$AL37)/52))*(1+$AO37))*1/$Q37</f>
        <v/>
      </c>
      <c r="BI37" s="78">
        <f>($AS37+($AS37*$K37)+($AS37*$T37)+($AS37*$W37)+($AS37*$Z37)+($AS37*$AC37)+($AS37*$AF37)+($AI37)+($AS37*((52+$AL37)/52))*(1+$AO37))*1/$Q37</f>
        <v/>
      </c>
      <c r="BJ37" s="78">
        <f>BG37/52/$O37</f>
        <v/>
      </c>
      <c r="BK37" s="78">
        <f>BH37/52/$N37</f>
        <v/>
      </c>
      <c r="BL37" s="78">
        <f>BI37/52/$M37</f>
        <v/>
      </c>
      <c r="BM37" s="78">
        <f>($AS37+($AS37*$K37)+($AS37*$S37)+($AS37*$W37)+($AS37*$Z37)+($AS37*$AC37)+($AS37*$AF37)+($AI37)+($AS37*((52+$AL37)/52))*(1+$AO37))*1/$Q37</f>
        <v/>
      </c>
      <c r="BN37" s="78">
        <f>($AS37+($AS37*$K37)+($AS37*$T37)+($AS37*$W37)+($AS37*$Z37)+($AS37*$AC37)+($AS37*$AF37)+($AI37)+($AS37*((52+$AL37)/52))*(1+$AO37))*1/$Q37</f>
        <v/>
      </c>
      <c r="BO37" s="78">
        <f>($AS37+($AS37*$K37)+($AS37*$U37)+($AS37*$W37)+($AS37*$Z37)+($AS37*$AC37)+($AS37*$AF37)+($AI37)+($AS37*((52+$AL37)/52))*(1+$AO37))*1/$Q37</f>
        <v/>
      </c>
      <c r="BP37" s="78">
        <f>BM37/52/$N37</f>
        <v/>
      </c>
      <c r="BQ37" s="78">
        <f>BN37/52/$N37</f>
        <v/>
      </c>
      <c r="BR37" s="78">
        <f>BO37/52/$N37</f>
        <v/>
      </c>
      <c r="BS37" s="78">
        <f>($AS37+($AS37*$K37)+($AS37*$T37)+($AS37*$V37)+($AS37*$Z37)+($AS37*$AC37)+($AS37*$AF37)+($AI37)+($AS37*((52+$AL37)/52))*(1+$AO37))*1/$Q37</f>
        <v/>
      </c>
      <c r="BT37" s="78">
        <f>($AS37+($AS37*$K37)+($AS37*$T37)+($AS37*$W37)+($AS37*$Z37)+($AS37*$AC37)+($AS37*$AF37)+($AI37)+($AS37*((52+$AL37)/52))*(1+$AO37))*1/$Q37</f>
        <v/>
      </c>
      <c r="BU37" s="78">
        <f>($AS37+($AS37*$K37)+($AS37*$T37)+($AS37*$X37)+($AS37*$Z37)+($AS37*$AC37)+($AS37*$AF37)+($AI37)+($AS37*((52+$AL37)/52))*(1+$AO37))*1/$Q37</f>
        <v/>
      </c>
      <c r="BV37" s="78">
        <f>BS37/52/$N37</f>
        <v/>
      </c>
      <c r="BW37" s="78">
        <f>BT37/52/$N37</f>
        <v/>
      </c>
      <c r="BX37" s="78">
        <f>BU37/52/$N37</f>
        <v/>
      </c>
      <c r="BY37" s="78">
        <f>($AS37+($AS37*$K37)+($AS37*$T37)+($AS37*$W37)+($AS37*$Y37)+($AS37*$AC37)+($AS37*$AF37)+($AI37)+($AS37*((52+$AL37)/52))*(1+$AO37))*1/$Q37</f>
        <v/>
      </c>
      <c r="BZ37" s="78">
        <f>($AS37+($AS37*$K37)+($AS37*$T37)+($AS37*$W37)+($AS37*$Z37)+($AS37*$AC37)+($AS37*$AF37)+($AI37)+($AS37*((52+$AL37)/52))*(1+$AO37))*1/$Q37</f>
        <v/>
      </c>
      <c r="CA37" s="78">
        <f>($AS37+($AS37*$K37)+($AS37*$T37)+($AS37*$W37)+($AS37*$AA37)+($AS37*$AC37)+($AS37*$AF37)+($AI37)+($AS37*((52+$AL37)/52))*(1+$AO37))*1/$Q37</f>
        <v/>
      </c>
      <c r="CB37" s="78">
        <f>BY37/52/$N37</f>
        <v/>
      </c>
      <c r="CC37" s="78">
        <f>BZ37/52/$N37</f>
        <v/>
      </c>
      <c r="CD37" s="78">
        <f>CA37/52/$N37</f>
        <v/>
      </c>
      <c r="CE37" s="78">
        <f>($AS37+($AS37*$K37)+($AS37*$T37)+($AS37*$W37)+($AS37*$Z37)+($AS37*$AB37)+($AS37*$AF37)+($AI37)+($AS37*((52+$AL37)/52))*(1+$AO37))*1/$Q37</f>
        <v/>
      </c>
      <c r="CF37" s="78">
        <f>($AS37+($AS37*$K37)+($AS37*$T37)+($AS37*$W37)+($AS37*$Z37)+($AS37*$AC37)+($AS37*$AF37)+($AI37)+($AS37*((52+$AL37)/52))*(1+$AO37))*1/$Q37</f>
        <v/>
      </c>
      <c r="CG37" s="78">
        <f>($AS37+($AS37*$K37)+($AS37*$T37)+($AS37*$W37)+($AS37*$Z37)+($AS37*$AD37)+($AS37*$AF37)+($AI37)+($AS37*((52+$AL37)/52))*(1+$AO37))*1/$Q37</f>
        <v/>
      </c>
      <c r="CH37" s="78">
        <f>CE37/52/$N37</f>
        <v/>
      </c>
      <c r="CI37" s="78">
        <f>CF37/52/$N37</f>
        <v/>
      </c>
      <c r="CJ37" s="78">
        <f>CG37/52/$N37</f>
        <v/>
      </c>
      <c r="CK37" s="78">
        <f>($AS37+($AS37*$K37)+($AS37*$T37)+($AS37*$W37)+($AS37*$Z37)+($AS37*$AC37)+($AS37*$AE37)+($AI37)+($AS37*((52+$AL37)/52))*(1+$AO37))*1/$Q37</f>
        <v/>
      </c>
      <c r="CL37" s="78">
        <f>($AS37+($AS37*$K37)+($AS37*$T37)+($AS37*$W37)+($AS37*$Z37)+($AS37*$AC37)+($AS37*$AF37)+($AI37)+($AS37*((52+$AL37)/52))*(1+$AO37))*1/$Q37</f>
        <v/>
      </c>
      <c r="CM37" s="78">
        <f>($AS37+($AS37*$K37)+($AS37*$T37)+($AS37*$W37)+($AS37*$Z37)+($AS37*$AC37)+($AS37*$AG37)+($AI37)+($AS37*((52+$AL37)/52))*(1+$AO37))*1/$Q37</f>
        <v/>
      </c>
      <c r="CN37" s="78">
        <f>CK37/52/$N37</f>
        <v/>
      </c>
      <c r="CO37" s="78">
        <f>CL37/52/$N37</f>
        <v/>
      </c>
      <c r="CP37" s="78">
        <f>CM37/52/$N37</f>
        <v/>
      </c>
      <c r="CQ37" s="78">
        <f>($AS37+($AS37*$K37)+($AS37*$T37)+($AS37*$W37)+($AS37*$Z37)+($AS37*$AC37)+($AS37*$AF37)+($AH37)+($AS37*((52+$AL37)/52))*(1+$AO37))*1/$Q37</f>
        <v/>
      </c>
      <c r="CR37" s="78">
        <f>($AS37+($AS37*$K37)+($AS37*$T37)+($AS37*$W37)+($AS37*$Z37)+($AS37*$AC37)+($AS37*$AF37)+($AI37)+($AS37*((52+$AL37)/52))*(1+$AO37))*1/$Q37</f>
        <v/>
      </c>
      <c r="CS37" s="78">
        <f>($AS37+($AS37*$K37)+($AS37*$T37)+($AS37*$W37)+($AS37*$Z37)+($AS37*$AC37)+($AS37*$AF37)+($AJ37)+($AS37*((52+$AL37)/52))*(1+$AO37))*1/$Q37</f>
        <v/>
      </c>
      <c r="CT37" s="78">
        <f>CQ37/52/$N37</f>
        <v/>
      </c>
      <c r="CU37" s="78">
        <f>CR37/52/$N37</f>
        <v/>
      </c>
      <c r="CV37" s="78">
        <f>CS37/52/$N37</f>
        <v/>
      </c>
      <c r="CW37" s="78">
        <f>($AS37+($AS37*$K37)+($AS37*$T37)+($AS37*$W37)+($AS37*$Z37)+($AS37*$AC37)+($AS37*$AF37)+($AI37)+($AS37*((52+$AK37)/52))*(1+$AO37))*1/$Q37</f>
        <v/>
      </c>
      <c r="CX37" s="78">
        <f>($AS37+($AS37*$K37)+($AS37*$T37)+($AS37*$W37)+($AS37*$Z37)+($AS37*$AC37)+($AS37*$AF37)+($AI37)+($AS37*((52+$AL37)/52))*(1+$AO37))*1/$Q37</f>
        <v/>
      </c>
      <c r="CY37" s="78">
        <f>($AS37+($AS37*$K37)+($AS37*$T37)+($AS37*$W37)+($AS37*$Z37)+($AS37*$AC37)+($AS37*$AF37)+($AI37)+($AS37*((52+$AM37)/52))*(1+$AO37))*1/$Q37</f>
        <v/>
      </c>
      <c r="CZ37" s="78">
        <f>CW37/52/$N37</f>
        <v/>
      </c>
      <c r="DA37" s="78">
        <f>CX37/52/$N37</f>
        <v/>
      </c>
      <c r="DB37" s="78">
        <f>CY37/52/$N37</f>
        <v/>
      </c>
      <c r="DC37" s="78">
        <f>(AR37+(AR37*$K37)+(AR37*$T37)+(AR37*$W37)+(AR37*$Z37)+(AR37*$AC37)+(AR37*$AF37)+($AI37)+(AR37*((52+$AL37)/52))*(1+$AO37))*1/$Q37</f>
        <v/>
      </c>
      <c r="DD37" s="78">
        <f>(AS37+(AS37*$K37)+(AS37*$T37)+(AS37*$W37)+(AS37*$Z37)+(AS37*$AC37)+(AS37*$AF37)+($AI37)+(AS37*((52+$AL37)/52))*(1+$AO37))*1/$Q37</f>
        <v/>
      </c>
      <c r="DE37" s="78">
        <f>(AT37+(AT37*$K37)+(AT37*$T37)+(AT37*$W37)+(AT37*$Z37)+(AT37*$AC37)+(AT37*$AF37)+($AI37)+(AT37*((52+$AL37)/52))*(1+$AO37))*1/$Q37</f>
        <v/>
      </c>
      <c r="DF37" s="78">
        <f>DC37/52/$N37</f>
        <v/>
      </c>
      <c r="DG37" s="78">
        <f>DD37/52/$N37</f>
        <v/>
      </c>
      <c r="DH37" s="78">
        <f>DE37/52/$N37</f>
        <v/>
      </c>
    </row>
    <row r="38">
      <c r="A38" s="45" t="inlineStr">
        <is>
          <t>ALL</t>
        </is>
      </c>
      <c r="B38" s="46" t="inlineStr">
        <is>
          <t>Pathologists</t>
        </is>
      </c>
      <c r="J38" s="70" t="n">
        <v>0.105</v>
      </c>
      <c r="K38" s="57" t="n">
        <v>0.11</v>
      </c>
      <c r="L38" s="57" t="n">
        <v>0.1275</v>
      </c>
      <c r="M38" s="73" t="n">
        <v>36.3</v>
      </c>
      <c r="N38" s="73" t="n">
        <v>38</v>
      </c>
      <c r="O38" s="73" t="n">
        <v>40</v>
      </c>
      <c r="Q38" s="59">
        <f>AVERAGE(Q32,Q26,Q20,Q14,Q8)</f>
        <v/>
      </c>
      <c r="S38" s="59" t="n">
        <v>0</v>
      </c>
      <c r="T38" s="59">
        <f>AVERAGE(T32,T26,T20,T14,T8)</f>
        <v/>
      </c>
      <c r="U38" s="59" t="n">
        <v>0.3</v>
      </c>
      <c r="V38" s="57" t="n">
        <v>0.0295</v>
      </c>
      <c r="W38" s="57" t="n">
        <v>0.035</v>
      </c>
      <c r="X38" s="57" t="n">
        <v>0.04</v>
      </c>
      <c r="Y38" s="59" t="n">
        <v>0</v>
      </c>
      <c r="Z38" s="60" t="n">
        <v>0.1</v>
      </c>
      <c r="AA38" s="60" t="n">
        <v>0.2</v>
      </c>
      <c r="AB38" s="57" t="n">
        <v>0</v>
      </c>
      <c r="AC38" s="57">
        <f>AVERAGE(AC32,AC26,AC20,AC14,AC8)</f>
        <v/>
      </c>
      <c r="AD38" s="57" t="n">
        <v>0.4</v>
      </c>
      <c r="AE38" s="59" t="n">
        <v>0.01</v>
      </c>
      <c r="AF38" s="59" t="n">
        <v>0.046</v>
      </c>
      <c r="AG38" s="59" t="n">
        <v>0.08</v>
      </c>
      <c r="AH38" s="59" t="n">
        <v>0</v>
      </c>
      <c r="AI38" s="64" t="n">
        <v>28909</v>
      </c>
      <c r="AJ38" s="64" t="n">
        <v>28909</v>
      </c>
      <c r="AK38" s="74" t="n">
        <v>0</v>
      </c>
      <c r="AL38" s="58">
        <f>AVERAGE(AL32,AL26,AL20,AL14,AL8)</f>
        <v/>
      </c>
      <c r="AM38" s="62" t="n">
        <v>5</v>
      </c>
      <c r="AN38" s="62" t="n">
        <v>0</v>
      </c>
      <c r="AO38" s="59">
        <f>AVERAGE(AO32,AO26,AO20,AO14,AO8)</f>
        <v/>
      </c>
      <c r="AP38" s="59" t="n">
        <v>0.2</v>
      </c>
      <c r="AQ38" s="59">
        <f>AVERAGE(AQ32,AQ26,AQ20,AQ14,AQ8)</f>
        <v/>
      </c>
      <c r="AR38" s="65">
        <f>MIN(AR32,AR26,AR20,AR14,AR8)</f>
        <v/>
      </c>
      <c r="AS38" s="65">
        <f>AVERAGE(AS32,AS26,AS20,AS14,AS8)</f>
        <v/>
      </c>
      <c r="AT38" s="65">
        <f>MAX(AT32,AT26,AT20,AT14,AT8)</f>
        <v/>
      </c>
      <c r="AU38" s="65">
        <f>MIN(AU32,AU26,AU20,AU14,AU8)</f>
        <v/>
      </c>
      <c r="AV38" s="65">
        <f>AVERAGE(AV32,AV26,AV20,AV14,AV8)</f>
        <v/>
      </c>
      <c r="AW38" s="65">
        <f>MAX(AW32,AW26,AW20,AW14,AW8)</f>
        <v/>
      </c>
      <c r="AX38" s="65">
        <f>MIN(AX32,AX26,AX20,AX14,AX8)</f>
        <v/>
      </c>
      <c r="AY38" s="65">
        <f>AVERAGE(AY32,AY26,AY20,AY14,AY8)</f>
        <v/>
      </c>
      <c r="AZ38" s="65">
        <f>MAX(AZ32,AZ26,AZ20,AZ14,AZ8)</f>
        <v/>
      </c>
      <c r="BA38" s="78">
        <f>($AS38+($AS38*$J38)+($AS38*$T38)+($AS38*$W38)+($AS38*$Z38)+($AS38*$AC38)+($AS38*$AF38)+($AI38)+($AS38*((52+$AL38)/52))*(1+$AO38))*1/$Q38</f>
        <v/>
      </c>
      <c r="BB38" s="78">
        <f>($AS38+($AS38*$K38)+($AS38*$T38)+($AS38*$W38)+($AS38*$Z38)+($AS38*$AC38)+($AS38*$AF38)+($AI38)+($AS38*((52+$AL38)/52))*(1+$AO38))*1/$Q38</f>
        <v/>
      </c>
      <c r="BC38" s="78">
        <f>($AS38+($AS38*$L38)+($AS38*$T38)+($AS38*$W38)+($AS38*$Z38)+($AS38*$AC38)+($AS38*$AF38)+($AI38)+($AS38*((52+$AL38)/52))*(1+$AO38))*1/$Q38</f>
        <v/>
      </c>
      <c r="BD38" s="78">
        <f>BA38/52/$N38</f>
        <v/>
      </c>
      <c r="BE38" s="78">
        <f>BB38/52/$N38</f>
        <v/>
      </c>
      <c r="BF38" s="78">
        <f>BC38/52/$N38</f>
        <v/>
      </c>
      <c r="BG38" s="78">
        <f>($AS38+($AS38*$K38)+($AS38*$T38)+($AS38*$W38)+($AS38*$Z38)+($AS38*$AC38)+($AS38*$AF38)+($AI38)+($AS38*((52+$AL38)/52))*(1+$AO38))*1/$Q38</f>
        <v/>
      </c>
      <c r="BH38" s="78">
        <f>($AS38+($AS38*$K38)+($AS38*$T38)+($AS38*$W38)+($AS38*$Z38)+($AS38*$AC38)+($AS38*$AF38)+($AI38)+($AS38*((52+$AL38)/52))*(1+$AO38))*1/$Q38</f>
        <v/>
      </c>
      <c r="BI38" s="78">
        <f>($AS38+($AS38*$K38)+($AS38*$T38)+($AS38*$W38)+($AS38*$Z38)+($AS38*$AC38)+($AS38*$AF38)+($AI38)+($AS38*((52+$AL38)/52))*(1+$AO38))*1/$Q38</f>
        <v/>
      </c>
      <c r="BJ38" s="78">
        <f>BG38/52/$O38</f>
        <v/>
      </c>
      <c r="BK38" s="78">
        <f>BH38/52/$N38</f>
        <v/>
      </c>
      <c r="BL38" s="78">
        <f>BI38/52/$M38</f>
        <v/>
      </c>
      <c r="BM38" s="78">
        <f>($AS38+($AS38*$K38)+($AS38*$S38)+($AS38*$W38)+($AS38*$Z38)+($AS38*$AC38)+($AS38*$AF38)+($AI38)+($AS38*((52+$AL38)/52))*(1+$AO38))*1/$Q38</f>
        <v/>
      </c>
      <c r="BN38" s="78">
        <f>($AS38+($AS38*$K38)+($AS38*$T38)+($AS38*$W38)+($AS38*$Z38)+($AS38*$AC38)+($AS38*$AF38)+($AI38)+($AS38*((52+$AL38)/52))*(1+$AO38))*1/$Q38</f>
        <v/>
      </c>
      <c r="BO38" s="78">
        <f>($AS38+($AS38*$K38)+($AS38*$U38)+($AS38*$W38)+($AS38*$Z38)+($AS38*$AC38)+($AS38*$AF38)+($AI38)+($AS38*((52+$AL38)/52))*(1+$AO38))*1/$Q38</f>
        <v/>
      </c>
      <c r="BP38" s="78">
        <f>BM38/52/$N38</f>
        <v/>
      </c>
      <c r="BQ38" s="78">
        <f>BN38/52/$N38</f>
        <v/>
      </c>
      <c r="BR38" s="78">
        <f>BO38/52/$N38</f>
        <v/>
      </c>
      <c r="BS38" s="78">
        <f>($AS38+($AS38*$K38)+($AS38*$T38)+($AS38*$V38)+($AS38*$Z38)+($AS38*$AC38)+($AS38*$AF38)+($AI38)+($AS38*((52+$AL38)/52))*(1+$AO38))*1/$Q38</f>
        <v/>
      </c>
      <c r="BT38" s="78">
        <f>($AS38+($AS38*$K38)+($AS38*$T38)+($AS38*$W38)+($AS38*$Z38)+($AS38*$AC38)+($AS38*$AF38)+($AI38)+($AS38*((52+$AL38)/52))*(1+$AO38))*1/$Q38</f>
        <v/>
      </c>
      <c r="BU38" s="78">
        <f>($AS38+($AS38*$K38)+($AS38*$T38)+($AS38*$X38)+($AS38*$Z38)+($AS38*$AC38)+($AS38*$AF38)+($AI38)+($AS38*((52+$AL38)/52))*(1+$AO38))*1/$Q38</f>
        <v/>
      </c>
      <c r="BV38" s="78">
        <f>BS38/52/$N38</f>
        <v/>
      </c>
      <c r="BW38" s="78">
        <f>BT38/52/$N38</f>
        <v/>
      </c>
      <c r="BX38" s="78">
        <f>BU38/52/$N38</f>
        <v/>
      </c>
      <c r="BY38" s="78">
        <f>($AS38+($AS38*$K38)+($AS38*$T38)+($AS38*$W38)+($AS38*$Y38)+($AS38*$AC38)+($AS38*$AF38)+($AI38)+($AS38*((52+$AL38)/52))*(1+$AO38))*1/$Q38</f>
        <v/>
      </c>
      <c r="BZ38" s="78">
        <f>($AS38+($AS38*$K38)+($AS38*$T38)+($AS38*$W38)+($AS38*$Z38)+($AS38*$AC38)+($AS38*$AF38)+($AI38)+($AS38*((52+$AL38)/52))*(1+$AO38))*1/$Q38</f>
        <v/>
      </c>
      <c r="CA38" s="78">
        <f>($AS38+($AS38*$K38)+($AS38*$T38)+($AS38*$W38)+($AS38*$AA38)+($AS38*$AC38)+($AS38*$AF38)+($AI38)+($AS38*((52+$AL38)/52))*(1+$AO38))*1/$Q38</f>
        <v/>
      </c>
      <c r="CB38" s="78">
        <f>BY38/52/$N38</f>
        <v/>
      </c>
      <c r="CC38" s="78">
        <f>BZ38/52/$N38</f>
        <v/>
      </c>
      <c r="CD38" s="78">
        <f>CA38/52/$N38</f>
        <v/>
      </c>
      <c r="CE38" s="78">
        <f>($AS38+($AS38*$K38)+($AS38*$T38)+($AS38*$W38)+($AS38*$Z38)+($AS38*$AB38)+($AS38*$AF38)+($AI38)+($AS38*((52+$AL38)/52))*(1+$AO38))*1/$Q38</f>
        <v/>
      </c>
      <c r="CF38" s="78">
        <f>($AS38+($AS38*$K38)+($AS38*$T38)+($AS38*$W38)+($AS38*$Z38)+($AS38*$AC38)+($AS38*$AF38)+($AI38)+($AS38*((52+$AL38)/52))*(1+$AO38))*1/$Q38</f>
        <v/>
      </c>
      <c r="CG38" s="78">
        <f>($AS38+($AS38*$K38)+($AS38*$T38)+($AS38*$W38)+($AS38*$Z38)+($AS38*$AD38)+($AS38*$AF38)+($AI38)+($AS38*((52+$AL38)/52))*(1+$AO38))*1/$Q38</f>
        <v/>
      </c>
      <c r="CH38" s="78">
        <f>CE38/52/$N38</f>
        <v/>
      </c>
      <c r="CI38" s="78">
        <f>CF38/52/$N38</f>
        <v/>
      </c>
      <c r="CJ38" s="78">
        <f>CG38/52/$N38</f>
        <v/>
      </c>
      <c r="CK38" s="78">
        <f>($AS38+($AS38*$K38)+($AS38*$T38)+($AS38*$W38)+($AS38*$Z38)+($AS38*$AC38)+($AS38*$AE38)+($AI38)+($AS38*((52+$AL38)/52))*(1+$AO38))*1/$Q38</f>
        <v/>
      </c>
      <c r="CL38" s="78">
        <f>($AS38+($AS38*$K38)+($AS38*$T38)+($AS38*$W38)+($AS38*$Z38)+($AS38*$AC38)+($AS38*$AF38)+($AI38)+($AS38*((52+$AL38)/52))*(1+$AO38))*1/$Q38</f>
        <v/>
      </c>
      <c r="CM38" s="78">
        <f>($AS38+($AS38*$K38)+($AS38*$T38)+($AS38*$W38)+($AS38*$Z38)+($AS38*$AC38)+($AS38*$AG38)+($AI38)+($AS38*((52+$AL38)/52))*(1+$AO38))*1/$Q38</f>
        <v/>
      </c>
      <c r="CN38" s="78">
        <f>CK38/52/$N38</f>
        <v/>
      </c>
      <c r="CO38" s="78">
        <f>CL38/52/$N38</f>
        <v/>
      </c>
      <c r="CP38" s="78">
        <f>CM38/52/$N38</f>
        <v/>
      </c>
      <c r="CQ38" s="78">
        <f>($AS38+($AS38*$K38)+($AS38*$T38)+($AS38*$W38)+($AS38*$Z38)+($AS38*$AC38)+($AS38*$AF38)+($AH38)+($AS38*((52+$AL38)/52))*(1+$AO38))*1/$Q38</f>
        <v/>
      </c>
      <c r="CR38" s="78">
        <f>($AS38+($AS38*$K38)+($AS38*$T38)+($AS38*$W38)+($AS38*$Z38)+($AS38*$AC38)+($AS38*$AF38)+($AI38)+($AS38*((52+$AL38)/52))*(1+$AO38))*1/$Q38</f>
        <v/>
      </c>
      <c r="CS38" s="78">
        <f>($AS38+($AS38*$K38)+($AS38*$T38)+($AS38*$W38)+($AS38*$Z38)+($AS38*$AC38)+($AS38*$AF38)+($AJ38)+($AS38*((52+$AL38)/52))*(1+$AO38))*1/$Q38</f>
        <v/>
      </c>
      <c r="CT38" s="78">
        <f>CQ38/52/$N38</f>
        <v/>
      </c>
      <c r="CU38" s="78">
        <f>CR38/52/$N38</f>
        <v/>
      </c>
      <c r="CV38" s="78">
        <f>CS38/52/$N38</f>
        <v/>
      </c>
      <c r="CW38" s="78">
        <f>($AS38+($AS38*$K38)+($AS38*$T38)+($AS38*$W38)+($AS38*$Z38)+($AS38*$AC38)+($AS38*$AF38)+($AI38)+($AS38*((52+$AK38)/52))*(1+$AO38))*1/$Q38</f>
        <v/>
      </c>
      <c r="CX38" s="78">
        <f>($AS38+($AS38*$K38)+($AS38*$T38)+($AS38*$W38)+($AS38*$Z38)+($AS38*$AC38)+($AS38*$AF38)+($AI38)+($AS38*((52+$AL38)/52))*(1+$AO38))*1/$Q38</f>
        <v/>
      </c>
      <c r="CY38" s="78">
        <f>($AS38+($AS38*$K38)+($AS38*$T38)+($AS38*$W38)+($AS38*$Z38)+($AS38*$AC38)+($AS38*$AF38)+($AI38)+($AS38*((52+$AM38)/52))*(1+$AO38))*1/$Q38</f>
        <v/>
      </c>
      <c r="CZ38" s="78">
        <f>CW38/52/$N38</f>
        <v/>
      </c>
      <c r="DA38" s="78">
        <f>CX38/52/$N38</f>
        <v/>
      </c>
      <c r="DB38" s="78">
        <f>CY38/52/$N38</f>
        <v/>
      </c>
      <c r="DC38" s="78">
        <f>(AR38+(AR38*$K38)+(AR38*$T38)+(AR38*$W38)+(AR38*$Z38)+(AR38*$AC38)+(AR38*$AF38)+($AI38)+(AR38*((52+$AL38)/52))*(1+$AO38))*1/$Q38</f>
        <v/>
      </c>
      <c r="DD38" s="78">
        <f>(AS38+(AS38*$K38)+(AS38*$T38)+(AS38*$W38)+(AS38*$Z38)+(AS38*$AC38)+(AS38*$AF38)+($AI38)+(AS38*((52+$AL38)/52))*(1+$AO38))*1/$Q38</f>
        <v/>
      </c>
      <c r="DE38" s="78">
        <f>(AT38+(AT38*$K38)+(AT38*$T38)+(AT38*$W38)+(AT38*$Z38)+(AT38*$AC38)+(AT38*$AF38)+($AI38)+(AT38*((52+$AL38)/52))*(1+$AO38))*1/$Q38</f>
        <v/>
      </c>
      <c r="DF38" s="78">
        <f>DC38/52/$N38</f>
        <v/>
      </c>
      <c r="DG38" s="78">
        <f>DD38/52/$N38</f>
        <v/>
      </c>
      <c r="DH38" s="78">
        <f>DE38/52/$N38</f>
        <v/>
      </c>
    </row>
    <row r="39">
      <c r="AK39" s="74" t="n">
        <v>0</v>
      </c>
    </row>
    <row r="40">
      <c r="A40" s="45" t="inlineStr">
        <is>
          <t>ALL</t>
        </is>
      </c>
      <c r="B40" s="46" t="inlineStr">
        <is>
          <t>Lab technician</t>
        </is>
      </c>
      <c r="K40" s="47">
        <f>TEXT(K34, "0.0%") &amp; " (" &amp; TEXT(MIN(K28,K22,K16,K10,K4), "0.0%") &amp; " - " &amp; TEXT(MAX(K28,K22,K16,K10,K4), "0.0%") &amp; ")"</f>
        <v/>
      </c>
      <c r="L40" s="47" t="n"/>
      <c r="M40" s="47" t="n"/>
      <c r="N40" s="47">
        <f>TEXT(N34, "0.0") &amp; " (" &amp; TEXT(MIN(N28,N22,N16,N10,N4), "0.0") &amp; " - " &amp; TEXT(MAX(N28,N22,N16,N10,N4), "0.0") &amp; ")"</f>
        <v/>
      </c>
      <c r="O40" s="47" t="n"/>
      <c r="P40" s="47" t="n"/>
      <c r="Q40" s="47">
        <f>TEXT(Q34, "0.0%") &amp; " (" &amp; TEXT(MIN(Q28,Q22,Q16,Q10,Q4), "0.0%") &amp; " - " &amp; TEXT(MAX(Q28,Q22,Q16,Q10,Q4), "0.0%") &amp; ")"</f>
        <v/>
      </c>
      <c r="R40" s="47" t="n"/>
      <c r="S40" s="47" t="n"/>
      <c r="T40" s="47">
        <f>TEXT(T34, "0.0%") &amp; " (" &amp; TEXT(MIN(T28,T22,T16,T10,T4), "0.0%") &amp; " - " &amp; TEXT(MAX(T28,T22,T16,T10,T4), "0.0%") &amp; ")"</f>
        <v/>
      </c>
      <c r="U40" s="47" t="n"/>
      <c r="V40" s="72" t="n"/>
      <c r="W40" s="72">
        <f>TEXT(W34, "0.0%") &amp; " (" &amp; TEXT(MIN(W28,W22,W16,W10,W4), "0.0%") &amp; " - " &amp; TEXT(MAX(W28,W22,W16,W10,W4), "0.0%") &amp; ")"</f>
        <v/>
      </c>
      <c r="X40" s="72" t="n"/>
      <c r="Y40" s="47" t="n"/>
      <c r="Z40" s="47">
        <f>TEXT(Z34, "0.0%") &amp; " (" &amp; TEXT(MIN(Z28,Z22,Z16,Z10,Z4), "0.0%") &amp; " - " &amp; TEXT(MAX(Z28,Z22,Z16,Z10,Z4), "0.0%") &amp; ")"</f>
        <v/>
      </c>
      <c r="AA40" s="47" t="n"/>
      <c r="AB40" s="72" t="n"/>
      <c r="AC40" s="72">
        <f>TEXT(AC34, "0.0%") &amp; " (" &amp; TEXT(MIN(AC28,AC22,AC16,AC10,AC4), "0.0%") &amp; " - " &amp; TEXT(MAX(AC28,AC22,AC16,AC10,AC4), "0.0%") &amp; ")"</f>
        <v/>
      </c>
      <c r="AD40" s="72" t="n"/>
      <c r="AE40" s="47" t="n"/>
      <c r="AF40" s="47">
        <f>TEXT(AF34, "0.0%") &amp; " (" &amp; TEXT(MIN(AF28,AF22,AF16,AF10,AF4), "0.0%") &amp; " - " &amp; TEXT(MAX(AF28,AF22,AF16,AF10,AF4), "0.0%") &amp; ")"</f>
        <v/>
      </c>
      <c r="AG40" s="47" t="n"/>
      <c r="AH40" s="47" t="n"/>
      <c r="AI40" s="47">
        <f>TEXT(AI34, "$0.0") &amp; " (" &amp; TEXT(MIN(AI28,AI22,AI16,AI10,AI4), "$0.0") &amp; " - " &amp; TEXT(MAX(AI28,AI22,AI16,AI10,AI4), "$0.0") &amp; ")"</f>
        <v/>
      </c>
      <c r="AJ40" s="47" t="n"/>
      <c r="AK40" s="76" t="n"/>
      <c r="AL40" s="47">
        <f>TEXT(AL34, "0.0") &amp; " (" &amp; TEXT(MIN(AL28,AL22,AL16,AL10,AL4), "0.0") &amp; " - " &amp; TEXT(MAX(AL28,AL22,AL16,AL10,AL4), "0.0") &amp; ")"</f>
        <v/>
      </c>
      <c r="AM40" s="47" t="n"/>
      <c r="AN40" s="47" t="n"/>
      <c r="AO40" s="47">
        <f>TEXT(AO34, "0.0%") &amp; " (" &amp; TEXT(MIN(AO28,AO22,AO16,AO10,AO4), "0.0%") &amp; " - " &amp; TEXT(MAX(AO28,AO22,AO16,AO10,AO4), "0.0%") &amp; ")"</f>
        <v/>
      </c>
      <c r="AP40" s="47" t="n"/>
      <c r="AQ40" s="47">
        <f>TEXT(AQ34, "0.0%") &amp; " (" &amp; TEXT(MIN(AQ28,AQ22,AQ16,AQ10,AQ4), "0.0%") &amp; " - " &amp; TEXT(MAX(AQ28,AQ22,AQ16,AQ10,AQ4), "0.0%") &amp; ")"</f>
        <v/>
      </c>
      <c r="AR40" s="47">
        <f>"AUD " &amp; TEXT(AS34, "0,0") &amp; " (" &amp; TEXT(AR34, "0,0") &amp; " - " &amp; TEXT(AT34, "0,0") &amp; ")"</f>
        <v/>
      </c>
      <c r="AU40" s="47">
        <f>"AUD " &amp; TEXT(AV34, "0,0") &amp; " (" &amp; TEXT(AU34, "0,0") &amp; " - " &amp; TEXT(AW34, "0,0") &amp; ")"</f>
        <v/>
      </c>
      <c r="AX40" s="47">
        <f>"AUD " &amp; TEXT(AY34, "0,0") &amp; " (" &amp; TEXT(AX34, "0,0") &amp; " - " &amp; TEXT(AZ34, "0,0") &amp; ")"</f>
        <v/>
      </c>
      <c r="BA40" s="47">
        <f>"AUD " &amp; TEXT(BB34, "0,0") &amp; " (" &amp; TEXT(BA34, "0,0") &amp; " - " &amp; TEXT(BC34, "0,0") &amp; ")"</f>
        <v/>
      </c>
      <c r="BD40" s="47">
        <f>"AUD " &amp; TEXT(BE34, "0,0") &amp; " (" &amp; TEXT(BD34, "0,0") &amp; " - " &amp; TEXT(BF34, "0,0") &amp; ")"</f>
        <v/>
      </c>
      <c r="BG40" s="47">
        <f>"AUD " &amp; TEXT(BH34, "0,0") &amp; " (" &amp; TEXT(BG34, "0,0") &amp; " - " &amp; TEXT(BI34, "0,0") &amp; ")"</f>
        <v/>
      </c>
      <c r="BJ40" s="47">
        <f>"AUD " &amp; TEXT(BK34, "0,0") &amp; " (" &amp; TEXT(BJ34, "0,0") &amp; " - " &amp; TEXT(BL34, "0,0") &amp; ")"</f>
        <v/>
      </c>
      <c r="BM40" s="47">
        <f>"AUD " &amp; TEXT(BN34, "0,0") &amp; " (" &amp; TEXT(BM34, "0,0") &amp; " - " &amp; TEXT(BO34, "0,0") &amp; ")"</f>
        <v/>
      </c>
      <c r="BP40" s="47">
        <f>"AUD " &amp; TEXT(BQ34, "0,0") &amp; " (" &amp; TEXT(BP34, "0,0") &amp; " - " &amp; TEXT(BR34, "0,0") &amp; ")"</f>
        <v/>
      </c>
      <c r="BS40" s="47">
        <f>"AUD " &amp; TEXT(BT34, "0,0") &amp; " (" &amp; TEXT(BS34, "0,0") &amp; " - " &amp; TEXT(BU34, "0,0") &amp; ")"</f>
        <v/>
      </c>
      <c r="BV40" s="47">
        <f>"AUD " &amp; TEXT(BW34, "0,0") &amp; " (" &amp; TEXT(BV34, "0,0") &amp; " - " &amp; TEXT(BX34, "0,0") &amp; ")"</f>
        <v/>
      </c>
      <c r="BY40" s="47">
        <f>"AUD " &amp; TEXT(BZ34, "0,0") &amp; " (" &amp; TEXT(BY34, "0,0") &amp; " - " &amp; TEXT(CA34, "0,0") &amp; ")"</f>
        <v/>
      </c>
      <c r="CB40" s="47">
        <f>"AUD " &amp; TEXT(CC34, "0,0") &amp; " (" &amp; TEXT(CB34, "0,0") &amp; " - " &amp; TEXT(CD34, "0,0") &amp; ")"</f>
        <v/>
      </c>
      <c r="CE40" s="47">
        <f>"AUD " &amp; TEXT(CF34, "0,0") &amp; " (" &amp; TEXT(CE34, "0,0") &amp; " - " &amp; TEXT(CG34, "0,0") &amp; ")"</f>
        <v/>
      </c>
      <c r="CH40" s="47">
        <f>"AUD " &amp; TEXT(CI34, "0,0") &amp; " (" &amp; TEXT(CH34, "0,0") &amp; " - " &amp; TEXT(CJ34, "0,0") &amp; ")"</f>
        <v/>
      </c>
      <c r="CK40" s="47">
        <f>"AUD " &amp; TEXT(CL34, "0,0") &amp; " (" &amp; TEXT(CK34, "0,0") &amp; " - " &amp; TEXT(CM34, "0,0") &amp; ")"</f>
        <v/>
      </c>
      <c r="CN40" s="47">
        <f>"AUD " &amp; TEXT(CO34, "0,0") &amp; " (" &amp; TEXT(CN34, "0,0") &amp; " - " &amp; TEXT(CP34, "0,0") &amp; ")"</f>
        <v/>
      </c>
      <c r="CQ40" s="47">
        <f>"AUD " &amp; TEXT(CR34, "0,0") &amp; " (" &amp; TEXT(CQ34, "0,0") &amp; " - " &amp; TEXT(CS34, "0,0") &amp; ")"</f>
        <v/>
      </c>
      <c r="CT40" s="47">
        <f>"AUD " &amp; TEXT(CU34, "0,0") &amp; " (" &amp; TEXT(CT34, "0,0") &amp; " - " &amp; TEXT(CV34, "0,0") &amp; ")"</f>
        <v/>
      </c>
      <c r="CW40" s="47">
        <f>"AUD " &amp; TEXT(CX34, "0,0") &amp; " (" &amp; TEXT(CW34, "0,0") &amp; " - " &amp; TEXT(CY34, "0,0") &amp; ")"</f>
        <v/>
      </c>
      <c r="CZ40" s="47">
        <f>"AUD " &amp; TEXT(DA34, "0,0") &amp; " (" &amp; TEXT(CZ34, "0,0") &amp; " - " &amp; TEXT(DB34, "0,0") &amp; ")"</f>
        <v/>
      </c>
      <c r="DC40" s="47">
        <f>"AUD " &amp; TEXT(DD34, "0,0") &amp; " (" &amp; TEXT(DC34, "0,0") &amp; " - " &amp; TEXT(DE34, "0,0") &amp; ")"</f>
        <v/>
      </c>
      <c r="DF40" s="47">
        <f>"AUD " &amp; TEXT(DG34, "0,0") &amp; " (" &amp; TEXT(DF34, "0,0") &amp; " - " &amp; TEXT(DH34, "0,0") &amp; ")"</f>
        <v/>
      </c>
    </row>
    <row r="41">
      <c r="A41" s="45" t="inlineStr">
        <is>
          <t>ALL</t>
        </is>
      </c>
      <c r="B41" s="46" t="inlineStr">
        <is>
          <t>Medical scientist</t>
        </is>
      </c>
      <c r="K41" s="47">
        <f>TEXT(K35, "0.0%") &amp; " (" &amp; TEXT(MIN(K29,K23,K17,K11,K5), "0.0%") &amp; " - " &amp; TEXT(MAX(K29,K23,K17,K11,K5), "0.0%") &amp; ")"</f>
        <v/>
      </c>
      <c r="L41" s="47" t="n"/>
      <c r="M41" s="47" t="n"/>
      <c r="N41" s="47">
        <f>TEXT(N35, "0.0") &amp; " (" &amp; TEXT(MIN(N29,N23,N17,N11,N5), "0.0") &amp; " - " &amp; TEXT(MAX(N29,N23,N17,N11,N5), "0.0") &amp; ")"</f>
        <v/>
      </c>
      <c r="O41" s="47" t="n"/>
      <c r="P41" s="47" t="n"/>
      <c r="Q41" s="47">
        <f>TEXT(Q35, "0.0%") &amp; " (" &amp; TEXT(MIN(Q29,Q23,Q17,Q11,Q5), "0.0%") &amp; " - " &amp; TEXT(MAX(Q29,Q23,Q17,Q11,Q5), "0.0%") &amp; ")"</f>
        <v/>
      </c>
      <c r="R41" s="47" t="n"/>
      <c r="S41" s="47" t="n"/>
      <c r="T41" s="47">
        <f>TEXT(T35, "0.0%") &amp; " (" &amp; TEXT(MIN(T29,T23,T17,T11,T5), "0.0%") &amp; " - " &amp; TEXT(MAX(T29,T23,T17,T11,T5), "0.0%") &amp; ")"</f>
        <v/>
      </c>
      <c r="U41" s="47" t="n"/>
      <c r="V41" s="72" t="n"/>
      <c r="W41" s="72">
        <f>TEXT(W35, "0.0%") &amp; " (" &amp; TEXT(MIN(W29,W23,W17,W11,W5), "0.0%") &amp; " - " &amp; TEXT(MAX(W29,W23,W17,W11,W5), "0.0%") &amp; ")"</f>
        <v/>
      </c>
      <c r="X41" s="72" t="n"/>
      <c r="Y41" s="47" t="n"/>
      <c r="Z41" s="47">
        <f>TEXT(Z35, "0.0%") &amp; " (" &amp; TEXT(MIN(Z29,Z23,Z17,Z11,Z5), "0.0%") &amp; " - " &amp; TEXT(MAX(Z29,Z23,Z17,Z11,Z5), "0.0%") &amp; ")"</f>
        <v/>
      </c>
      <c r="AA41" s="47" t="n"/>
      <c r="AB41" s="72" t="n"/>
      <c r="AC41" s="72">
        <f>TEXT(AC35, "0.0%") &amp; " (" &amp; TEXT(MIN(AC29,AC23,AC17,AC11,AC5), "0.0%") &amp; " - " &amp; TEXT(MAX(AC29,AC23,AC17,AC11,AC5), "0.0%") &amp; ")"</f>
        <v/>
      </c>
      <c r="AD41" s="72" t="n"/>
      <c r="AE41" s="47" t="n"/>
      <c r="AF41" s="47">
        <f>TEXT(AF35, "0.0%") &amp; " (" &amp; TEXT(MIN(AF29,AF23,AF17,AF11,AF5), "0.0%") &amp; " - " &amp; TEXT(MAX(AF29,AF23,AF17,AF11,AF5), "0.0%") &amp; ")"</f>
        <v/>
      </c>
      <c r="AG41" s="47" t="n"/>
      <c r="AH41" s="47" t="n"/>
      <c r="AI41" s="47">
        <f>TEXT(AI35, "$0.0") &amp; " (" &amp; TEXT(MIN(AI29,AI23,AI17,AI11,AI5), "$0.0") &amp; " - " &amp; TEXT(MAX(AI29,AI23,AI17,AI11,AI5), "$0.0") &amp; ")"</f>
        <v/>
      </c>
      <c r="AJ41" s="47" t="n"/>
      <c r="AK41" s="76" t="n"/>
      <c r="AL41" s="47">
        <f>TEXT(AL35, "0.0") &amp; " (" &amp; TEXT(MIN(AL29,AL23,AL17,AL11,AL5), "0.0") &amp; " - " &amp; TEXT(MAX(AL29,AL23,AL17,AL11,AL5), "0.0") &amp; ")"</f>
        <v/>
      </c>
      <c r="AM41" s="47" t="n"/>
      <c r="AN41" s="47" t="n"/>
      <c r="AO41" s="47">
        <f>TEXT(AO35, "0.0%") &amp; " (" &amp; TEXT(MIN(AO29,AO23,AO17,AO11,AO5), "0.0%") &amp; " - " &amp; TEXT(MAX(AO29,AO23,AO17,AO11,AO5), "0.0%") &amp; ")"</f>
        <v/>
      </c>
      <c r="AP41" s="47" t="n"/>
      <c r="AQ41" s="47">
        <f>TEXT(AQ35, "0.0%") &amp; " (" &amp; TEXT(MIN(AQ29,AQ23,AQ17,AQ11,AQ5), "0.0%") &amp; " - " &amp; TEXT(MAX(AQ29,AQ23,AQ17,AQ11,AQ5), "0.0%") &amp; ")"</f>
        <v/>
      </c>
      <c r="AR41" s="47">
        <f>"AUD " &amp; TEXT(AS35, "0,0") &amp; " (" &amp; TEXT(AR35, "0,0") &amp; " - " &amp; TEXT(AT35, "0,0") &amp; ")"</f>
        <v/>
      </c>
      <c r="AU41" s="47">
        <f>"AUD " &amp; TEXT(AV35, "0,0") &amp; " (" &amp; TEXT(AU35, "0,0") &amp; " - " &amp; TEXT(AW35, "0,0") &amp; ")"</f>
        <v/>
      </c>
      <c r="AX41" s="47">
        <f>"AUD " &amp; TEXT(AY35, "0,0") &amp; " (" &amp; TEXT(AX35, "0,0") &amp; " - " &amp; TEXT(AZ35, "0,0") &amp; ")"</f>
        <v/>
      </c>
      <c r="BA41" s="47">
        <f>"AUD " &amp; TEXT(BB35, "0,0") &amp; " (" &amp; TEXT(BA35, "0,0") &amp; " - " &amp; TEXT(BC35, "0,0") &amp; ")"</f>
        <v/>
      </c>
      <c r="BD41" s="47">
        <f>"AUD " &amp; TEXT(BE35, "0,0") &amp; " (" &amp; TEXT(BD35, "0,0") &amp; " - " &amp; TEXT(BF35, "0,0") &amp; ")"</f>
        <v/>
      </c>
      <c r="BG41" s="47">
        <f>"AUD " &amp; TEXT(BH35, "0,0") &amp; " (" &amp; TEXT(BG35, "0,0") &amp; " - " &amp; TEXT(BI35, "0,0") &amp; ")"</f>
        <v/>
      </c>
      <c r="BJ41" s="47">
        <f>"AUD " &amp; TEXT(BK35, "0,0") &amp; " (" &amp; TEXT(BJ35, "0,0") &amp; " - " &amp; TEXT(BL35, "0,0") &amp; ")"</f>
        <v/>
      </c>
      <c r="BM41" s="47">
        <f>"AUD " &amp; TEXT(BN35, "0,0") &amp; " (" &amp; TEXT(BM35, "0,0") &amp; " - " &amp; TEXT(BO35, "0,0") &amp; ")"</f>
        <v/>
      </c>
      <c r="BP41" s="47">
        <f>"AUD " &amp; TEXT(BQ35, "0,0") &amp; " (" &amp; TEXT(BP35, "0,0") &amp; " - " &amp; TEXT(BR35, "0,0") &amp; ")"</f>
        <v/>
      </c>
      <c r="BS41" s="47">
        <f>"AUD " &amp; TEXT(BT35, "0,0") &amp; " (" &amp; TEXT(BS35, "0,0") &amp; " - " &amp; TEXT(BU35, "0,0") &amp; ")"</f>
        <v/>
      </c>
      <c r="BV41" s="47">
        <f>"AUD " &amp; TEXT(BW35, "0,0") &amp; " (" &amp; TEXT(BV35, "0,0") &amp; " - " &amp; TEXT(BX35, "0,0") &amp; ")"</f>
        <v/>
      </c>
      <c r="BY41" s="47">
        <f>"AUD " &amp; TEXT(BZ35, "0,0") &amp; " (" &amp; TEXT(BY35, "0,0") &amp; " - " &amp; TEXT(CA35, "0,0") &amp; ")"</f>
        <v/>
      </c>
      <c r="CB41" s="47">
        <f>"AUD " &amp; TEXT(CC35, "0,0") &amp; " (" &amp; TEXT(CB35, "0,0") &amp; " - " &amp; TEXT(CD35, "0,0") &amp; ")"</f>
        <v/>
      </c>
      <c r="CE41" s="47">
        <f>"AUD " &amp; TEXT(CF35, "0,0") &amp; " (" &amp; TEXT(CE35, "0,0") &amp; " - " &amp; TEXT(CG35, "0,0") &amp; ")"</f>
        <v/>
      </c>
      <c r="CH41" s="47">
        <f>"AUD " &amp; TEXT(CI35, "0,0") &amp; " (" &amp; TEXT(CH35, "0,0") &amp; " - " &amp; TEXT(CJ35, "0,0") &amp; ")"</f>
        <v/>
      </c>
      <c r="CK41" s="47">
        <f>"AUD " &amp; TEXT(CL35, "0,0") &amp; " (" &amp; TEXT(CK35, "0,0") &amp; " - " &amp; TEXT(CM35, "0,0") &amp; ")"</f>
        <v/>
      </c>
      <c r="CN41" s="47">
        <f>"AUD " &amp; TEXT(CO35, "0,0") &amp; " (" &amp; TEXT(CN35, "0,0") &amp; " - " &amp; TEXT(CP35, "0,0") &amp; ")"</f>
        <v/>
      </c>
      <c r="CQ41" s="47">
        <f>"AUD " &amp; TEXT(CR35, "0,0") &amp; " (" &amp; TEXT(CQ35, "0,0") &amp; " - " &amp; TEXT(CS35, "0,0") &amp; ")"</f>
        <v/>
      </c>
      <c r="CT41" s="47">
        <f>"AUD " &amp; TEXT(CU35, "0,0") &amp; " (" &amp; TEXT(CT35, "0,0") &amp; " - " &amp; TEXT(CV35, "0,0") &amp; ")"</f>
        <v/>
      </c>
      <c r="CW41" s="47">
        <f>"AUD " &amp; TEXT(CX35, "0,0") &amp; " (" &amp; TEXT(CW35, "0,0") &amp; " - " &amp; TEXT(CY35, "0,0") &amp; ")"</f>
        <v/>
      </c>
      <c r="CZ41" s="47">
        <f>"AUD " &amp; TEXT(DA35, "0,0") &amp; " (" &amp; TEXT(CZ35, "0,0") &amp; " - " &amp; TEXT(DB35, "0,0") &amp; ")"</f>
        <v/>
      </c>
      <c r="DC41" s="47">
        <f>"AUD " &amp; TEXT(DD35, "0,0") &amp; " (" &amp; TEXT(DC35, "0,0") &amp; " - " &amp; TEXT(DE35, "0,0") &amp; ")"</f>
        <v/>
      </c>
      <c r="DF41" s="47">
        <f>"AUD " &amp; TEXT(DG35, "0,0") &amp; " (" &amp; TEXT(DF35, "0,0") &amp; " - " &amp; TEXT(DH35, "0,0") &amp; ")"</f>
        <v/>
      </c>
    </row>
    <row r="42">
      <c r="A42" s="45" t="inlineStr">
        <is>
          <t>ALL</t>
        </is>
      </c>
      <c r="B42" s="46" t="inlineStr">
        <is>
          <t>Admin staff</t>
        </is>
      </c>
      <c r="K42" s="47">
        <f>TEXT(K36, "0.0%") &amp; " (" &amp; TEXT(MIN(K30,K24,K18,K12,K6), "0.0%") &amp; " - " &amp; TEXT(MAX(K30,K24,K18,K12,K6), "0.0%") &amp; ")"</f>
        <v/>
      </c>
      <c r="L42" s="47" t="n"/>
      <c r="M42" s="47" t="n"/>
      <c r="N42" s="47">
        <f>TEXT(N36, "0.0") &amp; " (" &amp; TEXT(MIN(N30,N24,N18,N12,N6), "0.0") &amp; " - " &amp; TEXT(MAX(N30,N24,N18,N12,N6), "0.0") &amp; ")"</f>
        <v/>
      </c>
      <c r="O42" s="47" t="n"/>
      <c r="P42" s="47" t="n"/>
      <c r="Q42" s="47">
        <f>TEXT(Q36, "0.0%") &amp; " (" &amp; TEXT(MIN(Q30,Q24,Q18,Q12,Q6), "0.0%") &amp; " - " &amp; TEXT(MAX(Q30,Q24,Q18,Q12,Q6), "0.0%") &amp; ")"</f>
        <v/>
      </c>
      <c r="R42" s="47" t="n"/>
      <c r="S42" s="47" t="n"/>
      <c r="T42" s="47">
        <f>TEXT(T36, "0.0%") &amp; " (" &amp; TEXT(MIN(T30,T24,T18,T12,T6), "0.0%") &amp; " - " &amp; TEXT(MAX(T30,T24,T18,T12,T6), "0.0%") &amp; ")"</f>
        <v/>
      </c>
      <c r="U42" s="47" t="n"/>
      <c r="V42" s="72" t="n"/>
      <c r="W42" s="72">
        <f>TEXT(W36, "0.0%") &amp; " (" &amp; TEXT(MIN(W30,W24,W18,W12,W6), "0.0%") &amp; " - " &amp; TEXT(MAX(W30,W24,W18,W12,W6), "0.0%") &amp; ")"</f>
        <v/>
      </c>
      <c r="X42" s="72" t="n"/>
      <c r="Y42" s="47" t="n"/>
      <c r="Z42" s="47">
        <f>TEXT(Z36, "0.0%") &amp; " (" &amp; TEXT(MIN(Z30,Z24,Z18,Z12,Z6), "0.0%") &amp; " - " &amp; TEXT(MAX(Z30,Z24,Z18,Z12,Z6), "0.0%") &amp; ")"</f>
        <v/>
      </c>
      <c r="AA42" s="47" t="n"/>
      <c r="AB42" s="72" t="n"/>
      <c r="AC42" s="72">
        <f>TEXT(AC36, "0.0%") &amp; " (" &amp; TEXT(MIN(AC30,AC24,AC18,AC12,AC6), "0.0%") &amp; " - " &amp; TEXT(MAX(AC30,AC24,AC18,AC12,AC6), "0.0%") &amp; ")"</f>
        <v/>
      </c>
      <c r="AD42" s="72" t="n"/>
      <c r="AE42" s="47" t="n"/>
      <c r="AF42" s="47">
        <f>TEXT(AF36, "0.0%") &amp; " (" &amp; TEXT(MIN(AF30,AF24,AF18,AF12,AF6), "0.0%") &amp; " - " &amp; TEXT(MAX(AF30,AF24,AF18,AF12,AF6), "0.0%") &amp; ")"</f>
        <v/>
      </c>
      <c r="AG42" s="47" t="n"/>
      <c r="AH42" s="47" t="n"/>
      <c r="AI42" s="47">
        <f>TEXT(AI36, "$0.0") &amp; " (" &amp; TEXT(MIN(AI30,AI24,AI18,AI12,AI6), "$0.0") &amp; " - " &amp; TEXT(MAX(AI30,AI24,AI18,AI12,AI6), "$0.0") &amp; ")"</f>
        <v/>
      </c>
      <c r="AJ42" s="47" t="n"/>
      <c r="AK42" s="76" t="n"/>
      <c r="AL42" s="47">
        <f>TEXT(AL36, "0.0") &amp; " (" &amp; TEXT(MIN(AL30,AL24,AL18,AL12,AL6), "0.0") &amp; " - " &amp; TEXT(MAX(AL30,AL24,AL18,AL12,AL6), "0.0") &amp; ")"</f>
        <v/>
      </c>
      <c r="AM42" s="47" t="n"/>
      <c r="AN42" s="47" t="n"/>
      <c r="AO42" s="47">
        <f>TEXT(AO36, "0.0%") &amp; " (" &amp; TEXT(MIN(AO30,AO24,AO18,AO12,AO6), "0.0%") &amp; " - " &amp; TEXT(MAX(AO30,AO24,AO18,AO12,AO6), "0.0%") &amp; ")"</f>
        <v/>
      </c>
      <c r="AP42" s="47" t="n"/>
      <c r="AQ42" s="47">
        <f>TEXT(AQ36, "0.0%") &amp; " (" &amp; TEXT(MIN(AQ30,AQ24,AQ18,AQ12,AQ6), "0.0%") &amp; " - " &amp; TEXT(MAX(AQ30,AQ24,AQ18,AQ12,AQ6), "0.0%") &amp; ")"</f>
        <v/>
      </c>
      <c r="AR42" s="47">
        <f>"AUD " &amp; TEXT(AS36, "0,0") &amp; " (" &amp; TEXT(AR36, "0,0") &amp; " - " &amp; TEXT(AT36, "0,0") &amp; ")"</f>
        <v/>
      </c>
      <c r="AU42" s="47">
        <f>"AUD " &amp; TEXT(AV36, "0,0") &amp; " (" &amp; TEXT(AU36, "0,0") &amp; " - " &amp; TEXT(AW36, "0,0") &amp; ")"</f>
        <v/>
      </c>
      <c r="AX42" s="47">
        <f>"AUD " &amp; TEXT(AY36, "0,0") &amp; " (" &amp; TEXT(AX36, "0,0") &amp; " - " &amp; TEXT(AZ36, "0,0") &amp; ")"</f>
        <v/>
      </c>
      <c r="BA42" s="47">
        <f>"AUD " &amp; TEXT(BB36, "0,0") &amp; " (" &amp; TEXT(BA36, "0,0") &amp; " - " &amp; TEXT(BC36, "0,0") &amp; ")"</f>
        <v/>
      </c>
      <c r="BD42" s="47">
        <f>"AUD " &amp; TEXT(BE36, "0,0") &amp; " (" &amp; TEXT(BD36, "0,0") &amp; " - " &amp; TEXT(BF36, "0,0") &amp; ")"</f>
        <v/>
      </c>
      <c r="BG42" s="47">
        <f>"AUD " &amp; TEXT(BH36, "0,0") &amp; " (" &amp; TEXT(BG36, "0,0") &amp; " - " &amp; TEXT(BI36, "0,0") &amp; ")"</f>
        <v/>
      </c>
      <c r="BJ42" s="47">
        <f>"AUD " &amp; TEXT(BK36, "0,0") &amp; " (" &amp; TEXT(BJ36, "0,0") &amp; " - " &amp; TEXT(BL36, "0,0") &amp; ")"</f>
        <v/>
      </c>
      <c r="BM42" s="47">
        <f>"AUD " &amp; TEXT(BN36, "0,0") &amp; " (" &amp; TEXT(BM36, "0,0") &amp; " - " &amp; TEXT(BO36, "0,0") &amp; ")"</f>
        <v/>
      </c>
      <c r="BP42" s="47">
        <f>"AUD " &amp; TEXT(BQ36, "0,0") &amp; " (" &amp; TEXT(BP36, "0,0") &amp; " - " &amp; TEXT(BR36, "0,0") &amp; ")"</f>
        <v/>
      </c>
      <c r="BS42" s="47">
        <f>"AUD " &amp; TEXT(BT36, "0,0") &amp; " (" &amp; TEXT(BS36, "0,0") &amp; " - " &amp; TEXT(BU36, "0,0") &amp; ")"</f>
        <v/>
      </c>
      <c r="BV42" s="47">
        <f>"AUD " &amp; TEXT(BW36, "0,0") &amp; " (" &amp; TEXT(BV36, "0,0") &amp; " - " &amp; TEXT(BX36, "0,0") &amp; ")"</f>
        <v/>
      </c>
      <c r="BY42" s="47">
        <f>"AUD " &amp; TEXT(BZ36, "0,0") &amp; " (" &amp; TEXT(BY36, "0,0") &amp; " - " &amp; TEXT(CA36, "0,0") &amp; ")"</f>
        <v/>
      </c>
      <c r="CB42" s="47">
        <f>"AUD " &amp; TEXT(CC36, "0,0") &amp; " (" &amp; TEXT(CB36, "0,0") &amp; " - " &amp; TEXT(CD36, "0,0") &amp; ")"</f>
        <v/>
      </c>
      <c r="CE42" s="47">
        <f>"AUD " &amp; TEXT(CF36, "0,0") &amp; " (" &amp; TEXT(CE36, "0,0") &amp; " - " &amp; TEXT(CG36, "0,0") &amp; ")"</f>
        <v/>
      </c>
      <c r="CH42" s="47">
        <f>"AUD " &amp; TEXT(CI36, "0,0") &amp; " (" &amp; TEXT(CH36, "0,0") &amp; " - " &amp; TEXT(CJ36, "0,0") &amp; ")"</f>
        <v/>
      </c>
      <c r="CK42" s="47">
        <f>"AUD " &amp; TEXT(CL36, "0,0") &amp; " (" &amp; TEXT(CK36, "0,0") &amp; " - " &amp; TEXT(CM36, "0,0") &amp; ")"</f>
        <v/>
      </c>
      <c r="CN42" s="47">
        <f>"AUD " &amp; TEXT(CO36, "0,0") &amp; " (" &amp; TEXT(CN36, "0,0") &amp; " - " &amp; TEXT(CP36, "0,0") &amp; ")"</f>
        <v/>
      </c>
      <c r="CQ42" s="47">
        <f>"AUD " &amp; TEXT(CR36, "0,0") &amp; " (" &amp; TEXT(CQ36, "0,0") &amp; " - " &amp; TEXT(CS36, "0,0") &amp; ")"</f>
        <v/>
      </c>
      <c r="CT42" s="47">
        <f>"AUD " &amp; TEXT(CU36, "0,0") &amp; " (" &amp; TEXT(CT36, "0,0") &amp; " - " &amp; TEXT(CV36, "0,0") &amp; ")"</f>
        <v/>
      </c>
      <c r="CW42" s="47">
        <f>"AUD " &amp; TEXT(CX36, "0,0") &amp; " (" &amp; TEXT(CW36, "0,0") &amp; " - " &amp; TEXT(CY36, "0,0") &amp; ")"</f>
        <v/>
      </c>
      <c r="CZ42" s="47">
        <f>"AUD " &amp; TEXT(DA36, "0,0") &amp; " (" &amp; TEXT(CZ36, "0,0") &amp; " - " &amp; TEXT(DB36, "0,0") &amp; ")"</f>
        <v/>
      </c>
      <c r="DC42" s="47">
        <f>"AUD " &amp; TEXT(DD36, "0,0") &amp; " (" &amp; TEXT(DC36, "0,0") &amp; " - " &amp; TEXT(DE36, "0,0") &amp; ")"</f>
        <v/>
      </c>
      <c r="DF42" s="47">
        <f>"AUD " &amp; TEXT(DG36, "0,0") &amp; " (" &amp; TEXT(DF36, "0,0") &amp; " - " &amp; TEXT(DH36, "0,0") &amp; ")"</f>
        <v/>
      </c>
    </row>
    <row r="43">
      <c r="A43" s="45" t="inlineStr">
        <is>
          <t>ALL</t>
        </is>
      </c>
      <c r="B43" s="46" t="inlineStr">
        <is>
          <t>Bioinformatics staff</t>
        </is>
      </c>
      <c r="K43" s="47">
        <f>TEXT(K37, "0.0%") &amp; " (" &amp; TEXT(MIN(K31,K25,K19,K13,K7), "0.0%") &amp; " - " &amp; TEXT(MAX(K31,K25,K19,K13,K7), "0.0%") &amp; ")"</f>
        <v/>
      </c>
      <c r="L43" s="47" t="n"/>
      <c r="M43" s="47" t="n"/>
      <c r="N43" s="47">
        <f>TEXT(N37, "0.0") &amp; " (" &amp; TEXT(MIN(N31,N25,N19,N13,N7), "0.0") &amp; " - " &amp; TEXT(MAX(N31,N25,N19,N13,N7), "0.0") &amp; ")"</f>
        <v/>
      </c>
      <c r="O43" s="47" t="n"/>
      <c r="P43" s="47" t="n"/>
      <c r="Q43" s="47">
        <f>TEXT(Q37, "0.0%") &amp; " (" &amp; TEXT(MIN(Q31,Q25,Q19,Q13,Q7), "0.0%") &amp; " - " &amp; TEXT(MAX(Q31,Q25,Q19,Q13,Q7), "0.0%") &amp; ")"</f>
        <v/>
      </c>
      <c r="R43" s="47" t="n"/>
      <c r="S43" s="47" t="n"/>
      <c r="T43" s="47">
        <f>TEXT(T37, "0.0%") &amp; " (" &amp; TEXT(MIN(T31,T25,T19,T13,T7), "0.0%") &amp; " - " &amp; TEXT(MAX(T31,T25,T19,T13,T7), "0.0%") &amp; ")"</f>
        <v/>
      </c>
      <c r="U43" s="47" t="n"/>
      <c r="V43" s="72" t="n"/>
      <c r="W43" s="72">
        <f>TEXT(W37, "0.0%") &amp; " (" &amp; TEXT(MIN(W31,W25,W19,W13,W7), "0.0%") &amp; " - " &amp; TEXT(MAX(W31,W25,W19,W13,W7), "0.0%") &amp; ")"</f>
        <v/>
      </c>
      <c r="X43" s="72" t="n"/>
      <c r="Y43" s="47" t="n"/>
      <c r="Z43" s="47">
        <f>TEXT(Z37, "0.0%") &amp; " (" &amp; TEXT(MIN(Z31,Z25,Z19,Z13,Z7), "0.0%") &amp; " - " &amp; TEXT(MAX(Z31,Z25,Z19,Z13,Z7), "0.0%") &amp; ")"</f>
        <v/>
      </c>
      <c r="AA43" s="47" t="n"/>
      <c r="AB43" s="72" t="n"/>
      <c r="AC43" s="72">
        <f>TEXT(AC37, "0.0%") &amp; " (" &amp; TEXT(MIN(AC31,AC25,AC19,AC13,AC7), "0.0%") &amp; " - " &amp; TEXT(MAX(AC31,AC25,AC19,AC13,AC7), "0.0%") &amp; ")"</f>
        <v/>
      </c>
      <c r="AD43" s="72" t="n"/>
      <c r="AE43" s="47" t="n"/>
      <c r="AF43" s="47">
        <f>TEXT(AF37, "0.0%") &amp; " (" &amp; TEXT(MIN(AF31,AF25,AF19,AF13,AF7), "0.0%") &amp; " - " &amp; TEXT(MAX(AF31,AF25,AF19,AF13,AF7), "0.0%") &amp; ")"</f>
        <v/>
      </c>
      <c r="AG43" s="47" t="n"/>
      <c r="AH43" s="47" t="n"/>
      <c r="AI43" s="47">
        <f>TEXT(AI37, "$0.0") &amp; " (" &amp; TEXT(MIN(AI31,AI25,AI19,AI13,AI7), "$0.0") &amp; " - " &amp; TEXT(MAX(AI31,AI25,AI19,AI13,AI7), "$0.0") &amp; ")"</f>
        <v/>
      </c>
      <c r="AJ43" s="47" t="n"/>
      <c r="AK43" s="76" t="n"/>
      <c r="AL43" s="47">
        <f>TEXT(AL37, "0.0") &amp; " (" &amp; TEXT(MIN(AL31,AL25,AL19,AL13,AL7), "0.0") &amp; " - " &amp; TEXT(MAX(AL31,AL25,AL19,AL13,AL7), "0.0") &amp; ")"</f>
        <v/>
      </c>
      <c r="AM43" s="47" t="n"/>
      <c r="AN43" s="47" t="n"/>
      <c r="AO43" s="47">
        <f>TEXT(AO37, "0.0%") &amp; " (" &amp; TEXT(MIN(AO31,AO25,AO19,AO13,AO7), "0.0%") &amp; " - " &amp; TEXT(MAX(AO31,AO25,AO19,AO13,AO7), "0.0%") &amp; ")"</f>
        <v/>
      </c>
      <c r="AP43" s="47" t="n"/>
      <c r="AQ43" s="47">
        <f>TEXT(AQ37, "0.0%") &amp; " (" &amp; TEXT(MIN(AQ31,AQ25,AQ19,AQ13,AQ7), "0.0%") &amp; " - " &amp; TEXT(MAX(AQ31,AQ25,AQ19,AQ13,AQ7), "0.0%") &amp; ")"</f>
        <v/>
      </c>
      <c r="AR43" s="47">
        <f>"AUD " &amp; TEXT(AS37, "0,0") &amp; " (" &amp; TEXT(AR37, "0,0") &amp; " - " &amp; TEXT(AT37, "0,0") &amp; ")"</f>
        <v/>
      </c>
      <c r="AU43" s="47">
        <f>"AUD " &amp; TEXT(AV37, "0,0") &amp; " (" &amp; TEXT(AU37, "0,0") &amp; " - " &amp; TEXT(AW37, "0,0") &amp; ")"</f>
        <v/>
      </c>
      <c r="AX43" s="47">
        <f>"AUD " &amp; TEXT(AY37, "0,0") &amp; " (" &amp; TEXT(AX37, "0,0") &amp; " - " &amp; TEXT(AZ37, "0,0") &amp; ")"</f>
        <v/>
      </c>
      <c r="BA43" s="47">
        <f>"AUD " &amp; TEXT(BB37, "0,0") &amp; " (" &amp; TEXT(BA37, "0,0") &amp; " - " &amp; TEXT(BC37, "0,0") &amp; ")"</f>
        <v/>
      </c>
      <c r="BD43" s="47">
        <f>"AUD " &amp; TEXT(BE37, "0,0") &amp; " (" &amp; TEXT(BD37, "0,0") &amp; " - " &amp; TEXT(BF37, "0,0") &amp; ")"</f>
        <v/>
      </c>
      <c r="BG43" s="47">
        <f>"AUD " &amp; TEXT(BH37, "0,0") &amp; " (" &amp; TEXT(BG37, "0,0") &amp; " - " &amp; TEXT(BI37, "0,0") &amp; ")"</f>
        <v/>
      </c>
      <c r="BJ43" s="47">
        <f>"AUD " &amp; TEXT(BK37, "0,0") &amp; " (" &amp; TEXT(BJ37, "0,0") &amp; " - " &amp; TEXT(BL37, "0,0") &amp; ")"</f>
        <v/>
      </c>
      <c r="BM43" s="47">
        <f>"AUD " &amp; TEXT(BN37, "0,0") &amp; " (" &amp; TEXT(BM37, "0,0") &amp; " - " &amp; TEXT(BO37, "0,0") &amp; ")"</f>
        <v/>
      </c>
      <c r="BP43" s="47">
        <f>"AUD " &amp; TEXT(BQ37, "0,0") &amp; " (" &amp; TEXT(BP37, "0,0") &amp; " - " &amp; TEXT(BR37, "0,0") &amp; ")"</f>
        <v/>
      </c>
      <c r="BS43" s="47">
        <f>"AUD " &amp; TEXT(BT37, "0,0") &amp; " (" &amp; TEXT(BS37, "0,0") &amp; " - " &amp; TEXT(BU37, "0,0") &amp; ")"</f>
        <v/>
      </c>
      <c r="BV43" s="47">
        <f>"AUD " &amp; TEXT(BW37, "0,0") &amp; " (" &amp; TEXT(BV37, "0,0") &amp; " - " &amp; TEXT(BX37, "0,0") &amp; ")"</f>
        <v/>
      </c>
      <c r="BY43" s="47">
        <f>"AUD " &amp; TEXT(BZ37, "0,0") &amp; " (" &amp; TEXT(BY37, "0,0") &amp; " - " &amp; TEXT(CA37, "0,0") &amp; ")"</f>
        <v/>
      </c>
      <c r="CB43" s="47">
        <f>"AUD " &amp; TEXT(CC37, "0,0") &amp; " (" &amp; TEXT(CB37, "0,0") &amp; " - " &amp; TEXT(CD37, "0,0") &amp; ")"</f>
        <v/>
      </c>
      <c r="CE43" s="47">
        <f>"AUD " &amp; TEXT(CF37, "0,0") &amp; " (" &amp; TEXT(CE37, "0,0") &amp; " - " &amp; TEXT(CG37, "0,0") &amp; ")"</f>
        <v/>
      </c>
      <c r="CH43" s="47">
        <f>"AUD " &amp; TEXT(CI37, "0,0") &amp; " (" &amp; TEXT(CH37, "0,0") &amp; " - " &amp; TEXT(CJ37, "0,0") &amp; ")"</f>
        <v/>
      </c>
      <c r="CK43" s="47">
        <f>"AUD " &amp; TEXT(CL37, "0,0") &amp; " (" &amp; TEXT(CK37, "0,0") &amp; " - " &amp; TEXT(CM37, "0,0") &amp; ")"</f>
        <v/>
      </c>
      <c r="CN43" s="47">
        <f>"AUD " &amp; TEXT(CO37, "0,0") &amp; " (" &amp; TEXT(CN37, "0,0") &amp; " - " &amp; TEXT(CP37, "0,0") &amp; ")"</f>
        <v/>
      </c>
      <c r="CQ43" s="47">
        <f>"AUD " &amp; TEXT(CR37, "0,0") &amp; " (" &amp; TEXT(CQ37, "0,0") &amp; " - " &amp; TEXT(CS37, "0,0") &amp; ")"</f>
        <v/>
      </c>
      <c r="CT43" s="47">
        <f>"AUD " &amp; TEXT(CU37, "0,0") &amp; " (" &amp; TEXT(CT37, "0,0") &amp; " - " &amp; TEXT(CV37, "0,0") &amp; ")"</f>
        <v/>
      </c>
      <c r="CW43" s="47">
        <f>"AUD " &amp; TEXT(CX37, "0,0") &amp; " (" &amp; TEXT(CW37, "0,0") &amp; " - " &amp; TEXT(CY37, "0,0") &amp; ")"</f>
        <v/>
      </c>
      <c r="CZ43" s="47">
        <f>"AUD " &amp; TEXT(DA37, "0,0") &amp; " (" &amp; TEXT(CZ37, "0,0") &amp; " - " &amp; TEXT(DB37, "0,0") &amp; ")"</f>
        <v/>
      </c>
      <c r="DC43" s="47">
        <f>"AUD " &amp; TEXT(DD37, "0,0") &amp; " (" &amp; TEXT(DC37, "0,0") &amp; " - " &amp; TEXT(DE37, "0,0") &amp; ")"</f>
        <v/>
      </c>
      <c r="DF43" s="47">
        <f>"AUD " &amp; TEXT(DG37, "0,0") &amp; " (" &amp; TEXT(DF37, "0,0") &amp; " - " &amp; TEXT(DH37, "0,0") &amp; ")"</f>
        <v/>
      </c>
    </row>
    <row r="44">
      <c r="A44" s="45" t="inlineStr">
        <is>
          <t>ALL</t>
        </is>
      </c>
      <c r="B44" s="46" t="inlineStr">
        <is>
          <t>Pathologists</t>
        </is>
      </c>
      <c r="K44" s="47">
        <f>TEXT(K38, "0.0%") &amp; " (" &amp; TEXT(MIN(K32,K26,K20,K14,K8), "0.0%") &amp; " - " &amp; TEXT(MAX(K32,K26,K20,K14,K8), "0.0%") &amp; ")"</f>
        <v/>
      </c>
      <c r="L44" s="47" t="n"/>
      <c r="M44" s="47" t="n"/>
      <c r="N44" s="47">
        <f>TEXT(N38, "0.0") &amp; " (" &amp; TEXT(MIN(N32,N26,N20,N14,N8), "0.0") &amp; " - " &amp; TEXT(MAX(N32,N26,N20,N14,N8), "0.0") &amp; ")"</f>
        <v/>
      </c>
      <c r="O44" s="47" t="n"/>
      <c r="P44" s="47" t="n"/>
      <c r="Q44" s="47">
        <f>TEXT(Q38, "0.0%") &amp; " (" &amp; TEXT(MIN(Q32,Q26,Q20,Q14,Q8), "0.0%") &amp; " - " &amp; TEXT(MAX(Q32,Q26,Q20,Q14,Q8), "0.0%") &amp; ")"</f>
        <v/>
      </c>
      <c r="R44" s="47" t="n"/>
      <c r="S44" s="47" t="n"/>
      <c r="T44" s="47">
        <f>TEXT(T38, "0.0%") &amp; " (" &amp; TEXT(MIN(T32,T26,T20,T14,T8), "0.0%") &amp; " - " &amp; TEXT(MAX(T32,T26,T20,T14,T8), "0.0%") &amp; ")"</f>
        <v/>
      </c>
      <c r="U44" s="47" t="n"/>
      <c r="V44" s="72" t="n"/>
      <c r="W44" s="72">
        <f>TEXT(W38, "0.0%") &amp; " (" &amp; TEXT(MIN(W32,W26,W20,W14,W8), "0.0%") &amp; " - " &amp; TEXT(MAX(W32,W26,W20,W14,W8), "0.0%") &amp; ")"</f>
        <v/>
      </c>
      <c r="X44" s="72" t="n"/>
      <c r="Y44" s="47" t="n"/>
      <c r="Z44" s="47">
        <f>TEXT(Z38, "0.0%") &amp; " (" &amp; TEXT(MIN(Z32,Z26,Z20,Z14,Z8), "0.0%") &amp; " - " &amp; TEXT(MAX(Z32,Z26,Z20,Z14,Z8), "0.0%") &amp; ")"</f>
        <v/>
      </c>
      <c r="AA44" s="47" t="n"/>
      <c r="AB44" s="72" t="n"/>
      <c r="AC44" s="72">
        <f>TEXT(AC38, "0.0%") &amp; " (" &amp; TEXT(MIN(AC32,AC26,AC20,AC14,AC8), "0.0%") &amp; " - " &amp; TEXT(MAX(AC32,AC26,AC20,AC14,AC8), "0.0%") &amp; ")"</f>
        <v/>
      </c>
      <c r="AD44" s="72" t="n"/>
      <c r="AE44" s="47" t="n"/>
      <c r="AF44" s="47">
        <f>TEXT(AF38, "0.0%") &amp; " (" &amp; TEXT(MIN(AF32,AF26,AF20,AF14,AF8), "0.0%") &amp; " - " &amp; TEXT(MAX(AF32,AF26,AF20,AF14,AF8), "0.0%") &amp; ")"</f>
        <v/>
      </c>
      <c r="AG44" s="47" t="n"/>
      <c r="AH44" s="47" t="n"/>
      <c r="AI44" s="47">
        <f>TEXT(AI38, "$0.0") &amp; " (" &amp; TEXT(MIN(AI32,AI26,AI20,AI14,AI8), "$0.0") &amp; " - " &amp; TEXT(MAX(AI32,AI26,AI20,AI14,AI8), "$0.0") &amp; ")"</f>
        <v/>
      </c>
      <c r="AJ44" s="47" t="n"/>
      <c r="AK44" s="76" t="n"/>
      <c r="AL44" s="47">
        <f>TEXT(AL38, "0.0") &amp; " (" &amp; TEXT(MIN(AL32,AL26,AL20,AL14,AL8), "0.0") &amp; " - " &amp; TEXT(MAX(AL32,AL26,AL20,AL14,AL8), "0.0") &amp; ")"</f>
        <v/>
      </c>
      <c r="AM44" s="47" t="n"/>
      <c r="AN44" s="47" t="n"/>
      <c r="AO44" s="47">
        <f>TEXT(AO38, "0.0%") &amp; " (" &amp; TEXT(MIN(AO32,AO26,AO20,AO14,AO8), "0.0%") &amp; " - " &amp; TEXT(MAX(AO32,AO26,AO20,AO14,AO8), "0.0%") &amp; ")"</f>
        <v/>
      </c>
      <c r="AP44" s="47" t="n"/>
      <c r="AQ44" s="47">
        <f>TEXT(AQ38, "0.0%") &amp; " (" &amp; TEXT(MIN(AQ32,AQ26,AQ20,AQ14,AQ8), "0.0%") &amp; " - " &amp; TEXT(MAX(AQ32,AQ26,AQ20,AQ14,AQ8), "0.0%") &amp; ")"</f>
        <v/>
      </c>
      <c r="AR44" s="47">
        <f>"AUD " &amp; TEXT(AS38, "0,0") &amp; " (" &amp; TEXT(AR38, "0,0") &amp; " - " &amp; TEXT(AT38, "0,0") &amp; ")"</f>
        <v/>
      </c>
      <c r="AU44" s="47">
        <f>"AUD " &amp; TEXT(AV38, "0,0") &amp; " (" &amp; TEXT(AU38, "0,0") &amp; " - " &amp; TEXT(AW38, "0,0") &amp; ")"</f>
        <v/>
      </c>
      <c r="AX44" s="47">
        <f>"AUD " &amp; TEXT(AY38, "0,0") &amp; " (" &amp; TEXT(AX38, "0,0") &amp; " - " &amp; TEXT(AZ38, "0,0") &amp; ")"</f>
        <v/>
      </c>
      <c r="BA44" s="47">
        <f>"AUD " &amp; TEXT(BB38, "0,0") &amp; " (" &amp; TEXT(BA38, "0,0") &amp; " - " &amp; TEXT(BC38, "0,0") &amp; ")"</f>
        <v/>
      </c>
      <c r="BD44" s="47">
        <f>"AUD " &amp; TEXT(BE38, "0,0") &amp; " (" &amp; TEXT(BD38, "0,0") &amp; " - " &amp; TEXT(BF38, "0,0") &amp; ")"</f>
        <v/>
      </c>
      <c r="BG44" s="47">
        <f>"AUD " &amp; TEXT(BH38, "0,0") &amp; " (" &amp; TEXT(BG38, "0,0") &amp; " - " &amp; TEXT(BI38, "0,0") &amp; ")"</f>
        <v/>
      </c>
      <c r="BJ44" s="47">
        <f>"AUD " &amp; TEXT(BK38, "0,0") &amp; " (" &amp; TEXT(BJ38, "0,0") &amp; " - " &amp; TEXT(BL38, "0,0") &amp; ")"</f>
        <v/>
      </c>
      <c r="BM44" s="47">
        <f>"AUD " &amp; TEXT(BN38, "0,0") &amp; " (" &amp; TEXT(BM38, "0,0") &amp; " - " &amp; TEXT(BO38, "0,0") &amp; ")"</f>
        <v/>
      </c>
      <c r="BP44" s="47">
        <f>"AUD " &amp; TEXT(BQ38, "0,0") &amp; " (" &amp; TEXT(BP38, "0,0") &amp; " - " &amp; TEXT(BR38, "0,0") &amp; ")"</f>
        <v/>
      </c>
      <c r="BS44" s="47">
        <f>"AUD " &amp; TEXT(BT38, "0,0") &amp; " (" &amp; TEXT(BS38, "0,0") &amp; " - " &amp; TEXT(BU38, "0,0") &amp; ")"</f>
        <v/>
      </c>
      <c r="BV44" s="47">
        <f>"AUD " &amp; TEXT(BW38, "0,0") &amp; " (" &amp; TEXT(BV38, "0,0") &amp; " - " &amp; TEXT(BX38, "0,0") &amp; ")"</f>
        <v/>
      </c>
      <c r="BY44" s="47">
        <f>"AUD " &amp; TEXT(BZ38, "0,0") &amp; " (" &amp; TEXT(BY38, "0,0") &amp; " - " &amp; TEXT(CA38, "0,0") &amp; ")"</f>
        <v/>
      </c>
      <c r="CB44" s="47">
        <f>"AUD " &amp; TEXT(CC38, "0,0") &amp; " (" &amp; TEXT(CB38, "0,0") &amp; " - " &amp; TEXT(CD38, "0,0") &amp; ")"</f>
        <v/>
      </c>
      <c r="CE44" s="47">
        <f>"AUD " &amp; TEXT(CF38, "0,0") &amp; " (" &amp; TEXT(CE38, "0,0") &amp; " - " &amp; TEXT(CG38, "0,0") &amp; ")"</f>
        <v/>
      </c>
      <c r="CH44" s="47">
        <f>"AUD " &amp; TEXT(CI38, "0,0") &amp; " (" &amp; TEXT(CH38, "0,0") &amp; " - " &amp; TEXT(CJ38, "0,0") &amp; ")"</f>
        <v/>
      </c>
      <c r="CK44" s="47">
        <f>"AUD " &amp; TEXT(CL38, "0,0") &amp; " (" &amp; TEXT(CK38, "0,0") &amp; " - " &amp; TEXT(CM38, "0,0") &amp; ")"</f>
        <v/>
      </c>
      <c r="CN44" s="47">
        <f>"AUD " &amp; TEXT(CO38, "0,0") &amp; " (" &amp; TEXT(CN38, "0,0") &amp; " - " &amp; TEXT(CP38, "0,0") &amp; ")"</f>
        <v/>
      </c>
      <c r="CQ44" s="47">
        <f>"AUD " &amp; TEXT(CR38, "0,0") &amp; " (" &amp; TEXT(CQ38, "0,0") &amp; " - " &amp; TEXT(CS38, "0,0") &amp; ")"</f>
        <v/>
      </c>
      <c r="CT44" s="47">
        <f>"AUD " &amp; TEXT(CU38, "0,0") &amp; " (" &amp; TEXT(CT38, "0,0") &amp; " - " &amp; TEXT(CV38, "0,0") &amp; ")"</f>
        <v/>
      </c>
      <c r="CW44" s="47">
        <f>"AUD " &amp; TEXT(CX38, "0,0") &amp; " (" &amp; TEXT(CW38, "0,0") &amp; " - " &amp; TEXT(CY38, "0,0") &amp; ")"</f>
        <v/>
      </c>
      <c r="CZ44" s="47">
        <f>"AUD " &amp; TEXT(DA38, "0,0") &amp; " (" &amp; TEXT(CZ38, "0,0") &amp; " - " &amp; TEXT(DB38, "0,0") &amp; ")"</f>
        <v/>
      </c>
      <c r="DC44" s="47">
        <f>"AUD " &amp; TEXT(DD38, "0,0") &amp; " (" &amp; TEXT(DC38, "0,0") &amp; " - " &amp; TEXT(DE38, "0,0") &amp; ")"</f>
        <v/>
      </c>
      <c r="DF44" s="47">
        <f>"AUD " &amp; TEXT(DG38, "0,0") &amp; " (" &amp; TEXT(DF38, "0,0") &amp; " - " &amp; TEXT(DH38, "0,0") &amp; ")"</f>
        <v/>
      </c>
    </row>
    <row r="45">
      <c r="K45" s="47" t="n"/>
      <c r="L45" s="47" t="n"/>
      <c r="M45" s="47" t="n"/>
      <c r="N45" s="47" t="n"/>
      <c r="O45" s="47" t="n"/>
      <c r="P45" s="47" t="n"/>
      <c r="Q45" s="47" t="n"/>
      <c r="R45" s="47" t="n"/>
      <c r="S45" s="47" t="n"/>
      <c r="T45" s="47" t="n"/>
      <c r="U45" s="47" t="n"/>
      <c r="V45" s="72" t="n"/>
      <c r="W45" s="72" t="n"/>
      <c r="X45" s="72" t="n"/>
      <c r="Y45" s="47" t="n"/>
      <c r="Z45" s="47" t="n"/>
      <c r="AA45" s="47" t="n"/>
      <c r="AB45" s="72" t="n"/>
      <c r="AC45" s="72" t="n"/>
      <c r="AD45" s="72" t="n"/>
      <c r="AE45" s="47" t="n"/>
      <c r="AF45" s="47" t="n"/>
      <c r="AG45" s="47" t="n"/>
      <c r="AH45" s="47" t="n"/>
      <c r="AI45" s="47" t="n"/>
      <c r="AJ45" s="47" t="n"/>
      <c r="AK45" s="76" t="n"/>
      <c r="AL45" s="47" t="n"/>
      <c r="AM45" s="47" t="n"/>
      <c r="AN45" s="47" t="n"/>
      <c r="AO45" s="47" t="n"/>
      <c r="AP45" s="47" t="n"/>
      <c r="AQ45" s="47" t="n"/>
      <c r="AR45" s="47" t="n"/>
      <c r="AU45" s="47" t="n"/>
      <c r="AX45" s="47" t="n"/>
    </row>
    <row r="46">
      <c r="A46" s="45" t="inlineStr">
        <is>
          <t>$</t>
        </is>
      </c>
    </row>
    <row r="47">
      <c r="A47" s="45" t="inlineStr">
        <is>
          <t>VIC</t>
        </is>
      </c>
      <c r="B47" s="46" t="inlineStr">
        <is>
          <t>Lab technician</t>
        </is>
      </c>
      <c r="K47" s="65">
        <f>(K4*$AS4)</f>
        <v/>
      </c>
      <c r="L47" s="65" t="n"/>
      <c r="M47" s="65" t="n"/>
      <c r="N47" s="68" t="n"/>
      <c r="O47" s="68" t="n"/>
      <c r="P47" s="68" t="n"/>
      <c r="Q47" s="69" t="n"/>
      <c r="R47" s="69" t="n"/>
      <c r="S47" s="69" t="n"/>
      <c r="T47" s="65">
        <f>(T4*$AS4)</f>
        <v/>
      </c>
      <c r="U47" s="65" t="n"/>
      <c r="V47" s="70" t="n"/>
      <c r="W47" s="70">
        <f>(W4*$AS4)</f>
        <v/>
      </c>
      <c r="X47" s="70" t="n"/>
      <c r="Y47" s="65" t="n"/>
      <c r="Z47" s="65">
        <f>(Z4*$AS4)</f>
        <v/>
      </c>
      <c r="AA47" s="65" t="n"/>
      <c r="AB47" s="70" t="n"/>
      <c r="AC47" s="70">
        <f>(AC4*$AS4)</f>
        <v/>
      </c>
      <c r="AD47" s="70" t="n"/>
      <c r="AE47" s="65" t="n"/>
      <c r="AF47" s="65">
        <f>(AF4*$AS4)</f>
        <v/>
      </c>
      <c r="AG47" s="65" t="n"/>
      <c r="AH47" s="65" t="n"/>
      <c r="AI47" s="65">
        <f>AI4</f>
        <v/>
      </c>
      <c r="AJ47" s="65" t="n"/>
      <c r="AK47" s="77" t="n"/>
      <c r="AL47" s="65">
        <f>(AL4/52*$AS4)</f>
        <v/>
      </c>
      <c r="AM47" s="65" t="n"/>
      <c r="AN47" s="65" t="n"/>
      <c r="AO47" s="65">
        <f>(AO4*$AS4)</f>
        <v/>
      </c>
      <c r="AP47" s="65" t="n"/>
      <c r="AQ47" s="56" t="n"/>
      <c r="AR47" s="65">
        <f>AR4</f>
        <v/>
      </c>
      <c r="AS47" s="65">
        <f>AS4</f>
        <v/>
      </c>
      <c r="AT47" s="65">
        <f>AT4</f>
        <v/>
      </c>
    </row>
    <row r="48">
      <c r="A48" s="45" t="inlineStr">
        <is>
          <t>VIC</t>
        </is>
      </c>
      <c r="B48" s="46" t="inlineStr">
        <is>
          <t>Medical scientist</t>
        </is>
      </c>
      <c r="K48" s="65">
        <f>(K5*$AS5)</f>
        <v/>
      </c>
      <c r="L48" s="65" t="n"/>
      <c r="M48" s="65" t="n"/>
      <c r="N48" s="68" t="n"/>
      <c r="O48" s="68" t="n"/>
      <c r="P48" s="68" t="n"/>
      <c r="Q48" s="69" t="n"/>
      <c r="R48" s="69" t="n"/>
      <c r="S48" s="69" t="n"/>
      <c r="T48" s="65">
        <f>(T5*$AS5)</f>
        <v/>
      </c>
      <c r="U48" s="65" t="n"/>
      <c r="V48" s="70" t="n"/>
      <c r="W48" s="70">
        <f>(W5*$AS5)</f>
        <v/>
      </c>
      <c r="X48" s="70" t="n"/>
      <c r="Y48" s="65" t="n"/>
      <c r="Z48" s="65">
        <f>(Z5*$AS5)</f>
        <v/>
      </c>
      <c r="AA48" s="65" t="n"/>
      <c r="AB48" s="70" t="n"/>
      <c r="AC48" s="70">
        <f>(AC5*$AS5)</f>
        <v/>
      </c>
      <c r="AD48" s="70" t="n"/>
      <c r="AE48" s="65" t="n"/>
      <c r="AF48" s="65">
        <f>(AF5*$AS5)</f>
        <v/>
      </c>
      <c r="AG48" s="65" t="n"/>
      <c r="AH48" s="65" t="n"/>
      <c r="AI48" s="65">
        <f>AI5</f>
        <v/>
      </c>
      <c r="AJ48" s="65" t="n"/>
      <c r="AK48" s="77" t="n"/>
      <c r="AL48" s="65">
        <f>(AL5/52*$AS5)</f>
        <v/>
      </c>
      <c r="AM48" s="65" t="n"/>
      <c r="AN48" s="65" t="n"/>
      <c r="AO48" s="65">
        <f>(AO5*$AS5)</f>
        <v/>
      </c>
      <c r="AP48" s="65" t="n"/>
      <c r="AQ48" s="56" t="n"/>
      <c r="AR48" s="65">
        <f>AR5</f>
        <v/>
      </c>
      <c r="AS48" s="65">
        <f>AS5</f>
        <v/>
      </c>
      <c r="AT48" s="65">
        <f>AT5</f>
        <v/>
      </c>
    </row>
    <row r="49" customFormat="1" s="64">
      <c r="A49" s="45" t="inlineStr">
        <is>
          <t>VIC</t>
        </is>
      </c>
      <c r="B49" s="46" t="inlineStr">
        <is>
          <t>Admin staff</t>
        </is>
      </c>
      <c r="C49" s="54" t="n"/>
      <c r="D49" s="45" t="n"/>
      <c r="E49" s="55" t="n"/>
      <c r="F49" s="45" t="n"/>
      <c r="G49" s="45" t="n"/>
      <c r="H49" s="56" t="n"/>
      <c r="I49" s="56" t="n"/>
      <c r="J49" s="56" t="n"/>
      <c r="K49" s="65">
        <f>(K6*$AS6)</f>
        <v/>
      </c>
      <c r="L49" s="65" t="n"/>
      <c r="M49" s="65" t="n"/>
      <c r="N49" s="68" t="n"/>
      <c r="O49" s="68" t="n"/>
      <c r="P49" s="68" t="n"/>
      <c r="Q49" s="69" t="n"/>
      <c r="R49" s="69" t="n"/>
      <c r="S49" s="69" t="n"/>
      <c r="T49" s="65">
        <f>(T6*$AS6)</f>
        <v/>
      </c>
      <c r="U49" s="65" t="n"/>
      <c r="V49" s="70" t="n"/>
      <c r="W49" s="70">
        <f>(W6*$AS6)</f>
        <v/>
      </c>
      <c r="X49" s="70" t="n"/>
      <c r="Y49" s="65" t="n"/>
      <c r="Z49" s="65">
        <f>(Z6*$AS6)</f>
        <v/>
      </c>
      <c r="AA49" s="65" t="n"/>
      <c r="AB49" s="70" t="n"/>
      <c r="AC49" s="70">
        <f>(AC6*$AS6)</f>
        <v/>
      </c>
      <c r="AD49" s="70" t="n"/>
      <c r="AE49" s="65" t="n"/>
      <c r="AF49" s="65">
        <f>(AF6*$AS6)</f>
        <v/>
      </c>
      <c r="AG49" s="65" t="n"/>
      <c r="AH49" s="65" t="n"/>
      <c r="AI49" s="65">
        <f>AI6</f>
        <v/>
      </c>
      <c r="AJ49" s="65" t="n"/>
      <c r="AK49" s="77" t="n"/>
      <c r="AL49" s="65">
        <f>(AL6/52*$AS6)</f>
        <v/>
      </c>
      <c r="AM49" s="65" t="n"/>
      <c r="AN49" s="65" t="n"/>
      <c r="AO49" s="65">
        <f>(AO6*$AS6)</f>
        <v/>
      </c>
      <c r="AP49" s="65" t="n"/>
      <c r="AQ49" s="56" t="n"/>
      <c r="AR49" s="65">
        <f>AR6</f>
        <v/>
      </c>
      <c r="AS49" s="65">
        <f>AS6</f>
        <v/>
      </c>
      <c r="AT49" s="65">
        <f>AT6</f>
        <v/>
      </c>
      <c r="BA49" s="78" t="n"/>
      <c r="BB49" s="78" t="n"/>
      <c r="BC49" s="78" t="n"/>
      <c r="BD49" s="78" t="n"/>
      <c r="BE49" s="78" t="n"/>
      <c r="BF49" s="78" t="n"/>
      <c r="BG49" s="78" t="n"/>
      <c r="BH49" s="78" t="n"/>
      <c r="BI49" s="78" t="n"/>
      <c r="BJ49" s="78" t="n"/>
      <c r="BK49" s="78" t="n"/>
      <c r="BL49" s="78" t="n"/>
      <c r="BM49" s="78" t="n"/>
      <c r="BN49" s="78" t="n"/>
      <c r="BO49" s="78" t="n"/>
      <c r="BP49" s="78" t="n"/>
      <c r="BQ49" s="78" t="n"/>
      <c r="BR49" s="78" t="n"/>
      <c r="BS49" s="78" t="n"/>
      <c r="BT49" s="78" t="n"/>
      <c r="BU49" s="78" t="n"/>
      <c r="BV49" s="78" t="n"/>
      <c r="BW49" s="78" t="n"/>
      <c r="BX49" s="78" t="n"/>
    </row>
    <row r="50" customFormat="1" s="64">
      <c r="A50" s="45" t="inlineStr">
        <is>
          <t>VIC</t>
        </is>
      </c>
      <c r="B50" s="46" t="inlineStr">
        <is>
          <t>Bioinformatics staff</t>
        </is>
      </c>
      <c r="C50" s="54" t="n"/>
      <c r="D50" s="45" t="n"/>
      <c r="E50" s="55" t="n"/>
      <c r="F50" s="45" t="n"/>
      <c r="G50" s="45" t="n"/>
      <c r="H50" s="56" t="n"/>
      <c r="I50" s="56" t="n"/>
      <c r="J50" s="56" t="n"/>
      <c r="K50" s="65">
        <f>(K7*$AS7)</f>
        <v/>
      </c>
      <c r="L50" s="65" t="n"/>
      <c r="M50" s="65" t="n"/>
      <c r="N50" s="68" t="n"/>
      <c r="O50" s="68" t="n"/>
      <c r="P50" s="68" t="n"/>
      <c r="Q50" s="69" t="n"/>
      <c r="R50" s="69" t="n"/>
      <c r="S50" s="69" t="n"/>
      <c r="T50" s="65">
        <f>(T7*$AS7)</f>
        <v/>
      </c>
      <c r="U50" s="65" t="n"/>
      <c r="V50" s="70" t="n"/>
      <c r="W50" s="70">
        <f>(W7*$AS7)</f>
        <v/>
      </c>
      <c r="X50" s="70" t="n"/>
      <c r="Y50" s="65" t="n"/>
      <c r="Z50" s="65">
        <f>(Z7*$AS7)</f>
        <v/>
      </c>
      <c r="AA50" s="65" t="n"/>
      <c r="AB50" s="70" t="n"/>
      <c r="AC50" s="70">
        <f>(AC7*$AS7)</f>
        <v/>
      </c>
      <c r="AD50" s="70" t="n"/>
      <c r="AE50" s="65" t="n"/>
      <c r="AF50" s="65">
        <f>(AF7*$AS7)</f>
        <v/>
      </c>
      <c r="AG50" s="65" t="n"/>
      <c r="AH50" s="65" t="n"/>
      <c r="AI50" s="65">
        <f>AI7</f>
        <v/>
      </c>
      <c r="AJ50" s="65" t="n"/>
      <c r="AK50" s="77" t="n"/>
      <c r="AL50" s="65">
        <f>(AL7/52*$AS7)</f>
        <v/>
      </c>
      <c r="AM50" s="65" t="n"/>
      <c r="AN50" s="65" t="n"/>
      <c r="AO50" s="65">
        <f>(AO7*$AS7)</f>
        <v/>
      </c>
      <c r="AP50" s="65" t="n"/>
      <c r="AQ50" s="56" t="n"/>
      <c r="AR50" s="65">
        <f>AR7</f>
        <v/>
      </c>
      <c r="AS50" s="65">
        <f>AS7</f>
        <v/>
      </c>
      <c r="AT50" s="65">
        <f>AT7</f>
        <v/>
      </c>
      <c r="BA50" s="78" t="n"/>
      <c r="BB50" s="78" t="n"/>
      <c r="BC50" s="78" t="n"/>
      <c r="BD50" s="78" t="n"/>
      <c r="BE50" s="78" t="n"/>
      <c r="BF50" s="78" t="n"/>
      <c r="BG50" s="78" t="n"/>
      <c r="BH50" s="78" t="n"/>
      <c r="BI50" s="78" t="n"/>
      <c r="BJ50" s="78" t="n"/>
      <c r="BK50" s="78" t="n"/>
      <c r="BL50" s="78" t="n"/>
      <c r="BM50" s="78" t="n"/>
      <c r="BN50" s="78" t="n"/>
      <c r="BO50" s="78" t="n"/>
      <c r="BP50" s="78" t="n"/>
      <c r="BQ50" s="78" t="n"/>
      <c r="BR50" s="78" t="n"/>
      <c r="BS50" s="78" t="n"/>
      <c r="BT50" s="78" t="n"/>
      <c r="BU50" s="78" t="n"/>
      <c r="BV50" s="78" t="n"/>
      <c r="BW50" s="78" t="n"/>
      <c r="BX50" s="78" t="n"/>
    </row>
    <row r="51" customFormat="1" s="64">
      <c r="A51" s="45" t="inlineStr">
        <is>
          <t>VIC</t>
        </is>
      </c>
      <c r="B51" s="46" t="inlineStr">
        <is>
          <t>Pathologists</t>
        </is>
      </c>
      <c r="C51" s="54" t="n"/>
      <c r="D51" s="45" t="n"/>
      <c r="E51" s="55" t="n"/>
      <c r="F51" s="45" t="n"/>
      <c r="G51" s="45" t="n"/>
      <c r="H51" s="56" t="n"/>
      <c r="I51" s="56" t="n"/>
      <c r="J51" s="56" t="n"/>
      <c r="K51" s="65">
        <f>(K8*$AS8)</f>
        <v/>
      </c>
      <c r="L51" s="65" t="n"/>
      <c r="M51" s="65" t="n"/>
      <c r="N51" s="68" t="n"/>
      <c r="O51" s="68" t="n"/>
      <c r="P51" s="68" t="n"/>
      <c r="Q51" s="69" t="n"/>
      <c r="R51" s="69" t="n"/>
      <c r="S51" s="69" t="n"/>
      <c r="T51" s="65">
        <f>(T8*$AS8)</f>
        <v/>
      </c>
      <c r="U51" s="65" t="n"/>
      <c r="V51" s="70" t="n"/>
      <c r="W51" s="70">
        <f>(W8*$AS8)</f>
        <v/>
      </c>
      <c r="X51" s="70" t="n"/>
      <c r="Y51" s="65" t="n"/>
      <c r="Z51" s="65">
        <f>(Z8*$AS8)</f>
        <v/>
      </c>
      <c r="AA51" s="65" t="n"/>
      <c r="AB51" s="70" t="n"/>
      <c r="AC51" s="70">
        <f>(AC8*$AS8)</f>
        <v/>
      </c>
      <c r="AD51" s="70" t="n"/>
      <c r="AE51" s="65" t="n"/>
      <c r="AF51" s="65">
        <f>(AF8*$AS8)</f>
        <v/>
      </c>
      <c r="AG51" s="65" t="n"/>
      <c r="AH51" s="65" t="n"/>
      <c r="AI51" s="65">
        <f>AI8</f>
        <v/>
      </c>
      <c r="AJ51" s="65" t="n"/>
      <c r="AK51" s="77" t="n"/>
      <c r="AL51" s="65">
        <f>(AL8/52*$AS8)</f>
        <v/>
      </c>
      <c r="AM51" s="65" t="n"/>
      <c r="AN51" s="65" t="n"/>
      <c r="AO51" s="65">
        <f>(AO8*$AS8)</f>
        <v/>
      </c>
      <c r="AP51" s="65" t="n"/>
      <c r="AQ51" s="56" t="n"/>
      <c r="AR51" s="65">
        <f>AR8</f>
        <v/>
      </c>
      <c r="AS51" s="65">
        <f>AS8</f>
        <v/>
      </c>
      <c r="AT51" s="65">
        <f>AT8</f>
        <v/>
      </c>
      <c r="BA51" s="78" t="n"/>
      <c r="BB51" s="78" t="n"/>
      <c r="BC51" s="78" t="n"/>
      <c r="BD51" s="78" t="n"/>
      <c r="BE51" s="78" t="n"/>
      <c r="BF51" s="78" t="n"/>
      <c r="BG51" s="78" t="n"/>
      <c r="BH51" s="78" t="n"/>
      <c r="BI51" s="78" t="n"/>
      <c r="BJ51" s="78" t="n"/>
      <c r="BK51" s="78" t="n"/>
      <c r="BL51" s="78" t="n"/>
      <c r="BM51" s="78" t="n"/>
      <c r="BN51" s="78" t="n"/>
      <c r="BO51" s="78" t="n"/>
      <c r="BP51" s="78" t="n"/>
      <c r="BQ51" s="78" t="n"/>
      <c r="BR51" s="78" t="n"/>
      <c r="BS51" s="78" t="n"/>
      <c r="BT51" s="78" t="n"/>
      <c r="BU51" s="78" t="n"/>
      <c r="BV51" s="78" t="n"/>
      <c r="BW51" s="78" t="n"/>
      <c r="BX51" s="78" t="n"/>
    </row>
    <row r="52" customFormat="1" s="64">
      <c r="A52" s="45" t="n"/>
      <c r="B52" s="46" t="n"/>
      <c r="C52" s="54" t="n"/>
      <c r="D52" s="45" t="n"/>
      <c r="E52" s="55" t="n"/>
      <c r="F52" s="45" t="n"/>
      <c r="G52" s="45" t="n"/>
      <c r="H52" s="56" t="n"/>
      <c r="I52" s="56" t="n"/>
      <c r="J52" s="56" t="n"/>
      <c r="K52" s="70" t="n"/>
      <c r="L52" s="70" t="n"/>
      <c r="M52" s="70" t="n"/>
      <c r="N52" s="68" t="n"/>
      <c r="O52" s="68" t="n"/>
      <c r="P52" s="68" t="n"/>
      <c r="Q52" s="69" t="n"/>
      <c r="R52" s="69" t="n"/>
      <c r="S52" s="69" t="n"/>
      <c r="T52" s="69" t="n"/>
      <c r="U52" s="69" t="n"/>
      <c r="V52" s="70" t="n"/>
      <c r="W52" s="70" t="n"/>
      <c r="X52" s="70" t="n"/>
      <c r="Y52" s="69" t="n"/>
      <c r="Z52" s="71" t="n"/>
      <c r="AA52" s="71" t="n"/>
      <c r="AB52" s="70" t="n"/>
      <c r="AC52" s="70" t="n"/>
      <c r="AD52" s="70" t="n"/>
      <c r="AE52" s="69" t="n"/>
      <c r="AF52" s="69" t="n"/>
      <c r="AG52" s="69" t="n"/>
      <c r="AH52" s="69" t="n"/>
      <c r="AI52" s="67" t="n"/>
      <c r="AJ52" s="67" t="n"/>
      <c r="AK52" s="77" t="n"/>
      <c r="AL52" s="56" t="n"/>
      <c r="AM52" s="56" t="n"/>
      <c r="AN52" s="56" t="n"/>
      <c r="AO52" s="69" t="n"/>
      <c r="AP52" s="69" t="n"/>
      <c r="AQ52" s="56" t="n"/>
      <c r="AR52" s="65" t="n"/>
      <c r="AS52" s="65" t="n"/>
      <c r="AT52" s="65" t="n"/>
      <c r="BA52" s="78" t="n"/>
      <c r="BB52" s="78" t="n"/>
      <c r="BC52" s="78" t="n"/>
      <c r="BD52" s="78" t="n"/>
      <c r="BE52" s="78" t="n"/>
      <c r="BF52" s="78" t="n"/>
      <c r="BG52" s="78" t="n"/>
      <c r="BH52" s="78" t="n"/>
      <c r="BI52" s="78" t="n"/>
      <c r="BJ52" s="78" t="n"/>
      <c r="BK52" s="78" t="n"/>
      <c r="BL52" s="78" t="n"/>
      <c r="BM52" s="78" t="n"/>
      <c r="BN52" s="78" t="n"/>
      <c r="BO52" s="78" t="n"/>
      <c r="BP52" s="78" t="n"/>
      <c r="BQ52" s="78" t="n"/>
      <c r="BR52" s="78" t="n"/>
      <c r="BS52" s="78" t="n"/>
      <c r="BT52" s="78" t="n"/>
      <c r="BU52" s="78" t="n"/>
      <c r="BV52" s="78" t="n"/>
      <c r="BW52" s="78" t="n"/>
      <c r="BX52" s="78" t="n"/>
    </row>
    <row r="53" customFormat="1" s="64">
      <c r="A53" s="45" t="inlineStr">
        <is>
          <t>SA</t>
        </is>
      </c>
      <c r="B53" s="46" t="inlineStr">
        <is>
          <t>Lab technician</t>
        </is>
      </c>
      <c r="C53" s="54" t="n"/>
      <c r="D53" s="45" t="n"/>
      <c r="E53" s="55" t="n"/>
      <c r="F53" s="45" t="n"/>
      <c r="G53" s="45" t="n"/>
      <c r="H53" s="56" t="n"/>
      <c r="I53" s="56" t="n"/>
      <c r="J53" s="56" t="n"/>
      <c r="K53" s="65">
        <f>(K10*$AS10)</f>
        <v/>
      </c>
      <c r="L53" s="65" t="n"/>
      <c r="M53" s="65" t="n"/>
      <c r="N53" s="68" t="n"/>
      <c r="O53" s="68" t="n"/>
      <c r="P53" s="68" t="n"/>
      <c r="Q53" s="69" t="n"/>
      <c r="R53" s="69" t="n"/>
      <c r="S53" s="69" t="n"/>
      <c r="T53" s="65">
        <f>(T10*$AS10)</f>
        <v/>
      </c>
      <c r="U53" s="65" t="n"/>
      <c r="V53" s="70" t="n"/>
      <c r="W53" s="70">
        <f>(W10*$AS10)</f>
        <v/>
      </c>
      <c r="X53" s="70" t="n"/>
      <c r="Y53" s="65" t="n"/>
      <c r="Z53" s="65">
        <f>(Z10*$AS10)</f>
        <v/>
      </c>
      <c r="AA53" s="65" t="n"/>
      <c r="AB53" s="70" t="n"/>
      <c r="AC53" s="70">
        <f>(AC10*$AS10)</f>
        <v/>
      </c>
      <c r="AD53" s="70" t="n"/>
      <c r="AE53" s="65" t="n"/>
      <c r="AF53" s="65">
        <f>(AF10*$AS10)</f>
        <v/>
      </c>
      <c r="AG53" s="65" t="n"/>
      <c r="AH53" s="65" t="n"/>
      <c r="AI53" s="65">
        <f>AI10</f>
        <v/>
      </c>
      <c r="AJ53" s="65" t="n"/>
      <c r="AK53" s="77" t="n"/>
      <c r="AL53" s="65">
        <f>(AL10/52*$AS10)</f>
        <v/>
      </c>
      <c r="AM53" s="65" t="n"/>
      <c r="AN53" s="65" t="n"/>
      <c r="AO53" s="65">
        <f>(AO10*$AS10)</f>
        <v/>
      </c>
      <c r="AP53" s="65" t="n"/>
      <c r="AQ53" s="56" t="n"/>
      <c r="AR53" s="65">
        <f>AR10</f>
        <v/>
      </c>
      <c r="AS53" s="65">
        <f>AS10</f>
        <v/>
      </c>
      <c r="AT53" s="65">
        <f>AT10</f>
        <v/>
      </c>
      <c r="BA53" s="78" t="n"/>
      <c r="BB53" s="78" t="n"/>
      <c r="BC53" s="78" t="n"/>
      <c r="BD53" s="78" t="n"/>
      <c r="BE53" s="78" t="n"/>
      <c r="BF53" s="78" t="n"/>
      <c r="BG53" s="78" t="n"/>
      <c r="BH53" s="78" t="n"/>
      <c r="BI53" s="78" t="n"/>
      <c r="BJ53" s="78" t="n"/>
      <c r="BK53" s="78" t="n"/>
      <c r="BL53" s="78" t="n"/>
      <c r="BM53" s="78" t="n"/>
      <c r="BN53" s="78" t="n"/>
      <c r="BO53" s="78" t="n"/>
      <c r="BP53" s="78" t="n"/>
      <c r="BQ53" s="78" t="n"/>
      <c r="BR53" s="78" t="n"/>
      <c r="BS53" s="78" t="n"/>
      <c r="BT53" s="78" t="n"/>
      <c r="BU53" s="78" t="n"/>
      <c r="BV53" s="78" t="n"/>
      <c r="BW53" s="78" t="n"/>
      <c r="BX53" s="78" t="n"/>
    </row>
    <row r="54" customFormat="1" s="64">
      <c r="A54" s="45" t="inlineStr">
        <is>
          <t>SA</t>
        </is>
      </c>
      <c r="B54" s="46" t="inlineStr">
        <is>
          <t>Medical scientist</t>
        </is>
      </c>
      <c r="C54" s="54" t="n"/>
      <c r="D54" s="45" t="n"/>
      <c r="E54" s="55" t="n"/>
      <c r="F54" s="45" t="n"/>
      <c r="G54" s="45" t="n"/>
      <c r="H54" s="56" t="n"/>
      <c r="I54" s="56" t="n"/>
      <c r="J54" s="56" t="n"/>
      <c r="K54" s="65">
        <f>(K11*$AS11)</f>
        <v/>
      </c>
      <c r="L54" s="65" t="n"/>
      <c r="M54" s="65" t="n"/>
      <c r="N54" s="68" t="n"/>
      <c r="O54" s="68" t="n"/>
      <c r="P54" s="68" t="n"/>
      <c r="Q54" s="69" t="n"/>
      <c r="R54" s="69" t="n"/>
      <c r="S54" s="69" t="n"/>
      <c r="T54" s="65">
        <f>(T11*$AS11)</f>
        <v/>
      </c>
      <c r="U54" s="65" t="n"/>
      <c r="V54" s="70" t="n"/>
      <c r="W54" s="70">
        <f>(W11*$AS11)</f>
        <v/>
      </c>
      <c r="X54" s="70" t="n"/>
      <c r="Y54" s="65" t="n"/>
      <c r="Z54" s="65">
        <f>(Z11*$AS11)</f>
        <v/>
      </c>
      <c r="AA54" s="65" t="n"/>
      <c r="AB54" s="70" t="n"/>
      <c r="AC54" s="70">
        <f>(AC11*$AS11)</f>
        <v/>
      </c>
      <c r="AD54" s="70" t="n"/>
      <c r="AE54" s="65" t="n"/>
      <c r="AF54" s="65">
        <f>(AF11*$AS11)</f>
        <v/>
      </c>
      <c r="AG54" s="65" t="n"/>
      <c r="AH54" s="65" t="n"/>
      <c r="AI54" s="65">
        <f>AI11</f>
        <v/>
      </c>
      <c r="AJ54" s="65" t="n"/>
      <c r="AK54" s="77" t="n"/>
      <c r="AL54" s="65">
        <f>(AL11/52*$AS11)</f>
        <v/>
      </c>
      <c r="AM54" s="65" t="n"/>
      <c r="AN54" s="65" t="n"/>
      <c r="AO54" s="65">
        <f>(AO11*$AS11)</f>
        <v/>
      </c>
      <c r="AP54" s="65" t="n"/>
      <c r="AQ54" s="56" t="n"/>
      <c r="AR54" s="65">
        <f>AR11</f>
        <v/>
      </c>
      <c r="AS54" s="65">
        <f>AS11</f>
        <v/>
      </c>
      <c r="AT54" s="65">
        <f>AT11</f>
        <v/>
      </c>
      <c r="BA54" s="78" t="n"/>
      <c r="BB54" s="78" t="n"/>
      <c r="BC54" s="78" t="n"/>
      <c r="BD54" s="78" t="n"/>
      <c r="BE54" s="78" t="n"/>
      <c r="BF54" s="78" t="n"/>
      <c r="BG54" s="78" t="n"/>
      <c r="BH54" s="78" t="n"/>
      <c r="BI54" s="78" t="n"/>
      <c r="BJ54" s="78" t="n"/>
      <c r="BK54" s="78" t="n"/>
      <c r="BL54" s="78" t="n"/>
      <c r="BM54" s="78" t="n"/>
      <c r="BN54" s="78" t="n"/>
      <c r="BO54" s="78" t="n"/>
      <c r="BP54" s="78" t="n"/>
      <c r="BQ54" s="78" t="n"/>
      <c r="BR54" s="78" t="n"/>
      <c r="BS54" s="78" t="n"/>
      <c r="BT54" s="78" t="n"/>
      <c r="BU54" s="78" t="n"/>
      <c r="BV54" s="78" t="n"/>
      <c r="BW54" s="78" t="n"/>
      <c r="BX54" s="78" t="n"/>
    </row>
    <row r="55" customFormat="1" s="64">
      <c r="A55" s="45" t="inlineStr">
        <is>
          <t>SA</t>
        </is>
      </c>
      <c r="B55" s="46" t="inlineStr">
        <is>
          <t>Admin staff</t>
        </is>
      </c>
      <c r="C55" s="54" t="n"/>
      <c r="D55" s="45" t="n"/>
      <c r="E55" s="55" t="n"/>
      <c r="F55" s="45" t="n"/>
      <c r="G55" s="45" t="n"/>
      <c r="H55" s="56" t="n"/>
      <c r="I55" s="56" t="n"/>
      <c r="J55" s="56" t="n"/>
      <c r="K55" s="65">
        <f>(K12*$AS12)</f>
        <v/>
      </c>
      <c r="L55" s="65" t="n"/>
      <c r="M55" s="65" t="n"/>
      <c r="N55" s="68" t="n"/>
      <c r="O55" s="68" t="n"/>
      <c r="P55" s="68" t="n"/>
      <c r="Q55" s="69" t="n"/>
      <c r="R55" s="69" t="n"/>
      <c r="S55" s="69" t="n"/>
      <c r="T55" s="65">
        <f>(T12*$AS12)</f>
        <v/>
      </c>
      <c r="U55" s="65" t="n"/>
      <c r="V55" s="70" t="n"/>
      <c r="W55" s="70">
        <f>(W12*$AS12)</f>
        <v/>
      </c>
      <c r="X55" s="70" t="n"/>
      <c r="Y55" s="65" t="n"/>
      <c r="Z55" s="65">
        <f>(Z12*$AS12)</f>
        <v/>
      </c>
      <c r="AA55" s="65" t="n"/>
      <c r="AB55" s="70" t="n"/>
      <c r="AC55" s="70">
        <f>(AC12*$AS12)</f>
        <v/>
      </c>
      <c r="AD55" s="70" t="n"/>
      <c r="AE55" s="65" t="n"/>
      <c r="AF55" s="65">
        <f>(AF12*$AS12)</f>
        <v/>
      </c>
      <c r="AG55" s="65" t="n"/>
      <c r="AH55" s="65" t="n"/>
      <c r="AI55" s="65">
        <f>AI12</f>
        <v/>
      </c>
      <c r="AJ55" s="65" t="n"/>
      <c r="AK55" s="77" t="n"/>
      <c r="AL55" s="65">
        <f>(AL12/52*$AS12)</f>
        <v/>
      </c>
      <c r="AM55" s="65" t="n"/>
      <c r="AN55" s="65" t="n"/>
      <c r="AO55" s="65">
        <f>(AO12*$AS12)</f>
        <v/>
      </c>
      <c r="AP55" s="65" t="n"/>
      <c r="AQ55" s="56" t="n"/>
      <c r="AR55" s="65">
        <f>AR12</f>
        <v/>
      </c>
      <c r="AS55" s="65">
        <f>AS12</f>
        <v/>
      </c>
      <c r="AT55" s="65">
        <f>AT12</f>
        <v/>
      </c>
      <c r="BA55" s="78" t="n"/>
      <c r="BB55" s="78" t="n"/>
      <c r="BC55" s="78" t="n"/>
      <c r="BD55" s="78" t="n"/>
      <c r="BE55" s="78" t="n"/>
      <c r="BF55" s="78" t="n"/>
      <c r="BG55" s="78" t="n"/>
      <c r="BH55" s="78" t="n"/>
      <c r="BI55" s="78" t="n"/>
      <c r="BJ55" s="78" t="n"/>
      <c r="BK55" s="78" t="n"/>
      <c r="BL55" s="78" t="n"/>
      <c r="BM55" s="78" t="n"/>
      <c r="BN55" s="78" t="n"/>
      <c r="BO55" s="78" t="n"/>
      <c r="BP55" s="78" t="n"/>
      <c r="BQ55" s="78" t="n"/>
      <c r="BR55" s="78" t="n"/>
      <c r="BS55" s="78" t="n"/>
      <c r="BT55" s="78" t="n"/>
      <c r="BU55" s="78" t="n"/>
      <c r="BV55" s="78" t="n"/>
      <c r="BW55" s="78" t="n"/>
      <c r="BX55" s="78" t="n"/>
    </row>
    <row r="56" customFormat="1" s="64">
      <c r="A56" s="45" t="inlineStr">
        <is>
          <t>SA</t>
        </is>
      </c>
      <c r="B56" s="46" t="inlineStr">
        <is>
          <t>Bioinformatics staff</t>
        </is>
      </c>
      <c r="C56" s="54" t="n"/>
      <c r="D56" s="45" t="n"/>
      <c r="E56" s="55" t="n"/>
      <c r="F56" s="45" t="n"/>
      <c r="G56" s="45" t="n"/>
      <c r="H56" s="56" t="n"/>
      <c r="I56" s="56" t="n"/>
      <c r="J56" s="56" t="n"/>
      <c r="K56" s="65">
        <f>(K13*$AS13)</f>
        <v/>
      </c>
      <c r="L56" s="65" t="n"/>
      <c r="M56" s="65" t="n"/>
      <c r="N56" s="68" t="n"/>
      <c r="O56" s="68" t="n"/>
      <c r="P56" s="68" t="n"/>
      <c r="Q56" s="69" t="n"/>
      <c r="R56" s="69" t="n"/>
      <c r="S56" s="69" t="n"/>
      <c r="T56" s="65">
        <f>(T13*$AS13)</f>
        <v/>
      </c>
      <c r="U56" s="65" t="n"/>
      <c r="V56" s="70" t="n"/>
      <c r="W56" s="70">
        <f>(W13*$AS13)</f>
        <v/>
      </c>
      <c r="X56" s="70" t="n"/>
      <c r="Y56" s="65" t="n"/>
      <c r="Z56" s="65">
        <f>(Z13*$AS13)</f>
        <v/>
      </c>
      <c r="AA56" s="65" t="n"/>
      <c r="AB56" s="70" t="n"/>
      <c r="AC56" s="70">
        <f>(AC13*$AS13)</f>
        <v/>
      </c>
      <c r="AD56" s="70" t="n"/>
      <c r="AE56" s="65" t="n"/>
      <c r="AF56" s="65">
        <f>(AF13*$AS13)</f>
        <v/>
      </c>
      <c r="AG56" s="65" t="n"/>
      <c r="AH56" s="65" t="n"/>
      <c r="AI56" s="65">
        <f>AI13</f>
        <v/>
      </c>
      <c r="AJ56" s="65" t="n"/>
      <c r="AK56" s="77" t="n"/>
      <c r="AL56" s="65">
        <f>(AL13/52*$AS13)</f>
        <v/>
      </c>
      <c r="AM56" s="65" t="n"/>
      <c r="AN56" s="65" t="n"/>
      <c r="AO56" s="65">
        <f>(AO13*$AS13)</f>
        <v/>
      </c>
      <c r="AP56" s="65" t="n"/>
      <c r="AQ56" s="56" t="n"/>
      <c r="AR56" s="65">
        <f>AR13</f>
        <v/>
      </c>
      <c r="AS56" s="65">
        <f>AS13</f>
        <v/>
      </c>
      <c r="AT56" s="65">
        <f>AT13</f>
        <v/>
      </c>
      <c r="BA56" s="78" t="n"/>
      <c r="BB56" s="78" t="n"/>
      <c r="BC56" s="78" t="n"/>
      <c r="BD56" s="78" t="n"/>
      <c r="BE56" s="78" t="n"/>
      <c r="BF56" s="78" t="n"/>
      <c r="BG56" s="78" t="n"/>
      <c r="BH56" s="78" t="n"/>
      <c r="BI56" s="78" t="n"/>
      <c r="BJ56" s="78" t="n"/>
      <c r="BK56" s="78" t="n"/>
      <c r="BL56" s="78" t="n"/>
      <c r="BM56" s="78" t="n"/>
      <c r="BN56" s="78" t="n"/>
      <c r="BO56" s="78" t="n"/>
      <c r="BP56" s="78" t="n"/>
      <c r="BQ56" s="78" t="n"/>
      <c r="BR56" s="78" t="n"/>
      <c r="BS56" s="78" t="n"/>
      <c r="BT56" s="78" t="n"/>
      <c r="BU56" s="78" t="n"/>
      <c r="BV56" s="78" t="n"/>
      <c r="BW56" s="78" t="n"/>
      <c r="BX56" s="78" t="n"/>
    </row>
    <row r="57" customFormat="1" s="64">
      <c r="A57" s="45" t="inlineStr">
        <is>
          <t>SA</t>
        </is>
      </c>
      <c r="B57" s="46" t="inlineStr">
        <is>
          <t>Pathologists</t>
        </is>
      </c>
      <c r="C57" s="54" t="n"/>
      <c r="D57" s="45" t="n"/>
      <c r="E57" s="55" t="n"/>
      <c r="F57" s="45" t="n"/>
      <c r="G57" s="45" t="n"/>
      <c r="H57" s="56" t="n"/>
      <c r="I57" s="56" t="n"/>
      <c r="J57" s="56" t="n"/>
      <c r="K57" s="65">
        <f>(K14*$AS14)</f>
        <v/>
      </c>
      <c r="L57" s="65" t="n"/>
      <c r="M57" s="65" t="n"/>
      <c r="N57" s="68" t="n"/>
      <c r="O57" s="68" t="n"/>
      <c r="P57" s="68" t="n"/>
      <c r="Q57" s="69" t="n"/>
      <c r="R57" s="69" t="n"/>
      <c r="S57" s="69" t="n"/>
      <c r="T57" s="65">
        <f>(T14*$AS14)</f>
        <v/>
      </c>
      <c r="U57" s="65" t="n"/>
      <c r="V57" s="70" t="n"/>
      <c r="W57" s="70">
        <f>(W14*$AS14)</f>
        <v/>
      </c>
      <c r="X57" s="70" t="n"/>
      <c r="Y57" s="65" t="n"/>
      <c r="Z57" s="65">
        <f>(Z14*$AS14)</f>
        <v/>
      </c>
      <c r="AA57" s="65" t="n"/>
      <c r="AB57" s="70" t="n"/>
      <c r="AC57" s="70">
        <f>(AC14*$AS14)</f>
        <v/>
      </c>
      <c r="AD57" s="70" t="n"/>
      <c r="AE57" s="65" t="n"/>
      <c r="AF57" s="65">
        <f>(AF14*$AS14)</f>
        <v/>
      </c>
      <c r="AG57" s="65" t="n"/>
      <c r="AH57" s="65" t="n"/>
      <c r="AI57" s="65">
        <f>AI14</f>
        <v/>
      </c>
      <c r="AJ57" s="65" t="n"/>
      <c r="AK57" s="77" t="n"/>
      <c r="AL57" s="65">
        <f>(AL14/52*$AS14)</f>
        <v/>
      </c>
      <c r="AM57" s="65" t="n"/>
      <c r="AN57" s="65" t="n"/>
      <c r="AO57" s="65">
        <f>(AO14*$AS14)</f>
        <v/>
      </c>
      <c r="AP57" s="65" t="n"/>
      <c r="AQ57" s="56" t="n"/>
      <c r="AR57" s="65">
        <f>AR14</f>
        <v/>
      </c>
      <c r="AS57" s="65">
        <f>AS14</f>
        <v/>
      </c>
      <c r="AT57" s="65">
        <f>AT14</f>
        <v/>
      </c>
      <c r="BA57" s="78" t="n"/>
      <c r="BB57" s="78" t="n"/>
      <c r="BC57" s="78" t="n"/>
      <c r="BD57" s="78" t="n"/>
      <c r="BE57" s="78" t="n"/>
      <c r="BF57" s="78" t="n"/>
      <c r="BG57" s="78" t="n"/>
      <c r="BH57" s="78" t="n"/>
      <c r="BI57" s="78" t="n"/>
      <c r="BJ57" s="78" t="n"/>
      <c r="BK57" s="78" t="n"/>
      <c r="BL57" s="78" t="n"/>
      <c r="BM57" s="78" t="n"/>
      <c r="BN57" s="78" t="n"/>
      <c r="BO57" s="78" t="n"/>
      <c r="BP57" s="78" t="n"/>
      <c r="BQ57" s="78" t="n"/>
      <c r="BR57" s="78" t="n"/>
      <c r="BS57" s="78" t="n"/>
      <c r="BT57" s="78" t="n"/>
      <c r="BU57" s="78" t="n"/>
      <c r="BV57" s="78" t="n"/>
      <c r="BW57" s="78" t="n"/>
      <c r="BX57" s="78" t="n"/>
    </row>
    <row r="58" customFormat="1" s="64">
      <c r="A58" s="45" t="n"/>
      <c r="B58" s="46" t="n"/>
      <c r="C58" s="54" t="n"/>
      <c r="D58" s="45" t="n"/>
      <c r="E58" s="55" t="n"/>
      <c r="F58" s="45" t="n"/>
      <c r="G58" s="45" t="n"/>
      <c r="H58" s="56" t="n"/>
      <c r="I58" s="56" t="n"/>
      <c r="J58" s="56" t="n"/>
      <c r="K58" s="70" t="n"/>
      <c r="L58" s="70" t="n"/>
      <c r="M58" s="70" t="n"/>
      <c r="N58" s="68" t="n"/>
      <c r="O58" s="68" t="n"/>
      <c r="P58" s="68" t="n"/>
      <c r="Q58" s="69" t="n"/>
      <c r="R58" s="69" t="n"/>
      <c r="S58" s="69" t="n"/>
      <c r="T58" s="69" t="n"/>
      <c r="U58" s="69" t="n"/>
      <c r="V58" s="70" t="n"/>
      <c r="W58" s="70" t="n"/>
      <c r="X58" s="70" t="n"/>
      <c r="Y58" s="69" t="n"/>
      <c r="Z58" s="71" t="n"/>
      <c r="AA58" s="71" t="n"/>
      <c r="AB58" s="70" t="n"/>
      <c r="AC58" s="70" t="n"/>
      <c r="AD58" s="70" t="n"/>
      <c r="AE58" s="69" t="n"/>
      <c r="AF58" s="69" t="n"/>
      <c r="AG58" s="69" t="n"/>
      <c r="AH58" s="69" t="n"/>
      <c r="AI58" s="67" t="n"/>
      <c r="AJ58" s="67" t="n"/>
      <c r="AK58" s="77" t="n"/>
      <c r="AL58" s="56" t="n"/>
      <c r="AM58" s="56" t="n"/>
      <c r="AN58" s="56" t="n"/>
      <c r="AO58" s="69" t="n"/>
      <c r="AP58" s="69" t="n"/>
      <c r="AQ58" s="56" t="n"/>
      <c r="AR58" s="65" t="n"/>
      <c r="AS58" s="65" t="n"/>
      <c r="AT58" s="65" t="n"/>
      <c r="BA58" s="78" t="n"/>
      <c r="BB58" s="78" t="n"/>
      <c r="BC58" s="78" t="n"/>
      <c r="BD58" s="78" t="n"/>
      <c r="BE58" s="78" t="n"/>
      <c r="BF58" s="78" t="n"/>
      <c r="BG58" s="78" t="n"/>
      <c r="BH58" s="78" t="n"/>
      <c r="BI58" s="78" t="n"/>
      <c r="BJ58" s="78" t="n"/>
      <c r="BK58" s="78" t="n"/>
      <c r="BL58" s="78" t="n"/>
      <c r="BM58" s="78" t="n"/>
      <c r="BN58" s="78" t="n"/>
      <c r="BO58" s="78" t="n"/>
      <c r="BP58" s="78" t="n"/>
      <c r="BQ58" s="78" t="n"/>
      <c r="BR58" s="78" t="n"/>
      <c r="BS58" s="78" t="n"/>
      <c r="BT58" s="78" t="n"/>
      <c r="BU58" s="78" t="n"/>
      <c r="BV58" s="78" t="n"/>
      <c r="BW58" s="78" t="n"/>
      <c r="BX58" s="78" t="n"/>
    </row>
    <row r="59" customFormat="1" s="64">
      <c r="A59" s="45" t="inlineStr">
        <is>
          <t>NSW</t>
        </is>
      </c>
      <c r="B59" s="46" t="inlineStr">
        <is>
          <t>Lab technician</t>
        </is>
      </c>
      <c r="C59" s="54" t="n"/>
      <c r="D59" s="45" t="n"/>
      <c r="E59" s="55" t="n"/>
      <c r="F59" s="45" t="n"/>
      <c r="G59" s="45" t="n"/>
      <c r="H59" s="56" t="n"/>
      <c r="I59" s="56" t="n"/>
      <c r="J59" s="56" t="n"/>
      <c r="K59" s="65">
        <f>(K16*$AS16)</f>
        <v/>
      </c>
      <c r="L59" s="65" t="n"/>
      <c r="M59" s="65" t="n"/>
      <c r="N59" s="68" t="n"/>
      <c r="O59" s="68" t="n"/>
      <c r="P59" s="68" t="n"/>
      <c r="Q59" s="69" t="n"/>
      <c r="R59" s="69" t="n"/>
      <c r="S59" s="69" t="n"/>
      <c r="T59" s="65">
        <f>(T16*$AS16)</f>
        <v/>
      </c>
      <c r="U59" s="65" t="n"/>
      <c r="V59" s="70" t="n"/>
      <c r="W59" s="70">
        <f>(W16*$AS16)</f>
        <v/>
      </c>
      <c r="X59" s="70" t="n"/>
      <c r="Y59" s="65" t="n"/>
      <c r="Z59" s="65">
        <f>(Z16*$AS16)</f>
        <v/>
      </c>
      <c r="AA59" s="65" t="n"/>
      <c r="AB59" s="70" t="n"/>
      <c r="AC59" s="70">
        <f>(AC16*$AS16)</f>
        <v/>
      </c>
      <c r="AD59" s="70" t="n"/>
      <c r="AE59" s="65" t="n"/>
      <c r="AF59" s="65">
        <f>(AF16*$AS16)</f>
        <v/>
      </c>
      <c r="AG59" s="65" t="n"/>
      <c r="AH59" s="65" t="n"/>
      <c r="AI59" s="65">
        <f>AI16</f>
        <v/>
      </c>
      <c r="AJ59" s="65" t="n"/>
      <c r="AK59" s="77" t="n"/>
      <c r="AL59" s="65">
        <f>(AL16/52*$AS16)</f>
        <v/>
      </c>
      <c r="AM59" s="65" t="n"/>
      <c r="AN59" s="65" t="n"/>
      <c r="AO59" s="65">
        <f>(AO16*$AS16)</f>
        <v/>
      </c>
      <c r="AP59" s="65" t="n"/>
      <c r="AQ59" s="56" t="n"/>
      <c r="AR59" s="65">
        <f>AR16</f>
        <v/>
      </c>
      <c r="AS59" s="65">
        <f>AS16</f>
        <v/>
      </c>
      <c r="AT59" s="65">
        <f>AT16</f>
        <v/>
      </c>
      <c r="BA59" s="78" t="n"/>
      <c r="BB59" s="78" t="n"/>
      <c r="BC59" s="78" t="n"/>
      <c r="BD59" s="78" t="n"/>
      <c r="BE59" s="78" t="n"/>
      <c r="BF59" s="78" t="n"/>
      <c r="BG59" s="78" t="n"/>
      <c r="BH59" s="78" t="n"/>
      <c r="BI59" s="78" t="n"/>
      <c r="BJ59" s="78" t="n"/>
      <c r="BK59" s="78" t="n"/>
      <c r="BL59" s="78" t="n"/>
      <c r="BM59" s="78" t="n"/>
      <c r="BN59" s="78" t="n"/>
      <c r="BO59" s="78" t="n"/>
      <c r="BP59" s="78" t="n"/>
      <c r="BQ59" s="78" t="n"/>
      <c r="BR59" s="78" t="n"/>
      <c r="BS59" s="78" t="n"/>
      <c r="BT59" s="78" t="n"/>
      <c r="BU59" s="78" t="n"/>
      <c r="BV59" s="78" t="n"/>
      <c r="BW59" s="78" t="n"/>
      <c r="BX59" s="78" t="n"/>
    </row>
    <row r="60" customFormat="1" s="64">
      <c r="A60" s="45" t="inlineStr">
        <is>
          <t>NSW</t>
        </is>
      </c>
      <c r="B60" s="46" t="inlineStr">
        <is>
          <t>Medical scientist</t>
        </is>
      </c>
      <c r="C60" s="54" t="n"/>
      <c r="D60" s="45" t="n"/>
      <c r="E60" s="55" t="n"/>
      <c r="F60" s="45" t="n"/>
      <c r="G60" s="45" t="n"/>
      <c r="H60" s="56" t="n"/>
      <c r="I60" s="56" t="n"/>
      <c r="J60" s="56" t="n"/>
      <c r="K60" s="65">
        <f>(K17*$AS17)</f>
        <v/>
      </c>
      <c r="L60" s="65" t="n"/>
      <c r="M60" s="65" t="n"/>
      <c r="N60" s="68" t="n"/>
      <c r="O60" s="68" t="n"/>
      <c r="P60" s="68" t="n"/>
      <c r="Q60" s="69" t="n"/>
      <c r="R60" s="69" t="n"/>
      <c r="S60" s="69" t="n"/>
      <c r="T60" s="65">
        <f>(T17*$AS17)</f>
        <v/>
      </c>
      <c r="U60" s="65" t="n"/>
      <c r="V60" s="70" t="n"/>
      <c r="W60" s="70">
        <f>(W17*$AS17)</f>
        <v/>
      </c>
      <c r="X60" s="70" t="n"/>
      <c r="Y60" s="65" t="n"/>
      <c r="Z60" s="65">
        <f>(Z17*$AS17)</f>
        <v/>
      </c>
      <c r="AA60" s="65" t="n"/>
      <c r="AB60" s="70" t="n"/>
      <c r="AC60" s="70">
        <f>(AC17*$AS17)</f>
        <v/>
      </c>
      <c r="AD60" s="70" t="n"/>
      <c r="AE60" s="65" t="n"/>
      <c r="AF60" s="65">
        <f>(AF17*$AS17)</f>
        <v/>
      </c>
      <c r="AG60" s="65" t="n"/>
      <c r="AH60" s="65" t="n"/>
      <c r="AI60" s="65">
        <f>AI17</f>
        <v/>
      </c>
      <c r="AJ60" s="65" t="n"/>
      <c r="AK60" s="77" t="n"/>
      <c r="AL60" s="65">
        <f>(AL17/52*$AS17)</f>
        <v/>
      </c>
      <c r="AM60" s="65" t="n"/>
      <c r="AN60" s="65" t="n"/>
      <c r="AO60" s="65">
        <f>(AO17*$AS17)</f>
        <v/>
      </c>
      <c r="AP60" s="65" t="n"/>
      <c r="AQ60" s="56" t="n"/>
      <c r="AR60" s="65">
        <f>AR17</f>
        <v/>
      </c>
      <c r="AS60" s="65">
        <f>AS17</f>
        <v/>
      </c>
      <c r="AT60" s="65">
        <f>AT17</f>
        <v/>
      </c>
      <c r="BA60" s="78" t="n"/>
      <c r="BB60" s="78" t="n"/>
      <c r="BC60" s="78" t="n"/>
      <c r="BD60" s="78" t="n"/>
      <c r="BE60" s="78" t="n"/>
      <c r="BF60" s="78" t="n"/>
      <c r="BG60" s="78" t="n"/>
      <c r="BH60" s="78" t="n"/>
      <c r="BI60" s="78" t="n"/>
      <c r="BJ60" s="78" t="n"/>
      <c r="BK60" s="78" t="n"/>
      <c r="BL60" s="78" t="n"/>
      <c r="BM60" s="78" t="n"/>
      <c r="BN60" s="78" t="n"/>
      <c r="BO60" s="78" t="n"/>
      <c r="BP60" s="78" t="n"/>
      <c r="BQ60" s="78" t="n"/>
      <c r="BR60" s="78" t="n"/>
      <c r="BS60" s="78" t="n"/>
      <c r="BT60" s="78" t="n"/>
      <c r="BU60" s="78" t="n"/>
      <c r="BV60" s="78" t="n"/>
      <c r="BW60" s="78" t="n"/>
      <c r="BX60" s="78" t="n"/>
    </row>
    <row r="61" customFormat="1" s="64">
      <c r="A61" s="45" t="inlineStr">
        <is>
          <t>NSW</t>
        </is>
      </c>
      <c r="B61" s="46" t="inlineStr">
        <is>
          <t>Admin staff</t>
        </is>
      </c>
      <c r="C61" s="54" t="n"/>
      <c r="D61" s="45" t="n"/>
      <c r="E61" s="55" t="n"/>
      <c r="F61" s="45" t="n"/>
      <c r="G61" s="45" t="n"/>
      <c r="H61" s="56" t="n"/>
      <c r="I61" s="56" t="n"/>
      <c r="J61" s="56" t="n"/>
      <c r="K61" s="65">
        <f>(K18*$AS18)</f>
        <v/>
      </c>
      <c r="L61" s="65" t="n"/>
      <c r="M61" s="65" t="n"/>
      <c r="N61" s="68" t="n"/>
      <c r="O61" s="68" t="n"/>
      <c r="P61" s="68" t="n"/>
      <c r="Q61" s="69" t="n"/>
      <c r="R61" s="69" t="n"/>
      <c r="S61" s="69" t="n"/>
      <c r="T61" s="65">
        <f>(T18*$AS18)</f>
        <v/>
      </c>
      <c r="U61" s="65" t="n"/>
      <c r="V61" s="70" t="n"/>
      <c r="W61" s="70">
        <f>(W18*$AS18)</f>
        <v/>
      </c>
      <c r="X61" s="70" t="n"/>
      <c r="Y61" s="65" t="n"/>
      <c r="Z61" s="65">
        <f>(Z18*$AS18)</f>
        <v/>
      </c>
      <c r="AA61" s="65" t="n"/>
      <c r="AB61" s="70" t="n"/>
      <c r="AC61" s="70">
        <f>(AC18*$AS18)</f>
        <v/>
      </c>
      <c r="AD61" s="70" t="n"/>
      <c r="AE61" s="65" t="n"/>
      <c r="AF61" s="65">
        <f>(AF18*$AS18)</f>
        <v/>
      </c>
      <c r="AG61" s="65" t="n"/>
      <c r="AH61" s="65" t="n"/>
      <c r="AI61" s="65">
        <f>AI18</f>
        <v/>
      </c>
      <c r="AJ61" s="65" t="n"/>
      <c r="AK61" s="77" t="n"/>
      <c r="AL61" s="65">
        <f>(AL18/52*$AS18)</f>
        <v/>
      </c>
      <c r="AM61" s="65" t="n"/>
      <c r="AN61" s="65" t="n"/>
      <c r="AO61" s="65">
        <f>(AO18*$AS18)</f>
        <v/>
      </c>
      <c r="AP61" s="65" t="n"/>
      <c r="AQ61" s="56" t="n"/>
      <c r="AR61" s="65">
        <f>AR18</f>
        <v/>
      </c>
      <c r="AS61" s="65">
        <f>AS18</f>
        <v/>
      </c>
      <c r="AT61" s="65">
        <f>AT18</f>
        <v/>
      </c>
      <c r="BA61" s="78" t="n"/>
      <c r="BB61" s="78" t="n"/>
      <c r="BC61" s="78" t="n"/>
      <c r="BD61" s="78" t="n"/>
      <c r="BE61" s="78" t="n"/>
      <c r="BF61" s="78" t="n"/>
      <c r="BG61" s="78" t="n"/>
      <c r="BH61" s="78" t="n"/>
      <c r="BI61" s="78" t="n"/>
      <c r="BJ61" s="78" t="n"/>
      <c r="BK61" s="78" t="n"/>
      <c r="BL61" s="78" t="n"/>
      <c r="BM61" s="78" t="n"/>
      <c r="BN61" s="78" t="n"/>
      <c r="BO61" s="78" t="n"/>
      <c r="BP61" s="78" t="n"/>
      <c r="BQ61" s="78" t="n"/>
      <c r="BR61" s="78" t="n"/>
      <c r="BS61" s="78" t="n"/>
      <c r="BT61" s="78" t="n"/>
      <c r="BU61" s="78" t="n"/>
      <c r="BV61" s="78" t="n"/>
      <c r="BW61" s="78" t="n"/>
      <c r="BX61" s="78" t="n"/>
    </row>
    <row r="62" customFormat="1" s="64">
      <c r="A62" s="45" t="inlineStr">
        <is>
          <t>NSW</t>
        </is>
      </c>
      <c r="B62" s="46" t="inlineStr">
        <is>
          <t>Bioinformatics staff</t>
        </is>
      </c>
      <c r="C62" s="54" t="n"/>
      <c r="D62" s="45" t="n"/>
      <c r="E62" s="55" t="n"/>
      <c r="F62" s="45" t="n"/>
      <c r="G62" s="45" t="n"/>
      <c r="H62" s="56" t="n"/>
      <c r="I62" s="56" t="n"/>
      <c r="J62" s="56" t="n"/>
      <c r="K62" s="65">
        <f>(K19*$AS19)</f>
        <v/>
      </c>
      <c r="L62" s="65" t="n"/>
      <c r="M62" s="65" t="n"/>
      <c r="N62" s="68" t="n"/>
      <c r="O62" s="68" t="n"/>
      <c r="P62" s="68" t="n"/>
      <c r="Q62" s="69" t="n"/>
      <c r="R62" s="69" t="n"/>
      <c r="S62" s="69" t="n"/>
      <c r="T62" s="65">
        <f>(T19*$AS19)</f>
        <v/>
      </c>
      <c r="U62" s="65" t="n"/>
      <c r="V62" s="70" t="n"/>
      <c r="W62" s="70">
        <f>(W19*$AS19)</f>
        <v/>
      </c>
      <c r="X62" s="70" t="n"/>
      <c r="Y62" s="65" t="n"/>
      <c r="Z62" s="65">
        <f>(Z19*$AS19)</f>
        <v/>
      </c>
      <c r="AA62" s="65" t="n"/>
      <c r="AB62" s="70" t="n"/>
      <c r="AC62" s="70">
        <f>(AC19*$AS19)</f>
        <v/>
      </c>
      <c r="AD62" s="70" t="n"/>
      <c r="AE62" s="65" t="n"/>
      <c r="AF62" s="65">
        <f>(AF19*$AS19)</f>
        <v/>
      </c>
      <c r="AG62" s="65" t="n"/>
      <c r="AH62" s="65" t="n"/>
      <c r="AI62" s="65">
        <f>AI19</f>
        <v/>
      </c>
      <c r="AJ62" s="65" t="n"/>
      <c r="AK62" s="77" t="n"/>
      <c r="AL62" s="65">
        <f>(AL19/52*$AS19)</f>
        <v/>
      </c>
      <c r="AM62" s="65" t="n"/>
      <c r="AN62" s="65" t="n"/>
      <c r="AO62" s="65">
        <f>(AO19*$AS19)</f>
        <v/>
      </c>
      <c r="AP62" s="65" t="n"/>
      <c r="AQ62" s="56" t="n"/>
      <c r="AR62" s="65">
        <f>AR19</f>
        <v/>
      </c>
      <c r="AS62" s="65">
        <f>AS19</f>
        <v/>
      </c>
      <c r="AT62" s="65">
        <f>AT19</f>
        <v/>
      </c>
      <c r="BA62" s="78" t="n"/>
      <c r="BB62" s="78" t="n"/>
      <c r="BC62" s="78" t="n"/>
      <c r="BD62" s="78" t="n"/>
      <c r="BE62" s="78" t="n"/>
      <c r="BF62" s="78" t="n"/>
      <c r="BG62" s="78" t="n"/>
      <c r="BH62" s="78" t="n"/>
      <c r="BI62" s="78" t="n"/>
      <c r="BJ62" s="78" t="n"/>
      <c r="BK62" s="78" t="n"/>
      <c r="BL62" s="78" t="n"/>
      <c r="BM62" s="78" t="n"/>
      <c r="BN62" s="78" t="n"/>
      <c r="BO62" s="78" t="n"/>
      <c r="BP62" s="78" t="n"/>
      <c r="BQ62" s="78" t="n"/>
      <c r="BR62" s="78" t="n"/>
      <c r="BS62" s="78" t="n"/>
      <c r="BT62" s="78" t="n"/>
      <c r="BU62" s="78" t="n"/>
      <c r="BV62" s="78" t="n"/>
      <c r="BW62" s="78" t="n"/>
      <c r="BX62" s="78" t="n"/>
    </row>
    <row r="63" customFormat="1" s="64">
      <c r="A63" s="45" t="inlineStr">
        <is>
          <t>NSW</t>
        </is>
      </c>
      <c r="B63" s="46" t="inlineStr">
        <is>
          <t>Pathologists</t>
        </is>
      </c>
      <c r="C63" s="54" t="n"/>
      <c r="D63" s="45" t="n"/>
      <c r="E63" s="55" t="n"/>
      <c r="F63" s="45" t="n"/>
      <c r="G63" s="45" t="n"/>
      <c r="H63" s="56" t="n"/>
      <c r="I63" s="56" t="n"/>
      <c r="J63" s="56" t="n"/>
      <c r="K63" s="65">
        <f>(K20*$AS20)</f>
        <v/>
      </c>
      <c r="L63" s="65" t="n"/>
      <c r="M63" s="65" t="n"/>
      <c r="N63" s="68" t="n"/>
      <c r="O63" s="68" t="n"/>
      <c r="P63" s="68" t="n"/>
      <c r="Q63" s="69" t="n"/>
      <c r="R63" s="69" t="n"/>
      <c r="S63" s="69" t="n"/>
      <c r="T63" s="65">
        <f>(T20*$AS20)</f>
        <v/>
      </c>
      <c r="U63" s="65" t="n"/>
      <c r="V63" s="70" t="n"/>
      <c r="W63" s="70">
        <f>(W20*$AS20)</f>
        <v/>
      </c>
      <c r="X63" s="70" t="n"/>
      <c r="Y63" s="65" t="n"/>
      <c r="Z63" s="65">
        <f>(Z20*$AS20)</f>
        <v/>
      </c>
      <c r="AA63" s="65" t="n"/>
      <c r="AB63" s="70" t="n"/>
      <c r="AC63" s="70">
        <f>(AC20*$AS20)</f>
        <v/>
      </c>
      <c r="AD63" s="70" t="n"/>
      <c r="AE63" s="65" t="n"/>
      <c r="AF63" s="65">
        <f>(AF20*$AS20)</f>
        <v/>
      </c>
      <c r="AG63" s="65" t="n"/>
      <c r="AH63" s="65" t="n"/>
      <c r="AI63" s="65">
        <f>AI20</f>
        <v/>
      </c>
      <c r="AJ63" s="65" t="n"/>
      <c r="AK63" s="77" t="n"/>
      <c r="AL63" s="65">
        <f>(AL20/52*$AS20)</f>
        <v/>
      </c>
      <c r="AM63" s="65" t="n"/>
      <c r="AN63" s="65" t="n"/>
      <c r="AO63" s="65">
        <f>(AO20*$AS20)</f>
        <v/>
      </c>
      <c r="AP63" s="65" t="n"/>
      <c r="AQ63" s="56" t="n"/>
      <c r="AR63" s="65">
        <f>AR20</f>
        <v/>
      </c>
      <c r="AS63" s="65">
        <f>AS20</f>
        <v/>
      </c>
      <c r="AT63" s="65">
        <f>AT20</f>
        <v/>
      </c>
      <c r="BA63" s="78" t="n"/>
      <c r="BB63" s="78" t="n"/>
      <c r="BC63" s="78" t="n"/>
      <c r="BD63" s="78" t="n"/>
      <c r="BE63" s="78" t="n"/>
      <c r="BF63" s="78" t="n"/>
      <c r="BG63" s="78" t="n"/>
      <c r="BH63" s="78" t="n"/>
      <c r="BI63" s="78" t="n"/>
      <c r="BJ63" s="78" t="n"/>
      <c r="BK63" s="78" t="n"/>
      <c r="BL63" s="78" t="n"/>
      <c r="BM63" s="78" t="n"/>
      <c r="BN63" s="78" t="n"/>
      <c r="BO63" s="78" t="n"/>
      <c r="BP63" s="78" t="n"/>
      <c r="BQ63" s="78" t="n"/>
      <c r="BR63" s="78" t="n"/>
      <c r="BS63" s="78" t="n"/>
      <c r="BT63" s="78" t="n"/>
      <c r="BU63" s="78" t="n"/>
      <c r="BV63" s="78" t="n"/>
      <c r="BW63" s="78" t="n"/>
      <c r="BX63" s="78" t="n"/>
    </row>
    <row r="64" customFormat="1" s="64">
      <c r="A64" s="45" t="n"/>
      <c r="B64" s="46" t="n"/>
      <c r="C64" s="54" t="n"/>
      <c r="D64" s="45" t="n"/>
      <c r="E64" s="55" t="n"/>
      <c r="F64" s="45" t="n"/>
      <c r="G64" s="45" t="n"/>
      <c r="H64" s="56" t="n"/>
      <c r="I64" s="56" t="n"/>
      <c r="J64" s="56" t="n"/>
      <c r="K64" s="70" t="n"/>
      <c r="L64" s="70" t="n"/>
      <c r="M64" s="70" t="n"/>
      <c r="N64" s="68" t="n"/>
      <c r="O64" s="68" t="n"/>
      <c r="P64" s="68" t="n"/>
      <c r="Q64" s="69" t="n"/>
      <c r="R64" s="69" t="n"/>
      <c r="S64" s="69" t="n"/>
      <c r="T64" s="69" t="n"/>
      <c r="U64" s="69" t="n"/>
      <c r="V64" s="70" t="n"/>
      <c r="W64" s="70" t="n"/>
      <c r="X64" s="70" t="n"/>
      <c r="Y64" s="69" t="n"/>
      <c r="Z64" s="71" t="n"/>
      <c r="AA64" s="71" t="n"/>
      <c r="AB64" s="70" t="n"/>
      <c r="AC64" s="70" t="n"/>
      <c r="AD64" s="70" t="n"/>
      <c r="AE64" s="69" t="n"/>
      <c r="AF64" s="69" t="n"/>
      <c r="AG64" s="69" t="n"/>
      <c r="AH64" s="69" t="n"/>
      <c r="AI64" s="67" t="n"/>
      <c r="AJ64" s="67" t="n"/>
      <c r="AK64" s="77" t="n"/>
      <c r="AL64" s="56" t="n"/>
      <c r="AM64" s="56" t="n"/>
      <c r="AN64" s="56" t="n"/>
      <c r="AO64" s="69" t="n"/>
      <c r="AP64" s="69" t="n"/>
      <c r="AQ64" s="56" t="n"/>
      <c r="AR64" s="65" t="n"/>
      <c r="AS64" s="65" t="n"/>
      <c r="AT64" s="65" t="n"/>
      <c r="BA64" s="78" t="n"/>
      <c r="BB64" s="78" t="n"/>
      <c r="BC64" s="78" t="n"/>
      <c r="BD64" s="78" t="n"/>
      <c r="BE64" s="78" t="n"/>
      <c r="BF64" s="78" t="n"/>
      <c r="BG64" s="78" t="n"/>
      <c r="BH64" s="78" t="n"/>
      <c r="BI64" s="78" t="n"/>
      <c r="BJ64" s="78" t="n"/>
      <c r="BK64" s="78" t="n"/>
      <c r="BL64" s="78" t="n"/>
      <c r="BM64" s="78" t="n"/>
      <c r="BN64" s="78" t="n"/>
      <c r="BO64" s="78" t="n"/>
      <c r="BP64" s="78" t="n"/>
      <c r="BQ64" s="78" t="n"/>
      <c r="BR64" s="78" t="n"/>
      <c r="BS64" s="78" t="n"/>
      <c r="BT64" s="78" t="n"/>
      <c r="BU64" s="78" t="n"/>
      <c r="BV64" s="78" t="n"/>
      <c r="BW64" s="78" t="n"/>
      <c r="BX64" s="78" t="n"/>
    </row>
    <row r="65" customFormat="1" s="64">
      <c r="A65" s="45" t="inlineStr">
        <is>
          <t>QLD</t>
        </is>
      </c>
      <c r="B65" s="46" t="inlineStr">
        <is>
          <t>Lab technician</t>
        </is>
      </c>
      <c r="C65" s="54" t="n"/>
      <c r="D65" s="45" t="n"/>
      <c r="E65" s="55" t="n"/>
      <c r="F65" s="45" t="n"/>
      <c r="G65" s="45" t="n"/>
      <c r="H65" s="56" t="n"/>
      <c r="I65" s="56" t="n"/>
      <c r="J65" s="56" t="n"/>
      <c r="K65" s="65">
        <f>(K22*$AS22)</f>
        <v/>
      </c>
      <c r="L65" s="65" t="n"/>
      <c r="M65" s="65" t="n"/>
      <c r="N65" s="68" t="n"/>
      <c r="O65" s="68" t="n"/>
      <c r="P65" s="68" t="n"/>
      <c r="Q65" s="69" t="n"/>
      <c r="R65" s="69" t="n"/>
      <c r="S65" s="69" t="n"/>
      <c r="T65" s="65">
        <f>(T22*$AS22)</f>
        <v/>
      </c>
      <c r="U65" s="65" t="n"/>
      <c r="V65" s="70" t="n"/>
      <c r="W65" s="70">
        <f>(W22*$AS22)</f>
        <v/>
      </c>
      <c r="X65" s="70" t="n"/>
      <c r="Y65" s="65" t="n"/>
      <c r="Z65" s="65">
        <f>(Z22*$AS22)</f>
        <v/>
      </c>
      <c r="AA65" s="65" t="n"/>
      <c r="AB65" s="70" t="n"/>
      <c r="AC65" s="70">
        <f>(AC22*$AS22)</f>
        <v/>
      </c>
      <c r="AD65" s="70" t="n"/>
      <c r="AE65" s="65" t="n"/>
      <c r="AF65" s="65">
        <f>(AF22*$AS22)</f>
        <v/>
      </c>
      <c r="AG65" s="65" t="n"/>
      <c r="AH65" s="65" t="n"/>
      <c r="AI65" s="65">
        <f>AI22</f>
        <v/>
      </c>
      <c r="AJ65" s="65" t="n"/>
      <c r="AK65" s="77" t="n"/>
      <c r="AL65" s="65">
        <f>(AL22/52*$AS22)</f>
        <v/>
      </c>
      <c r="AM65" s="65" t="n"/>
      <c r="AN65" s="65" t="n"/>
      <c r="AO65" s="65">
        <f>(AO22*$AS22)</f>
        <v/>
      </c>
      <c r="AP65" s="65" t="n"/>
      <c r="AQ65" s="56" t="n"/>
      <c r="AR65" s="65">
        <f>AR22</f>
        <v/>
      </c>
      <c r="AS65" s="65">
        <f>AS22</f>
        <v/>
      </c>
      <c r="AT65" s="65">
        <f>AT22</f>
        <v/>
      </c>
      <c r="BA65" s="78" t="n"/>
      <c r="BB65" s="78" t="n"/>
      <c r="BC65" s="78" t="n"/>
      <c r="BD65" s="78" t="n"/>
      <c r="BE65" s="78" t="n"/>
      <c r="BF65" s="78" t="n"/>
      <c r="BG65" s="78" t="n"/>
      <c r="BH65" s="78" t="n"/>
      <c r="BI65" s="78" t="n"/>
      <c r="BJ65" s="78" t="n"/>
      <c r="BK65" s="78" t="n"/>
      <c r="BL65" s="78" t="n"/>
      <c r="BM65" s="78" t="n"/>
      <c r="BN65" s="78" t="n"/>
      <c r="BO65" s="78" t="n"/>
      <c r="BP65" s="78" t="n"/>
      <c r="BQ65" s="78" t="n"/>
      <c r="BR65" s="78" t="n"/>
      <c r="BS65" s="78" t="n"/>
      <c r="BT65" s="78" t="n"/>
      <c r="BU65" s="78" t="n"/>
      <c r="BV65" s="78" t="n"/>
      <c r="BW65" s="78" t="n"/>
      <c r="BX65" s="78" t="n"/>
    </row>
    <row r="66" customFormat="1" s="64">
      <c r="A66" s="45" t="inlineStr">
        <is>
          <t>QLD</t>
        </is>
      </c>
      <c r="B66" s="46" t="inlineStr">
        <is>
          <t>Medical scientist</t>
        </is>
      </c>
      <c r="C66" s="54" t="n"/>
      <c r="D66" s="45" t="n"/>
      <c r="E66" s="55" t="n"/>
      <c r="F66" s="45" t="n"/>
      <c r="G66" s="45" t="n"/>
      <c r="H66" s="56" t="n"/>
      <c r="I66" s="56" t="n"/>
      <c r="J66" s="56" t="n"/>
      <c r="K66" s="65">
        <f>(K23*$AS23)</f>
        <v/>
      </c>
      <c r="L66" s="65" t="n"/>
      <c r="M66" s="65" t="n"/>
      <c r="N66" s="68" t="n"/>
      <c r="O66" s="68" t="n"/>
      <c r="P66" s="68" t="n"/>
      <c r="Q66" s="69" t="n"/>
      <c r="R66" s="69" t="n"/>
      <c r="S66" s="69" t="n"/>
      <c r="T66" s="65">
        <f>(T23*$AS23)</f>
        <v/>
      </c>
      <c r="U66" s="65" t="n"/>
      <c r="V66" s="70" t="n"/>
      <c r="W66" s="70">
        <f>(W23*$AS23)</f>
        <v/>
      </c>
      <c r="X66" s="70" t="n"/>
      <c r="Y66" s="65" t="n"/>
      <c r="Z66" s="65">
        <f>(Z23*$AS23)</f>
        <v/>
      </c>
      <c r="AA66" s="65" t="n"/>
      <c r="AB66" s="70" t="n"/>
      <c r="AC66" s="70">
        <f>(AC23*$AS23)</f>
        <v/>
      </c>
      <c r="AD66" s="70" t="n"/>
      <c r="AE66" s="65" t="n"/>
      <c r="AF66" s="65">
        <f>(AF23*$AS23)</f>
        <v/>
      </c>
      <c r="AG66" s="65" t="n"/>
      <c r="AH66" s="65" t="n"/>
      <c r="AI66" s="65">
        <f>AI23</f>
        <v/>
      </c>
      <c r="AJ66" s="65" t="n"/>
      <c r="AK66" s="77" t="n"/>
      <c r="AL66" s="65">
        <f>(AL23/52*$AS23)</f>
        <v/>
      </c>
      <c r="AM66" s="65" t="n"/>
      <c r="AN66" s="65" t="n"/>
      <c r="AO66" s="65">
        <f>(AO23*$AS23)</f>
        <v/>
      </c>
      <c r="AP66" s="65" t="n"/>
      <c r="AQ66" s="56" t="n"/>
      <c r="AR66" s="65">
        <f>AR23</f>
        <v/>
      </c>
      <c r="AS66" s="65">
        <f>AS23</f>
        <v/>
      </c>
      <c r="AT66" s="65">
        <f>AT23</f>
        <v/>
      </c>
      <c r="BA66" s="78" t="n"/>
      <c r="BB66" s="78" t="n"/>
      <c r="BC66" s="78" t="n"/>
      <c r="BD66" s="78" t="n"/>
      <c r="BE66" s="78" t="n"/>
      <c r="BF66" s="78" t="n"/>
      <c r="BG66" s="78" t="n"/>
      <c r="BH66" s="78" t="n"/>
      <c r="BI66" s="78" t="n"/>
      <c r="BJ66" s="78" t="n"/>
      <c r="BK66" s="78" t="n"/>
      <c r="BL66" s="78" t="n"/>
      <c r="BM66" s="78" t="n"/>
      <c r="BN66" s="78" t="n"/>
      <c r="BO66" s="78" t="n"/>
      <c r="BP66" s="78" t="n"/>
      <c r="BQ66" s="78" t="n"/>
      <c r="BR66" s="78" t="n"/>
      <c r="BS66" s="78" t="n"/>
      <c r="BT66" s="78" t="n"/>
      <c r="BU66" s="78" t="n"/>
      <c r="BV66" s="78" t="n"/>
      <c r="BW66" s="78" t="n"/>
      <c r="BX66" s="78" t="n"/>
    </row>
    <row r="67" customFormat="1" s="64">
      <c r="A67" s="45" t="inlineStr">
        <is>
          <t>QLD</t>
        </is>
      </c>
      <c r="B67" s="46" t="inlineStr">
        <is>
          <t>Admin staff</t>
        </is>
      </c>
      <c r="C67" s="54" t="n"/>
      <c r="D67" s="45" t="n"/>
      <c r="E67" s="55" t="n"/>
      <c r="F67" s="45" t="n"/>
      <c r="G67" s="45" t="n"/>
      <c r="H67" s="56" t="n"/>
      <c r="I67" s="56" t="n"/>
      <c r="J67" s="56" t="n"/>
      <c r="K67" s="65">
        <f>(K24*$AS24)</f>
        <v/>
      </c>
      <c r="L67" s="65" t="n"/>
      <c r="M67" s="65" t="n"/>
      <c r="N67" s="68" t="n"/>
      <c r="O67" s="68" t="n"/>
      <c r="P67" s="68" t="n"/>
      <c r="Q67" s="69" t="n"/>
      <c r="R67" s="69" t="n"/>
      <c r="S67" s="69" t="n"/>
      <c r="T67" s="65">
        <f>(T24*$AS24)</f>
        <v/>
      </c>
      <c r="U67" s="65" t="n"/>
      <c r="V67" s="70" t="n"/>
      <c r="W67" s="70">
        <f>(W24*$AS24)</f>
        <v/>
      </c>
      <c r="X67" s="70" t="n"/>
      <c r="Y67" s="65" t="n"/>
      <c r="Z67" s="65">
        <f>(Z24*$AS24)</f>
        <v/>
      </c>
      <c r="AA67" s="65" t="n"/>
      <c r="AB67" s="70" t="n"/>
      <c r="AC67" s="70">
        <f>(AC24*$AS24)</f>
        <v/>
      </c>
      <c r="AD67" s="70" t="n"/>
      <c r="AE67" s="65" t="n"/>
      <c r="AF67" s="65">
        <f>(AF24*$AS24)</f>
        <v/>
      </c>
      <c r="AG67" s="65" t="n"/>
      <c r="AH67" s="65" t="n"/>
      <c r="AI67" s="65">
        <f>AI24</f>
        <v/>
      </c>
      <c r="AJ67" s="65" t="n"/>
      <c r="AK67" s="77" t="n"/>
      <c r="AL67" s="65">
        <f>(AL24/52*$AS24)</f>
        <v/>
      </c>
      <c r="AM67" s="65" t="n"/>
      <c r="AN67" s="65" t="n"/>
      <c r="AO67" s="65">
        <f>(AO24*$AS24)</f>
        <v/>
      </c>
      <c r="AP67" s="65" t="n"/>
      <c r="AQ67" s="56" t="n"/>
      <c r="AR67" s="65">
        <f>AR24</f>
        <v/>
      </c>
      <c r="AS67" s="65">
        <f>AS24</f>
        <v/>
      </c>
      <c r="AT67" s="65">
        <f>AT24</f>
        <v/>
      </c>
      <c r="BA67" s="78" t="n"/>
      <c r="BB67" s="78" t="n"/>
      <c r="BC67" s="78" t="n"/>
      <c r="BD67" s="78" t="n"/>
      <c r="BE67" s="78" t="n"/>
      <c r="BF67" s="78" t="n"/>
      <c r="BG67" s="78" t="n"/>
      <c r="BH67" s="78" t="n"/>
      <c r="BI67" s="78" t="n"/>
      <c r="BJ67" s="78" t="n"/>
      <c r="BK67" s="78" t="n"/>
      <c r="BL67" s="78" t="n"/>
      <c r="BM67" s="78" t="n"/>
      <c r="BN67" s="78" t="n"/>
      <c r="BO67" s="78" t="n"/>
      <c r="BP67" s="78" t="n"/>
      <c r="BQ67" s="78" t="n"/>
      <c r="BR67" s="78" t="n"/>
      <c r="BS67" s="78" t="n"/>
      <c r="BT67" s="78" t="n"/>
      <c r="BU67" s="78" t="n"/>
      <c r="BV67" s="78" t="n"/>
      <c r="BW67" s="78" t="n"/>
      <c r="BX67" s="78" t="n"/>
    </row>
    <row r="68" customFormat="1" s="64">
      <c r="A68" s="45" t="inlineStr">
        <is>
          <t>QLD</t>
        </is>
      </c>
      <c r="B68" s="46" t="inlineStr">
        <is>
          <t>Bioinformatics staff</t>
        </is>
      </c>
      <c r="C68" s="54" t="n"/>
      <c r="D68" s="45" t="n"/>
      <c r="E68" s="55" t="n"/>
      <c r="F68" s="45" t="n"/>
      <c r="G68" s="45" t="n"/>
      <c r="H68" s="56" t="n"/>
      <c r="I68" s="56" t="n"/>
      <c r="J68" s="56" t="n"/>
      <c r="K68" s="65">
        <f>(K25*$AS25)</f>
        <v/>
      </c>
      <c r="L68" s="65" t="n"/>
      <c r="M68" s="65" t="n"/>
      <c r="N68" s="68" t="n"/>
      <c r="O68" s="68" t="n"/>
      <c r="P68" s="68" t="n"/>
      <c r="Q68" s="69" t="n"/>
      <c r="R68" s="69" t="n"/>
      <c r="S68" s="69" t="n"/>
      <c r="T68" s="65">
        <f>(T25*$AS25)</f>
        <v/>
      </c>
      <c r="U68" s="65" t="n"/>
      <c r="V68" s="70" t="n"/>
      <c r="W68" s="70">
        <f>(W25*$AS25)</f>
        <v/>
      </c>
      <c r="X68" s="70" t="n"/>
      <c r="Y68" s="65" t="n"/>
      <c r="Z68" s="65">
        <f>(Z25*$AS25)</f>
        <v/>
      </c>
      <c r="AA68" s="65" t="n"/>
      <c r="AB68" s="70" t="n"/>
      <c r="AC68" s="70">
        <f>(AC25*$AS25)</f>
        <v/>
      </c>
      <c r="AD68" s="70" t="n"/>
      <c r="AE68" s="65" t="n"/>
      <c r="AF68" s="65">
        <f>(AF25*$AS25)</f>
        <v/>
      </c>
      <c r="AG68" s="65" t="n"/>
      <c r="AH68" s="65" t="n"/>
      <c r="AI68" s="65">
        <f>AI25</f>
        <v/>
      </c>
      <c r="AJ68" s="65" t="n"/>
      <c r="AK68" s="77" t="n"/>
      <c r="AL68" s="65">
        <f>(AL25/52*$AS25)</f>
        <v/>
      </c>
      <c r="AM68" s="65" t="n"/>
      <c r="AN68" s="65" t="n"/>
      <c r="AO68" s="65">
        <f>(AO25*$AS25)</f>
        <v/>
      </c>
      <c r="AP68" s="65" t="n"/>
      <c r="AQ68" s="56" t="n"/>
      <c r="AR68" s="65">
        <f>AR25</f>
        <v/>
      </c>
      <c r="AS68" s="65">
        <f>AS25</f>
        <v/>
      </c>
      <c r="AT68" s="65">
        <f>AT25</f>
        <v/>
      </c>
      <c r="BA68" s="78" t="n"/>
      <c r="BB68" s="78" t="n"/>
      <c r="BC68" s="78" t="n"/>
      <c r="BD68" s="78" t="n"/>
      <c r="BE68" s="78" t="n"/>
      <c r="BF68" s="78" t="n"/>
      <c r="BG68" s="78" t="n"/>
      <c r="BH68" s="78" t="n"/>
      <c r="BI68" s="78" t="n"/>
      <c r="BJ68" s="78" t="n"/>
      <c r="BK68" s="78" t="n"/>
      <c r="BL68" s="78" t="n"/>
      <c r="BM68" s="78" t="n"/>
      <c r="BN68" s="78" t="n"/>
      <c r="BO68" s="78" t="n"/>
      <c r="BP68" s="78" t="n"/>
      <c r="BQ68" s="78" t="n"/>
      <c r="BR68" s="78" t="n"/>
      <c r="BS68" s="78" t="n"/>
      <c r="BT68" s="78" t="n"/>
      <c r="BU68" s="78" t="n"/>
      <c r="BV68" s="78" t="n"/>
      <c r="BW68" s="78" t="n"/>
      <c r="BX68" s="78" t="n"/>
    </row>
    <row r="69" customFormat="1" s="64">
      <c r="A69" s="45" t="inlineStr">
        <is>
          <t>QLD</t>
        </is>
      </c>
      <c r="B69" s="46" t="inlineStr">
        <is>
          <t>Pathologists</t>
        </is>
      </c>
      <c r="C69" s="54" t="n"/>
      <c r="D69" s="45" t="n"/>
      <c r="E69" s="55" t="n"/>
      <c r="F69" s="45" t="n"/>
      <c r="G69" s="45" t="n"/>
      <c r="H69" s="56" t="n"/>
      <c r="I69" s="56" t="n"/>
      <c r="J69" s="56" t="n"/>
      <c r="K69" s="65">
        <f>(K26*$AS26)</f>
        <v/>
      </c>
      <c r="L69" s="65" t="n"/>
      <c r="M69" s="65" t="n"/>
      <c r="N69" s="68" t="n"/>
      <c r="O69" s="68" t="n"/>
      <c r="P69" s="68" t="n"/>
      <c r="Q69" s="69" t="n"/>
      <c r="R69" s="69" t="n"/>
      <c r="S69" s="69" t="n"/>
      <c r="T69" s="65">
        <f>(T26*$AS26)</f>
        <v/>
      </c>
      <c r="U69" s="65" t="n"/>
      <c r="V69" s="70" t="n"/>
      <c r="W69" s="70">
        <f>(W26*$AS26)</f>
        <v/>
      </c>
      <c r="X69" s="70" t="n"/>
      <c r="Y69" s="65" t="n"/>
      <c r="Z69" s="65">
        <f>(Z26*$AS26)</f>
        <v/>
      </c>
      <c r="AA69" s="65" t="n"/>
      <c r="AB69" s="70" t="n"/>
      <c r="AC69" s="70">
        <f>(AC26*$AS26)</f>
        <v/>
      </c>
      <c r="AD69" s="70" t="n"/>
      <c r="AE69" s="65" t="n"/>
      <c r="AF69" s="65">
        <f>(AF26*$AS26)</f>
        <v/>
      </c>
      <c r="AG69" s="65" t="n"/>
      <c r="AH69" s="65" t="n"/>
      <c r="AI69" s="65">
        <f>AI26</f>
        <v/>
      </c>
      <c r="AJ69" s="65" t="n"/>
      <c r="AK69" s="77" t="n"/>
      <c r="AL69" s="65">
        <f>(AL26/52*$AS26)</f>
        <v/>
      </c>
      <c r="AM69" s="65" t="n"/>
      <c r="AN69" s="65" t="n"/>
      <c r="AO69" s="65">
        <f>(AO26*$AS26)</f>
        <v/>
      </c>
      <c r="AP69" s="65" t="n"/>
      <c r="AQ69" s="56" t="n"/>
      <c r="AR69" s="65">
        <f>AR26</f>
        <v/>
      </c>
      <c r="AS69" s="65">
        <f>AS26</f>
        <v/>
      </c>
      <c r="AT69" s="65">
        <f>AT26</f>
        <v/>
      </c>
      <c r="BA69" s="78" t="n"/>
      <c r="BB69" s="78" t="n"/>
      <c r="BC69" s="78" t="n"/>
      <c r="BD69" s="78" t="n"/>
      <c r="BE69" s="78" t="n"/>
      <c r="BF69" s="78" t="n"/>
      <c r="BG69" s="78" t="n"/>
      <c r="BH69" s="78" t="n"/>
      <c r="BI69" s="78" t="n"/>
      <c r="BJ69" s="78" t="n"/>
      <c r="BK69" s="78" t="n"/>
      <c r="BL69" s="78" t="n"/>
      <c r="BM69" s="78" t="n"/>
      <c r="BN69" s="78" t="n"/>
      <c r="BO69" s="78" t="n"/>
      <c r="BP69" s="78" t="n"/>
      <c r="BQ69" s="78" t="n"/>
      <c r="BR69" s="78" t="n"/>
      <c r="BS69" s="78" t="n"/>
      <c r="BT69" s="78" t="n"/>
      <c r="BU69" s="78" t="n"/>
      <c r="BV69" s="78" t="n"/>
      <c r="BW69" s="78" t="n"/>
      <c r="BX69" s="78" t="n"/>
    </row>
    <row r="70" customFormat="1" s="64">
      <c r="A70" s="45" t="n"/>
      <c r="B70" s="46" t="n"/>
      <c r="C70" s="54" t="n"/>
      <c r="D70" s="45" t="n"/>
      <c r="E70" s="55" t="n"/>
      <c r="F70" s="45" t="n"/>
      <c r="G70" s="45" t="n"/>
      <c r="H70" s="56" t="n"/>
      <c r="I70" s="56" t="n"/>
      <c r="J70" s="56" t="n"/>
      <c r="K70" s="70" t="n"/>
      <c r="L70" s="70" t="n"/>
      <c r="M70" s="70" t="n"/>
      <c r="N70" s="68" t="n"/>
      <c r="O70" s="68" t="n"/>
      <c r="P70" s="68" t="n"/>
      <c r="Q70" s="69" t="n"/>
      <c r="R70" s="69" t="n"/>
      <c r="S70" s="69" t="n"/>
      <c r="T70" s="69" t="n"/>
      <c r="U70" s="69" t="n"/>
      <c r="V70" s="70" t="n"/>
      <c r="W70" s="70" t="n"/>
      <c r="X70" s="70" t="n"/>
      <c r="Y70" s="69" t="n"/>
      <c r="Z70" s="71" t="n"/>
      <c r="AA70" s="71" t="n"/>
      <c r="AB70" s="70" t="n"/>
      <c r="AC70" s="70" t="n"/>
      <c r="AD70" s="70" t="n"/>
      <c r="AE70" s="69" t="n"/>
      <c r="AF70" s="69" t="n"/>
      <c r="AG70" s="69" t="n"/>
      <c r="AH70" s="69" t="n"/>
      <c r="AI70" s="67" t="n"/>
      <c r="AJ70" s="67" t="n"/>
      <c r="AK70" s="77" t="n"/>
      <c r="AL70" s="56" t="n"/>
      <c r="AM70" s="56" t="n"/>
      <c r="AN70" s="56" t="n"/>
      <c r="AO70" s="69" t="n"/>
      <c r="AP70" s="69" t="n"/>
      <c r="AQ70" s="56" t="n"/>
      <c r="AR70" s="65" t="n"/>
      <c r="AS70" s="65" t="n"/>
      <c r="AT70" s="65" t="n"/>
      <c r="BA70" s="78" t="n"/>
      <c r="BB70" s="78" t="n"/>
      <c r="BC70" s="78" t="n"/>
      <c r="BD70" s="78" t="n"/>
      <c r="BE70" s="78" t="n"/>
      <c r="BF70" s="78" t="n"/>
      <c r="BG70" s="78" t="n"/>
      <c r="BH70" s="78" t="n"/>
      <c r="BI70" s="78" t="n"/>
      <c r="BJ70" s="78" t="n"/>
      <c r="BK70" s="78" t="n"/>
      <c r="BL70" s="78" t="n"/>
      <c r="BM70" s="78" t="n"/>
      <c r="BN70" s="78" t="n"/>
      <c r="BO70" s="78" t="n"/>
      <c r="BP70" s="78" t="n"/>
      <c r="BQ70" s="78" t="n"/>
      <c r="BR70" s="78" t="n"/>
      <c r="BS70" s="78" t="n"/>
      <c r="BT70" s="78" t="n"/>
      <c r="BU70" s="78" t="n"/>
      <c r="BV70" s="78" t="n"/>
      <c r="BW70" s="78" t="n"/>
      <c r="BX70" s="78" t="n"/>
    </row>
    <row r="71" customFormat="1" s="64">
      <c r="A71" s="45" t="inlineStr">
        <is>
          <t>WA</t>
        </is>
      </c>
      <c r="B71" s="46" t="inlineStr">
        <is>
          <t>Lab technician</t>
        </is>
      </c>
      <c r="C71" s="54" t="n"/>
      <c r="D71" s="45" t="n"/>
      <c r="E71" s="55" t="n"/>
      <c r="F71" s="45" t="n"/>
      <c r="G71" s="45" t="n"/>
      <c r="H71" s="56" t="n"/>
      <c r="I71" s="56" t="n"/>
      <c r="J71" s="56" t="n"/>
      <c r="K71" s="65">
        <f>(K28*$AS28)</f>
        <v/>
      </c>
      <c r="L71" s="65" t="n"/>
      <c r="M71" s="65" t="n"/>
      <c r="N71" s="68" t="n"/>
      <c r="O71" s="68" t="n"/>
      <c r="P71" s="68" t="n"/>
      <c r="Q71" s="69" t="n"/>
      <c r="R71" s="69" t="n"/>
      <c r="S71" s="69" t="n"/>
      <c r="T71" s="65">
        <f>(T28*$AS28)</f>
        <v/>
      </c>
      <c r="U71" s="65" t="n"/>
      <c r="V71" s="70" t="n"/>
      <c r="W71" s="70">
        <f>(W28*$AS28)</f>
        <v/>
      </c>
      <c r="X71" s="70" t="n"/>
      <c r="Y71" s="65" t="n"/>
      <c r="Z71" s="65">
        <f>(Z28*$AS28)</f>
        <v/>
      </c>
      <c r="AA71" s="65" t="n"/>
      <c r="AB71" s="70" t="n"/>
      <c r="AC71" s="70">
        <f>(AC28*$AS28)</f>
        <v/>
      </c>
      <c r="AD71" s="70" t="n"/>
      <c r="AE71" s="65" t="n"/>
      <c r="AF71" s="65">
        <f>(AF28*$AS28)</f>
        <v/>
      </c>
      <c r="AG71" s="65" t="n"/>
      <c r="AH71" s="65" t="n"/>
      <c r="AI71" s="65">
        <f>AI28</f>
        <v/>
      </c>
      <c r="AJ71" s="65" t="n"/>
      <c r="AK71" s="77" t="n"/>
      <c r="AL71" s="65">
        <f>(AL28/52*$AS28)</f>
        <v/>
      </c>
      <c r="AM71" s="65" t="n"/>
      <c r="AN71" s="65" t="n"/>
      <c r="AO71" s="65">
        <f>(AO28*$AS28)</f>
        <v/>
      </c>
      <c r="AP71" s="65" t="n"/>
      <c r="AQ71" s="56" t="n"/>
      <c r="AR71" s="65">
        <f>AR28</f>
        <v/>
      </c>
      <c r="AS71" s="65">
        <f>AS28</f>
        <v/>
      </c>
      <c r="AT71" s="65">
        <f>AT28</f>
        <v/>
      </c>
      <c r="BA71" s="78" t="n"/>
      <c r="BB71" s="78" t="n"/>
      <c r="BC71" s="78" t="n"/>
      <c r="BD71" s="78" t="n"/>
      <c r="BE71" s="78" t="n"/>
      <c r="BF71" s="78" t="n"/>
      <c r="BG71" s="78" t="n"/>
      <c r="BH71" s="78" t="n"/>
      <c r="BI71" s="78" t="n"/>
      <c r="BJ71" s="78" t="n"/>
      <c r="BK71" s="78" t="n"/>
      <c r="BL71" s="78" t="n"/>
      <c r="BM71" s="78" t="n"/>
      <c r="BN71" s="78" t="n"/>
      <c r="BO71" s="78" t="n"/>
      <c r="BP71" s="78" t="n"/>
      <c r="BQ71" s="78" t="n"/>
      <c r="BR71" s="78" t="n"/>
      <c r="BS71" s="78" t="n"/>
      <c r="BT71" s="78" t="n"/>
      <c r="BU71" s="78" t="n"/>
      <c r="BV71" s="78" t="n"/>
      <c r="BW71" s="78" t="n"/>
      <c r="BX71" s="78" t="n"/>
    </row>
    <row r="72" customFormat="1" s="64">
      <c r="A72" s="45" t="inlineStr">
        <is>
          <t>WA</t>
        </is>
      </c>
      <c r="B72" s="46" t="inlineStr">
        <is>
          <t>Medical scientist</t>
        </is>
      </c>
      <c r="C72" s="54" t="n"/>
      <c r="D72" s="45" t="n"/>
      <c r="E72" s="55" t="n"/>
      <c r="F72" s="45" t="n"/>
      <c r="G72" s="45" t="n"/>
      <c r="H72" s="56" t="n"/>
      <c r="I72" s="56" t="n"/>
      <c r="J72" s="56" t="n"/>
      <c r="K72" s="65">
        <f>(K29*$AS29)</f>
        <v/>
      </c>
      <c r="L72" s="65" t="n"/>
      <c r="M72" s="65" t="n"/>
      <c r="N72" s="68" t="n"/>
      <c r="O72" s="68" t="n"/>
      <c r="P72" s="68" t="n"/>
      <c r="Q72" s="69" t="n"/>
      <c r="R72" s="69" t="n"/>
      <c r="S72" s="69" t="n"/>
      <c r="T72" s="65">
        <f>(T29*$AS29)</f>
        <v/>
      </c>
      <c r="U72" s="65" t="n"/>
      <c r="V72" s="70" t="n"/>
      <c r="W72" s="70">
        <f>(W29*$AS29)</f>
        <v/>
      </c>
      <c r="X72" s="70" t="n"/>
      <c r="Y72" s="65" t="n"/>
      <c r="Z72" s="65">
        <f>(Z29*$AS29)</f>
        <v/>
      </c>
      <c r="AA72" s="65" t="n"/>
      <c r="AB72" s="70" t="n"/>
      <c r="AC72" s="70">
        <f>(AC29*$AS29)</f>
        <v/>
      </c>
      <c r="AD72" s="70" t="n"/>
      <c r="AE72" s="65" t="n"/>
      <c r="AF72" s="65">
        <f>(AF29*$AS29)</f>
        <v/>
      </c>
      <c r="AG72" s="65" t="n"/>
      <c r="AH72" s="65" t="n"/>
      <c r="AI72" s="65">
        <f>AI29</f>
        <v/>
      </c>
      <c r="AJ72" s="65" t="n"/>
      <c r="AK72" s="77" t="n"/>
      <c r="AL72" s="65">
        <f>(AL29/52*$AS29)</f>
        <v/>
      </c>
      <c r="AM72" s="65" t="n"/>
      <c r="AN72" s="65" t="n"/>
      <c r="AO72" s="65">
        <f>(AO29*$AS29)</f>
        <v/>
      </c>
      <c r="AP72" s="65" t="n"/>
      <c r="AQ72" s="56" t="n"/>
      <c r="AR72" s="65">
        <f>AR29</f>
        <v/>
      </c>
      <c r="AS72" s="65">
        <f>AS29</f>
        <v/>
      </c>
      <c r="AT72" s="65">
        <f>AT29</f>
        <v/>
      </c>
      <c r="BA72" s="78" t="n"/>
      <c r="BB72" s="78" t="n"/>
      <c r="BC72" s="78" t="n"/>
      <c r="BD72" s="78" t="n"/>
      <c r="BE72" s="78" t="n"/>
      <c r="BF72" s="78" t="n"/>
      <c r="BG72" s="78" t="n"/>
      <c r="BH72" s="78" t="n"/>
      <c r="BI72" s="78" t="n"/>
      <c r="BJ72" s="78" t="n"/>
      <c r="BK72" s="78" t="n"/>
      <c r="BL72" s="78" t="n"/>
      <c r="BM72" s="78" t="n"/>
      <c r="BN72" s="78" t="n"/>
      <c r="BO72" s="78" t="n"/>
      <c r="BP72" s="78" t="n"/>
      <c r="BQ72" s="78" t="n"/>
      <c r="BR72" s="78" t="n"/>
      <c r="BS72" s="78" t="n"/>
      <c r="BT72" s="78" t="n"/>
      <c r="BU72" s="78" t="n"/>
      <c r="BV72" s="78" t="n"/>
      <c r="BW72" s="78" t="n"/>
      <c r="BX72" s="78" t="n"/>
    </row>
    <row r="73" customFormat="1" s="64">
      <c r="A73" s="45" t="inlineStr">
        <is>
          <t>WA</t>
        </is>
      </c>
      <c r="B73" s="46" t="inlineStr">
        <is>
          <t>Admin staff</t>
        </is>
      </c>
      <c r="C73" s="54" t="n"/>
      <c r="D73" s="45" t="n"/>
      <c r="E73" s="55" t="n"/>
      <c r="F73" s="45" t="n"/>
      <c r="G73" s="45" t="n"/>
      <c r="H73" s="56" t="n"/>
      <c r="I73" s="56" t="n"/>
      <c r="J73" s="56" t="n"/>
      <c r="K73" s="65">
        <f>(K30*$AS30)</f>
        <v/>
      </c>
      <c r="L73" s="65" t="n"/>
      <c r="M73" s="65" t="n"/>
      <c r="N73" s="68" t="n"/>
      <c r="O73" s="68" t="n"/>
      <c r="P73" s="68" t="n"/>
      <c r="Q73" s="69" t="n"/>
      <c r="R73" s="69" t="n"/>
      <c r="S73" s="69" t="n"/>
      <c r="T73" s="65">
        <f>(T30*$AS30)</f>
        <v/>
      </c>
      <c r="U73" s="65" t="n"/>
      <c r="V73" s="70" t="n"/>
      <c r="W73" s="70">
        <f>(W30*$AS30)</f>
        <v/>
      </c>
      <c r="X73" s="70" t="n"/>
      <c r="Y73" s="65" t="n"/>
      <c r="Z73" s="65">
        <f>(Z30*$AS30)</f>
        <v/>
      </c>
      <c r="AA73" s="65" t="n"/>
      <c r="AB73" s="70" t="n"/>
      <c r="AC73" s="70">
        <f>(AC30*$AS30)</f>
        <v/>
      </c>
      <c r="AD73" s="70" t="n"/>
      <c r="AE73" s="65" t="n"/>
      <c r="AF73" s="65">
        <f>(AF30*$AS30)</f>
        <v/>
      </c>
      <c r="AG73" s="65" t="n"/>
      <c r="AH73" s="65" t="n"/>
      <c r="AI73" s="65">
        <f>AI30</f>
        <v/>
      </c>
      <c r="AJ73" s="65" t="n"/>
      <c r="AK73" s="77" t="n"/>
      <c r="AL73" s="65">
        <f>(AL30/52*$AS30)</f>
        <v/>
      </c>
      <c r="AM73" s="65" t="n"/>
      <c r="AN73" s="65" t="n"/>
      <c r="AO73" s="65">
        <f>(AO30*$AS30)</f>
        <v/>
      </c>
      <c r="AP73" s="65" t="n"/>
      <c r="AQ73" s="56" t="n"/>
      <c r="AR73" s="65">
        <f>AR30</f>
        <v/>
      </c>
      <c r="AS73" s="65">
        <f>AS30</f>
        <v/>
      </c>
      <c r="AT73" s="65">
        <f>AT30</f>
        <v/>
      </c>
      <c r="BA73" s="78" t="n"/>
      <c r="BB73" s="78" t="n"/>
      <c r="BC73" s="78" t="n"/>
      <c r="BD73" s="78" t="n"/>
      <c r="BE73" s="78" t="n"/>
      <c r="BF73" s="78" t="n"/>
      <c r="BG73" s="78" t="n"/>
      <c r="BH73" s="78" t="n"/>
      <c r="BI73" s="78" t="n"/>
      <c r="BJ73" s="78" t="n"/>
      <c r="BK73" s="78" t="n"/>
      <c r="BL73" s="78" t="n"/>
      <c r="BM73" s="78" t="n"/>
      <c r="BN73" s="78" t="n"/>
      <c r="BO73" s="78" t="n"/>
      <c r="BP73" s="78" t="n"/>
      <c r="BQ73" s="78" t="n"/>
      <c r="BR73" s="78" t="n"/>
      <c r="BS73" s="78" t="n"/>
      <c r="BT73" s="78" t="n"/>
      <c r="BU73" s="78" t="n"/>
      <c r="BV73" s="78" t="n"/>
      <c r="BW73" s="78" t="n"/>
      <c r="BX73" s="78" t="n"/>
    </row>
    <row r="74" customFormat="1" s="64">
      <c r="A74" s="45" t="inlineStr">
        <is>
          <t>WA</t>
        </is>
      </c>
      <c r="B74" s="46" t="inlineStr">
        <is>
          <t>Bioinformatics staff</t>
        </is>
      </c>
      <c r="C74" s="54" t="n"/>
      <c r="D74" s="45" t="n"/>
      <c r="E74" s="55" t="n"/>
      <c r="F74" s="45" t="n"/>
      <c r="G74" s="45" t="n"/>
      <c r="H74" s="56" t="n"/>
      <c r="I74" s="56" t="n"/>
      <c r="J74" s="56" t="n"/>
      <c r="K74" s="65">
        <f>(K31*$AS31)</f>
        <v/>
      </c>
      <c r="L74" s="65" t="n"/>
      <c r="M74" s="65" t="n"/>
      <c r="N74" s="68" t="n"/>
      <c r="O74" s="68" t="n"/>
      <c r="P74" s="68" t="n"/>
      <c r="Q74" s="69" t="n"/>
      <c r="R74" s="69" t="n"/>
      <c r="S74" s="69" t="n"/>
      <c r="T74" s="65">
        <f>(T31*$AS31)</f>
        <v/>
      </c>
      <c r="U74" s="65" t="n"/>
      <c r="V74" s="70" t="n"/>
      <c r="W74" s="70">
        <f>(W31*$AS31)</f>
        <v/>
      </c>
      <c r="X74" s="70" t="n"/>
      <c r="Y74" s="65" t="n"/>
      <c r="Z74" s="65">
        <f>(Z31*$AS31)</f>
        <v/>
      </c>
      <c r="AA74" s="65" t="n"/>
      <c r="AB74" s="70" t="n"/>
      <c r="AC74" s="70">
        <f>(AC31*$AS31)</f>
        <v/>
      </c>
      <c r="AD74" s="70" t="n"/>
      <c r="AE74" s="65" t="n"/>
      <c r="AF74" s="65">
        <f>(AF31*$AS31)</f>
        <v/>
      </c>
      <c r="AG74" s="65" t="n"/>
      <c r="AH74" s="65" t="n"/>
      <c r="AI74" s="65">
        <f>AI31</f>
        <v/>
      </c>
      <c r="AJ74" s="65" t="n"/>
      <c r="AK74" s="77" t="n"/>
      <c r="AL74" s="65">
        <f>(AL31/52*$AS31)</f>
        <v/>
      </c>
      <c r="AM74" s="65" t="n"/>
      <c r="AN74" s="65" t="n"/>
      <c r="AO74" s="65">
        <f>(AO31*$AS31)</f>
        <v/>
      </c>
      <c r="AP74" s="65" t="n"/>
      <c r="AQ74" s="56" t="n"/>
      <c r="AR74" s="65">
        <f>AR31</f>
        <v/>
      </c>
      <c r="AS74" s="65">
        <f>AS31</f>
        <v/>
      </c>
      <c r="AT74" s="65">
        <f>AT31</f>
        <v/>
      </c>
      <c r="BA74" s="78" t="n"/>
      <c r="BB74" s="78" t="n"/>
      <c r="BC74" s="78" t="n"/>
      <c r="BD74" s="78" t="n"/>
      <c r="BE74" s="78" t="n"/>
      <c r="BF74" s="78" t="n"/>
      <c r="BG74" s="78" t="n"/>
      <c r="BH74" s="78" t="n"/>
      <c r="BI74" s="78" t="n"/>
      <c r="BJ74" s="78" t="n"/>
      <c r="BK74" s="78" t="n"/>
      <c r="BL74" s="78" t="n"/>
      <c r="BM74" s="78" t="n"/>
      <c r="BN74" s="78" t="n"/>
      <c r="BO74" s="78" t="n"/>
      <c r="BP74" s="78" t="n"/>
      <c r="BQ74" s="78" t="n"/>
      <c r="BR74" s="78" t="n"/>
      <c r="BS74" s="78" t="n"/>
      <c r="BT74" s="78" t="n"/>
      <c r="BU74" s="78" t="n"/>
      <c r="BV74" s="78" t="n"/>
      <c r="BW74" s="78" t="n"/>
      <c r="BX74" s="78" t="n"/>
    </row>
    <row r="75" customFormat="1" s="64">
      <c r="A75" s="45" t="inlineStr">
        <is>
          <t>WA</t>
        </is>
      </c>
      <c r="B75" s="46" t="inlineStr">
        <is>
          <t>Pathologists</t>
        </is>
      </c>
      <c r="C75" s="54" t="n"/>
      <c r="D75" s="45" t="n"/>
      <c r="E75" s="55" t="n"/>
      <c r="F75" s="45" t="n"/>
      <c r="G75" s="45" t="n"/>
      <c r="H75" s="56" t="n"/>
      <c r="I75" s="56" t="n"/>
      <c r="J75" s="56" t="n"/>
      <c r="K75" s="65">
        <f>(K32*$AS32)</f>
        <v/>
      </c>
      <c r="L75" s="65" t="n"/>
      <c r="M75" s="65" t="n"/>
      <c r="N75" s="68" t="n"/>
      <c r="O75" s="68" t="n"/>
      <c r="P75" s="68" t="n"/>
      <c r="Q75" s="69" t="n"/>
      <c r="R75" s="69" t="n"/>
      <c r="S75" s="69" t="n"/>
      <c r="T75" s="65">
        <f>(T32*$AS32)</f>
        <v/>
      </c>
      <c r="U75" s="65" t="n"/>
      <c r="V75" s="70" t="n"/>
      <c r="W75" s="70">
        <f>(W32*$AS32)</f>
        <v/>
      </c>
      <c r="X75" s="70" t="n"/>
      <c r="Y75" s="65" t="n"/>
      <c r="Z75" s="65">
        <f>(Z32*$AS32)</f>
        <v/>
      </c>
      <c r="AA75" s="65" t="n"/>
      <c r="AB75" s="70" t="n"/>
      <c r="AC75" s="70">
        <f>(AC32*$AS32)</f>
        <v/>
      </c>
      <c r="AD75" s="70" t="n"/>
      <c r="AE75" s="65" t="n"/>
      <c r="AF75" s="65">
        <f>(AF32*$AS32)</f>
        <v/>
      </c>
      <c r="AG75" s="65" t="n"/>
      <c r="AH75" s="65" t="n"/>
      <c r="AI75" s="65">
        <f>AI32</f>
        <v/>
      </c>
      <c r="AJ75" s="65" t="n"/>
      <c r="AK75" s="77" t="n"/>
      <c r="AL75" s="65">
        <f>(AL32/52*$AS32)</f>
        <v/>
      </c>
      <c r="AM75" s="65" t="n"/>
      <c r="AN75" s="65" t="n"/>
      <c r="AO75" s="65">
        <f>(AO32*$AS32)</f>
        <v/>
      </c>
      <c r="AP75" s="65" t="n"/>
      <c r="AQ75" s="56" t="n"/>
      <c r="AR75" s="65">
        <f>AR32</f>
        <v/>
      </c>
      <c r="AS75" s="65">
        <f>AS32</f>
        <v/>
      </c>
      <c r="AT75" s="65">
        <f>AT32</f>
        <v/>
      </c>
      <c r="BA75" s="78" t="n"/>
      <c r="BB75" s="78" t="n"/>
      <c r="BC75" s="78" t="n"/>
      <c r="BD75" s="78" t="n"/>
      <c r="BE75" s="78" t="n"/>
      <c r="BF75" s="78" t="n"/>
      <c r="BG75" s="78" t="n"/>
      <c r="BH75" s="78" t="n"/>
      <c r="BI75" s="78" t="n"/>
      <c r="BJ75" s="78" t="n"/>
      <c r="BK75" s="78" t="n"/>
      <c r="BL75" s="78" t="n"/>
      <c r="BM75" s="78" t="n"/>
      <c r="BN75" s="78" t="n"/>
      <c r="BO75" s="78" t="n"/>
      <c r="BP75" s="78" t="n"/>
      <c r="BQ75" s="78" t="n"/>
      <c r="BR75" s="78" t="n"/>
      <c r="BS75" s="78" t="n"/>
      <c r="BT75" s="78" t="n"/>
      <c r="BU75" s="78" t="n"/>
      <c r="BV75" s="78" t="n"/>
      <c r="BW75" s="78" t="n"/>
      <c r="BX75" s="78" t="n"/>
    </row>
    <row r="76" customFormat="1" s="64">
      <c r="A76" s="45" t="n"/>
      <c r="B76" s="46" t="n"/>
      <c r="C76" s="54" t="n"/>
      <c r="D76" s="45" t="n"/>
      <c r="E76" s="55" t="n"/>
      <c r="F76" s="45" t="n"/>
      <c r="G76" s="45" t="n"/>
      <c r="H76" s="56" t="n"/>
      <c r="I76" s="56" t="n"/>
      <c r="J76" s="56" t="n"/>
      <c r="K76" s="65" t="n"/>
      <c r="L76" s="65" t="n"/>
      <c r="M76" s="65" t="n"/>
      <c r="N76" s="68" t="n"/>
      <c r="O76" s="68" t="n"/>
      <c r="P76" s="68" t="n"/>
      <c r="Q76" s="69" t="n"/>
      <c r="R76" s="69" t="n"/>
      <c r="S76" s="69" t="n"/>
      <c r="T76" s="65" t="n"/>
      <c r="U76" s="65" t="n"/>
      <c r="V76" s="70" t="n"/>
      <c r="W76" s="70" t="n"/>
      <c r="X76" s="70" t="n"/>
      <c r="Y76" s="65" t="n"/>
      <c r="Z76" s="65" t="n"/>
      <c r="AA76" s="65" t="n"/>
      <c r="AB76" s="70" t="n"/>
      <c r="AC76" s="70" t="n"/>
      <c r="AD76" s="70" t="n"/>
      <c r="AE76" s="65" t="n"/>
      <c r="AF76" s="65" t="n"/>
      <c r="AG76" s="65" t="n"/>
      <c r="AH76" s="65" t="n"/>
      <c r="AI76" s="65" t="n"/>
      <c r="AJ76" s="65" t="n"/>
      <c r="AK76" s="77" t="n"/>
      <c r="AL76" s="65" t="n"/>
      <c r="AM76" s="65" t="n"/>
      <c r="AN76" s="65" t="n"/>
      <c r="AO76" s="65" t="n"/>
      <c r="AP76" s="65" t="n"/>
      <c r="AQ76" s="56" t="n"/>
      <c r="AR76" s="65" t="n"/>
      <c r="AS76" s="65" t="n"/>
      <c r="AT76" s="65" t="n"/>
      <c r="BA76" s="78" t="n"/>
      <c r="BB76" s="78" t="n"/>
      <c r="BC76" s="78" t="n"/>
      <c r="BD76" s="78" t="n"/>
      <c r="BE76" s="78" t="n"/>
      <c r="BF76" s="78" t="n"/>
      <c r="BG76" s="78" t="n"/>
      <c r="BH76" s="78" t="n"/>
      <c r="BI76" s="78" t="n"/>
      <c r="BJ76" s="78" t="n"/>
      <c r="BK76" s="78" t="n"/>
      <c r="BL76" s="78" t="n"/>
      <c r="BM76" s="78" t="n"/>
      <c r="BN76" s="78" t="n"/>
      <c r="BO76" s="78" t="n"/>
      <c r="BP76" s="78" t="n"/>
      <c r="BQ76" s="78" t="n"/>
      <c r="BR76" s="78" t="n"/>
      <c r="BS76" s="78" t="n"/>
      <c r="BT76" s="78" t="n"/>
      <c r="BU76" s="78" t="n"/>
      <c r="BV76" s="78" t="n"/>
      <c r="BW76" s="78" t="n"/>
      <c r="BX76" s="78" t="n"/>
    </row>
    <row r="77" customFormat="1" s="64">
      <c r="A77" s="45" t="inlineStr">
        <is>
          <t>ALL</t>
        </is>
      </c>
      <c r="B77" s="46" t="inlineStr">
        <is>
          <t>Lab technician</t>
        </is>
      </c>
      <c r="C77" s="54" t="n"/>
      <c r="D77" s="45" t="n"/>
      <c r="E77" s="55" t="n"/>
      <c r="F77" s="45" t="n"/>
      <c r="G77" s="45" t="n"/>
      <c r="H77" s="56" t="n"/>
      <c r="I77" s="56" t="n"/>
      <c r="J77" s="56" t="n"/>
      <c r="K77" s="65">
        <f>AVERAGE(K28,K22,K16,K10,K4)*$AS4</f>
        <v/>
      </c>
      <c r="L77" s="65" t="n"/>
      <c r="M77" s="65" t="n"/>
      <c r="N77" s="68" t="n"/>
      <c r="O77" s="68" t="n"/>
      <c r="P77" s="68" t="n"/>
      <c r="Q77" s="69" t="n"/>
      <c r="R77" s="69" t="n"/>
      <c r="S77" s="69" t="n"/>
      <c r="T77" s="65">
        <f>AVERAGE(T28,T22,T16,T10,T4)*$AS4</f>
        <v/>
      </c>
      <c r="U77" s="65" t="n"/>
      <c r="V77" s="70" t="n"/>
      <c r="W77" s="70">
        <f>AVERAGE(W28,W22,W16,W10,W4)*$AS4</f>
        <v/>
      </c>
      <c r="X77" s="70" t="n"/>
      <c r="Y77" s="65" t="n"/>
      <c r="Z77" s="65">
        <f>AVERAGE(Z28,Z22,Z16,Z10,Z4)*$AS4</f>
        <v/>
      </c>
      <c r="AA77" s="65" t="n"/>
      <c r="AB77" s="70" t="n"/>
      <c r="AC77" s="70">
        <f>AVERAGE(AC28,AC22,AC16,AC10,AC4)*$AS4</f>
        <v/>
      </c>
      <c r="AD77" s="70" t="n"/>
      <c r="AE77" s="65" t="n"/>
      <c r="AF77" s="65">
        <f>AVERAGE(AF28,AF22,AF16,AF10,AF4)*$AS4</f>
        <v/>
      </c>
      <c r="AG77" s="65" t="n"/>
      <c r="AH77" s="65" t="n"/>
      <c r="AI77" s="65">
        <f>AVERAGE(AI28,AI22,AI16,AI10,AI4)</f>
        <v/>
      </c>
      <c r="AJ77" s="65" t="n"/>
      <c r="AK77" s="77" t="n"/>
      <c r="AL77" s="65">
        <f>AVERAGE(AL28,AL22,AL16,AL10,AL4)/52*$AS4</f>
        <v/>
      </c>
      <c r="AM77" s="65" t="n"/>
      <c r="AN77" s="65" t="n"/>
      <c r="AO77" s="65">
        <f>AVERAGE(AO28,AO22,AO16,AO10,AO4)*$AS4</f>
        <v/>
      </c>
      <c r="AP77" s="65" t="n"/>
      <c r="AQ77" s="56" t="n"/>
      <c r="AR77" s="65">
        <f>AVERAGE(AR28,AR22,AR16,AR10,AR4)</f>
        <v/>
      </c>
      <c r="AS77" s="65">
        <f>AVERAGE(AS28,AS22,AS16,AS10,AS4)</f>
        <v/>
      </c>
      <c r="AT77" s="65">
        <f>AVERAGE(AT28,AT22,AT16,AT10,AT4)</f>
        <v/>
      </c>
      <c r="BA77" s="78" t="n"/>
      <c r="BB77" s="78" t="n"/>
      <c r="BC77" s="78" t="n"/>
      <c r="BD77" s="78" t="n"/>
      <c r="BE77" s="78" t="n"/>
      <c r="BF77" s="78" t="n"/>
      <c r="BG77" s="78" t="n"/>
      <c r="BH77" s="78" t="n"/>
      <c r="BI77" s="78" t="n"/>
      <c r="BJ77" s="78" t="n"/>
      <c r="BK77" s="78" t="n"/>
      <c r="BL77" s="78" t="n"/>
      <c r="BM77" s="78" t="n"/>
      <c r="BN77" s="78" t="n"/>
      <c r="BO77" s="78" t="n"/>
      <c r="BP77" s="78" t="n"/>
      <c r="BQ77" s="78" t="n"/>
      <c r="BR77" s="78" t="n"/>
      <c r="BS77" s="78" t="n"/>
      <c r="BT77" s="78" t="n"/>
      <c r="BU77" s="78" t="n"/>
      <c r="BV77" s="78" t="n"/>
      <c r="BW77" s="78" t="n"/>
      <c r="BX77" s="78" t="n"/>
    </row>
    <row r="78" customFormat="1" s="64">
      <c r="A78" s="45" t="inlineStr">
        <is>
          <t>ALL</t>
        </is>
      </c>
      <c r="B78" s="46" t="inlineStr">
        <is>
          <t>Medical scientist</t>
        </is>
      </c>
      <c r="C78" s="54" t="n"/>
      <c r="D78" s="45" t="n"/>
      <c r="E78" s="55" t="n"/>
      <c r="F78" s="45" t="n"/>
      <c r="G78" s="45" t="n"/>
      <c r="H78" s="56" t="n"/>
      <c r="I78" s="56" t="n"/>
      <c r="J78" s="56" t="n"/>
      <c r="K78" s="65">
        <f>AVERAGE(K29,K23,K17,K11,K5)*$AS5</f>
        <v/>
      </c>
      <c r="L78" s="65" t="n"/>
      <c r="M78" s="65" t="n"/>
      <c r="N78" s="68" t="n"/>
      <c r="O78" s="68" t="n"/>
      <c r="P78" s="68" t="n"/>
      <c r="Q78" s="69" t="n"/>
      <c r="R78" s="69" t="n"/>
      <c r="S78" s="69" t="n"/>
      <c r="T78" s="65">
        <f>AVERAGE(T29,T23,T17,T11,T5)*$AS5</f>
        <v/>
      </c>
      <c r="U78" s="65" t="n"/>
      <c r="V78" s="70" t="n"/>
      <c r="W78" s="70">
        <f>AVERAGE(W29,W23,W17,W11,W5)*$AS5</f>
        <v/>
      </c>
      <c r="X78" s="70" t="n"/>
      <c r="Y78" s="65" t="n"/>
      <c r="Z78" s="65">
        <f>AVERAGE(Z29,Z23,Z17,Z11,Z5)*$AS5</f>
        <v/>
      </c>
      <c r="AA78" s="65" t="n"/>
      <c r="AB78" s="70" t="n"/>
      <c r="AC78" s="70">
        <f>AVERAGE(AC29,AC23,AC17,AC11,AC5)*$AS5</f>
        <v/>
      </c>
      <c r="AD78" s="70" t="n"/>
      <c r="AE78" s="65" t="n"/>
      <c r="AF78" s="65">
        <f>AVERAGE(AF29,AF23,AF17,AF11,AF5)*$AS5</f>
        <v/>
      </c>
      <c r="AG78" s="65" t="n"/>
      <c r="AH78" s="65" t="n"/>
      <c r="AI78" s="65">
        <f>AVERAGE(AI29,AI23,AI17,AI11,AI5)</f>
        <v/>
      </c>
      <c r="AJ78" s="65" t="n"/>
      <c r="AK78" s="77" t="n"/>
      <c r="AL78" s="65">
        <f>AVERAGE(AL29,AL23,AL17,AL11,AL5)/52*$AS5</f>
        <v/>
      </c>
      <c r="AM78" s="65" t="n"/>
      <c r="AN78" s="65" t="n"/>
      <c r="AO78" s="65">
        <f>AVERAGE(AO29,AO23,AO17,AO11,AO5)*$AS5</f>
        <v/>
      </c>
      <c r="AP78" s="65" t="n"/>
      <c r="AQ78" s="56" t="n"/>
      <c r="AR78" s="65">
        <f>AVERAGE(AR29,AR23,AR17,AR11,AR5)</f>
        <v/>
      </c>
      <c r="AS78" s="65">
        <f>AVERAGE(AS29,AS23,AS17,AS11,AS5)</f>
        <v/>
      </c>
      <c r="AT78" s="65">
        <f>AVERAGE(AT29,AT23,AT17,AT11,AT5)</f>
        <v/>
      </c>
      <c r="BA78" s="78" t="n"/>
      <c r="BB78" s="78" t="n"/>
      <c r="BC78" s="78" t="n"/>
      <c r="BD78" s="78" t="n"/>
      <c r="BE78" s="78" t="n"/>
      <c r="BF78" s="78" t="n"/>
      <c r="BG78" s="78" t="n"/>
      <c r="BH78" s="78" t="n"/>
      <c r="BI78" s="78" t="n"/>
      <c r="BJ78" s="78" t="n"/>
      <c r="BK78" s="78" t="n"/>
      <c r="BL78" s="78" t="n"/>
      <c r="BM78" s="78" t="n"/>
      <c r="BN78" s="78" t="n"/>
      <c r="BO78" s="78" t="n"/>
      <c r="BP78" s="78" t="n"/>
      <c r="BQ78" s="78" t="n"/>
      <c r="BR78" s="78" t="n"/>
      <c r="BS78" s="78" t="n"/>
      <c r="BT78" s="78" t="n"/>
      <c r="BU78" s="78" t="n"/>
      <c r="BV78" s="78" t="n"/>
      <c r="BW78" s="78" t="n"/>
      <c r="BX78" s="78" t="n"/>
    </row>
    <row r="79" customFormat="1" s="64">
      <c r="A79" s="45" t="inlineStr">
        <is>
          <t>ALL</t>
        </is>
      </c>
      <c r="B79" s="46" t="inlineStr">
        <is>
          <t>Admin staff</t>
        </is>
      </c>
      <c r="C79" s="54" t="n"/>
      <c r="D79" s="45" t="n"/>
      <c r="E79" s="55" t="n"/>
      <c r="F79" s="45" t="n"/>
      <c r="G79" s="45" t="n"/>
      <c r="H79" s="56" t="n"/>
      <c r="I79" s="56" t="n"/>
      <c r="J79" s="56" t="n"/>
      <c r="K79" s="65">
        <f>AVERAGE(K30,K24,K18,K12,K6)*$AS6</f>
        <v/>
      </c>
      <c r="L79" s="65" t="n"/>
      <c r="M79" s="65" t="n"/>
      <c r="N79" s="68" t="n"/>
      <c r="O79" s="68" t="n"/>
      <c r="P79" s="68" t="n"/>
      <c r="Q79" s="69" t="n"/>
      <c r="R79" s="69" t="n"/>
      <c r="S79" s="69" t="n"/>
      <c r="T79" s="65">
        <f>AVERAGE(T30,T24,T18,T12,T6)*$AS6</f>
        <v/>
      </c>
      <c r="U79" s="65" t="n"/>
      <c r="V79" s="70" t="n"/>
      <c r="W79" s="70">
        <f>AVERAGE(W30,W24,W18,W12,W6)*$AS6</f>
        <v/>
      </c>
      <c r="X79" s="70" t="n"/>
      <c r="Y79" s="65" t="n"/>
      <c r="Z79" s="65">
        <f>AVERAGE(Z30,Z24,Z18,Z12,Z6)*$AS6</f>
        <v/>
      </c>
      <c r="AA79" s="65" t="n"/>
      <c r="AB79" s="70" t="n"/>
      <c r="AC79" s="70">
        <f>AVERAGE(AC30,AC24,AC18,AC12,AC6)*$AS6</f>
        <v/>
      </c>
      <c r="AD79" s="70" t="n"/>
      <c r="AE79" s="65" t="n"/>
      <c r="AF79" s="65">
        <f>AVERAGE(AF30,AF24,AF18,AF12,AF6)*$AS6</f>
        <v/>
      </c>
      <c r="AG79" s="65" t="n"/>
      <c r="AH79" s="65" t="n"/>
      <c r="AI79" s="65">
        <f>AVERAGE(AI30,AI24,AI18,AI12,AI6)</f>
        <v/>
      </c>
      <c r="AJ79" s="65" t="n"/>
      <c r="AK79" s="77" t="n"/>
      <c r="AL79" s="65">
        <f>AVERAGE(AL30,AL24,AL18,AL12,AL6)/52*$AS6</f>
        <v/>
      </c>
      <c r="AM79" s="65" t="n"/>
      <c r="AN79" s="65" t="n"/>
      <c r="AO79" s="65">
        <f>AVERAGE(AO30,AO24,AO18,AO12,AO6)*$AS6</f>
        <v/>
      </c>
      <c r="AP79" s="65" t="n"/>
      <c r="AQ79" s="56" t="n"/>
      <c r="AR79" s="65">
        <f>AVERAGE(AR30,AR24,AR18,AR12,AR6)</f>
        <v/>
      </c>
      <c r="AS79" s="65">
        <f>AVERAGE(AS30,AS24,AS18,AS12,AS6)</f>
        <v/>
      </c>
      <c r="AT79" s="65">
        <f>AVERAGE(AT30,AT24,AT18,AT12,AT6)</f>
        <v/>
      </c>
      <c r="BA79" s="78" t="n"/>
      <c r="BB79" s="78" t="n"/>
      <c r="BC79" s="78" t="n"/>
      <c r="BD79" s="78" t="n"/>
      <c r="BE79" s="78" t="n"/>
      <c r="BF79" s="78" t="n"/>
      <c r="BG79" s="78" t="n"/>
      <c r="BH79" s="78" t="n"/>
      <c r="BI79" s="78" t="n"/>
      <c r="BJ79" s="78" t="n"/>
      <c r="BK79" s="78" t="n"/>
      <c r="BL79" s="78" t="n"/>
      <c r="BM79" s="78" t="n"/>
      <c r="BN79" s="78" t="n"/>
      <c r="BO79" s="78" t="n"/>
      <c r="BP79" s="78" t="n"/>
      <c r="BQ79" s="78" t="n"/>
      <c r="BR79" s="78" t="n"/>
      <c r="BS79" s="78" t="n"/>
      <c r="BT79" s="78" t="n"/>
      <c r="BU79" s="78" t="n"/>
      <c r="BV79" s="78" t="n"/>
      <c r="BW79" s="78" t="n"/>
      <c r="BX79" s="78" t="n"/>
    </row>
    <row r="80" customFormat="1" s="64">
      <c r="A80" s="45" t="inlineStr">
        <is>
          <t>ALL</t>
        </is>
      </c>
      <c r="B80" s="46" t="inlineStr">
        <is>
          <t>Bioinformatics staff</t>
        </is>
      </c>
      <c r="C80" s="54" t="n"/>
      <c r="D80" s="45" t="n"/>
      <c r="E80" s="55" t="n"/>
      <c r="F80" s="45" t="n"/>
      <c r="G80" s="45" t="n"/>
      <c r="H80" s="56" t="n"/>
      <c r="I80" s="56" t="n"/>
      <c r="J80" s="56" t="n"/>
      <c r="K80" s="65">
        <f>AVERAGE(K31,K25,K19,K13,K7)*$AS7</f>
        <v/>
      </c>
      <c r="L80" s="65" t="n"/>
      <c r="M80" s="65" t="n"/>
      <c r="N80" s="68" t="n"/>
      <c r="O80" s="68" t="n"/>
      <c r="P80" s="68" t="n"/>
      <c r="Q80" s="69" t="n"/>
      <c r="R80" s="69" t="n"/>
      <c r="S80" s="69" t="n"/>
      <c r="T80" s="65">
        <f>AVERAGE(T31,T25,T19,T13,T7)*$AS7</f>
        <v/>
      </c>
      <c r="U80" s="65" t="n"/>
      <c r="V80" s="70" t="n"/>
      <c r="W80" s="70">
        <f>AVERAGE(W31,W25,W19,W13,W7)*$AS7</f>
        <v/>
      </c>
      <c r="X80" s="70" t="n"/>
      <c r="Y80" s="65" t="n"/>
      <c r="Z80" s="65">
        <f>AVERAGE(Z31,Z25,Z19,Z13,Z7)*$AS7</f>
        <v/>
      </c>
      <c r="AA80" s="65" t="n"/>
      <c r="AB80" s="70" t="n"/>
      <c r="AC80" s="70">
        <f>AVERAGE(AC31,AC25,AC19,AC13,AC7)*$AS7</f>
        <v/>
      </c>
      <c r="AD80" s="70" t="n"/>
      <c r="AE80" s="65" t="n"/>
      <c r="AF80" s="65">
        <f>AVERAGE(AF31,AF25,AF19,AF13,AF7)*$AS7</f>
        <v/>
      </c>
      <c r="AG80" s="65" t="n"/>
      <c r="AH80" s="65" t="n"/>
      <c r="AI80" s="65">
        <f>AVERAGE(AI31,AI25,AI19,AI13,AI7)</f>
        <v/>
      </c>
      <c r="AJ80" s="65" t="n"/>
      <c r="AK80" s="77" t="n"/>
      <c r="AL80" s="65">
        <f>AVERAGE(AL31,AL25,AL19,AL13,AL7)/52*$AS7</f>
        <v/>
      </c>
      <c r="AM80" s="65" t="n"/>
      <c r="AN80" s="65" t="n"/>
      <c r="AO80" s="65">
        <f>AVERAGE(AO31,AO25,AO19,AO13,AO7)*$AS7</f>
        <v/>
      </c>
      <c r="AP80" s="65" t="n"/>
      <c r="AQ80" s="56" t="n"/>
      <c r="AR80" s="65">
        <f>AVERAGE(AR31,AR25,AR19,AR13,AR7)</f>
        <v/>
      </c>
      <c r="AS80" s="65">
        <f>AVERAGE(AS31,AS25,AS19,AS13,AS7)</f>
        <v/>
      </c>
      <c r="AT80" s="65">
        <f>AVERAGE(AT31,AT25,AT19,AT13,AT7)</f>
        <v/>
      </c>
      <c r="BA80" s="78" t="n"/>
      <c r="BB80" s="78" t="n"/>
      <c r="BC80" s="78" t="n"/>
      <c r="BD80" s="78" t="n"/>
      <c r="BE80" s="78" t="n"/>
      <c r="BF80" s="78" t="n"/>
      <c r="BG80" s="78" t="n"/>
      <c r="BH80" s="78" t="n"/>
      <c r="BI80" s="78" t="n"/>
      <c r="BJ80" s="78" t="n"/>
      <c r="BK80" s="78" t="n"/>
      <c r="BL80" s="78" t="n"/>
      <c r="BM80" s="78" t="n"/>
      <c r="BN80" s="78" t="n"/>
      <c r="BO80" s="78" t="n"/>
      <c r="BP80" s="78" t="n"/>
      <c r="BQ80" s="78" t="n"/>
      <c r="BR80" s="78" t="n"/>
      <c r="BS80" s="78" t="n"/>
      <c r="BT80" s="78" t="n"/>
      <c r="BU80" s="78" t="n"/>
      <c r="BV80" s="78" t="n"/>
      <c r="BW80" s="78" t="n"/>
      <c r="BX80" s="78" t="n"/>
    </row>
    <row r="81" customFormat="1" s="64">
      <c r="A81" s="45" t="inlineStr">
        <is>
          <t>ALL</t>
        </is>
      </c>
      <c r="B81" s="46" t="inlineStr">
        <is>
          <t>Pathologists</t>
        </is>
      </c>
      <c r="C81" s="54" t="n"/>
      <c r="D81" s="45" t="n"/>
      <c r="E81" s="55" t="n"/>
      <c r="F81" s="45" t="n"/>
      <c r="G81" s="45" t="n"/>
      <c r="H81" s="56" t="n"/>
      <c r="I81" s="56" t="n"/>
      <c r="J81" s="56" t="n"/>
      <c r="K81" s="65">
        <f>AVERAGE(K32,K26,K20,K14,K8)*$AS8</f>
        <v/>
      </c>
      <c r="L81" s="65" t="n"/>
      <c r="M81" s="65" t="n"/>
      <c r="N81" s="68" t="n"/>
      <c r="O81" s="68" t="n"/>
      <c r="P81" s="68" t="n"/>
      <c r="Q81" s="69" t="n"/>
      <c r="R81" s="69" t="n"/>
      <c r="S81" s="69" t="n"/>
      <c r="T81" s="65">
        <f>AVERAGE(T32,T26,T20,T14,T8)*$AS8</f>
        <v/>
      </c>
      <c r="U81" s="65" t="n"/>
      <c r="V81" s="70" t="n"/>
      <c r="W81" s="70">
        <f>AVERAGE(W32,W26,W20,W14,W8)*$AS8</f>
        <v/>
      </c>
      <c r="X81" s="70" t="n"/>
      <c r="Y81" s="65" t="n"/>
      <c r="Z81" s="65">
        <f>AVERAGE(Z32,Z26,Z20,Z14,Z8)*$AS8</f>
        <v/>
      </c>
      <c r="AA81" s="65" t="n"/>
      <c r="AB81" s="70" t="n"/>
      <c r="AC81" s="70">
        <f>AVERAGE(AC32,AC26,AC20,AC14,AC8)*$AS8</f>
        <v/>
      </c>
      <c r="AD81" s="70" t="n"/>
      <c r="AE81" s="65" t="n"/>
      <c r="AF81" s="65">
        <f>AVERAGE(AF32,AF26,AF20,AF14,AF8)*$AS8</f>
        <v/>
      </c>
      <c r="AG81" s="65" t="n"/>
      <c r="AH81" s="65" t="n"/>
      <c r="AI81" s="65">
        <f>AVERAGE(AI32,AI26,AI20,AI14,AI8)</f>
        <v/>
      </c>
      <c r="AJ81" s="65" t="n"/>
      <c r="AK81" s="77" t="n"/>
      <c r="AL81" s="65">
        <f>AVERAGE(AL32,AL26,AL20,AL14,AL8)/52*$AS8</f>
        <v/>
      </c>
      <c r="AM81" s="65" t="n"/>
      <c r="AN81" s="65" t="n"/>
      <c r="AO81" s="65">
        <f>AVERAGE(AO32,AO26,AO20,AO14,AO8)*$AS8</f>
        <v/>
      </c>
      <c r="AP81" s="65" t="n"/>
      <c r="AQ81" s="56" t="n"/>
      <c r="AR81" s="65">
        <f>AVERAGE(AR32,AR26,AR20,AR14,AR8)</f>
        <v/>
      </c>
      <c r="AS81" s="65">
        <f>AVERAGE(AS32,AS26,AS20,AS14,AS8)</f>
        <v/>
      </c>
      <c r="AT81" s="65">
        <f>AVERAGE(AT32,AT26,AT20,AT14,AT8)</f>
        <v/>
      </c>
      <c r="BA81" s="78" t="n"/>
      <c r="BB81" s="78" t="n"/>
      <c r="BC81" s="78" t="n"/>
      <c r="BD81" s="78" t="n"/>
      <c r="BE81" s="78" t="n"/>
      <c r="BF81" s="78" t="n"/>
      <c r="BG81" s="78" t="n"/>
      <c r="BH81" s="78" t="n"/>
      <c r="BI81" s="78" t="n"/>
      <c r="BJ81" s="78" t="n"/>
      <c r="BK81" s="78" t="n"/>
      <c r="BL81" s="78" t="n"/>
      <c r="BM81" s="78" t="n"/>
      <c r="BN81" s="78" t="n"/>
      <c r="BO81" s="78" t="n"/>
      <c r="BP81" s="78" t="n"/>
      <c r="BQ81" s="78" t="n"/>
      <c r="BR81" s="78" t="n"/>
      <c r="BS81" s="78" t="n"/>
      <c r="BT81" s="78" t="n"/>
      <c r="BU81" s="78" t="n"/>
      <c r="BV81" s="78" t="n"/>
      <c r="BW81" s="78" t="n"/>
      <c r="BX81" s="78" t="n"/>
    </row>
    <row r="82" customFormat="1" s="64">
      <c r="A82" s="45" t="n"/>
      <c r="B82" s="46" t="n"/>
      <c r="C82" s="54" t="n"/>
      <c r="D82" s="45" t="n"/>
      <c r="E82" s="55" t="n"/>
      <c r="F82" s="45" t="n"/>
      <c r="G82" s="45" t="n"/>
      <c r="H82" s="56" t="n"/>
      <c r="I82" s="56" t="n"/>
      <c r="J82" s="56" t="n"/>
      <c r="N82" s="58" t="n"/>
      <c r="O82" s="58" t="n"/>
      <c r="P82" s="58" t="n"/>
      <c r="Q82" s="59" t="n"/>
      <c r="R82" s="59" t="n"/>
      <c r="S82" s="59" t="n"/>
      <c r="V82" s="57" t="n"/>
      <c r="W82" s="57" t="n"/>
      <c r="X82" s="57" t="n"/>
      <c r="AB82" s="57" t="n"/>
      <c r="AC82" s="57" t="n"/>
      <c r="AD82" s="57" t="n"/>
      <c r="AK82" s="74" t="n"/>
      <c r="AQ82" s="62" t="n"/>
      <c r="BA82" s="78" t="n"/>
      <c r="BB82" s="78" t="n"/>
      <c r="BC82" s="78" t="n"/>
      <c r="BD82" s="78" t="n"/>
      <c r="BE82" s="78" t="n"/>
      <c r="BF82" s="78" t="n"/>
      <c r="BG82" s="78" t="n"/>
      <c r="BH82" s="78" t="n"/>
      <c r="BI82" s="78" t="n"/>
      <c r="BJ82" s="78" t="n"/>
      <c r="BK82" s="78" t="n"/>
      <c r="BL82" s="78" t="n"/>
      <c r="BM82" s="78" t="n"/>
      <c r="BN82" s="78" t="n"/>
      <c r="BO82" s="78" t="n"/>
      <c r="BP82" s="78" t="n"/>
      <c r="BQ82" s="78" t="n"/>
      <c r="BR82" s="78" t="n"/>
      <c r="BS82" s="78" t="n"/>
      <c r="BT82" s="78" t="n"/>
      <c r="BU82" s="78" t="n"/>
      <c r="BV82" s="78" t="n"/>
      <c r="BW82" s="78" t="n"/>
      <c r="BX82" s="78" t="n"/>
    </row>
    <row r="83" customFormat="1" s="64">
      <c r="A83" s="45" t="inlineStr">
        <is>
          <t>ALL</t>
        </is>
      </c>
      <c r="B83" s="46" t="inlineStr">
        <is>
          <t>Lab technician</t>
        </is>
      </c>
      <c r="C83" s="54" t="n"/>
      <c r="D83" s="45" t="n"/>
      <c r="E83" s="55" t="n"/>
      <c r="F83" s="45" t="n"/>
      <c r="G83" s="45" t="n"/>
      <c r="H83" s="56" t="n"/>
      <c r="I83" s="56" t="n"/>
      <c r="J83" s="56" t="n"/>
      <c r="K83" s="47">
        <f>TEXT((AVERAGE(K28,K22,K16,K10,K4)*$AS4), "$0,0") &amp; " (" &amp; TEXT((MIN(K28,K22,K16,K10,K4)*$AS4), "0,0") &amp; " - " &amp; TEXT((MAX(K28,K22,K16,K10,K4)*$AS4), "0,0") &amp; ")"</f>
        <v/>
      </c>
      <c r="L83" s="47" t="n"/>
      <c r="M83" s="47" t="n"/>
      <c r="N83" s="58" t="n"/>
      <c r="O83" s="58" t="n"/>
      <c r="P83" s="58" t="n"/>
      <c r="Q83" s="59" t="n"/>
      <c r="R83" s="59" t="n"/>
      <c r="S83" s="59" t="n"/>
      <c r="T83" s="47">
        <f>TEXT((AVERAGE(T28,T22,T16,T10,T4)*$AS4), "$0,0") &amp; " (" &amp; TEXT((MIN(T28,T22,T16,T10,T4)*$AS4), "0,0") &amp; " - " &amp; TEXT((MAX(T28,T22,T16,T10,T4)*$AS4), "0,0") &amp; ")"</f>
        <v/>
      </c>
      <c r="U83" s="47" t="n"/>
      <c r="V83" s="72" t="n"/>
      <c r="W83" s="72">
        <f>TEXT((AVERAGE(W28,W22,W16,W10,W4)*$AS4), "$0,0") &amp; " (" &amp; TEXT((MIN(W28,W22,W16,W10,W4)*$AS4), "0,0") &amp; " - " &amp; TEXT((MAX(W28,W22,W16,W10,W4)*$AS4), "0,0") &amp; ")"</f>
        <v/>
      </c>
      <c r="X83" s="72" t="n"/>
      <c r="Y83" s="47" t="n"/>
      <c r="Z83" s="47">
        <f>TEXT((AVERAGE(Z28,Z22,Z16,Z10,Z4)*$AS4), "$0") &amp; " (" &amp; TEXT((MIN(Z28,Z22,Z16,Z10,Z4)*$AS4), "0") &amp; " - " &amp; TEXT((MAX(Z28,Z22,Z16,Z10,Z4)*$AS4), "0") &amp; ")"</f>
        <v/>
      </c>
      <c r="AA83" s="47" t="n"/>
      <c r="AB83" s="72" t="n"/>
      <c r="AC83" s="72">
        <f>TEXT((AVERAGE(AC28,AC22,AC16,AC10,AC4)*$AS4), "$0") &amp; " (" &amp; TEXT((MIN(AC28,AC22,AC16,AC10,AC4)*$AS4), "0") &amp; " - " &amp; TEXT((MAX(AC28,AC22,AC16,AC10,AC4)*$AS4), "0") &amp; ")"</f>
        <v/>
      </c>
      <c r="AD83" s="72" t="n"/>
      <c r="AE83" s="47" t="n"/>
      <c r="AF83" s="47">
        <f>TEXT((AVERAGE(AF28,AF22,AF16,AF10,AF4)*$AS4), "$0,0") &amp; " (" &amp; TEXT((MIN(AF28,AF22,AF16,AF10,AF4)*$AS4), "0,0") &amp; " - " &amp; TEXT((MAX(AF28,AF22,AF16,AF10,AF4)*$AS4), "0,0") &amp; ")"</f>
        <v/>
      </c>
      <c r="AG83" s="47" t="n"/>
      <c r="AH83" s="47" t="n"/>
      <c r="AI83" s="47">
        <f>TEXT((AVERAGE(AI28,AI22,AI16,AI10,AI4)), "$0,0") &amp; " (" &amp; TEXT((MIN(AI28,AI22,AI16,AI10,AI4)), "0,0") &amp; " - " &amp; TEXT((MAX(AI28,AI22,AI16,AI10,AI4)), "0,0") &amp; ")"</f>
        <v/>
      </c>
      <c r="AJ83" s="47" t="n"/>
      <c r="AK83" s="76" t="n"/>
      <c r="AL83" s="47">
        <f>TEXT((AVERAGE(AL28,AL22,AL16,AL10,AL4)/52*$AS4), "$0,0") &amp; " (" &amp; TEXT((MIN(AL28,AL22,AL16,AL10,AL4)/52*$AS4), "0,0") &amp; " - " &amp; TEXT((MAX(AL28,AL22,AL16,AL10,AL4)*$AS4)/52, "0,0") &amp; ")"</f>
        <v/>
      </c>
      <c r="AM83" s="47" t="n"/>
      <c r="AN83" s="47" t="n"/>
      <c r="AO83" s="47">
        <f>TEXT((AVERAGE(AO28,AO22,AO16,AO10,AO4)*$AS4), "$0,0") &amp; " (" &amp; TEXT((MIN(AO28,AO22,AO16,AO10,AO4)*$AS4), "0,0") &amp; " - " &amp; TEXT((MAX(AO28,AO22,AO16,AO10,AO4)*$AS4), "0,0") &amp; ")"</f>
        <v/>
      </c>
      <c r="AP83" s="47" t="n"/>
      <c r="AQ83" s="62" t="n"/>
      <c r="AR83" s="47">
        <f>TEXT((AVERAGE(AR28,AR22,AR16,AR10,AR4)), "$0,0") &amp; " (" &amp; TEXT((MIN(AR28,AR22,AR16,AR10,AR4)), "0,0") &amp; " - " &amp; TEXT((MAX(AR28,AR22,AR16,AR10,AR4)), "0,0") &amp; ")"</f>
        <v/>
      </c>
      <c r="AS83" s="47">
        <f>TEXT((AVERAGE(AS28,AS22,AS16,AS10,AS4)), "$0,0") &amp; " (" &amp; TEXT((MIN(AS28,AS22,AS16,AS10,AS4)), "0,0") &amp; " - " &amp; TEXT((MAX(AS28,AS22,AS16,AS10,AS4)), "0,0") &amp; ")"</f>
        <v/>
      </c>
      <c r="AT83" s="47">
        <f>TEXT((AVERAGE(AT28,AT22,AT16,AT10,AT4)), "$0,0") &amp; " (" &amp; TEXT((MIN(AT28,AT22,AT16,AT10,AT4)), "0,0") &amp; " - " &amp; TEXT((MAX(AT28,AT22,AT16,AT10,AT4)), "0,0") &amp; ")"</f>
        <v/>
      </c>
      <c r="BA83" s="78" t="n"/>
      <c r="BB83" s="78" t="n"/>
      <c r="BC83" s="78" t="n"/>
      <c r="BD83" s="78" t="n"/>
      <c r="BE83" s="78" t="n"/>
      <c r="BF83" s="78" t="n"/>
      <c r="BG83" s="78" t="n"/>
      <c r="BH83" s="78" t="n"/>
      <c r="BI83" s="78" t="n"/>
      <c r="BJ83" s="78" t="n"/>
      <c r="BK83" s="78" t="n"/>
      <c r="BL83" s="78" t="n"/>
      <c r="BM83" s="78" t="n"/>
      <c r="BN83" s="78" t="n"/>
      <c r="BO83" s="78" t="n"/>
      <c r="BP83" s="78" t="n"/>
      <c r="BQ83" s="78" t="n"/>
      <c r="BR83" s="78" t="n"/>
      <c r="BS83" s="78" t="n"/>
      <c r="BT83" s="78" t="n"/>
      <c r="BU83" s="78" t="n"/>
      <c r="BV83" s="78" t="n"/>
      <c r="BW83" s="78" t="n"/>
      <c r="BX83" s="78" t="n"/>
    </row>
    <row r="84" customFormat="1" s="64">
      <c r="A84" s="45" t="inlineStr">
        <is>
          <t>ALL</t>
        </is>
      </c>
      <c r="B84" s="46" t="inlineStr">
        <is>
          <t>Medical scientist</t>
        </is>
      </c>
      <c r="C84" s="54" t="n"/>
      <c r="D84" s="45" t="n"/>
      <c r="E84" s="55" t="n"/>
      <c r="F84" s="45" t="n"/>
      <c r="G84" s="45" t="n"/>
      <c r="H84" s="56" t="n"/>
      <c r="I84" s="56" t="n"/>
      <c r="J84" s="56" t="n"/>
      <c r="K84" s="47">
        <f>TEXT((AVERAGE(K29,K23,K17,K11,K5)*$AS5), "$0,0") &amp; " (" &amp; TEXT((MIN(K29,K23,K17,K11,K5)*$AS5), "0,0") &amp; " - " &amp; TEXT((MAX(K29,K23,K17,K11,K5)*$AS5), "0,0") &amp; ")"</f>
        <v/>
      </c>
      <c r="L84" s="47" t="n"/>
      <c r="M84" s="47" t="n"/>
      <c r="N84" s="58" t="n"/>
      <c r="O84" s="58" t="n"/>
      <c r="P84" s="58" t="n"/>
      <c r="Q84" s="59" t="n"/>
      <c r="R84" s="59" t="n"/>
      <c r="S84" s="59" t="n"/>
      <c r="T84" s="47">
        <f>TEXT((AVERAGE(T29,T23,T17,T11,T5)*$AS5), "$0,0") &amp; " (" &amp; TEXT((MIN(T29,T23,T17,T11,T5)*$AS5), "0,0") &amp; " - " &amp; TEXT((MAX(T29,T23,T17,T11,T5)*$AS5), "0,0") &amp; ")"</f>
        <v/>
      </c>
      <c r="U84" s="47" t="n"/>
      <c r="V84" s="72" t="n"/>
      <c r="W84" s="72">
        <f>TEXT((AVERAGE(W29,W23,W17,W11,W5)*$AS5), "$0,0") &amp; " (" &amp; TEXT((MIN(W29,W23,W17,W11,W5)*$AS5), "0,0") &amp; " - " &amp; TEXT((MAX(W29,W23,W17,W11,W5)*$AS5), "0,0") &amp; ")"</f>
        <v/>
      </c>
      <c r="X84" s="72" t="n"/>
      <c r="Y84" s="47" t="n"/>
      <c r="Z84" s="47">
        <f>TEXT((AVERAGE(Z29,Z23,Z17,Z11,Z5)*$AS5), "$0") &amp; " (" &amp; TEXT((MIN(Z29,Z23,Z17,Z11,Z5)*$AS5), "0") &amp; " - " &amp; TEXT((MAX(Z29,Z23,Z17,Z11,Z5)*$AS5), "0") &amp; ")"</f>
        <v/>
      </c>
      <c r="AA84" s="47" t="n"/>
      <c r="AB84" s="72" t="n"/>
      <c r="AC84" s="72">
        <f>TEXT((AVERAGE(AC29,AC23,AC17,AC11,AC5)*$AS5), "$0") &amp; " (" &amp; TEXT((MIN(AC29,AC23,AC17,AC11,AC5)*$AS5), "0") &amp; " - " &amp; TEXT((MAX(AC29,AC23,AC17,AC11,AC5)*$AS5), "0") &amp; ")"</f>
        <v/>
      </c>
      <c r="AD84" s="72" t="n"/>
      <c r="AE84" s="47" t="n"/>
      <c r="AF84" s="47">
        <f>TEXT((AVERAGE(AF29,AF23,AF17,AF11,AF5)*$AS5), "$0,0") &amp; " (" &amp; TEXT((MIN(AF29,AF23,AF17,AF11,AF5)*$AS5), "0,0") &amp; " - " &amp; TEXT((MAX(AF29,AF23,AF17,AF11,AF5)*$AS5), "0,0") &amp; ")"</f>
        <v/>
      </c>
      <c r="AG84" s="47" t="n"/>
      <c r="AH84" s="47" t="n"/>
      <c r="AI84" s="47">
        <f>TEXT((AVERAGE(AI29,AI23,AI17,AI11,AI5)), "$0,0") &amp; " (" &amp; TEXT((MIN(AI29,AI23,AI17,AI11,AI5)), "0,0") &amp; " - " &amp; TEXT((MAX(AI29,AI23,AI17,AI11,AI5)), "0,0") &amp; ")"</f>
        <v/>
      </c>
      <c r="AJ84" s="47" t="n"/>
      <c r="AK84" s="76" t="n"/>
      <c r="AL84" s="47">
        <f>TEXT((AVERAGE(AL29,AL23,AL17,AL11,AL5)/52*$AS5), "$0,0") &amp; " (" &amp; TEXT((MIN(AL29,AL23,AL17,AL11,AL5)/52*$AS5), "0,0") &amp; " - " &amp; TEXT((MAX(AL29,AL23,AL17,AL11,AL5)*$AS5)/52, "0,0") &amp; ")"</f>
        <v/>
      </c>
      <c r="AM84" s="47" t="n"/>
      <c r="AN84" s="47" t="n"/>
      <c r="AO84" s="47">
        <f>TEXT((AVERAGE(AO29,AO23,AO17,AO11,AO5)*$AS5), "$0,0") &amp; " (" &amp; TEXT((MIN(AO29,AO23,AO17,AO11,AO5)*$AS5), "0,0") &amp; " - " &amp; TEXT((MAX(AO29,AO23,AO17,AO11,AO5)*$AS5), "0,0") &amp; ")"</f>
        <v/>
      </c>
      <c r="AP84" s="47" t="n"/>
      <c r="AQ84" s="62" t="n"/>
      <c r="AR84" s="47">
        <f>TEXT((AVERAGE(AR29,AR23,AR17,AR11,AR5)), "$0,0") &amp; " (" &amp; TEXT((MIN(AR29,AR23,AR17,AR11,AR5)), "0,0") &amp; " - " &amp; TEXT((MAX(AR29,AR23,AR17,AR11,AR5)), "0,0") &amp; ")"</f>
        <v/>
      </c>
      <c r="AS84" s="47">
        <f>TEXT((AVERAGE(AS29,AS23,AS17,AS11,AS5)), "$0,0") &amp; " (" &amp; TEXT((MIN(AS29,AS23,AS17,AS11,AS5)), "0,0") &amp; " - " &amp; TEXT((MAX(AS29,AS23,AS17,AS11,AS5)), "0,0") &amp; ")"</f>
        <v/>
      </c>
      <c r="AT84" s="47">
        <f>TEXT((AVERAGE(AT29,AT23,AT17,AT11,AT5)), "$0,0") &amp; " (" &amp; TEXT((MIN(AT29,AT23,AT17,AT11,AT5)), "0,0") &amp; " - " &amp; TEXT((MAX(AT29,AT23,AT17,AT11,AT5)), "0,0") &amp; ")"</f>
        <v/>
      </c>
      <c r="BA84" s="78" t="n"/>
      <c r="BB84" s="78" t="n"/>
      <c r="BC84" s="78" t="n"/>
      <c r="BD84" s="78" t="n"/>
      <c r="BE84" s="78" t="n"/>
      <c r="BF84" s="78" t="n"/>
      <c r="BG84" s="78" t="n"/>
      <c r="BH84" s="78" t="n"/>
      <c r="BI84" s="78" t="n"/>
      <c r="BJ84" s="78" t="n"/>
      <c r="BK84" s="78" t="n"/>
      <c r="BL84" s="78" t="n"/>
      <c r="BM84" s="78" t="n"/>
      <c r="BN84" s="78" t="n"/>
      <c r="BO84" s="78" t="n"/>
      <c r="BP84" s="78" t="n"/>
      <c r="BQ84" s="78" t="n"/>
      <c r="BR84" s="78" t="n"/>
      <c r="BS84" s="78" t="n"/>
      <c r="BT84" s="78" t="n"/>
      <c r="BU84" s="78" t="n"/>
      <c r="BV84" s="78" t="n"/>
      <c r="BW84" s="78" t="n"/>
      <c r="BX84" s="78" t="n"/>
    </row>
    <row r="85" customFormat="1" s="64">
      <c r="A85" s="45" t="inlineStr">
        <is>
          <t>ALL</t>
        </is>
      </c>
      <c r="B85" s="46" t="inlineStr">
        <is>
          <t>Admin staff</t>
        </is>
      </c>
      <c r="C85" s="54" t="n"/>
      <c r="D85" s="45" t="n"/>
      <c r="E85" s="55" t="n"/>
      <c r="F85" s="45" t="n"/>
      <c r="G85" s="45" t="n"/>
      <c r="H85" s="56" t="n"/>
      <c r="I85" s="56" t="n"/>
      <c r="J85" s="56" t="n"/>
      <c r="K85" s="47">
        <f>TEXT((AVERAGE(K30,K24,K18,K12,K6)*$AS6), "$0,0") &amp; " (" &amp; TEXT((MIN(K30,K24,K18,K12,K6)*$AS6), "0,0") &amp; " - " &amp; TEXT((MAX(K30,K24,K18,K12,K6)*$AS6), "0,0") &amp; ")"</f>
        <v/>
      </c>
      <c r="L85" s="47" t="n"/>
      <c r="M85" s="47" t="n"/>
      <c r="N85" s="58" t="n"/>
      <c r="O85" s="58" t="n"/>
      <c r="P85" s="58" t="n"/>
      <c r="Q85" s="59" t="n"/>
      <c r="R85" s="59" t="n"/>
      <c r="S85" s="59" t="n"/>
      <c r="T85" s="47">
        <f>TEXT((AVERAGE(T30,T24,T18,T12,T6)*$AS6), "$0,0") &amp; " (" &amp; TEXT((MIN(T30,T24,T18,T12,T6)*$AS6), "0,0") &amp; " - " &amp; TEXT((MAX(T30,T24,T18,T12,T6)*$AS6), "0,0") &amp; ")"</f>
        <v/>
      </c>
      <c r="U85" s="47" t="n"/>
      <c r="V85" s="72" t="n"/>
      <c r="W85" s="72">
        <f>TEXT((AVERAGE(W30,W24,W18,W12,W6)*$AS6), "$0,0") &amp; " (" &amp; TEXT((MIN(W30,W24,W18,W12,W6)*$AS6), "0,0") &amp; " - " &amp; TEXT((MAX(W30,W24,W18,W12,W6)*$AS6), "0,0") &amp; ")"</f>
        <v/>
      </c>
      <c r="X85" s="72" t="n"/>
      <c r="Y85" s="47" t="n"/>
      <c r="Z85" s="47">
        <f>TEXT((AVERAGE(Z30,Z24,Z18,Z12,Z6)*$AS6), "$0") &amp; " (" &amp; TEXT((MIN(Z30,Z24,Z18,Z12,Z6)*$AS6), "0") &amp; " - " &amp; TEXT((MAX(Z30,Z24,Z18,Z12,Z6)*$AS6), "0") &amp; ")"</f>
        <v/>
      </c>
      <c r="AA85" s="47" t="n"/>
      <c r="AB85" s="72" t="n"/>
      <c r="AC85" s="72">
        <f>TEXT((AVERAGE(AC30,AC24,AC18,AC12,AC6)*$AS6), "$0") &amp; " (" &amp; TEXT((MIN(AC30,AC24,AC18,AC12,AC6)*$AS6), "0") &amp; " - " &amp; TEXT((MAX(AC30,AC24,AC18,AC12,AC6)*$AS6), "0") &amp; ")"</f>
        <v/>
      </c>
      <c r="AD85" s="72" t="n"/>
      <c r="AE85" s="47" t="n"/>
      <c r="AF85" s="47">
        <f>TEXT((AVERAGE(AF30,AF24,AF18,AF12,AF6)*$AS6), "$0,0") &amp; " (" &amp; TEXT((MIN(AF30,AF24,AF18,AF12,AF6)*$AS6), "0,0") &amp; " - " &amp; TEXT((MAX(AF30,AF24,AF18,AF12,AF6)*$AS6), "0,0") &amp; ")"</f>
        <v/>
      </c>
      <c r="AG85" s="47" t="n"/>
      <c r="AH85" s="47" t="n"/>
      <c r="AI85" s="47">
        <f>TEXT((AVERAGE(AI30,AI24,AI18,AI12,AI6)), "$0,0") &amp; " (" &amp; TEXT((MIN(AI30,AI24,AI18,AI12,AI6)), "0,0") &amp; " - " &amp; TEXT((MAX(AI30,AI24,AI18,AI12,AI6)), "0,0") &amp; ")"</f>
        <v/>
      </c>
      <c r="AJ85" s="47" t="n"/>
      <c r="AK85" s="76" t="n"/>
      <c r="AL85" s="47">
        <f>TEXT((AVERAGE(AL30,AL24,AL18,AL12,AL6)/52*$AS6), "$0,0") &amp; " (" &amp; TEXT((MIN(AL30,AL24,AL18,AL12,AL6)/52*$AS6), "0,0") &amp; " - " &amp; TEXT((MAX(AL30,AL24,AL18,AL12,AL6)*$AS6)/52, "0,0") &amp; ")"</f>
        <v/>
      </c>
      <c r="AM85" s="47" t="n"/>
      <c r="AN85" s="47" t="n"/>
      <c r="AO85" s="47">
        <f>TEXT((AVERAGE(AO30,AO24,AO18,AO12,AO6)*$AS6), "$0,0") &amp; " (" &amp; TEXT((MIN(AO30,AO24,AO18,AO12,AO6)*$AS6), "0,0") &amp; " - " &amp; TEXT((MAX(AO30,AO24,AO18,AO12,AO6)*$AS6), "0,0") &amp; ")"</f>
        <v/>
      </c>
      <c r="AP85" s="47" t="n"/>
      <c r="AQ85" s="62" t="n"/>
      <c r="AR85" s="47">
        <f>TEXT((AVERAGE(AR30,AR24,AR18,AR12,AR6)), "$0,0") &amp; " (" &amp; TEXT((MIN(AR30,AR24,AR18,AR12,AR6)), "0,0") &amp; " - " &amp; TEXT((MAX(AR30,AR24,AR18,AR12,AR6)), "0,0") &amp; ")"</f>
        <v/>
      </c>
      <c r="AS85" s="47">
        <f>TEXT((AVERAGE(AS30,AS24,AS18,AS12,AS6)), "$0,0") &amp; " (" &amp; TEXT((MIN(AS30,AS24,AS18,AS12,AS6)), "0,0") &amp; " - " &amp; TEXT((MAX(AS30,AS24,AS18,AS12,AS6)), "0,0") &amp; ")"</f>
        <v/>
      </c>
      <c r="AT85" s="47">
        <f>TEXT((AVERAGE(AT30,AT24,AT18,AT12,AT6)), "$0,0") &amp; " (" &amp; TEXT((MIN(AT30,AT24,AT18,AT12,AT6)), "0,0") &amp; " - " &amp; TEXT((MAX(AT30,AT24,AT18,AT12,AT6)), "0,0") &amp; ")"</f>
        <v/>
      </c>
      <c r="BA85" s="78" t="n"/>
      <c r="BB85" s="78" t="n"/>
      <c r="BC85" s="78" t="n"/>
      <c r="BD85" s="78" t="n"/>
      <c r="BE85" s="78" t="n"/>
      <c r="BF85" s="78" t="n"/>
      <c r="BG85" s="78" t="n"/>
      <c r="BH85" s="78" t="n"/>
      <c r="BI85" s="78" t="n"/>
      <c r="BJ85" s="78" t="n"/>
      <c r="BK85" s="78" t="n"/>
      <c r="BL85" s="78" t="n"/>
      <c r="BM85" s="78" t="n"/>
      <c r="BN85" s="78" t="n"/>
      <c r="BO85" s="78" t="n"/>
      <c r="BP85" s="78" t="n"/>
      <c r="BQ85" s="78" t="n"/>
      <c r="BR85" s="78" t="n"/>
      <c r="BS85" s="78" t="n"/>
      <c r="BT85" s="78" t="n"/>
      <c r="BU85" s="78" t="n"/>
      <c r="BV85" s="78" t="n"/>
      <c r="BW85" s="78" t="n"/>
      <c r="BX85" s="78" t="n"/>
    </row>
    <row r="86" customFormat="1" s="64">
      <c r="A86" s="45" t="inlineStr">
        <is>
          <t>ALL</t>
        </is>
      </c>
      <c r="B86" s="46" t="inlineStr">
        <is>
          <t>Bioinformatics staff</t>
        </is>
      </c>
      <c r="C86" s="54" t="n"/>
      <c r="D86" s="45" t="n"/>
      <c r="E86" s="55" t="n"/>
      <c r="F86" s="45" t="n"/>
      <c r="G86" s="45" t="n"/>
      <c r="H86" s="56" t="n"/>
      <c r="I86" s="56" t="n"/>
      <c r="J86" s="56" t="n"/>
      <c r="K86" s="47">
        <f>TEXT((AVERAGE(K31,K25,K19,K13,K7)*$AS7), "$0,0") &amp; " (" &amp; TEXT((MIN(K31,K25,K19,K13,K7)*$AS7), "0,0") &amp; " - " &amp; TEXT((MAX(K31,K25,K19,K13,K7)*$AS7), "0,0") &amp; ")"</f>
        <v/>
      </c>
      <c r="L86" s="47" t="n"/>
      <c r="M86" s="47" t="n"/>
      <c r="N86" s="58" t="n"/>
      <c r="O86" s="58" t="n"/>
      <c r="P86" s="58" t="n"/>
      <c r="Q86" s="59" t="n"/>
      <c r="R86" s="59" t="n"/>
      <c r="S86" s="59" t="n"/>
      <c r="T86" s="47">
        <f>TEXT((AVERAGE(T31,T25,T19,T13,T7)*$AS7), "$0,0") &amp; " (" &amp; TEXT((MIN(T31,T25,T19,T13,T7)*$AS7), "0,0") &amp; " - " &amp; TEXT((MAX(T31,T25,T19,T13,T7)*$AS7), "0,0") &amp; ")"</f>
        <v/>
      </c>
      <c r="U86" s="47" t="n"/>
      <c r="V86" s="72" t="n"/>
      <c r="W86" s="72">
        <f>TEXT((AVERAGE(W31,W25,W19,W13,W7)*$AS7), "$0,0") &amp; " (" &amp; TEXT((MIN(W31,W25,W19,W13,W7)*$AS7), "0,0") &amp; " - " &amp; TEXT((MAX(W31,W25,W19,W13,W7)*$AS7), "0,0") &amp; ")"</f>
        <v/>
      </c>
      <c r="X86" s="72" t="n"/>
      <c r="Y86" s="47" t="n"/>
      <c r="Z86" s="47">
        <f>TEXT((AVERAGE(Z31,Z25,Z19,Z13,Z7)*$AS7), "$0") &amp; " (" &amp; TEXT((MIN(Z31,Z25,Z19,Z13,Z7)*$AS7), "0") &amp; " - " &amp; TEXT((MAX(Z31,Z25,Z19,Z13,Z7)*$AS7), "0") &amp; ")"</f>
        <v/>
      </c>
      <c r="AA86" s="47" t="n"/>
      <c r="AB86" s="72" t="n"/>
      <c r="AC86" s="72">
        <f>TEXT((AVERAGE(AC31,AC25,AC19,AC13,AC7)*$AS7), "$0") &amp; " (" &amp; TEXT((MIN(AC31,AC25,AC19,AC13,AC7)*$AS7), "0") &amp; " - " &amp; TEXT((MAX(AC31,AC25,AC19,AC13,AC7)*$AS7), "0") &amp; ")"</f>
        <v/>
      </c>
      <c r="AD86" s="72" t="n"/>
      <c r="AE86" s="47" t="n"/>
      <c r="AF86" s="47">
        <f>TEXT((AVERAGE(AF31,AF25,AF19,AF13,AF7)*$AS7), "$0,0") &amp; " (" &amp; TEXT((MIN(AF31,AF25,AF19,AF13,AF7)*$AS7), "0,0") &amp; " - " &amp; TEXT((MAX(AF31,AF25,AF19,AF13,AF7)*$AS7), "0,0") &amp; ")"</f>
        <v/>
      </c>
      <c r="AG86" s="47" t="n"/>
      <c r="AH86" s="47" t="n"/>
      <c r="AI86" s="47">
        <f>TEXT((AVERAGE(AI31,AI25,AI19,AI13,AI7)), "$0,0") &amp; " (" &amp; TEXT((MIN(AI31,AI25,AI19,AI13,AI7)), "0,0") &amp; " - " &amp; TEXT((MAX(AI31,AI25,AI19,AI13,AI7)), "0,0") &amp; ")"</f>
        <v/>
      </c>
      <c r="AJ86" s="47" t="n"/>
      <c r="AK86" s="76" t="n"/>
      <c r="AL86" s="47">
        <f>TEXT((AVERAGE(AL31,AL25,AL19,AL13,AL7)/52*$AS7), "$0,0") &amp; " (" &amp; TEXT((MIN(AL31,AL25,AL19,AL13,AL7)/52*$AS7), "0,0") &amp; " - " &amp; TEXT((MAX(AL31,AL25,AL19,AL13,AL7)*$AS7)/52, "0,0") &amp; ")"</f>
        <v/>
      </c>
      <c r="AM86" s="47" t="n"/>
      <c r="AN86" s="47" t="n"/>
      <c r="AO86" s="47">
        <f>TEXT((AVERAGE(AO31,AO25,AO19,AO13,AO7)*$AS7), "$0,0") &amp; " (" &amp; TEXT((MIN(AO31,AO25,AO19,AO13,AO7)*$AS7), "0,0") &amp; " - " &amp; TEXT((MAX(AO31,AO25,AO19,AO13,AO7)*$AS7), "0,0") &amp; ")"</f>
        <v/>
      </c>
      <c r="AP86" s="47" t="n"/>
      <c r="AQ86" s="62" t="n"/>
      <c r="AR86" s="47">
        <f>TEXT((AVERAGE(AR31,AR25,AR19,AR13,AR7)), "$0,0") &amp; " (" &amp; TEXT((MIN(AR31,AR25,AR19,AR13,AR7)), "0,0") &amp; " - " &amp; TEXT((MAX(AR31,AR25,AR19,AR13,AR7)), "0,0") &amp; ")"</f>
        <v/>
      </c>
      <c r="AS86" s="47">
        <f>TEXT((AVERAGE(AS31,AS25,AS19,AS13,AS7)), "$0,0") &amp; " (" &amp; TEXT((MIN(AS31,AS25,AS19,AS13,AS7)), "0,0") &amp; " - " &amp; TEXT((MAX(AS31,AS25,AS19,AS13,AS7)), "0,0") &amp; ")"</f>
        <v/>
      </c>
      <c r="AT86" s="47">
        <f>TEXT((AVERAGE(AT31,AT25,AT19,AT13,AT7)), "$0,0") &amp; " (" &amp; TEXT((MIN(AT31,AT25,AT19,AT13,AT7)), "0,0") &amp; " - " &amp; TEXT((MAX(AT31,AT25,AT19,AT13,AT7)), "0,0") &amp; ")"</f>
        <v/>
      </c>
      <c r="BA86" s="78" t="n"/>
      <c r="BB86" s="78" t="n"/>
      <c r="BC86" s="78" t="n"/>
      <c r="BD86" s="78" t="n"/>
      <c r="BE86" s="78" t="n"/>
      <c r="BF86" s="78" t="n"/>
      <c r="BG86" s="78" t="n"/>
      <c r="BH86" s="78" t="n"/>
      <c r="BI86" s="78" t="n"/>
      <c r="BJ86" s="78" t="n"/>
      <c r="BK86" s="78" t="n"/>
      <c r="BL86" s="78" t="n"/>
      <c r="BM86" s="78" t="n"/>
      <c r="BN86" s="78" t="n"/>
      <c r="BO86" s="78" t="n"/>
      <c r="BP86" s="78" t="n"/>
      <c r="BQ86" s="78" t="n"/>
      <c r="BR86" s="78" t="n"/>
      <c r="BS86" s="78" t="n"/>
      <c r="BT86" s="78" t="n"/>
      <c r="BU86" s="78" t="n"/>
      <c r="BV86" s="78" t="n"/>
      <c r="BW86" s="78" t="n"/>
      <c r="BX86" s="78" t="n"/>
    </row>
    <row r="87" customFormat="1" s="64">
      <c r="A87" s="45" t="inlineStr">
        <is>
          <t>ALL</t>
        </is>
      </c>
      <c r="B87" s="46" t="inlineStr">
        <is>
          <t>Pathologists</t>
        </is>
      </c>
      <c r="C87" s="54" t="n"/>
      <c r="D87" s="45" t="n"/>
      <c r="E87" s="55" t="n"/>
      <c r="F87" s="45" t="n"/>
      <c r="G87" s="45" t="n"/>
      <c r="H87" s="56" t="n"/>
      <c r="I87" s="56" t="n"/>
      <c r="J87" s="56" t="n"/>
      <c r="K87" s="47">
        <f>TEXT((AVERAGE(K32,K26,K20,K14,K8)*$AS8), "$0,0") &amp; " (" &amp; TEXT((MIN(K32,K26,K20,K14,K8)*$AS8), "0,0") &amp; " - " &amp; TEXT((MAX(K32,K26,K20,K14,K8)*$AS8), "0,0") &amp; ")"</f>
        <v/>
      </c>
      <c r="L87" s="47" t="n"/>
      <c r="M87" s="47" t="n"/>
      <c r="N87" s="58" t="n"/>
      <c r="O87" s="58" t="n"/>
      <c r="P87" s="58" t="n"/>
      <c r="Q87" s="59" t="n"/>
      <c r="R87" s="59" t="n"/>
      <c r="S87" s="59" t="n"/>
      <c r="T87" s="47">
        <f>TEXT((AVERAGE(T32,T26,T20,T14,T8)*$AS8), "$0,0") &amp; " (" &amp; TEXT((MIN(T32,T26,T20,T14,T8)*$AS8), "0,0") &amp; " - " &amp; TEXT((MAX(T32,T26,T20,T14,T8)*$AS8), "0,0") &amp; ")"</f>
        <v/>
      </c>
      <c r="U87" s="47" t="n"/>
      <c r="V87" s="72" t="n"/>
      <c r="W87" s="72">
        <f>TEXT((AVERAGE(W32,W26,W20,W14,W8)*$AS8), "$0,0") &amp; " (" &amp; TEXT((MIN(W32,W26,W20,W14,W8)*$AS8), "0,0") &amp; " - " &amp; TEXT((MAX(W32,W26,W20,W14,W8)*$AS8), "0,0") &amp; ")"</f>
        <v/>
      </c>
      <c r="X87" s="72" t="n"/>
      <c r="Y87" s="47" t="n"/>
      <c r="Z87" s="47">
        <f>TEXT((AVERAGE(Z32,Z26,Z20,Z14,Z8)*$AS8), "$0,0") &amp; " (" &amp; TEXT((MIN(Z32,Z26,Z20,Z14,Z8)*$AS8), "0,0") &amp; " - " &amp; TEXT((MAX(Z32,Z26,Z20,Z14,Z8)*$AS8), "0,0") &amp; ")"</f>
        <v/>
      </c>
      <c r="AA87" s="47" t="n"/>
      <c r="AB87" s="72" t="n"/>
      <c r="AC87" s="72">
        <f>TEXT((AVERAGE(AC32,AC26,AC20,AC14,AC8)*$AS8), "$0,0") &amp; " (" &amp; TEXT((MIN(AC32,AC26,AC20,AC14,AC8)*$AS8), "0,0") &amp; " - " &amp; TEXT((MAX(AC32,AC26,AC20,AC14,AC8)*$AS8), "0,0") &amp; ")"</f>
        <v/>
      </c>
      <c r="AD87" s="72" t="n"/>
      <c r="AE87" s="47" t="n"/>
      <c r="AF87" s="47">
        <f>TEXT((AVERAGE(AF32,AF26,AF20,AF14,AF8)*$AS8), "$0,0") &amp; " (" &amp; TEXT((MIN(AF32,AF26,AF20,AF14,AF8)*$AS8), "0,0") &amp; " - " &amp; TEXT((MAX(AF32,AF26,AF20,AF14,AF8)*$AS8), "0,0") &amp; ")"</f>
        <v/>
      </c>
      <c r="AG87" s="47" t="n"/>
      <c r="AH87" s="47" t="n"/>
      <c r="AI87" s="47">
        <f>TEXT((AVERAGE(AI32,AI26,AI20,AI14,AI8)), "$0,0") &amp; " (" &amp; TEXT((MIN(AI32,AI26,AI20,AI14,AI8)), "0,0") &amp; " - " &amp; TEXT((MAX(AI32,AI26,AI20,AI14,AI8)), "0,0") &amp; ")"</f>
        <v/>
      </c>
      <c r="AJ87" s="47" t="n"/>
      <c r="AK87" s="76" t="n"/>
      <c r="AL87" s="47">
        <f>TEXT((AVERAGE(AL32,AL26,AL20,AL14,AL8)/52*$AS8), "$0,0") &amp; " (" &amp; TEXT((MIN(AL32,AL26,AL20,AL14,AL8)/52*$AS8), "0,0") &amp; " - " &amp; TEXT((MAX(AL32,AL26,AL20,AL14,AL8)*$AS8)/52, "0,0") &amp; ")"</f>
        <v/>
      </c>
      <c r="AM87" s="47" t="n"/>
      <c r="AN87" s="47" t="n"/>
      <c r="AO87" s="47">
        <f>TEXT((AVERAGE(AO32,AO26,AO20,AO14,AO8)*$AS8), "$0,0") &amp; " (" &amp; TEXT((MIN(AO32,AO26,AO20,AO14,AO8)*$AS8), "0,0") &amp; " - " &amp; TEXT((MAX(AO32,AO26,AO20,AO14,AO8)*$AS8), "0,0") &amp; ")"</f>
        <v/>
      </c>
      <c r="AP87" s="47" t="n"/>
      <c r="AQ87" s="62" t="n"/>
      <c r="AR87" s="47">
        <f>TEXT((AVERAGE(AR32,AR26,AR20,AR14,AR8)), "$0,0") &amp; " (" &amp; TEXT((MIN(AR32,AR26,AR20,AR14,AR8)), "0,0") &amp; " - " &amp; TEXT((MAX(AR32,AR26,AR20,AR14,AR8)), "0,0") &amp; ")"</f>
        <v/>
      </c>
      <c r="AS87" s="47">
        <f>TEXT((AVERAGE(AS32,AS26,AS20,AS14,AS8)), "$0,0") &amp; " (" &amp; TEXT((MIN(AS32,AS26,AS20,AS14,AS8)), "0,0") &amp; " - " &amp; TEXT((MAX(AS32,AS26,AS20,AS14,AS8)), "0,0") &amp; ")"</f>
        <v/>
      </c>
      <c r="AT87" s="47">
        <f>TEXT((AVERAGE(AT32,AT26,AT20,AT14,AT8)), "$0,0") &amp; " (" &amp; TEXT((MIN(AT32,AT26,AT20,AT14,AT8)), "0,0") &amp; " - " &amp; TEXT((MAX(AT32,AT26,AT20,AT14,AT8)), "0,0") &amp; ")"</f>
        <v/>
      </c>
      <c r="BA87" s="78" t="n"/>
      <c r="BB87" s="78" t="n"/>
      <c r="BC87" s="78" t="n"/>
      <c r="BD87" s="78" t="n"/>
      <c r="BE87" s="78" t="n"/>
      <c r="BF87" s="78" t="n"/>
      <c r="BG87" s="78" t="n"/>
      <c r="BH87" s="78" t="n"/>
      <c r="BI87" s="78" t="n"/>
      <c r="BJ87" s="78" t="n"/>
      <c r="BK87" s="78" t="n"/>
      <c r="BL87" s="78" t="n"/>
      <c r="BM87" s="78" t="n"/>
      <c r="BN87" s="78" t="n"/>
      <c r="BO87" s="78" t="n"/>
      <c r="BP87" s="78" t="n"/>
      <c r="BQ87" s="78" t="n"/>
      <c r="BR87" s="78" t="n"/>
      <c r="BS87" s="78" t="n"/>
      <c r="BT87" s="78" t="n"/>
      <c r="BU87" s="78" t="n"/>
      <c r="BV87" s="78" t="n"/>
      <c r="BW87" s="78" t="n"/>
      <c r="BX87" s="78" t="n"/>
    </row>
    <row r="88" customFormat="1" s="64">
      <c r="A88" s="45" t="n"/>
      <c r="B88" s="46" t="n"/>
      <c r="C88" s="54" t="n"/>
      <c r="D88" s="45" t="n"/>
      <c r="E88" s="55" t="n"/>
      <c r="F88" s="45" t="n"/>
      <c r="G88" s="45" t="n"/>
      <c r="H88" s="56" t="n"/>
      <c r="I88" s="56" t="n"/>
      <c r="J88" s="56" t="n"/>
      <c r="K88" s="47" t="n"/>
      <c r="L88" s="47" t="n"/>
      <c r="M88" s="47" t="n"/>
      <c r="N88" s="58" t="n"/>
      <c r="O88" s="58" t="n"/>
      <c r="P88" s="58" t="n"/>
      <c r="Q88" s="59" t="n"/>
      <c r="R88" s="59" t="n"/>
      <c r="S88" s="59" t="n"/>
      <c r="T88" s="47" t="n"/>
      <c r="U88" s="47" t="n"/>
      <c r="V88" s="72" t="n"/>
      <c r="W88" s="72" t="n"/>
      <c r="X88" s="72" t="n"/>
      <c r="Y88" s="47" t="n"/>
      <c r="Z88" s="47" t="n"/>
      <c r="AA88" s="47" t="n"/>
      <c r="AB88" s="72" t="n"/>
      <c r="AC88" s="72" t="n"/>
      <c r="AD88" s="72" t="n"/>
      <c r="AE88" s="47" t="n"/>
      <c r="AF88" s="47" t="n"/>
      <c r="AG88" s="47" t="n"/>
      <c r="AH88" s="47" t="n"/>
      <c r="AI88" s="47" t="n"/>
      <c r="AJ88" s="47" t="n"/>
      <c r="AK88" s="76" t="n"/>
      <c r="AL88" s="47" t="n"/>
      <c r="AM88" s="47" t="n"/>
      <c r="AN88" s="47" t="n"/>
      <c r="AO88" s="47" t="n"/>
      <c r="AP88" s="47" t="n"/>
      <c r="AQ88" s="62" t="n"/>
      <c r="AR88" s="47" t="n"/>
      <c r="AS88" s="47" t="n"/>
      <c r="AT88" s="47" t="n"/>
      <c r="BA88" s="78" t="n"/>
      <c r="BB88" s="78" t="n"/>
      <c r="BC88" s="78" t="n"/>
      <c r="BD88" s="78" t="n"/>
      <c r="BE88" s="78" t="n"/>
      <c r="BF88" s="78" t="n"/>
      <c r="BG88" s="78" t="n"/>
      <c r="BH88" s="78" t="n"/>
      <c r="BI88" s="78" t="n"/>
      <c r="BJ88" s="78" t="n"/>
      <c r="BK88" s="78" t="n"/>
      <c r="BL88" s="78" t="n"/>
      <c r="BM88" s="78" t="n"/>
      <c r="BN88" s="78" t="n"/>
      <c r="BO88" s="78" t="n"/>
      <c r="BP88" s="78" t="n"/>
      <c r="BQ88" s="78" t="n"/>
      <c r="BR88" s="78" t="n"/>
      <c r="BS88" s="78" t="n"/>
      <c r="BT88" s="78" t="n"/>
      <c r="BU88" s="78" t="n"/>
      <c r="BV88" s="78" t="n"/>
      <c r="BW88" s="78" t="n"/>
      <c r="BX88" s="78" t="n"/>
    </row>
    <row r="89" customFormat="1" s="64">
      <c r="A89" s="45" t="inlineStr">
        <is>
          <t>%</t>
        </is>
      </c>
      <c r="B89" s="46" t="n"/>
      <c r="C89" s="54" t="n"/>
      <c r="D89" s="45" t="n"/>
      <c r="E89" s="55" t="n"/>
      <c r="F89" s="45" t="n"/>
      <c r="G89" s="45" t="n"/>
      <c r="H89" s="56" t="n"/>
      <c r="I89" s="56" t="n"/>
      <c r="J89" s="56" t="n"/>
      <c r="K89" s="57" t="n"/>
      <c r="L89" s="57" t="n"/>
      <c r="M89" s="57" t="n"/>
      <c r="N89" s="58" t="n"/>
      <c r="O89" s="58" t="n"/>
      <c r="P89" s="58" t="n"/>
      <c r="Q89" s="59" t="n"/>
      <c r="R89" s="59" t="n"/>
      <c r="S89" s="59" t="n"/>
      <c r="T89" s="59" t="n"/>
      <c r="U89" s="59" t="n"/>
      <c r="V89" s="57" t="n"/>
      <c r="W89" s="57" t="n"/>
      <c r="X89" s="57" t="n"/>
      <c r="Y89" s="59" t="n"/>
      <c r="Z89" s="60" t="n"/>
      <c r="AA89" s="60" t="n"/>
      <c r="AB89" s="57" t="n"/>
      <c r="AC89" s="57" t="n"/>
      <c r="AD89" s="57" t="n"/>
      <c r="AE89" s="59" t="n"/>
      <c r="AF89" s="59" t="n"/>
      <c r="AG89" s="59" t="n"/>
      <c r="AH89" s="59" t="n"/>
      <c r="AI89" s="61" t="n"/>
      <c r="AJ89" s="61" t="n"/>
      <c r="AK89" s="74" t="n"/>
      <c r="AL89" s="62" t="n"/>
      <c r="AM89" s="62" t="n"/>
      <c r="AN89" s="62" t="n"/>
      <c r="AO89" s="59" t="n"/>
      <c r="AP89" s="59" t="n"/>
      <c r="AQ89" s="62" t="n"/>
      <c r="BA89" s="78" t="n"/>
      <c r="BB89" s="78" t="n"/>
      <c r="BC89" s="78" t="n"/>
      <c r="BD89" s="78" t="n"/>
      <c r="BE89" s="78" t="n"/>
      <c r="BF89" s="78" t="n"/>
      <c r="BG89" s="78" t="n"/>
      <c r="BH89" s="78" t="n"/>
      <c r="BI89" s="78" t="n"/>
      <c r="BJ89" s="78" t="n"/>
      <c r="BK89" s="78" t="n"/>
      <c r="BL89" s="78" t="n"/>
      <c r="BM89" s="78" t="n"/>
      <c r="BN89" s="78" t="n"/>
      <c r="BO89" s="78" t="n"/>
      <c r="BP89" s="78" t="n"/>
      <c r="BQ89" s="78" t="n"/>
      <c r="BR89" s="78" t="n"/>
      <c r="BS89" s="78" t="n"/>
      <c r="BT89" s="78" t="n"/>
      <c r="BU89" s="78" t="n"/>
      <c r="BV89" s="78" t="n"/>
      <c r="BW89" s="78" t="n"/>
      <c r="BX89" s="78" t="n"/>
    </row>
    <row r="90" customFormat="1" s="64">
      <c r="A90" s="45" t="inlineStr">
        <is>
          <t>VIC</t>
        </is>
      </c>
      <c r="B90" s="46" t="inlineStr">
        <is>
          <t>Lab technician</t>
        </is>
      </c>
      <c r="C90" s="54" t="n"/>
      <c r="D90" s="45" t="n"/>
      <c r="E90" s="55" t="n"/>
      <c r="F90" s="45" t="n"/>
      <c r="G90" s="45" t="n"/>
      <c r="H90" s="56" t="n"/>
      <c r="I90" s="56" t="n"/>
      <c r="J90" s="56" t="n"/>
      <c r="K90" s="59">
        <f>(K4*$AS4)/$AV4</f>
        <v/>
      </c>
      <c r="L90" s="59" t="n"/>
      <c r="M90" s="59" t="n"/>
      <c r="N90" s="58" t="n"/>
      <c r="O90" s="58" t="n"/>
      <c r="P90" s="58" t="n"/>
      <c r="Q90" s="59" t="n"/>
      <c r="R90" s="59" t="n"/>
      <c r="S90" s="59" t="n"/>
      <c r="T90" s="59">
        <f>(T4*$AS4)/$AV4</f>
        <v/>
      </c>
      <c r="U90" s="59" t="n"/>
      <c r="V90" s="57" t="n"/>
      <c r="W90" s="57">
        <f>(W4*$AS4)/$AV4</f>
        <v/>
      </c>
      <c r="X90" s="57" t="n"/>
      <c r="Y90" s="59" t="n"/>
      <c r="Z90" s="59">
        <f>(Z4*$AS4)/$AV4</f>
        <v/>
      </c>
      <c r="AA90" s="59" t="n"/>
      <c r="AB90" s="57" t="n"/>
      <c r="AC90" s="57">
        <f>(AC4*$AS4)/$AV4</f>
        <v/>
      </c>
      <c r="AD90" s="57" t="n"/>
      <c r="AE90" s="59" t="n"/>
      <c r="AF90" s="59">
        <f>(AF4*$AS4)/$AV4</f>
        <v/>
      </c>
      <c r="AG90" s="59" t="n"/>
      <c r="AH90" s="59" t="n"/>
      <c r="AI90" s="59">
        <f>(AI4)/$AV4</f>
        <v/>
      </c>
      <c r="AJ90" s="59" t="n"/>
      <c r="AK90" s="74" t="n"/>
      <c r="AL90" s="59">
        <f>(AL4/52*$AS4)/$AV4</f>
        <v/>
      </c>
      <c r="AM90" s="59" t="n"/>
      <c r="AN90" s="59" t="n"/>
      <c r="AO90" s="59">
        <f>(AO4*$AS4)/$AV4</f>
        <v/>
      </c>
      <c r="AP90" s="59" t="n"/>
      <c r="AQ90" s="62" t="n"/>
      <c r="AR90" s="59">
        <f>(AR4)/$AV4</f>
        <v/>
      </c>
      <c r="AS90" s="59">
        <f>(AS4)/$AV4</f>
        <v/>
      </c>
      <c r="AT90" s="59">
        <f>(AT4)/$AV4</f>
        <v/>
      </c>
      <c r="BA90" s="78" t="n"/>
      <c r="BB90" s="78" t="n"/>
      <c r="BC90" s="78" t="n"/>
      <c r="BD90" s="78" t="n"/>
      <c r="BE90" s="78" t="n"/>
      <c r="BF90" s="78" t="n"/>
      <c r="BG90" s="78" t="n"/>
      <c r="BH90" s="78" t="n"/>
      <c r="BI90" s="78" t="n"/>
      <c r="BJ90" s="78" t="n"/>
      <c r="BK90" s="78" t="n"/>
      <c r="BL90" s="78" t="n"/>
      <c r="BM90" s="78" t="n"/>
      <c r="BN90" s="78" t="n"/>
      <c r="BO90" s="78" t="n"/>
      <c r="BP90" s="78" t="n"/>
      <c r="BQ90" s="78" t="n"/>
      <c r="BR90" s="78" t="n"/>
      <c r="BS90" s="78" t="n"/>
      <c r="BT90" s="78" t="n"/>
      <c r="BU90" s="78" t="n"/>
      <c r="BV90" s="78" t="n"/>
      <c r="BW90" s="78" t="n"/>
      <c r="BX90" s="78" t="n"/>
    </row>
    <row r="91" customFormat="1" s="64">
      <c r="A91" s="45" t="inlineStr">
        <is>
          <t>VIC</t>
        </is>
      </c>
      <c r="B91" s="46" t="inlineStr">
        <is>
          <t>Medical scientist</t>
        </is>
      </c>
      <c r="C91" s="54" t="n"/>
      <c r="D91" s="45" t="n"/>
      <c r="E91" s="55" t="n"/>
      <c r="F91" s="45" t="n"/>
      <c r="G91" s="45" t="n"/>
      <c r="H91" s="56" t="n"/>
      <c r="I91" s="56" t="n"/>
      <c r="J91" s="56" t="n"/>
      <c r="K91" s="59">
        <f>(K5*$AS5)/$AV5</f>
        <v/>
      </c>
      <c r="L91" s="59" t="n"/>
      <c r="M91" s="59" t="n"/>
      <c r="N91" s="58" t="n"/>
      <c r="O91" s="58" t="n"/>
      <c r="P91" s="58" t="n"/>
      <c r="Q91" s="59" t="n"/>
      <c r="R91" s="59" t="n"/>
      <c r="S91" s="59" t="n"/>
      <c r="T91" s="59">
        <f>(T5*$AS5)/$AV5</f>
        <v/>
      </c>
      <c r="U91" s="59" t="n"/>
      <c r="V91" s="57" t="n"/>
      <c r="W91" s="57">
        <f>(W5*$AS5)/$AV5</f>
        <v/>
      </c>
      <c r="X91" s="57" t="n"/>
      <c r="Y91" s="59" t="n"/>
      <c r="Z91" s="59">
        <f>(Z5*$AS5)/$AV5</f>
        <v/>
      </c>
      <c r="AA91" s="59" t="n"/>
      <c r="AB91" s="57" t="n"/>
      <c r="AC91" s="57">
        <f>(AC5*$AS5)/$AV5</f>
        <v/>
      </c>
      <c r="AD91" s="57" t="n"/>
      <c r="AE91" s="59" t="n"/>
      <c r="AF91" s="59">
        <f>(AF5*$AS5)/$AV5</f>
        <v/>
      </c>
      <c r="AG91" s="59" t="n"/>
      <c r="AH91" s="59" t="n"/>
      <c r="AI91" s="59">
        <f>(AI5)/$AV5</f>
        <v/>
      </c>
      <c r="AJ91" s="59" t="n"/>
      <c r="AK91" s="74" t="n"/>
      <c r="AL91" s="59">
        <f>(AL5/52*$AS5)/$AV5</f>
        <v/>
      </c>
      <c r="AM91" s="59" t="n"/>
      <c r="AN91" s="59" t="n"/>
      <c r="AO91" s="59">
        <f>(AO5*$AS5)/$AV5</f>
        <v/>
      </c>
      <c r="AP91" s="59" t="n"/>
      <c r="AQ91" s="62" t="n"/>
      <c r="AR91" s="59">
        <f>(AR5)/$AV5</f>
        <v/>
      </c>
      <c r="AS91" s="59">
        <f>(AS5)/$AV5</f>
        <v/>
      </c>
      <c r="AT91" s="59">
        <f>(AT5)/$AV5</f>
        <v/>
      </c>
      <c r="BA91" s="78" t="n"/>
      <c r="BB91" s="78" t="n"/>
      <c r="BC91" s="78" t="n"/>
      <c r="BD91" s="78" t="n"/>
      <c r="BE91" s="78" t="n"/>
      <c r="BF91" s="78" t="n"/>
      <c r="BG91" s="78" t="n"/>
      <c r="BH91" s="78" t="n"/>
      <c r="BI91" s="78" t="n"/>
      <c r="BJ91" s="78" t="n"/>
      <c r="BK91" s="78" t="n"/>
      <c r="BL91" s="78" t="n"/>
      <c r="BM91" s="78" t="n"/>
      <c r="BN91" s="78" t="n"/>
      <c r="BO91" s="78" t="n"/>
      <c r="BP91" s="78" t="n"/>
      <c r="BQ91" s="78" t="n"/>
      <c r="BR91" s="78" t="n"/>
      <c r="BS91" s="78" t="n"/>
      <c r="BT91" s="78" t="n"/>
      <c r="BU91" s="78" t="n"/>
      <c r="BV91" s="78" t="n"/>
      <c r="BW91" s="78" t="n"/>
      <c r="BX91" s="78" t="n"/>
    </row>
    <row r="92" customFormat="1" s="64">
      <c r="A92" s="45" t="inlineStr">
        <is>
          <t>VIC</t>
        </is>
      </c>
      <c r="B92" s="46" t="inlineStr">
        <is>
          <t>Admin staff</t>
        </is>
      </c>
      <c r="C92" s="54" t="n"/>
      <c r="D92" s="45" t="n"/>
      <c r="E92" s="55" t="n"/>
      <c r="F92" s="45" t="n"/>
      <c r="G92" s="45" t="n"/>
      <c r="H92" s="56" t="n"/>
      <c r="I92" s="56" t="n"/>
      <c r="J92" s="56" t="n"/>
      <c r="K92" s="59">
        <f>(K6*$AS6)/$AV6</f>
        <v/>
      </c>
      <c r="L92" s="59" t="n"/>
      <c r="M92" s="59" t="n"/>
      <c r="N92" s="58" t="n"/>
      <c r="O92" s="58" t="n"/>
      <c r="P92" s="58" t="n"/>
      <c r="Q92" s="59" t="n"/>
      <c r="R92" s="59" t="n"/>
      <c r="S92" s="59" t="n"/>
      <c r="T92" s="59">
        <f>(T6*$AS6)/$AV6</f>
        <v/>
      </c>
      <c r="U92" s="59" t="n"/>
      <c r="V92" s="57" t="n"/>
      <c r="W92" s="57">
        <f>(W6*$AS6)/$AV6</f>
        <v/>
      </c>
      <c r="X92" s="57" t="n"/>
      <c r="Y92" s="59" t="n"/>
      <c r="Z92" s="59">
        <f>(Z6*$AS6)/$AV6</f>
        <v/>
      </c>
      <c r="AA92" s="59" t="n"/>
      <c r="AB92" s="57" t="n"/>
      <c r="AC92" s="57">
        <f>(AC6*$AS6)/$AV6</f>
        <v/>
      </c>
      <c r="AD92" s="57" t="n"/>
      <c r="AE92" s="59" t="n"/>
      <c r="AF92" s="59">
        <f>(AF6*$AS6)/$AV6</f>
        <v/>
      </c>
      <c r="AG92" s="59" t="n"/>
      <c r="AH92" s="59" t="n"/>
      <c r="AI92" s="59">
        <f>(AI6)/$AV6</f>
        <v/>
      </c>
      <c r="AJ92" s="59" t="n"/>
      <c r="AK92" s="74" t="n"/>
      <c r="AL92" s="59">
        <f>(AL6/52*$AS6)/$AV6</f>
        <v/>
      </c>
      <c r="AM92" s="59" t="n"/>
      <c r="AN92" s="59" t="n"/>
      <c r="AO92" s="59">
        <f>(AO6*$AS6)/$AV6</f>
        <v/>
      </c>
      <c r="AP92" s="59" t="n"/>
      <c r="AQ92" s="62" t="n"/>
      <c r="AR92" s="59">
        <f>(AR6)/$AV6</f>
        <v/>
      </c>
      <c r="AS92" s="59">
        <f>(AS6)/$AV6</f>
        <v/>
      </c>
      <c r="AT92" s="59">
        <f>(AT6)/$AV6</f>
        <v/>
      </c>
      <c r="BA92" s="78" t="n"/>
      <c r="BB92" s="78" t="n"/>
      <c r="BC92" s="78" t="n"/>
      <c r="BD92" s="78" t="n"/>
      <c r="BE92" s="78" t="n"/>
      <c r="BF92" s="78" t="n"/>
      <c r="BG92" s="78" t="n"/>
      <c r="BH92" s="78" t="n"/>
      <c r="BI92" s="78" t="n"/>
      <c r="BJ92" s="78" t="n"/>
      <c r="BK92" s="78" t="n"/>
      <c r="BL92" s="78" t="n"/>
      <c r="BM92" s="78" t="n"/>
      <c r="BN92" s="78" t="n"/>
      <c r="BO92" s="78" t="n"/>
      <c r="BP92" s="78" t="n"/>
      <c r="BQ92" s="78" t="n"/>
      <c r="BR92" s="78" t="n"/>
      <c r="BS92" s="78" t="n"/>
      <c r="BT92" s="78" t="n"/>
      <c r="BU92" s="78" t="n"/>
      <c r="BV92" s="78" t="n"/>
      <c r="BW92" s="78" t="n"/>
      <c r="BX92" s="78" t="n"/>
    </row>
    <row r="93" customFormat="1" s="64">
      <c r="A93" s="45" t="inlineStr">
        <is>
          <t>VIC</t>
        </is>
      </c>
      <c r="B93" s="46" t="inlineStr">
        <is>
          <t>Bioinformatics staff</t>
        </is>
      </c>
      <c r="C93" s="54" t="n"/>
      <c r="D93" s="45" t="n"/>
      <c r="E93" s="55" t="n"/>
      <c r="F93" s="45" t="n"/>
      <c r="G93" s="45" t="n"/>
      <c r="H93" s="56" t="n"/>
      <c r="I93" s="56" t="n"/>
      <c r="J93" s="56" t="n"/>
      <c r="K93" s="59">
        <f>(K7*$AS7)/$AV7</f>
        <v/>
      </c>
      <c r="L93" s="59" t="n"/>
      <c r="M93" s="59" t="n"/>
      <c r="N93" s="58" t="n"/>
      <c r="O93" s="58" t="n"/>
      <c r="P93" s="58" t="n"/>
      <c r="Q93" s="59" t="n"/>
      <c r="R93" s="59" t="n"/>
      <c r="S93" s="59" t="n"/>
      <c r="T93" s="59">
        <f>(T7*$AS7)/$AV7</f>
        <v/>
      </c>
      <c r="U93" s="59" t="n"/>
      <c r="V93" s="57" t="n"/>
      <c r="W93" s="57">
        <f>(W7*$AS7)/$AV7</f>
        <v/>
      </c>
      <c r="X93" s="57" t="n"/>
      <c r="Y93" s="59" t="n"/>
      <c r="Z93" s="59">
        <f>(Z7*$AS7)/$AV7</f>
        <v/>
      </c>
      <c r="AA93" s="59" t="n"/>
      <c r="AB93" s="57" t="n"/>
      <c r="AC93" s="57">
        <f>(AC7*$AS7)/$AV7</f>
        <v/>
      </c>
      <c r="AD93" s="57" t="n"/>
      <c r="AE93" s="59" t="n"/>
      <c r="AF93" s="59">
        <f>(AF7*$AS7)/$AV7</f>
        <v/>
      </c>
      <c r="AG93" s="59" t="n"/>
      <c r="AH93" s="59" t="n"/>
      <c r="AI93" s="59">
        <f>(AI7)/$AV7</f>
        <v/>
      </c>
      <c r="AJ93" s="59" t="n"/>
      <c r="AK93" s="74" t="n"/>
      <c r="AL93" s="59">
        <f>(AL7/52*$AS7)/$AV7</f>
        <v/>
      </c>
      <c r="AM93" s="59" t="n"/>
      <c r="AN93" s="59" t="n"/>
      <c r="AO93" s="59">
        <f>(AO7*$AS7)/$AV7</f>
        <v/>
      </c>
      <c r="AP93" s="59" t="n"/>
      <c r="AQ93" s="62" t="n"/>
      <c r="AR93" s="59">
        <f>(AR7)/$AV7</f>
        <v/>
      </c>
      <c r="AS93" s="59">
        <f>(AS7)/$AV7</f>
        <v/>
      </c>
      <c r="AT93" s="59">
        <f>(AT7)/$AV7</f>
        <v/>
      </c>
      <c r="BA93" s="78" t="n"/>
      <c r="BB93" s="78" t="n"/>
      <c r="BC93" s="78" t="n"/>
      <c r="BD93" s="78" t="n"/>
      <c r="BE93" s="78" t="n"/>
      <c r="BF93" s="78" t="n"/>
      <c r="BG93" s="78" t="n"/>
      <c r="BH93" s="78" t="n"/>
      <c r="BI93" s="78" t="n"/>
      <c r="BJ93" s="78" t="n"/>
      <c r="BK93" s="78" t="n"/>
      <c r="BL93" s="78" t="n"/>
      <c r="BM93" s="78" t="n"/>
      <c r="BN93" s="78" t="n"/>
      <c r="BO93" s="78" t="n"/>
      <c r="BP93" s="78" t="n"/>
      <c r="BQ93" s="78" t="n"/>
      <c r="BR93" s="78" t="n"/>
      <c r="BS93" s="78" t="n"/>
      <c r="BT93" s="78" t="n"/>
      <c r="BU93" s="78" t="n"/>
      <c r="BV93" s="78" t="n"/>
      <c r="BW93" s="78" t="n"/>
      <c r="BX93" s="78" t="n"/>
    </row>
    <row r="94" customFormat="1" s="64">
      <c r="A94" s="45" t="inlineStr">
        <is>
          <t>VIC</t>
        </is>
      </c>
      <c r="B94" s="46" t="inlineStr">
        <is>
          <t>Pathologists</t>
        </is>
      </c>
      <c r="C94" s="54" t="n"/>
      <c r="D94" s="45" t="n"/>
      <c r="E94" s="55" t="n"/>
      <c r="F94" s="45" t="n"/>
      <c r="G94" s="45" t="n"/>
      <c r="H94" s="56" t="n"/>
      <c r="I94" s="56" t="n"/>
      <c r="J94" s="56" t="n"/>
      <c r="K94" s="59">
        <f>(K8*$AS8)/$AV8</f>
        <v/>
      </c>
      <c r="L94" s="59" t="n"/>
      <c r="M94" s="59" t="n"/>
      <c r="N94" s="58" t="n"/>
      <c r="O94" s="58" t="n"/>
      <c r="P94" s="58" t="n"/>
      <c r="Q94" s="59" t="n"/>
      <c r="R94" s="59" t="n"/>
      <c r="S94" s="59" t="n"/>
      <c r="T94" s="59">
        <f>(T8*$AS8)/$AV8</f>
        <v/>
      </c>
      <c r="U94" s="59" t="n"/>
      <c r="V94" s="57" t="n"/>
      <c r="W94" s="57">
        <f>(W8*$AS8)/$AV8</f>
        <v/>
      </c>
      <c r="X94" s="57" t="n"/>
      <c r="Y94" s="59" t="n"/>
      <c r="Z94" s="59">
        <f>(Z8*$AS8)/$AV8</f>
        <v/>
      </c>
      <c r="AA94" s="59" t="n"/>
      <c r="AB94" s="57" t="n"/>
      <c r="AC94" s="57">
        <f>(AC8*$AS8)/$AV8</f>
        <v/>
      </c>
      <c r="AD94" s="57" t="n"/>
      <c r="AE94" s="59" t="n"/>
      <c r="AF94" s="59">
        <f>(AF8*$AS8)/$AV8</f>
        <v/>
      </c>
      <c r="AG94" s="59" t="n"/>
      <c r="AH94" s="59" t="n"/>
      <c r="AI94" s="59">
        <f>(AI8)/$AV8</f>
        <v/>
      </c>
      <c r="AJ94" s="59" t="n"/>
      <c r="AK94" s="74" t="n"/>
      <c r="AL94" s="59">
        <f>(AL8/52*$AS8)/$AV8</f>
        <v/>
      </c>
      <c r="AM94" s="59" t="n"/>
      <c r="AN94" s="59" t="n"/>
      <c r="AO94" s="59">
        <f>(AO8*$AS8)/$AV8</f>
        <v/>
      </c>
      <c r="AP94" s="59" t="n"/>
      <c r="AQ94" s="62" t="n"/>
      <c r="AR94" s="59">
        <f>(AR8)/$AV8</f>
        <v/>
      </c>
      <c r="AS94" s="59">
        <f>(AS8)/$AV8</f>
        <v/>
      </c>
      <c r="AT94" s="59">
        <f>(AT8)/$AV8</f>
        <v/>
      </c>
      <c r="BA94" s="78" t="n"/>
      <c r="BB94" s="78" t="n"/>
      <c r="BC94" s="78" t="n"/>
      <c r="BD94" s="78" t="n"/>
      <c r="BE94" s="78" t="n"/>
      <c r="BF94" s="78" t="n"/>
      <c r="BG94" s="78" t="n"/>
      <c r="BH94" s="78" t="n"/>
      <c r="BI94" s="78" t="n"/>
      <c r="BJ94" s="78" t="n"/>
      <c r="BK94" s="78" t="n"/>
      <c r="BL94" s="78" t="n"/>
      <c r="BM94" s="78" t="n"/>
      <c r="BN94" s="78" t="n"/>
      <c r="BO94" s="78" t="n"/>
      <c r="BP94" s="78" t="n"/>
      <c r="BQ94" s="78" t="n"/>
      <c r="BR94" s="78" t="n"/>
      <c r="BS94" s="78" t="n"/>
      <c r="BT94" s="78" t="n"/>
      <c r="BU94" s="78" t="n"/>
      <c r="BV94" s="78" t="n"/>
      <c r="BW94" s="78" t="n"/>
      <c r="BX94" s="78" t="n"/>
    </row>
    <row r="95" customFormat="1" s="64">
      <c r="A95" s="45" t="n"/>
      <c r="B95" s="46" t="n"/>
      <c r="C95" s="54" t="n"/>
      <c r="D95" s="45" t="n"/>
      <c r="E95" s="55" t="n"/>
      <c r="F95" s="45" t="n"/>
      <c r="G95" s="45" t="n"/>
      <c r="H95" s="56" t="n"/>
      <c r="I95" s="56" t="n"/>
      <c r="J95" s="56" t="n"/>
      <c r="K95" s="57" t="n"/>
      <c r="L95" s="57" t="n"/>
      <c r="M95" s="57" t="n"/>
      <c r="N95" s="58" t="n"/>
      <c r="O95" s="58" t="n"/>
      <c r="P95" s="58" t="n"/>
      <c r="Q95" s="59" t="n"/>
      <c r="R95" s="59" t="n"/>
      <c r="S95" s="59" t="n"/>
      <c r="T95" s="57" t="n"/>
      <c r="U95" s="57" t="n"/>
      <c r="V95" s="57" t="n"/>
      <c r="W95" s="57" t="n"/>
      <c r="X95" s="57" t="n"/>
      <c r="Y95" s="57" t="n"/>
      <c r="Z95" s="57" t="n"/>
      <c r="AA95" s="57" t="n"/>
      <c r="AB95" s="57" t="n"/>
      <c r="AC95" s="57" t="n"/>
      <c r="AD95" s="57" t="n"/>
      <c r="AE95" s="57" t="n"/>
      <c r="AF95" s="57" t="n"/>
      <c r="AG95" s="57" t="n"/>
      <c r="AH95" s="57" t="n"/>
      <c r="AI95" s="61" t="n"/>
      <c r="AJ95" s="61" t="n"/>
      <c r="AK95" s="74" t="n"/>
      <c r="AL95" s="59" t="n"/>
      <c r="AM95" s="59" t="n"/>
      <c r="AN95" s="59" t="n"/>
      <c r="AO95" s="57" t="n"/>
      <c r="AP95" s="57" t="n"/>
      <c r="AQ95" s="62" t="n"/>
      <c r="BA95" s="78" t="n"/>
      <c r="BB95" s="78" t="n"/>
      <c r="BC95" s="78" t="n"/>
      <c r="BD95" s="78" t="n"/>
      <c r="BE95" s="78" t="n"/>
      <c r="BF95" s="78" t="n"/>
      <c r="BG95" s="78" t="n"/>
      <c r="BH95" s="78" t="n"/>
      <c r="BI95" s="78" t="n"/>
      <c r="BJ95" s="78" t="n"/>
      <c r="BK95" s="78" t="n"/>
      <c r="BL95" s="78" t="n"/>
      <c r="BM95" s="78" t="n"/>
      <c r="BN95" s="78" t="n"/>
      <c r="BO95" s="78" t="n"/>
      <c r="BP95" s="78" t="n"/>
      <c r="BQ95" s="78" t="n"/>
      <c r="BR95" s="78" t="n"/>
      <c r="BS95" s="78" t="n"/>
      <c r="BT95" s="78" t="n"/>
      <c r="BU95" s="78" t="n"/>
      <c r="BV95" s="78" t="n"/>
      <c r="BW95" s="78" t="n"/>
      <c r="BX95" s="78" t="n"/>
    </row>
    <row r="96" customFormat="1" s="64">
      <c r="A96" s="45" t="inlineStr">
        <is>
          <t>SA</t>
        </is>
      </c>
      <c r="B96" s="46" t="inlineStr">
        <is>
          <t>Lab technician</t>
        </is>
      </c>
      <c r="C96" s="54" t="n"/>
      <c r="D96" s="45" t="n"/>
      <c r="E96" s="55" t="n"/>
      <c r="F96" s="45" t="n"/>
      <c r="G96" s="45" t="n"/>
      <c r="H96" s="56" t="n"/>
      <c r="I96" s="56" t="n"/>
      <c r="J96" s="56" t="n"/>
      <c r="K96" s="59">
        <f>(K10*$AS10)/$AV10</f>
        <v/>
      </c>
      <c r="L96" s="59" t="n"/>
      <c r="M96" s="59" t="n"/>
      <c r="N96" s="58" t="n"/>
      <c r="O96" s="58" t="n"/>
      <c r="P96" s="58" t="n"/>
      <c r="Q96" s="59" t="n"/>
      <c r="R96" s="59" t="n"/>
      <c r="S96" s="59" t="n"/>
      <c r="T96" s="59">
        <f>(T10*$AS10)/$AV10</f>
        <v/>
      </c>
      <c r="U96" s="59" t="n"/>
      <c r="V96" s="57" t="n"/>
      <c r="W96" s="57">
        <f>(W10*$AS10)/$AV10</f>
        <v/>
      </c>
      <c r="X96" s="57" t="n"/>
      <c r="Y96" s="59" t="n"/>
      <c r="Z96" s="59">
        <f>(Z10*$AS10)/$AV10</f>
        <v/>
      </c>
      <c r="AA96" s="59" t="n"/>
      <c r="AB96" s="57" t="n"/>
      <c r="AC96" s="57">
        <f>(AC10*$AS10)/$AV10</f>
        <v/>
      </c>
      <c r="AD96" s="57" t="n"/>
      <c r="AE96" s="59" t="n"/>
      <c r="AF96" s="59">
        <f>(AF10*$AS10)/$AV10</f>
        <v/>
      </c>
      <c r="AG96" s="59" t="n"/>
      <c r="AH96" s="59" t="n"/>
      <c r="AI96" s="59">
        <f>(AI10)/$AV10</f>
        <v/>
      </c>
      <c r="AJ96" s="59" t="n"/>
      <c r="AK96" s="74" t="n"/>
      <c r="AL96" s="59">
        <f>(AL10/52*$AS10)/$AV10</f>
        <v/>
      </c>
      <c r="AM96" s="59" t="n"/>
      <c r="AN96" s="59" t="n"/>
      <c r="AO96" s="59">
        <f>(AO10*$AS10)/$AV10</f>
        <v/>
      </c>
      <c r="AP96" s="59" t="n"/>
      <c r="AQ96" s="62" t="n"/>
      <c r="AR96" s="59">
        <f>(AR10)/$AV10</f>
        <v/>
      </c>
      <c r="AS96" s="59">
        <f>(AS10)/$AV10</f>
        <v/>
      </c>
      <c r="AT96" s="59">
        <f>(AT10)/$AV10</f>
        <v/>
      </c>
      <c r="BA96" s="78" t="n"/>
      <c r="BB96" s="78" t="n"/>
      <c r="BC96" s="78" t="n"/>
      <c r="BD96" s="78" t="n"/>
      <c r="BE96" s="78" t="n"/>
      <c r="BF96" s="78" t="n"/>
      <c r="BG96" s="78" t="n"/>
      <c r="BH96" s="78" t="n"/>
      <c r="BI96" s="78" t="n"/>
      <c r="BJ96" s="78" t="n"/>
      <c r="BK96" s="78" t="n"/>
      <c r="BL96" s="78" t="n"/>
      <c r="BM96" s="78" t="n"/>
      <c r="BN96" s="78" t="n"/>
      <c r="BO96" s="78" t="n"/>
      <c r="BP96" s="78" t="n"/>
      <c r="BQ96" s="78" t="n"/>
      <c r="BR96" s="78" t="n"/>
      <c r="BS96" s="78" t="n"/>
      <c r="BT96" s="78" t="n"/>
      <c r="BU96" s="78" t="n"/>
      <c r="BV96" s="78" t="n"/>
      <c r="BW96" s="78" t="n"/>
      <c r="BX96" s="78" t="n"/>
    </row>
    <row r="97" customFormat="1" s="64">
      <c r="A97" s="45" t="inlineStr">
        <is>
          <t>SA</t>
        </is>
      </c>
      <c r="B97" s="46" t="inlineStr">
        <is>
          <t>Medical scientist</t>
        </is>
      </c>
      <c r="C97" s="54" t="n"/>
      <c r="D97" s="45" t="n"/>
      <c r="E97" s="55" t="n"/>
      <c r="F97" s="45" t="n"/>
      <c r="G97" s="45" t="n"/>
      <c r="H97" s="56" t="n"/>
      <c r="I97" s="56" t="n"/>
      <c r="J97" s="56" t="n"/>
      <c r="K97" s="59">
        <f>(K11*$AS11)/$AV11</f>
        <v/>
      </c>
      <c r="L97" s="59" t="n"/>
      <c r="M97" s="59" t="n"/>
      <c r="N97" s="58" t="n"/>
      <c r="O97" s="58" t="n"/>
      <c r="P97" s="58" t="n"/>
      <c r="Q97" s="59" t="n"/>
      <c r="R97" s="59" t="n"/>
      <c r="S97" s="59" t="n"/>
      <c r="T97" s="59">
        <f>(T11*$AS11)/$AV11</f>
        <v/>
      </c>
      <c r="U97" s="59" t="n"/>
      <c r="V97" s="57" t="n"/>
      <c r="W97" s="57">
        <f>(W11*$AS11)/$AV11</f>
        <v/>
      </c>
      <c r="X97" s="57" t="n"/>
      <c r="Y97" s="59" t="n"/>
      <c r="Z97" s="59">
        <f>(Z11*$AS11)/$AV11</f>
        <v/>
      </c>
      <c r="AA97" s="59" t="n"/>
      <c r="AB97" s="57" t="n"/>
      <c r="AC97" s="57">
        <f>(AC11*$AS11)/$AV11</f>
        <v/>
      </c>
      <c r="AD97" s="57" t="n"/>
      <c r="AE97" s="59" t="n"/>
      <c r="AF97" s="59">
        <f>(AF11*$AS11)/$AV11</f>
        <v/>
      </c>
      <c r="AG97" s="59" t="n"/>
      <c r="AH97" s="59" t="n"/>
      <c r="AI97" s="59">
        <f>(AI11)/$AV11</f>
        <v/>
      </c>
      <c r="AJ97" s="59" t="n"/>
      <c r="AK97" s="74" t="n"/>
      <c r="AL97" s="59">
        <f>(AL11/52*$AS11)/$AV11</f>
        <v/>
      </c>
      <c r="AM97" s="59" t="n"/>
      <c r="AN97" s="59" t="n"/>
      <c r="AO97" s="59">
        <f>(AO11*$AS11)/$AV11</f>
        <v/>
      </c>
      <c r="AP97" s="59" t="n"/>
      <c r="AQ97" s="62" t="n"/>
      <c r="AR97" s="59">
        <f>(AR11)/$AV11</f>
        <v/>
      </c>
      <c r="AS97" s="59">
        <f>(AS11)/$AV11</f>
        <v/>
      </c>
      <c r="AT97" s="59">
        <f>(AT11)/$AV11</f>
        <v/>
      </c>
      <c r="BA97" s="78" t="n"/>
      <c r="BB97" s="78" t="n"/>
      <c r="BC97" s="78" t="n"/>
      <c r="BD97" s="78" t="n"/>
      <c r="BE97" s="78" t="n"/>
      <c r="BF97" s="78" t="n"/>
      <c r="BG97" s="78" t="n"/>
      <c r="BH97" s="78" t="n"/>
      <c r="BI97" s="78" t="n"/>
      <c r="BJ97" s="78" t="n"/>
      <c r="BK97" s="78" t="n"/>
      <c r="BL97" s="78" t="n"/>
      <c r="BM97" s="78" t="n"/>
      <c r="BN97" s="78" t="n"/>
      <c r="BO97" s="78" t="n"/>
      <c r="BP97" s="78" t="n"/>
      <c r="BQ97" s="78" t="n"/>
      <c r="BR97" s="78" t="n"/>
      <c r="BS97" s="78" t="n"/>
      <c r="BT97" s="78" t="n"/>
      <c r="BU97" s="78" t="n"/>
      <c r="BV97" s="78" t="n"/>
      <c r="BW97" s="78" t="n"/>
      <c r="BX97" s="78" t="n"/>
    </row>
    <row r="98" customFormat="1" s="64">
      <c r="A98" s="45" t="inlineStr">
        <is>
          <t>SA</t>
        </is>
      </c>
      <c r="B98" s="46" t="inlineStr">
        <is>
          <t>Admin staff</t>
        </is>
      </c>
      <c r="C98" s="54" t="n"/>
      <c r="D98" s="45" t="n"/>
      <c r="E98" s="55" t="n"/>
      <c r="F98" s="45" t="n"/>
      <c r="G98" s="45" t="n"/>
      <c r="H98" s="56" t="n"/>
      <c r="I98" s="56" t="n"/>
      <c r="J98" s="56" t="n"/>
      <c r="K98" s="59">
        <f>(K12*$AS12)/$AV12</f>
        <v/>
      </c>
      <c r="L98" s="59" t="n"/>
      <c r="M98" s="59" t="n"/>
      <c r="N98" s="58" t="n"/>
      <c r="O98" s="58" t="n"/>
      <c r="P98" s="58" t="n"/>
      <c r="Q98" s="59" t="n"/>
      <c r="R98" s="59" t="n"/>
      <c r="S98" s="59" t="n"/>
      <c r="T98" s="59">
        <f>(T12*$AS12)/$AV12</f>
        <v/>
      </c>
      <c r="U98" s="59" t="n"/>
      <c r="V98" s="57" t="n"/>
      <c r="W98" s="57">
        <f>(W12*$AS12)/$AV12</f>
        <v/>
      </c>
      <c r="X98" s="57" t="n"/>
      <c r="Y98" s="59" t="n"/>
      <c r="Z98" s="59">
        <f>(Z12*$AS12)/$AV12</f>
        <v/>
      </c>
      <c r="AA98" s="59" t="n"/>
      <c r="AB98" s="57" t="n"/>
      <c r="AC98" s="57">
        <f>(AC12*$AS12)/$AV12</f>
        <v/>
      </c>
      <c r="AD98" s="57" t="n"/>
      <c r="AE98" s="59" t="n"/>
      <c r="AF98" s="59">
        <f>(AF12*$AS12)/$AV12</f>
        <v/>
      </c>
      <c r="AG98" s="59" t="n"/>
      <c r="AH98" s="59" t="n"/>
      <c r="AI98" s="59">
        <f>(AI12)/$AV12</f>
        <v/>
      </c>
      <c r="AJ98" s="59" t="n"/>
      <c r="AK98" s="74" t="n"/>
      <c r="AL98" s="59">
        <f>(AL12/52*$AS12)/$AV12</f>
        <v/>
      </c>
      <c r="AM98" s="59" t="n"/>
      <c r="AN98" s="59" t="n"/>
      <c r="AO98" s="59">
        <f>(AO12*$AS12)/$AV12</f>
        <v/>
      </c>
      <c r="AP98" s="59" t="n"/>
      <c r="AQ98" s="62" t="n"/>
      <c r="AR98" s="59">
        <f>(AR12)/$AV12</f>
        <v/>
      </c>
      <c r="AS98" s="59">
        <f>(AS12)/$AV12</f>
        <v/>
      </c>
      <c r="AT98" s="59">
        <f>(AT12)/$AV12</f>
        <v/>
      </c>
      <c r="BA98" s="78" t="n"/>
      <c r="BB98" s="78" t="n"/>
      <c r="BC98" s="78" t="n"/>
      <c r="BD98" s="78" t="n"/>
      <c r="BE98" s="78" t="n"/>
      <c r="BF98" s="78" t="n"/>
      <c r="BG98" s="78" t="n"/>
      <c r="BH98" s="78" t="n"/>
      <c r="BI98" s="78" t="n"/>
      <c r="BJ98" s="78" t="n"/>
      <c r="BK98" s="78" t="n"/>
      <c r="BL98" s="78" t="n"/>
      <c r="BM98" s="78" t="n"/>
      <c r="BN98" s="78" t="n"/>
      <c r="BO98" s="78" t="n"/>
      <c r="BP98" s="78" t="n"/>
      <c r="BQ98" s="78" t="n"/>
      <c r="BR98" s="78" t="n"/>
      <c r="BS98" s="78" t="n"/>
      <c r="BT98" s="78" t="n"/>
      <c r="BU98" s="78" t="n"/>
      <c r="BV98" s="78" t="n"/>
      <c r="BW98" s="78" t="n"/>
      <c r="BX98" s="78" t="n"/>
    </row>
    <row r="99" customFormat="1" s="64">
      <c r="A99" s="45" t="inlineStr">
        <is>
          <t>SA</t>
        </is>
      </c>
      <c r="B99" s="46" t="inlineStr">
        <is>
          <t>Bioinformatics staff</t>
        </is>
      </c>
      <c r="C99" s="54" t="n"/>
      <c r="D99" s="45" t="n"/>
      <c r="E99" s="55" t="n"/>
      <c r="F99" s="45" t="n"/>
      <c r="G99" s="45" t="n"/>
      <c r="H99" s="56" t="n"/>
      <c r="I99" s="56" t="n"/>
      <c r="J99" s="56" t="n"/>
      <c r="K99" s="59">
        <f>(K13*$AS13)/$AV13</f>
        <v/>
      </c>
      <c r="L99" s="59" t="n"/>
      <c r="M99" s="59" t="n"/>
      <c r="N99" s="58" t="n"/>
      <c r="O99" s="58" t="n"/>
      <c r="P99" s="58" t="n"/>
      <c r="Q99" s="59" t="n"/>
      <c r="R99" s="59" t="n"/>
      <c r="S99" s="59" t="n"/>
      <c r="T99" s="59">
        <f>(T13*$AS13)/$AV13</f>
        <v/>
      </c>
      <c r="U99" s="59" t="n"/>
      <c r="V99" s="57" t="n"/>
      <c r="W99" s="57">
        <f>(W13*$AS13)/$AV13</f>
        <v/>
      </c>
      <c r="X99" s="57" t="n"/>
      <c r="Y99" s="59" t="n"/>
      <c r="Z99" s="59">
        <f>(Z13*$AS13)/$AV13</f>
        <v/>
      </c>
      <c r="AA99" s="59" t="n"/>
      <c r="AB99" s="57" t="n"/>
      <c r="AC99" s="57">
        <f>(AC13*$AS13)/$AV13</f>
        <v/>
      </c>
      <c r="AD99" s="57" t="n"/>
      <c r="AE99" s="59" t="n"/>
      <c r="AF99" s="59">
        <f>(AF13*$AS13)/$AV13</f>
        <v/>
      </c>
      <c r="AG99" s="59" t="n"/>
      <c r="AH99" s="59" t="n"/>
      <c r="AI99" s="59">
        <f>(AI13)/$AV13</f>
        <v/>
      </c>
      <c r="AJ99" s="59" t="n"/>
      <c r="AK99" s="74" t="n"/>
      <c r="AL99" s="59">
        <f>(AL13/52*$AS13)/$AV13</f>
        <v/>
      </c>
      <c r="AM99" s="59" t="n"/>
      <c r="AN99" s="59" t="n"/>
      <c r="AO99" s="59">
        <f>(AO13*$AS13)/$AV13</f>
        <v/>
      </c>
      <c r="AP99" s="59" t="n"/>
      <c r="AQ99" s="62" t="n"/>
      <c r="AR99" s="59">
        <f>(AR13)/$AV13</f>
        <v/>
      </c>
      <c r="AS99" s="59">
        <f>(AS13)/$AV13</f>
        <v/>
      </c>
      <c r="AT99" s="59">
        <f>(AT13)/$AV13</f>
        <v/>
      </c>
      <c r="BA99" s="78" t="n"/>
      <c r="BB99" s="78" t="n"/>
      <c r="BC99" s="78" t="n"/>
      <c r="BD99" s="78" t="n"/>
      <c r="BE99" s="78" t="n"/>
      <c r="BF99" s="78" t="n"/>
      <c r="BG99" s="78" t="n"/>
      <c r="BH99" s="78" t="n"/>
      <c r="BI99" s="78" t="n"/>
      <c r="BJ99" s="78" t="n"/>
      <c r="BK99" s="78" t="n"/>
      <c r="BL99" s="78" t="n"/>
      <c r="BM99" s="78" t="n"/>
      <c r="BN99" s="78" t="n"/>
      <c r="BO99" s="78" t="n"/>
      <c r="BP99" s="78" t="n"/>
      <c r="BQ99" s="78" t="n"/>
      <c r="BR99" s="78" t="n"/>
      <c r="BS99" s="78" t="n"/>
      <c r="BT99" s="78" t="n"/>
      <c r="BU99" s="78" t="n"/>
      <c r="BV99" s="78" t="n"/>
      <c r="BW99" s="78" t="n"/>
      <c r="BX99" s="78" t="n"/>
    </row>
    <row r="100" customFormat="1" s="64">
      <c r="A100" s="45" t="inlineStr">
        <is>
          <t>SA</t>
        </is>
      </c>
      <c r="B100" s="46" t="inlineStr">
        <is>
          <t>Pathologists</t>
        </is>
      </c>
      <c r="C100" s="54" t="n"/>
      <c r="D100" s="45" t="n"/>
      <c r="E100" s="55" t="n"/>
      <c r="F100" s="45" t="n"/>
      <c r="G100" s="45" t="n"/>
      <c r="H100" s="56" t="n"/>
      <c r="I100" s="56" t="n"/>
      <c r="J100" s="56" t="n"/>
      <c r="K100" s="59">
        <f>(K14*$AS14)/$AV14</f>
        <v/>
      </c>
      <c r="L100" s="59" t="n"/>
      <c r="M100" s="59" t="n"/>
      <c r="N100" s="58" t="n"/>
      <c r="O100" s="58" t="n"/>
      <c r="P100" s="58" t="n"/>
      <c r="Q100" s="59" t="n"/>
      <c r="R100" s="59" t="n"/>
      <c r="S100" s="59" t="n"/>
      <c r="T100" s="59">
        <f>(T14*$AS14)/$AV14</f>
        <v/>
      </c>
      <c r="U100" s="59" t="n"/>
      <c r="V100" s="57" t="n"/>
      <c r="W100" s="57">
        <f>(W14*$AS14)/$AV14</f>
        <v/>
      </c>
      <c r="X100" s="57" t="n"/>
      <c r="Y100" s="59" t="n"/>
      <c r="Z100" s="59">
        <f>(Z14*$AS14)/$AV14</f>
        <v/>
      </c>
      <c r="AA100" s="59" t="n"/>
      <c r="AB100" s="57" t="n"/>
      <c r="AC100" s="57">
        <f>(AC14*$AS14)/$AV14</f>
        <v/>
      </c>
      <c r="AD100" s="57" t="n"/>
      <c r="AE100" s="59" t="n"/>
      <c r="AF100" s="59">
        <f>(AF14*$AS14)/$AV14</f>
        <v/>
      </c>
      <c r="AG100" s="59" t="n"/>
      <c r="AH100" s="59" t="n"/>
      <c r="AI100" s="59">
        <f>(AI14)/$AV14</f>
        <v/>
      </c>
      <c r="AJ100" s="59" t="n"/>
      <c r="AK100" s="74" t="n"/>
      <c r="AL100" s="59">
        <f>(AL14/52*$AS14)/$AV14</f>
        <v/>
      </c>
      <c r="AM100" s="59" t="n"/>
      <c r="AN100" s="59" t="n"/>
      <c r="AO100" s="59">
        <f>(AO14*$AS14)/$AV14</f>
        <v/>
      </c>
      <c r="AP100" s="59" t="n"/>
      <c r="AQ100" s="62" t="n"/>
      <c r="AR100" s="59">
        <f>(AR14)/$AV14</f>
        <v/>
      </c>
      <c r="AS100" s="59">
        <f>(AS14)/$AV14</f>
        <v/>
      </c>
      <c r="AT100" s="59">
        <f>(AT14)/$AV14</f>
        <v/>
      </c>
      <c r="BA100" s="78" t="n"/>
      <c r="BB100" s="78" t="n"/>
      <c r="BC100" s="78" t="n"/>
      <c r="BD100" s="78" t="n"/>
      <c r="BE100" s="78" t="n"/>
      <c r="BF100" s="78" t="n"/>
      <c r="BG100" s="78" t="n"/>
      <c r="BH100" s="78" t="n"/>
      <c r="BI100" s="78" t="n"/>
      <c r="BJ100" s="78" t="n"/>
      <c r="BK100" s="78" t="n"/>
      <c r="BL100" s="78" t="n"/>
      <c r="BM100" s="78" t="n"/>
      <c r="BN100" s="78" t="n"/>
      <c r="BO100" s="78" t="n"/>
      <c r="BP100" s="78" t="n"/>
      <c r="BQ100" s="78" t="n"/>
      <c r="BR100" s="78" t="n"/>
      <c r="BS100" s="78" t="n"/>
      <c r="BT100" s="78" t="n"/>
      <c r="BU100" s="78" t="n"/>
      <c r="BV100" s="78" t="n"/>
      <c r="BW100" s="78" t="n"/>
      <c r="BX100" s="78" t="n"/>
    </row>
    <row r="101" customFormat="1" s="64">
      <c r="A101" s="45" t="n"/>
      <c r="B101" s="46" t="n"/>
      <c r="C101" s="54" t="n"/>
      <c r="D101" s="45" t="n"/>
      <c r="E101" s="55" t="n"/>
      <c r="F101" s="45" t="n"/>
      <c r="G101" s="45" t="n"/>
      <c r="H101" s="56" t="n"/>
      <c r="I101" s="56" t="n"/>
      <c r="J101" s="56" t="n"/>
      <c r="K101" s="57" t="n"/>
      <c r="L101" s="57" t="n"/>
      <c r="M101" s="57" t="n"/>
      <c r="N101" s="58" t="n"/>
      <c r="O101" s="58" t="n"/>
      <c r="P101" s="58" t="n"/>
      <c r="Q101" s="59" t="n"/>
      <c r="R101" s="59" t="n"/>
      <c r="S101" s="59" t="n"/>
      <c r="T101" s="57" t="n"/>
      <c r="U101" s="57" t="n"/>
      <c r="V101" s="57" t="n"/>
      <c r="W101" s="57" t="n"/>
      <c r="X101" s="57" t="n"/>
      <c r="Y101" s="57" t="n"/>
      <c r="Z101" s="57" t="n"/>
      <c r="AA101" s="57" t="n"/>
      <c r="AB101" s="57" t="n"/>
      <c r="AC101" s="57" t="n"/>
      <c r="AD101" s="57" t="n"/>
      <c r="AE101" s="57" t="n"/>
      <c r="AF101" s="57" t="n"/>
      <c r="AG101" s="57" t="n"/>
      <c r="AH101" s="57" t="n"/>
      <c r="AI101" s="61" t="n"/>
      <c r="AJ101" s="61" t="n"/>
      <c r="AK101" s="74" t="n"/>
      <c r="AL101" s="59" t="n"/>
      <c r="AM101" s="59" t="n"/>
      <c r="AN101" s="59" t="n"/>
      <c r="AO101" s="57" t="n"/>
      <c r="AP101" s="57" t="n"/>
      <c r="AQ101" s="62" t="n"/>
      <c r="BA101" s="78" t="n"/>
      <c r="BB101" s="78" t="n"/>
      <c r="BC101" s="78" t="n"/>
      <c r="BD101" s="78" t="n"/>
      <c r="BE101" s="78" t="n"/>
      <c r="BF101" s="78" t="n"/>
      <c r="BG101" s="78" t="n"/>
      <c r="BH101" s="78" t="n"/>
      <c r="BI101" s="78" t="n"/>
      <c r="BJ101" s="78" t="n"/>
      <c r="BK101" s="78" t="n"/>
      <c r="BL101" s="78" t="n"/>
      <c r="BM101" s="78" t="n"/>
      <c r="BN101" s="78" t="n"/>
      <c r="BO101" s="78" t="n"/>
      <c r="BP101" s="78" t="n"/>
      <c r="BQ101" s="78" t="n"/>
      <c r="BR101" s="78" t="n"/>
      <c r="BS101" s="78" t="n"/>
      <c r="BT101" s="78" t="n"/>
      <c r="BU101" s="78" t="n"/>
      <c r="BV101" s="78" t="n"/>
      <c r="BW101" s="78" t="n"/>
      <c r="BX101" s="78" t="n"/>
    </row>
    <row r="102" customFormat="1" s="64">
      <c r="A102" s="45" t="inlineStr">
        <is>
          <t>NSW</t>
        </is>
      </c>
      <c r="B102" s="46" t="inlineStr">
        <is>
          <t>Lab technician</t>
        </is>
      </c>
      <c r="C102" s="54" t="n"/>
      <c r="D102" s="45" t="n"/>
      <c r="E102" s="55" t="n"/>
      <c r="F102" s="45" t="n"/>
      <c r="G102" s="45" t="n"/>
      <c r="H102" s="56" t="n"/>
      <c r="I102" s="56" t="n"/>
      <c r="J102" s="56" t="n"/>
      <c r="K102" s="59">
        <f>(K16*$AS16)/$AV16</f>
        <v/>
      </c>
      <c r="L102" s="59" t="n"/>
      <c r="M102" s="59" t="n"/>
      <c r="N102" s="58" t="n"/>
      <c r="O102" s="58" t="n"/>
      <c r="P102" s="58" t="n"/>
      <c r="Q102" s="59" t="n"/>
      <c r="R102" s="59" t="n"/>
      <c r="S102" s="59" t="n"/>
      <c r="T102" s="59">
        <f>(T16*$AS16)/$AV16</f>
        <v/>
      </c>
      <c r="U102" s="59" t="n"/>
      <c r="V102" s="57" t="n"/>
      <c r="W102" s="57">
        <f>(W16*$AS16)/$AV16</f>
        <v/>
      </c>
      <c r="X102" s="57" t="n"/>
      <c r="Y102" s="59" t="n"/>
      <c r="Z102" s="59">
        <f>(Z16*$AS16)/$AV16</f>
        <v/>
      </c>
      <c r="AA102" s="59" t="n"/>
      <c r="AB102" s="57" t="n"/>
      <c r="AC102" s="57">
        <f>(AC16*$AS16)/$AV16</f>
        <v/>
      </c>
      <c r="AD102" s="57" t="n"/>
      <c r="AE102" s="59" t="n"/>
      <c r="AF102" s="59">
        <f>(AF16*$AS16)/$AV16</f>
        <v/>
      </c>
      <c r="AG102" s="59" t="n"/>
      <c r="AH102" s="59" t="n"/>
      <c r="AI102" s="59">
        <f>(AI16)/$AV16</f>
        <v/>
      </c>
      <c r="AJ102" s="59" t="n"/>
      <c r="AK102" s="74" t="n"/>
      <c r="AL102" s="59">
        <f>(AL16/52*$AS16)/$AV16</f>
        <v/>
      </c>
      <c r="AM102" s="59" t="n"/>
      <c r="AN102" s="59" t="n"/>
      <c r="AO102" s="59">
        <f>(AO16*$AS16)/$AV16</f>
        <v/>
      </c>
      <c r="AP102" s="59" t="n"/>
      <c r="AQ102" s="62" t="n"/>
      <c r="AR102" s="59">
        <f>(AR16)/$AV16</f>
        <v/>
      </c>
      <c r="AS102" s="59">
        <f>(AS16)/$AV16</f>
        <v/>
      </c>
      <c r="AT102" s="59">
        <f>(AT16)/$AV16</f>
        <v/>
      </c>
      <c r="BA102" s="78" t="n"/>
      <c r="BB102" s="78" t="n"/>
      <c r="BC102" s="78" t="n"/>
      <c r="BD102" s="78" t="n"/>
      <c r="BE102" s="78" t="n"/>
      <c r="BF102" s="78" t="n"/>
      <c r="BG102" s="78" t="n"/>
      <c r="BH102" s="78" t="n"/>
      <c r="BI102" s="78" t="n"/>
      <c r="BJ102" s="78" t="n"/>
      <c r="BK102" s="78" t="n"/>
      <c r="BL102" s="78" t="n"/>
      <c r="BM102" s="78" t="n"/>
      <c r="BN102" s="78" t="n"/>
      <c r="BO102" s="78" t="n"/>
      <c r="BP102" s="78" t="n"/>
      <c r="BQ102" s="78" t="n"/>
      <c r="BR102" s="78" t="n"/>
      <c r="BS102" s="78" t="n"/>
      <c r="BT102" s="78" t="n"/>
      <c r="BU102" s="78" t="n"/>
      <c r="BV102" s="78" t="n"/>
      <c r="BW102" s="78" t="n"/>
      <c r="BX102" s="78" t="n"/>
    </row>
    <row r="103" customFormat="1" s="64">
      <c r="A103" s="45" t="inlineStr">
        <is>
          <t>NSW</t>
        </is>
      </c>
      <c r="B103" s="46" t="inlineStr">
        <is>
          <t>Medical scientist</t>
        </is>
      </c>
      <c r="C103" s="54" t="n"/>
      <c r="D103" s="45" t="n"/>
      <c r="E103" s="55" t="n"/>
      <c r="F103" s="45" t="n"/>
      <c r="G103" s="45" t="n"/>
      <c r="H103" s="56" t="n"/>
      <c r="I103" s="56" t="n"/>
      <c r="J103" s="56" t="n"/>
      <c r="K103" s="59">
        <f>(K17*$AS17)/$AV17</f>
        <v/>
      </c>
      <c r="L103" s="59" t="n"/>
      <c r="M103" s="59" t="n"/>
      <c r="N103" s="58" t="n"/>
      <c r="O103" s="58" t="n"/>
      <c r="P103" s="58" t="n"/>
      <c r="Q103" s="59" t="n"/>
      <c r="R103" s="59" t="n"/>
      <c r="S103" s="59" t="n"/>
      <c r="T103" s="59">
        <f>(T17*$AS17)/$AV17</f>
        <v/>
      </c>
      <c r="U103" s="59" t="n"/>
      <c r="V103" s="57" t="n"/>
      <c r="W103" s="57">
        <f>(W17*$AS17)/$AV17</f>
        <v/>
      </c>
      <c r="X103" s="57" t="n"/>
      <c r="Y103" s="59" t="n"/>
      <c r="Z103" s="59">
        <f>(Z17*$AS17)/$AV17</f>
        <v/>
      </c>
      <c r="AA103" s="59" t="n"/>
      <c r="AB103" s="57" t="n"/>
      <c r="AC103" s="57">
        <f>(AC17*$AS17)/$AV17</f>
        <v/>
      </c>
      <c r="AD103" s="57" t="n"/>
      <c r="AE103" s="59" t="n"/>
      <c r="AF103" s="59">
        <f>(AF17*$AS17)/$AV17</f>
        <v/>
      </c>
      <c r="AG103" s="59" t="n"/>
      <c r="AH103" s="59" t="n"/>
      <c r="AI103" s="59">
        <f>(AI17)/$AV17</f>
        <v/>
      </c>
      <c r="AJ103" s="59" t="n"/>
      <c r="AK103" s="74" t="n"/>
      <c r="AL103" s="59">
        <f>(AL17/52*$AS17)/$AV17</f>
        <v/>
      </c>
      <c r="AM103" s="59" t="n"/>
      <c r="AN103" s="59" t="n"/>
      <c r="AO103" s="59">
        <f>(AO17*$AS17)/$AV17</f>
        <v/>
      </c>
      <c r="AP103" s="59" t="n"/>
      <c r="AQ103" s="62" t="n"/>
      <c r="AR103" s="59">
        <f>(AR17)/$AV17</f>
        <v/>
      </c>
      <c r="AS103" s="59">
        <f>(AS17)/$AV17</f>
        <v/>
      </c>
      <c r="AT103" s="59">
        <f>(AT17)/$AV17</f>
        <v/>
      </c>
      <c r="BA103" s="78" t="n"/>
      <c r="BB103" s="78" t="n"/>
      <c r="BC103" s="78" t="n"/>
      <c r="BD103" s="78" t="n"/>
      <c r="BE103" s="78" t="n"/>
      <c r="BF103" s="78" t="n"/>
      <c r="BG103" s="78" t="n"/>
      <c r="BH103" s="78" t="n"/>
      <c r="BI103" s="78" t="n"/>
      <c r="BJ103" s="78" t="n"/>
      <c r="BK103" s="78" t="n"/>
      <c r="BL103" s="78" t="n"/>
      <c r="BM103" s="78" t="n"/>
      <c r="BN103" s="78" t="n"/>
      <c r="BO103" s="78" t="n"/>
      <c r="BP103" s="78" t="n"/>
      <c r="BQ103" s="78" t="n"/>
      <c r="BR103" s="78" t="n"/>
      <c r="BS103" s="78" t="n"/>
      <c r="BT103" s="78" t="n"/>
      <c r="BU103" s="78" t="n"/>
      <c r="BV103" s="78" t="n"/>
      <c r="BW103" s="78" t="n"/>
      <c r="BX103" s="78" t="n"/>
    </row>
    <row r="104" customFormat="1" s="64">
      <c r="A104" s="45" t="inlineStr">
        <is>
          <t>NSW</t>
        </is>
      </c>
      <c r="B104" s="46" t="inlineStr">
        <is>
          <t>Admin staff</t>
        </is>
      </c>
      <c r="C104" s="54" t="n"/>
      <c r="D104" s="45" t="n"/>
      <c r="E104" s="55" t="n"/>
      <c r="F104" s="45" t="n"/>
      <c r="G104" s="45" t="n"/>
      <c r="H104" s="56" t="n"/>
      <c r="I104" s="56" t="n"/>
      <c r="J104" s="56" t="n"/>
      <c r="K104" s="59">
        <f>(K18*$AS18)/$AV18</f>
        <v/>
      </c>
      <c r="L104" s="59" t="n"/>
      <c r="M104" s="59" t="n"/>
      <c r="N104" s="58" t="n"/>
      <c r="O104" s="58" t="n"/>
      <c r="P104" s="58" t="n"/>
      <c r="Q104" s="59" t="n"/>
      <c r="R104" s="59" t="n"/>
      <c r="S104" s="59" t="n"/>
      <c r="T104" s="59">
        <f>(T18*$AS18)/$AV18</f>
        <v/>
      </c>
      <c r="U104" s="59" t="n"/>
      <c r="V104" s="57" t="n"/>
      <c r="W104" s="57">
        <f>(W18*$AS18)/$AV18</f>
        <v/>
      </c>
      <c r="X104" s="57" t="n"/>
      <c r="Y104" s="59" t="n"/>
      <c r="Z104" s="59">
        <f>(Z18*$AS18)/$AV18</f>
        <v/>
      </c>
      <c r="AA104" s="59" t="n"/>
      <c r="AB104" s="57" t="n"/>
      <c r="AC104" s="57">
        <f>(AC18*$AS18)/$AV18</f>
        <v/>
      </c>
      <c r="AD104" s="57" t="n"/>
      <c r="AE104" s="59" t="n"/>
      <c r="AF104" s="59">
        <f>(AF18*$AS18)/$AV18</f>
        <v/>
      </c>
      <c r="AG104" s="59" t="n"/>
      <c r="AH104" s="59" t="n"/>
      <c r="AI104" s="59">
        <f>(AI18)/$AV18</f>
        <v/>
      </c>
      <c r="AJ104" s="59" t="n"/>
      <c r="AK104" s="74" t="n"/>
      <c r="AL104" s="59">
        <f>(AL18/52*$AS18)/$AV18</f>
        <v/>
      </c>
      <c r="AM104" s="59" t="n"/>
      <c r="AN104" s="59" t="n"/>
      <c r="AO104" s="59">
        <f>(AO18*$AS18)/$AV18</f>
        <v/>
      </c>
      <c r="AP104" s="59" t="n"/>
      <c r="AQ104" s="62" t="n"/>
      <c r="AR104" s="59">
        <f>(AR18)/$AV18</f>
        <v/>
      </c>
      <c r="AS104" s="59">
        <f>(AS18)/$AV18</f>
        <v/>
      </c>
      <c r="AT104" s="59">
        <f>(AT18)/$AV18</f>
        <v/>
      </c>
      <c r="BA104" s="78" t="n"/>
      <c r="BB104" s="78" t="n"/>
      <c r="BC104" s="78" t="n"/>
      <c r="BD104" s="78" t="n"/>
      <c r="BE104" s="78" t="n"/>
      <c r="BF104" s="78" t="n"/>
      <c r="BG104" s="78" t="n"/>
      <c r="BH104" s="78" t="n"/>
      <c r="BI104" s="78" t="n"/>
      <c r="BJ104" s="78" t="n"/>
      <c r="BK104" s="78" t="n"/>
      <c r="BL104" s="78" t="n"/>
      <c r="BM104" s="78" t="n"/>
      <c r="BN104" s="78" t="n"/>
      <c r="BO104" s="78" t="n"/>
      <c r="BP104" s="78" t="n"/>
      <c r="BQ104" s="78" t="n"/>
      <c r="BR104" s="78" t="n"/>
      <c r="BS104" s="78" t="n"/>
      <c r="BT104" s="78" t="n"/>
      <c r="BU104" s="78" t="n"/>
      <c r="BV104" s="78" t="n"/>
      <c r="BW104" s="78" t="n"/>
      <c r="BX104" s="78" t="n"/>
    </row>
    <row r="105" customFormat="1" s="64">
      <c r="A105" s="45" t="inlineStr">
        <is>
          <t>NSW</t>
        </is>
      </c>
      <c r="B105" s="46" t="inlineStr">
        <is>
          <t>Bioinformatics staff</t>
        </is>
      </c>
      <c r="C105" s="54" t="n"/>
      <c r="D105" s="45" t="n"/>
      <c r="E105" s="55" t="n"/>
      <c r="F105" s="45" t="n"/>
      <c r="G105" s="45" t="n"/>
      <c r="H105" s="56" t="n"/>
      <c r="I105" s="56" t="n"/>
      <c r="J105" s="56" t="n"/>
      <c r="K105" s="59">
        <f>(K19*$AS19)/$AV19</f>
        <v/>
      </c>
      <c r="L105" s="59" t="n"/>
      <c r="M105" s="59" t="n"/>
      <c r="N105" s="58" t="n"/>
      <c r="O105" s="58" t="n"/>
      <c r="P105" s="58" t="n"/>
      <c r="Q105" s="59" t="n"/>
      <c r="R105" s="59" t="n"/>
      <c r="S105" s="59" t="n"/>
      <c r="T105" s="59">
        <f>(T19*$AS19)/$AV19</f>
        <v/>
      </c>
      <c r="U105" s="59" t="n"/>
      <c r="V105" s="57" t="n"/>
      <c r="W105" s="57">
        <f>(W19*$AS19)/$AV19</f>
        <v/>
      </c>
      <c r="X105" s="57" t="n"/>
      <c r="Y105" s="59" t="n"/>
      <c r="Z105" s="59">
        <f>(Z19*$AS19)/$AV19</f>
        <v/>
      </c>
      <c r="AA105" s="59" t="n"/>
      <c r="AB105" s="57" t="n"/>
      <c r="AC105" s="57">
        <f>(AC19*$AS19)/$AV19</f>
        <v/>
      </c>
      <c r="AD105" s="57" t="n"/>
      <c r="AE105" s="59" t="n"/>
      <c r="AF105" s="59">
        <f>(AF19*$AS19)/$AV19</f>
        <v/>
      </c>
      <c r="AG105" s="59" t="n"/>
      <c r="AH105" s="59" t="n"/>
      <c r="AI105" s="59">
        <f>(AI19)/$AV19</f>
        <v/>
      </c>
      <c r="AJ105" s="59" t="n"/>
      <c r="AK105" s="74" t="n"/>
      <c r="AL105" s="59">
        <f>(AL19/52*$AS19)/$AV19</f>
        <v/>
      </c>
      <c r="AM105" s="59" t="n"/>
      <c r="AN105" s="59" t="n"/>
      <c r="AO105" s="59">
        <f>(AO19*$AS19)/$AV19</f>
        <v/>
      </c>
      <c r="AP105" s="59" t="n"/>
      <c r="AQ105" s="62" t="n"/>
      <c r="AR105" s="59">
        <f>(AR19)/$AV19</f>
        <v/>
      </c>
      <c r="AS105" s="59">
        <f>(AS19)/$AV19</f>
        <v/>
      </c>
      <c r="AT105" s="59">
        <f>(AT19)/$AV19</f>
        <v/>
      </c>
      <c r="BA105" s="78" t="n"/>
      <c r="BB105" s="78" t="n"/>
      <c r="BC105" s="78" t="n"/>
      <c r="BD105" s="78" t="n"/>
      <c r="BE105" s="78" t="n"/>
      <c r="BF105" s="78" t="n"/>
      <c r="BG105" s="78" t="n"/>
      <c r="BH105" s="78" t="n"/>
      <c r="BI105" s="78" t="n"/>
      <c r="BJ105" s="78" t="n"/>
      <c r="BK105" s="78" t="n"/>
      <c r="BL105" s="78" t="n"/>
      <c r="BM105" s="78" t="n"/>
      <c r="BN105" s="78" t="n"/>
      <c r="BO105" s="78" t="n"/>
      <c r="BP105" s="78" t="n"/>
      <c r="BQ105" s="78" t="n"/>
      <c r="BR105" s="78" t="n"/>
      <c r="BS105" s="78" t="n"/>
      <c r="BT105" s="78" t="n"/>
      <c r="BU105" s="78" t="n"/>
      <c r="BV105" s="78" t="n"/>
      <c r="BW105" s="78" t="n"/>
      <c r="BX105" s="78" t="n"/>
    </row>
    <row r="106" customFormat="1" s="64">
      <c r="A106" s="45" t="inlineStr">
        <is>
          <t>NSW</t>
        </is>
      </c>
      <c r="B106" s="46" t="inlineStr">
        <is>
          <t>Pathologists</t>
        </is>
      </c>
      <c r="C106" s="54" t="n"/>
      <c r="D106" s="45" t="n"/>
      <c r="E106" s="55" t="n"/>
      <c r="F106" s="45" t="n"/>
      <c r="G106" s="45" t="n"/>
      <c r="H106" s="56" t="n"/>
      <c r="I106" s="56" t="n"/>
      <c r="J106" s="56" t="n"/>
      <c r="K106" s="59">
        <f>(K20*$AS20)/$AV20</f>
        <v/>
      </c>
      <c r="L106" s="59" t="n"/>
      <c r="M106" s="59" t="n"/>
      <c r="N106" s="58" t="n"/>
      <c r="O106" s="58" t="n"/>
      <c r="P106" s="58" t="n"/>
      <c r="Q106" s="59" t="n"/>
      <c r="R106" s="59" t="n"/>
      <c r="S106" s="59" t="n"/>
      <c r="T106" s="59">
        <f>(T20*$AS20)/$AV20</f>
        <v/>
      </c>
      <c r="U106" s="59" t="n"/>
      <c r="V106" s="57" t="n"/>
      <c r="W106" s="57">
        <f>(W20*$AS20)/$AV20</f>
        <v/>
      </c>
      <c r="X106" s="57" t="n"/>
      <c r="Y106" s="59" t="n"/>
      <c r="Z106" s="59">
        <f>(Z20*$AS20)/$AV20</f>
        <v/>
      </c>
      <c r="AA106" s="59" t="n"/>
      <c r="AB106" s="57" t="n"/>
      <c r="AC106" s="57">
        <f>(AC20*$AS20)/$AV20</f>
        <v/>
      </c>
      <c r="AD106" s="57" t="n"/>
      <c r="AE106" s="59" t="n"/>
      <c r="AF106" s="59">
        <f>(AF20*$AS20)/$AV20</f>
        <v/>
      </c>
      <c r="AG106" s="59" t="n"/>
      <c r="AH106" s="59" t="n"/>
      <c r="AI106" s="59">
        <f>(AI20)/$AV20</f>
        <v/>
      </c>
      <c r="AJ106" s="59" t="n"/>
      <c r="AK106" s="74" t="n"/>
      <c r="AL106" s="59">
        <f>(AL20/52*$AS20)/$AV20</f>
        <v/>
      </c>
      <c r="AM106" s="59" t="n"/>
      <c r="AN106" s="59" t="n"/>
      <c r="AO106" s="59">
        <f>(AO20*$AS20)/$AV20</f>
        <v/>
      </c>
      <c r="AP106" s="59" t="n"/>
      <c r="AQ106" s="62" t="n"/>
      <c r="AR106" s="59">
        <f>(AR20)/$AV20</f>
        <v/>
      </c>
      <c r="AS106" s="59">
        <f>(AS20)/$AV20</f>
        <v/>
      </c>
      <c r="AT106" s="59">
        <f>(AT20)/$AV20</f>
        <v/>
      </c>
      <c r="BA106" s="78" t="n"/>
      <c r="BB106" s="78" t="n"/>
      <c r="BC106" s="78" t="n"/>
      <c r="BD106" s="78" t="n"/>
      <c r="BE106" s="78" t="n"/>
      <c r="BF106" s="78" t="n"/>
      <c r="BG106" s="78" t="n"/>
      <c r="BH106" s="78" t="n"/>
      <c r="BI106" s="78" t="n"/>
      <c r="BJ106" s="78" t="n"/>
      <c r="BK106" s="78" t="n"/>
      <c r="BL106" s="78" t="n"/>
      <c r="BM106" s="78" t="n"/>
      <c r="BN106" s="78" t="n"/>
      <c r="BO106" s="78" t="n"/>
      <c r="BP106" s="78" t="n"/>
      <c r="BQ106" s="78" t="n"/>
      <c r="BR106" s="78" t="n"/>
      <c r="BS106" s="78" t="n"/>
      <c r="BT106" s="78" t="n"/>
      <c r="BU106" s="78" t="n"/>
      <c r="BV106" s="78" t="n"/>
      <c r="BW106" s="78" t="n"/>
      <c r="BX106" s="78" t="n"/>
    </row>
    <row r="107" customFormat="1" s="64">
      <c r="A107" s="45" t="n"/>
      <c r="B107" s="46" t="n"/>
      <c r="C107" s="54" t="n"/>
      <c r="D107" s="45" t="n"/>
      <c r="E107" s="55" t="n"/>
      <c r="F107" s="45" t="n"/>
      <c r="G107" s="45" t="n"/>
      <c r="H107" s="56" t="n"/>
      <c r="I107" s="56" t="n"/>
      <c r="J107" s="56" t="n"/>
      <c r="K107" s="57" t="n"/>
      <c r="L107" s="57" t="n"/>
      <c r="M107" s="57" t="n"/>
      <c r="N107" s="58" t="n"/>
      <c r="O107" s="58" t="n"/>
      <c r="P107" s="58" t="n"/>
      <c r="Q107" s="59" t="n"/>
      <c r="R107" s="59" t="n"/>
      <c r="S107" s="59" t="n"/>
      <c r="T107" s="57" t="n"/>
      <c r="U107" s="57" t="n"/>
      <c r="V107" s="57" t="n"/>
      <c r="W107" s="57" t="n"/>
      <c r="X107" s="57" t="n"/>
      <c r="Y107" s="57" t="n"/>
      <c r="Z107" s="57" t="n"/>
      <c r="AA107" s="57" t="n"/>
      <c r="AB107" s="57" t="n"/>
      <c r="AC107" s="57" t="n"/>
      <c r="AD107" s="57" t="n"/>
      <c r="AE107" s="57" t="n"/>
      <c r="AF107" s="57" t="n"/>
      <c r="AG107" s="57" t="n"/>
      <c r="AH107" s="57" t="n"/>
      <c r="AI107" s="61" t="n"/>
      <c r="AJ107" s="61" t="n"/>
      <c r="AK107" s="74" t="n"/>
      <c r="AL107" s="59" t="n"/>
      <c r="AM107" s="59" t="n"/>
      <c r="AN107" s="59" t="n"/>
      <c r="AO107" s="57" t="n"/>
      <c r="AP107" s="57" t="n"/>
      <c r="AQ107" s="62" t="n"/>
      <c r="BA107" s="78" t="n"/>
      <c r="BB107" s="78" t="n"/>
      <c r="BC107" s="78" t="n"/>
      <c r="BD107" s="78" t="n"/>
      <c r="BE107" s="78" t="n"/>
      <c r="BF107" s="78" t="n"/>
      <c r="BG107" s="78" t="n"/>
      <c r="BH107" s="78" t="n"/>
      <c r="BI107" s="78" t="n"/>
      <c r="BJ107" s="78" t="n"/>
      <c r="BK107" s="78" t="n"/>
      <c r="BL107" s="78" t="n"/>
      <c r="BM107" s="78" t="n"/>
      <c r="BN107" s="78" t="n"/>
      <c r="BO107" s="78" t="n"/>
      <c r="BP107" s="78" t="n"/>
      <c r="BQ107" s="78" t="n"/>
      <c r="BR107" s="78" t="n"/>
      <c r="BS107" s="78" t="n"/>
      <c r="BT107" s="78" t="n"/>
      <c r="BU107" s="78" t="n"/>
      <c r="BV107" s="78" t="n"/>
      <c r="BW107" s="78" t="n"/>
      <c r="BX107" s="78" t="n"/>
    </row>
    <row r="108" customFormat="1" s="64">
      <c r="A108" s="45" t="inlineStr">
        <is>
          <t>QLD</t>
        </is>
      </c>
      <c r="B108" s="46" t="inlineStr">
        <is>
          <t>Lab technician</t>
        </is>
      </c>
      <c r="C108" s="54" t="n"/>
      <c r="D108" s="45" t="n"/>
      <c r="E108" s="55" t="n"/>
      <c r="F108" s="45" t="n"/>
      <c r="G108" s="45" t="n"/>
      <c r="H108" s="56" t="n"/>
      <c r="I108" s="56" t="n"/>
      <c r="J108" s="56" t="n"/>
      <c r="K108" s="59">
        <f>(K22*$AS22)/$AV22</f>
        <v/>
      </c>
      <c r="L108" s="59" t="n"/>
      <c r="M108" s="59" t="n"/>
      <c r="N108" s="58" t="n"/>
      <c r="O108" s="58" t="n"/>
      <c r="P108" s="58" t="n"/>
      <c r="Q108" s="59" t="n"/>
      <c r="R108" s="59" t="n"/>
      <c r="S108" s="59" t="n"/>
      <c r="T108" s="59">
        <f>(T22*$AS22)/$AV22</f>
        <v/>
      </c>
      <c r="U108" s="59" t="n"/>
      <c r="V108" s="57" t="n"/>
      <c r="W108" s="57">
        <f>(W22*$AS22)/$AV22</f>
        <v/>
      </c>
      <c r="X108" s="57" t="n"/>
      <c r="Y108" s="59" t="n"/>
      <c r="Z108" s="59">
        <f>(Z22*$AS22)/$AV22</f>
        <v/>
      </c>
      <c r="AA108" s="59" t="n"/>
      <c r="AB108" s="57" t="n"/>
      <c r="AC108" s="57">
        <f>(AC22*$AS22)/$AV22</f>
        <v/>
      </c>
      <c r="AD108" s="57" t="n"/>
      <c r="AE108" s="59" t="n"/>
      <c r="AF108" s="59">
        <f>(AF22*$AS22)/$AV22</f>
        <v/>
      </c>
      <c r="AG108" s="59" t="n"/>
      <c r="AH108" s="59" t="n"/>
      <c r="AI108" s="59">
        <f>(AI22)/$AV22</f>
        <v/>
      </c>
      <c r="AJ108" s="59" t="n"/>
      <c r="AK108" s="74" t="n"/>
      <c r="AL108" s="59">
        <f>(AL22/52*$AS22)/$AV22</f>
        <v/>
      </c>
      <c r="AM108" s="59" t="n"/>
      <c r="AN108" s="59" t="n"/>
      <c r="AO108" s="59">
        <f>(AO22*$AS22)/$AV22</f>
        <v/>
      </c>
      <c r="AP108" s="59" t="n"/>
      <c r="AQ108" s="62" t="n"/>
      <c r="AR108" s="59">
        <f>(AR22)/$AV22</f>
        <v/>
      </c>
      <c r="AS108" s="59">
        <f>(AS22)/$AV22</f>
        <v/>
      </c>
      <c r="AT108" s="59">
        <f>(AT22)/$AV22</f>
        <v/>
      </c>
      <c r="BA108" s="78" t="n"/>
      <c r="BB108" s="78" t="n"/>
      <c r="BC108" s="78" t="n"/>
      <c r="BD108" s="78" t="n"/>
      <c r="BE108" s="78" t="n"/>
      <c r="BF108" s="78" t="n"/>
      <c r="BG108" s="78" t="n"/>
      <c r="BH108" s="78" t="n"/>
      <c r="BI108" s="78" t="n"/>
      <c r="BJ108" s="78" t="n"/>
      <c r="BK108" s="78" t="n"/>
      <c r="BL108" s="78" t="n"/>
      <c r="BM108" s="78" t="n"/>
      <c r="BN108" s="78" t="n"/>
      <c r="BO108" s="78" t="n"/>
      <c r="BP108" s="78" t="n"/>
      <c r="BQ108" s="78" t="n"/>
      <c r="BR108" s="78" t="n"/>
      <c r="BS108" s="78" t="n"/>
      <c r="BT108" s="78" t="n"/>
      <c r="BU108" s="78" t="n"/>
      <c r="BV108" s="78" t="n"/>
      <c r="BW108" s="78" t="n"/>
      <c r="BX108" s="78" t="n"/>
    </row>
    <row r="109" customFormat="1" s="64">
      <c r="A109" s="45" t="inlineStr">
        <is>
          <t>QLD</t>
        </is>
      </c>
      <c r="B109" s="46" t="inlineStr">
        <is>
          <t>Medical scientist</t>
        </is>
      </c>
      <c r="C109" s="54" t="n"/>
      <c r="D109" s="45" t="n"/>
      <c r="E109" s="55" t="n"/>
      <c r="F109" s="45" t="n"/>
      <c r="G109" s="45" t="n"/>
      <c r="H109" s="56" t="n"/>
      <c r="I109" s="56" t="n"/>
      <c r="J109" s="56" t="n"/>
      <c r="K109" s="59">
        <f>(K23*$AS23)/$AV23</f>
        <v/>
      </c>
      <c r="L109" s="59" t="n"/>
      <c r="M109" s="59" t="n"/>
      <c r="N109" s="58" t="n"/>
      <c r="O109" s="58" t="n"/>
      <c r="P109" s="58" t="n"/>
      <c r="Q109" s="59" t="n"/>
      <c r="R109" s="59" t="n"/>
      <c r="S109" s="59" t="n"/>
      <c r="T109" s="59">
        <f>(T23*$AS23)/$AV23</f>
        <v/>
      </c>
      <c r="U109" s="59" t="n"/>
      <c r="V109" s="57" t="n"/>
      <c r="W109" s="57">
        <f>(W23*$AS23)/$AV23</f>
        <v/>
      </c>
      <c r="X109" s="57" t="n"/>
      <c r="Y109" s="59" t="n"/>
      <c r="Z109" s="59">
        <f>(Z23*$AS23)/$AV23</f>
        <v/>
      </c>
      <c r="AA109" s="59" t="n"/>
      <c r="AB109" s="57" t="n"/>
      <c r="AC109" s="57">
        <f>(AC23*$AS23)/$AV23</f>
        <v/>
      </c>
      <c r="AD109" s="57" t="n"/>
      <c r="AE109" s="59" t="n"/>
      <c r="AF109" s="59">
        <f>(AF23*$AS23)/$AV23</f>
        <v/>
      </c>
      <c r="AG109" s="59" t="n"/>
      <c r="AH109" s="59" t="n"/>
      <c r="AI109" s="59">
        <f>(AI23)/$AV23</f>
        <v/>
      </c>
      <c r="AJ109" s="59" t="n"/>
      <c r="AK109" s="74" t="n"/>
      <c r="AL109" s="59">
        <f>(AL23/52*$AS23)/$AV23</f>
        <v/>
      </c>
      <c r="AM109" s="59" t="n"/>
      <c r="AN109" s="59" t="n"/>
      <c r="AO109" s="59">
        <f>(AO23*$AS23)/$AV23</f>
        <v/>
      </c>
      <c r="AP109" s="59" t="n"/>
      <c r="AQ109" s="62" t="n"/>
      <c r="AR109" s="59">
        <f>(AR23)/$AV23</f>
        <v/>
      </c>
      <c r="AS109" s="59">
        <f>(AS23)/$AV23</f>
        <v/>
      </c>
      <c r="AT109" s="59">
        <f>(AT23)/$AV23</f>
        <v/>
      </c>
      <c r="BA109" s="78" t="n"/>
      <c r="BB109" s="78" t="n"/>
      <c r="BC109" s="78" t="n"/>
      <c r="BD109" s="78" t="n"/>
      <c r="BE109" s="78" t="n"/>
      <c r="BF109" s="78" t="n"/>
      <c r="BG109" s="78" t="n"/>
      <c r="BH109" s="78" t="n"/>
      <c r="BI109" s="78" t="n"/>
      <c r="BJ109" s="78" t="n"/>
      <c r="BK109" s="78" t="n"/>
      <c r="BL109" s="78" t="n"/>
      <c r="BM109" s="78" t="n"/>
      <c r="BN109" s="78" t="n"/>
      <c r="BO109" s="78" t="n"/>
      <c r="BP109" s="78" t="n"/>
      <c r="BQ109" s="78" t="n"/>
      <c r="BR109" s="78" t="n"/>
      <c r="BS109" s="78" t="n"/>
      <c r="BT109" s="78" t="n"/>
      <c r="BU109" s="78" t="n"/>
      <c r="BV109" s="78" t="n"/>
      <c r="BW109" s="78" t="n"/>
      <c r="BX109" s="78" t="n"/>
    </row>
    <row r="110" customFormat="1" s="64">
      <c r="A110" s="45" t="inlineStr">
        <is>
          <t>QLD</t>
        </is>
      </c>
      <c r="B110" s="46" t="inlineStr">
        <is>
          <t>Admin staff</t>
        </is>
      </c>
      <c r="C110" s="54" t="n"/>
      <c r="D110" s="45" t="n"/>
      <c r="E110" s="55" t="n"/>
      <c r="F110" s="45" t="n"/>
      <c r="G110" s="45" t="n"/>
      <c r="H110" s="56" t="n"/>
      <c r="I110" s="56" t="n"/>
      <c r="J110" s="56" t="n"/>
      <c r="K110" s="59">
        <f>(K24*$AS24)/$AV24</f>
        <v/>
      </c>
      <c r="L110" s="59" t="n"/>
      <c r="M110" s="59" t="n"/>
      <c r="N110" s="58" t="n"/>
      <c r="O110" s="58" t="n"/>
      <c r="P110" s="58" t="n"/>
      <c r="Q110" s="59" t="n"/>
      <c r="R110" s="59" t="n"/>
      <c r="S110" s="59" t="n"/>
      <c r="T110" s="59">
        <f>(T24*$AS24)/$AV24</f>
        <v/>
      </c>
      <c r="U110" s="59" t="n"/>
      <c r="V110" s="57" t="n"/>
      <c r="W110" s="57">
        <f>(W24*$AS24)/$AV24</f>
        <v/>
      </c>
      <c r="X110" s="57" t="n"/>
      <c r="Y110" s="59" t="n"/>
      <c r="Z110" s="59">
        <f>(Z24*$AS24)/$AV24</f>
        <v/>
      </c>
      <c r="AA110" s="59" t="n"/>
      <c r="AB110" s="57" t="n"/>
      <c r="AC110" s="57">
        <f>(AC24*$AS24)/$AV24</f>
        <v/>
      </c>
      <c r="AD110" s="57" t="n"/>
      <c r="AE110" s="59" t="n"/>
      <c r="AF110" s="59">
        <f>(AF24*$AS24)/$AV24</f>
        <v/>
      </c>
      <c r="AG110" s="59" t="n"/>
      <c r="AH110" s="59" t="n"/>
      <c r="AI110" s="59">
        <f>(AI24)/$AV24</f>
        <v/>
      </c>
      <c r="AJ110" s="59" t="n"/>
      <c r="AK110" s="74" t="n"/>
      <c r="AL110" s="59">
        <f>(AL24/52*$AS24)/$AV24</f>
        <v/>
      </c>
      <c r="AM110" s="59" t="n"/>
      <c r="AN110" s="59" t="n"/>
      <c r="AO110" s="59">
        <f>(AO24*$AS24)/$AV24</f>
        <v/>
      </c>
      <c r="AP110" s="59" t="n"/>
      <c r="AQ110" s="62" t="n"/>
      <c r="AR110" s="59">
        <f>(AR24)/$AV24</f>
        <v/>
      </c>
      <c r="AS110" s="59">
        <f>(AS24)/$AV24</f>
        <v/>
      </c>
      <c r="AT110" s="59">
        <f>(AT24)/$AV24</f>
        <v/>
      </c>
      <c r="BA110" s="78" t="n"/>
      <c r="BB110" s="78" t="n"/>
      <c r="BC110" s="78" t="n"/>
      <c r="BD110" s="78" t="n"/>
      <c r="BE110" s="78" t="n"/>
      <c r="BF110" s="78" t="n"/>
      <c r="BG110" s="78" t="n"/>
      <c r="BH110" s="78" t="n"/>
      <c r="BI110" s="78" t="n"/>
      <c r="BJ110" s="78" t="n"/>
      <c r="BK110" s="78" t="n"/>
      <c r="BL110" s="78" t="n"/>
      <c r="BM110" s="78" t="n"/>
      <c r="BN110" s="78" t="n"/>
      <c r="BO110" s="78" t="n"/>
      <c r="BP110" s="78" t="n"/>
      <c r="BQ110" s="78" t="n"/>
      <c r="BR110" s="78" t="n"/>
      <c r="BS110" s="78" t="n"/>
      <c r="BT110" s="78" t="n"/>
      <c r="BU110" s="78" t="n"/>
      <c r="BV110" s="78" t="n"/>
      <c r="BW110" s="78" t="n"/>
      <c r="BX110" s="78" t="n"/>
    </row>
    <row r="111" customFormat="1" s="64">
      <c r="A111" s="45" t="inlineStr">
        <is>
          <t>QLD</t>
        </is>
      </c>
      <c r="B111" s="46" t="inlineStr">
        <is>
          <t>Bioinformatics staff</t>
        </is>
      </c>
      <c r="C111" s="54" t="n"/>
      <c r="D111" s="45" t="n"/>
      <c r="E111" s="55" t="n"/>
      <c r="F111" s="45" t="n"/>
      <c r="G111" s="45" t="n"/>
      <c r="H111" s="56" t="n"/>
      <c r="I111" s="56" t="n"/>
      <c r="J111" s="56" t="n"/>
      <c r="K111" s="59">
        <f>(K25*$AS25)/$AV25</f>
        <v/>
      </c>
      <c r="L111" s="59" t="n"/>
      <c r="M111" s="59" t="n"/>
      <c r="N111" s="58" t="n"/>
      <c r="O111" s="58" t="n"/>
      <c r="P111" s="58" t="n"/>
      <c r="Q111" s="59" t="n"/>
      <c r="R111" s="59" t="n"/>
      <c r="S111" s="59" t="n"/>
      <c r="T111" s="59">
        <f>(T25*$AS25)/$AV25</f>
        <v/>
      </c>
      <c r="U111" s="59" t="n"/>
      <c r="V111" s="57" t="n"/>
      <c r="W111" s="57">
        <f>(W25*$AS25)/$AV25</f>
        <v/>
      </c>
      <c r="X111" s="57" t="n"/>
      <c r="Y111" s="59" t="n"/>
      <c r="Z111" s="59">
        <f>(Z25*$AS25)/$AV25</f>
        <v/>
      </c>
      <c r="AA111" s="59" t="n"/>
      <c r="AB111" s="57" t="n"/>
      <c r="AC111" s="57">
        <f>(AC25*$AS25)/$AV25</f>
        <v/>
      </c>
      <c r="AD111" s="57" t="n"/>
      <c r="AE111" s="59" t="n"/>
      <c r="AF111" s="59">
        <f>(AF25*$AS25)/$AV25</f>
        <v/>
      </c>
      <c r="AG111" s="59" t="n"/>
      <c r="AH111" s="59" t="n"/>
      <c r="AI111" s="59">
        <f>(AI25)/$AV25</f>
        <v/>
      </c>
      <c r="AJ111" s="59" t="n"/>
      <c r="AK111" s="74" t="n"/>
      <c r="AL111" s="59">
        <f>(AL25/52*$AS25)/$AV25</f>
        <v/>
      </c>
      <c r="AM111" s="59" t="n"/>
      <c r="AN111" s="59" t="n"/>
      <c r="AO111" s="59">
        <f>(AO25*$AS25)/$AV25</f>
        <v/>
      </c>
      <c r="AP111" s="59" t="n"/>
      <c r="AQ111" s="62" t="n"/>
      <c r="AR111" s="59">
        <f>(AR25)/$AV25</f>
        <v/>
      </c>
      <c r="AS111" s="59">
        <f>(AS25)/$AV25</f>
        <v/>
      </c>
      <c r="AT111" s="59">
        <f>(AT25)/$AV25</f>
        <v/>
      </c>
      <c r="BA111" s="78" t="n"/>
      <c r="BB111" s="78" t="n"/>
      <c r="BC111" s="78" t="n"/>
      <c r="BD111" s="78" t="n"/>
      <c r="BE111" s="78" t="n"/>
      <c r="BF111" s="78" t="n"/>
      <c r="BG111" s="78" t="n"/>
      <c r="BH111" s="78" t="n"/>
      <c r="BI111" s="78" t="n"/>
      <c r="BJ111" s="78" t="n"/>
      <c r="BK111" s="78" t="n"/>
      <c r="BL111" s="78" t="n"/>
      <c r="BM111" s="78" t="n"/>
      <c r="BN111" s="78" t="n"/>
      <c r="BO111" s="78" t="n"/>
      <c r="BP111" s="78" t="n"/>
      <c r="BQ111" s="78" t="n"/>
      <c r="BR111" s="78" t="n"/>
      <c r="BS111" s="78" t="n"/>
      <c r="BT111" s="78" t="n"/>
      <c r="BU111" s="78" t="n"/>
      <c r="BV111" s="78" t="n"/>
      <c r="BW111" s="78" t="n"/>
      <c r="BX111" s="78" t="n"/>
    </row>
    <row r="112" customFormat="1" s="64">
      <c r="A112" s="45" t="inlineStr">
        <is>
          <t>QLD</t>
        </is>
      </c>
      <c r="B112" s="46" t="inlineStr">
        <is>
          <t>Pathologists</t>
        </is>
      </c>
      <c r="C112" s="54" t="n"/>
      <c r="D112" s="45" t="n"/>
      <c r="E112" s="55" t="n"/>
      <c r="F112" s="45" t="n"/>
      <c r="G112" s="45" t="n"/>
      <c r="H112" s="56" t="n"/>
      <c r="I112" s="56" t="n"/>
      <c r="J112" s="56" t="n"/>
      <c r="K112" s="59">
        <f>(K26*$AS26)/$AV26</f>
        <v/>
      </c>
      <c r="L112" s="59" t="n"/>
      <c r="M112" s="59" t="n"/>
      <c r="N112" s="58" t="n"/>
      <c r="O112" s="58" t="n"/>
      <c r="P112" s="58" t="n"/>
      <c r="Q112" s="59" t="n"/>
      <c r="R112" s="59" t="n"/>
      <c r="S112" s="59" t="n"/>
      <c r="T112" s="59">
        <f>(T26*$AS26)/$AV26</f>
        <v/>
      </c>
      <c r="U112" s="59" t="n"/>
      <c r="V112" s="57" t="n"/>
      <c r="W112" s="57">
        <f>(W26*$AS26)/$AV26</f>
        <v/>
      </c>
      <c r="X112" s="57" t="n"/>
      <c r="Y112" s="59" t="n"/>
      <c r="Z112" s="59">
        <f>(Z26*$AS26)/$AV26</f>
        <v/>
      </c>
      <c r="AA112" s="59" t="n"/>
      <c r="AB112" s="57" t="n"/>
      <c r="AC112" s="57">
        <f>(AC26*$AS26)/$AV26</f>
        <v/>
      </c>
      <c r="AD112" s="57" t="n"/>
      <c r="AE112" s="59" t="n"/>
      <c r="AF112" s="59">
        <f>(AF26*$AS26)/$AV26</f>
        <v/>
      </c>
      <c r="AG112" s="59" t="n"/>
      <c r="AH112" s="59" t="n"/>
      <c r="AI112" s="59">
        <f>(AI26)/$AV26</f>
        <v/>
      </c>
      <c r="AJ112" s="59" t="n"/>
      <c r="AK112" s="74" t="n"/>
      <c r="AL112" s="59">
        <f>(AL26/52*$AS26)/$AV26</f>
        <v/>
      </c>
      <c r="AM112" s="59" t="n"/>
      <c r="AN112" s="59" t="n"/>
      <c r="AO112" s="59">
        <f>(AO26*$AS26)/$AV26</f>
        <v/>
      </c>
      <c r="AP112" s="59" t="n"/>
      <c r="AQ112" s="62" t="n"/>
      <c r="AR112" s="59">
        <f>(AR26)/$AV26</f>
        <v/>
      </c>
      <c r="AS112" s="59">
        <f>(AS26)/$AV26</f>
        <v/>
      </c>
      <c r="AT112" s="59">
        <f>(AT26)/$AV26</f>
        <v/>
      </c>
      <c r="BA112" s="78" t="n"/>
      <c r="BB112" s="78" t="n"/>
      <c r="BC112" s="78" t="n"/>
      <c r="BD112" s="78" t="n"/>
      <c r="BE112" s="78" t="n"/>
      <c r="BF112" s="78" t="n"/>
      <c r="BG112" s="78" t="n"/>
      <c r="BH112" s="78" t="n"/>
      <c r="BI112" s="78" t="n"/>
      <c r="BJ112" s="78" t="n"/>
      <c r="BK112" s="78" t="n"/>
      <c r="BL112" s="78" t="n"/>
      <c r="BM112" s="78" t="n"/>
      <c r="BN112" s="78" t="n"/>
      <c r="BO112" s="78" t="n"/>
      <c r="BP112" s="78" t="n"/>
      <c r="BQ112" s="78" t="n"/>
      <c r="BR112" s="78" t="n"/>
      <c r="BS112" s="78" t="n"/>
      <c r="BT112" s="78" t="n"/>
      <c r="BU112" s="78" t="n"/>
      <c r="BV112" s="78" t="n"/>
      <c r="BW112" s="78" t="n"/>
      <c r="BX112" s="78" t="n"/>
    </row>
    <row r="113" customFormat="1" s="64">
      <c r="A113" s="45" t="n"/>
      <c r="B113" s="46" t="n"/>
      <c r="C113" s="54" t="n"/>
      <c r="D113" s="45" t="n"/>
      <c r="E113" s="55" t="n"/>
      <c r="F113" s="45" t="n"/>
      <c r="G113" s="45" t="n"/>
      <c r="H113" s="56" t="n"/>
      <c r="I113" s="56" t="n"/>
      <c r="J113" s="56" t="n"/>
      <c r="K113" s="57" t="n"/>
      <c r="L113" s="57" t="n"/>
      <c r="M113" s="57" t="n"/>
      <c r="N113" s="58" t="n"/>
      <c r="O113" s="58" t="n"/>
      <c r="P113" s="58" t="n"/>
      <c r="Q113" s="59" t="n"/>
      <c r="R113" s="59" t="n"/>
      <c r="S113" s="59" t="n"/>
      <c r="T113" s="57" t="n"/>
      <c r="U113" s="57" t="n"/>
      <c r="V113" s="57" t="n"/>
      <c r="W113" s="57" t="n"/>
      <c r="X113" s="57" t="n"/>
      <c r="Y113" s="57" t="n"/>
      <c r="Z113" s="57" t="n"/>
      <c r="AA113" s="57" t="n"/>
      <c r="AB113" s="57" t="n"/>
      <c r="AC113" s="57" t="n"/>
      <c r="AD113" s="57" t="n"/>
      <c r="AE113" s="57" t="n"/>
      <c r="AF113" s="57" t="n"/>
      <c r="AG113" s="57" t="n"/>
      <c r="AH113" s="57" t="n"/>
      <c r="AI113" s="61" t="n"/>
      <c r="AJ113" s="61" t="n"/>
      <c r="AK113" s="74" t="n"/>
      <c r="AL113" s="59" t="n"/>
      <c r="AM113" s="59" t="n"/>
      <c r="AN113" s="59" t="n"/>
      <c r="AO113" s="57" t="n"/>
      <c r="AP113" s="57" t="n"/>
      <c r="AQ113" s="62" t="n"/>
      <c r="BA113" s="78" t="n"/>
      <c r="BB113" s="78" t="n"/>
      <c r="BC113" s="78" t="n"/>
      <c r="BD113" s="78" t="n"/>
      <c r="BE113" s="78" t="n"/>
      <c r="BF113" s="78" t="n"/>
      <c r="BG113" s="78" t="n"/>
      <c r="BH113" s="78" t="n"/>
      <c r="BI113" s="78" t="n"/>
      <c r="BJ113" s="78" t="n"/>
      <c r="BK113" s="78" t="n"/>
      <c r="BL113" s="78" t="n"/>
      <c r="BM113" s="78" t="n"/>
      <c r="BN113" s="78" t="n"/>
      <c r="BO113" s="78" t="n"/>
      <c r="BP113" s="78" t="n"/>
      <c r="BQ113" s="78" t="n"/>
      <c r="BR113" s="78" t="n"/>
      <c r="BS113" s="78" t="n"/>
      <c r="BT113" s="78" t="n"/>
      <c r="BU113" s="78" t="n"/>
      <c r="BV113" s="78" t="n"/>
      <c r="BW113" s="78" t="n"/>
      <c r="BX113" s="78" t="n"/>
    </row>
    <row r="114" customFormat="1" s="64">
      <c r="A114" s="45" t="inlineStr">
        <is>
          <t>WA</t>
        </is>
      </c>
      <c r="B114" s="46" t="inlineStr">
        <is>
          <t>Lab technician</t>
        </is>
      </c>
      <c r="C114" s="54" t="n"/>
      <c r="D114" s="45" t="n"/>
      <c r="E114" s="55" t="n"/>
      <c r="F114" s="45" t="n"/>
      <c r="G114" s="45" t="n"/>
      <c r="H114" s="56" t="n"/>
      <c r="I114" s="56" t="n"/>
      <c r="J114" s="56" t="n"/>
      <c r="K114" s="59">
        <f>(K28*$AS28)/$AV28</f>
        <v/>
      </c>
      <c r="L114" s="59" t="n"/>
      <c r="M114" s="59" t="n"/>
      <c r="N114" s="58" t="n"/>
      <c r="O114" s="58" t="n"/>
      <c r="P114" s="58" t="n"/>
      <c r="Q114" s="59" t="n"/>
      <c r="R114" s="59" t="n"/>
      <c r="S114" s="59" t="n"/>
      <c r="T114" s="59">
        <f>(T28*$AS28)/$AV28</f>
        <v/>
      </c>
      <c r="U114" s="59" t="n"/>
      <c r="V114" s="57" t="n"/>
      <c r="W114" s="57">
        <f>(W28*$AS28)/$AV28</f>
        <v/>
      </c>
      <c r="X114" s="57" t="n"/>
      <c r="Y114" s="59" t="n"/>
      <c r="Z114" s="59">
        <f>(Z28*$AS28)/$AV28</f>
        <v/>
      </c>
      <c r="AA114" s="59" t="n"/>
      <c r="AB114" s="57" t="n"/>
      <c r="AC114" s="57">
        <f>(AC28*$AS28)/$AV28</f>
        <v/>
      </c>
      <c r="AD114" s="57" t="n"/>
      <c r="AE114" s="59" t="n"/>
      <c r="AF114" s="59">
        <f>(AF28*$AS28)/$AV28</f>
        <v/>
      </c>
      <c r="AG114" s="59" t="n"/>
      <c r="AH114" s="59" t="n"/>
      <c r="AI114" s="59">
        <f>(AI28)/$AV28</f>
        <v/>
      </c>
      <c r="AJ114" s="59" t="n"/>
      <c r="AK114" s="74" t="n"/>
      <c r="AL114" s="59">
        <f>(AL28/52*$AS28)/$AV28</f>
        <v/>
      </c>
      <c r="AM114" s="59" t="n"/>
      <c r="AN114" s="59" t="n"/>
      <c r="AO114" s="59">
        <f>(AO28*$AS28)/$AV28</f>
        <v/>
      </c>
      <c r="AP114" s="59" t="n"/>
      <c r="AQ114" s="62" t="n"/>
      <c r="AR114" s="59">
        <f>(AR28)/$AV28</f>
        <v/>
      </c>
      <c r="AS114" s="59">
        <f>(AS28)/$AV28</f>
        <v/>
      </c>
      <c r="AT114" s="59">
        <f>(AT28)/$AV28</f>
        <v/>
      </c>
      <c r="BA114" s="78" t="n"/>
      <c r="BB114" s="78" t="n"/>
      <c r="BC114" s="78" t="n"/>
      <c r="BD114" s="78" t="n"/>
      <c r="BE114" s="78" t="n"/>
      <c r="BF114" s="78" t="n"/>
      <c r="BG114" s="78" t="n"/>
      <c r="BH114" s="78" t="n"/>
      <c r="BI114" s="78" t="n"/>
      <c r="BJ114" s="78" t="n"/>
      <c r="BK114" s="78" t="n"/>
      <c r="BL114" s="78" t="n"/>
      <c r="BM114" s="78" t="n"/>
      <c r="BN114" s="78" t="n"/>
      <c r="BO114" s="78" t="n"/>
      <c r="BP114" s="78" t="n"/>
      <c r="BQ114" s="78" t="n"/>
      <c r="BR114" s="78" t="n"/>
      <c r="BS114" s="78" t="n"/>
      <c r="BT114" s="78" t="n"/>
      <c r="BU114" s="78" t="n"/>
      <c r="BV114" s="78" t="n"/>
      <c r="BW114" s="78" t="n"/>
      <c r="BX114" s="78" t="n"/>
    </row>
    <row r="115" customFormat="1" s="64">
      <c r="A115" s="45" t="inlineStr">
        <is>
          <t>WA</t>
        </is>
      </c>
      <c r="B115" s="46" t="inlineStr">
        <is>
          <t>Medical scientist</t>
        </is>
      </c>
      <c r="C115" s="54" t="n"/>
      <c r="D115" s="45" t="n"/>
      <c r="E115" s="55" t="n"/>
      <c r="F115" s="45" t="n"/>
      <c r="G115" s="45" t="n"/>
      <c r="H115" s="56" t="n"/>
      <c r="I115" s="56" t="n"/>
      <c r="J115" s="56" t="n"/>
      <c r="K115" s="59">
        <f>(K29*$AS29)/$AV29</f>
        <v/>
      </c>
      <c r="L115" s="59" t="n"/>
      <c r="M115" s="59" t="n"/>
      <c r="N115" s="58" t="n"/>
      <c r="O115" s="58" t="n"/>
      <c r="P115" s="58" t="n"/>
      <c r="Q115" s="59" t="n"/>
      <c r="R115" s="59" t="n"/>
      <c r="S115" s="59" t="n"/>
      <c r="T115" s="59">
        <f>(T29*$AS29)/$AV29</f>
        <v/>
      </c>
      <c r="U115" s="59" t="n"/>
      <c r="V115" s="57" t="n"/>
      <c r="W115" s="57">
        <f>(W29*$AS29)/$AV29</f>
        <v/>
      </c>
      <c r="X115" s="57" t="n"/>
      <c r="Y115" s="59" t="n"/>
      <c r="Z115" s="59">
        <f>(Z29*$AS29)/$AV29</f>
        <v/>
      </c>
      <c r="AA115" s="59" t="n"/>
      <c r="AB115" s="57" t="n"/>
      <c r="AC115" s="57">
        <f>(AC29*$AS29)/$AV29</f>
        <v/>
      </c>
      <c r="AD115" s="57" t="n"/>
      <c r="AE115" s="59" t="n"/>
      <c r="AF115" s="59">
        <f>(AF29*$AS29)/$AV29</f>
        <v/>
      </c>
      <c r="AG115" s="59" t="n"/>
      <c r="AH115" s="59" t="n"/>
      <c r="AI115" s="59">
        <f>(AI29)/$AV29</f>
        <v/>
      </c>
      <c r="AJ115" s="59" t="n"/>
      <c r="AK115" s="74" t="n"/>
      <c r="AL115" s="59">
        <f>(AL29/52*$AS29)/$AV29</f>
        <v/>
      </c>
      <c r="AM115" s="59" t="n"/>
      <c r="AN115" s="59" t="n"/>
      <c r="AO115" s="59">
        <f>(AO29*$AS29)/$AV29</f>
        <v/>
      </c>
      <c r="AP115" s="59" t="n"/>
      <c r="AQ115" s="62" t="n"/>
      <c r="AR115" s="59">
        <f>(AR29)/$AV29</f>
        <v/>
      </c>
      <c r="AS115" s="59">
        <f>(AS29)/$AV29</f>
        <v/>
      </c>
      <c r="AT115" s="59">
        <f>(AT29)/$AV29</f>
        <v/>
      </c>
      <c r="BA115" s="78" t="n"/>
      <c r="BB115" s="78" t="n"/>
      <c r="BC115" s="78" t="n"/>
      <c r="BD115" s="78" t="n"/>
      <c r="BE115" s="78" t="n"/>
      <c r="BF115" s="78" t="n"/>
      <c r="BG115" s="78" t="n"/>
      <c r="BH115" s="78" t="n"/>
      <c r="BI115" s="78" t="n"/>
      <c r="BJ115" s="78" t="n"/>
      <c r="BK115" s="78" t="n"/>
      <c r="BL115" s="78" t="n"/>
      <c r="BM115" s="78" t="n"/>
      <c r="BN115" s="78" t="n"/>
      <c r="BO115" s="78" t="n"/>
      <c r="BP115" s="78" t="n"/>
      <c r="BQ115" s="78" t="n"/>
      <c r="BR115" s="78" t="n"/>
      <c r="BS115" s="78" t="n"/>
      <c r="BT115" s="78" t="n"/>
      <c r="BU115" s="78" t="n"/>
      <c r="BV115" s="78" t="n"/>
      <c r="BW115" s="78" t="n"/>
      <c r="BX115" s="78" t="n"/>
    </row>
    <row r="116" customFormat="1" s="64">
      <c r="A116" s="45" t="inlineStr">
        <is>
          <t>WA</t>
        </is>
      </c>
      <c r="B116" s="46" t="inlineStr">
        <is>
          <t>Admin staff</t>
        </is>
      </c>
      <c r="C116" s="54" t="n"/>
      <c r="D116" s="45" t="n"/>
      <c r="E116" s="55" t="n"/>
      <c r="F116" s="45" t="n"/>
      <c r="G116" s="45" t="n"/>
      <c r="H116" s="56" t="n"/>
      <c r="I116" s="56" t="n"/>
      <c r="J116" s="56" t="n"/>
      <c r="K116" s="59">
        <f>(K30*$AS30)/$AV30</f>
        <v/>
      </c>
      <c r="L116" s="59" t="n"/>
      <c r="M116" s="59" t="n"/>
      <c r="N116" s="58" t="n"/>
      <c r="O116" s="58" t="n"/>
      <c r="P116" s="58" t="n"/>
      <c r="Q116" s="59" t="n"/>
      <c r="R116" s="59" t="n"/>
      <c r="S116" s="59" t="n"/>
      <c r="T116" s="59">
        <f>(T30*$AS30)/$AV30</f>
        <v/>
      </c>
      <c r="U116" s="59" t="n"/>
      <c r="V116" s="57" t="n"/>
      <c r="W116" s="57">
        <f>(W30*$AS30)/$AV30</f>
        <v/>
      </c>
      <c r="X116" s="57" t="n"/>
      <c r="Y116" s="59" t="n"/>
      <c r="Z116" s="59">
        <f>(Z30*$AS30)/$AV30</f>
        <v/>
      </c>
      <c r="AA116" s="59" t="n"/>
      <c r="AB116" s="57" t="n"/>
      <c r="AC116" s="57">
        <f>(AC30*$AS30)/$AV30</f>
        <v/>
      </c>
      <c r="AD116" s="57" t="n"/>
      <c r="AE116" s="59" t="n"/>
      <c r="AF116" s="59">
        <f>(AF30*$AS30)/$AV30</f>
        <v/>
      </c>
      <c r="AG116" s="59" t="n"/>
      <c r="AH116" s="59" t="n"/>
      <c r="AI116" s="59">
        <f>(AI30)/$AV30</f>
        <v/>
      </c>
      <c r="AJ116" s="59" t="n"/>
      <c r="AK116" s="74" t="n"/>
      <c r="AL116" s="59">
        <f>(AL30/52*$AS30)/$AV30</f>
        <v/>
      </c>
      <c r="AM116" s="59" t="n"/>
      <c r="AN116" s="59" t="n"/>
      <c r="AO116" s="59">
        <f>(AO30*$AS30)/$AV30</f>
        <v/>
      </c>
      <c r="AP116" s="59" t="n"/>
      <c r="AQ116" s="62" t="n"/>
      <c r="AR116" s="59">
        <f>(AR30)/$AV30</f>
        <v/>
      </c>
      <c r="AS116" s="59">
        <f>(AS30)/$AV30</f>
        <v/>
      </c>
      <c r="AT116" s="59">
        <f>(AT30)/$AV30</f>
        <v/>
      </c>
      <c r="BA116" s="78" t="n"/>
      <c r="BB116" s="78" t="n"/>
      <c r="BC116" s="78" t="n"/>
      <c r="BD116" s="78" t="n"/>
      <c r="BE116" s="78" t="n"/>
      <c r="BF116" s="78" t="n"/>
      <c r="BG116" s="78" t="n"/>
      <c r="BH116" s="78" t="n"/>
      <c r="BI116" s="78" t="n"/>
      <c r="BJ116" s="78" t="n"/>
      <c r="BK116" s="78" t="n"/>
      <c r="BL116" s="78" t="n"/>
      <c r="BM116" s="78" t="n"/>
      <c r="BN116" s="78" t="n"/>
      <c r="BO116" s="78" t="n"/>
      <c r="BP116" s="78" t="n"/>
      <c r="BQ116" s="78" t="n"/>
      <c r="BR116" s="78" t="n"/>
      <c r="BS116" s="78" t="n"/>
      <c r="BT116" s="78" t="n"/>
      <c r="BU116" s="78" t="n"/>
      <c r="BV116" s="78" t="n"/>
      <c r="BW116" s="78" t="n"/>
      <c r="BX116" s="78" t="n"/>
    </row>
    <row r="117" customFormat="1" s="64">
      <c r="A117" s="45" t="inlineStr">
        <is>
          <t>WA</t>
        </is>
      </c>
      <c r="B117" s="46" t="inlineStr">
        <is>
          <t>Bioinformatics staff</t>
        </is>
      </c>
      <c r="C117" s="54" t="n"/>
      <c r="D117" s="45" t="n"/>
      <c r="E117" s="55" t="n"/>
      <c r="F117" s="45" t="n"/>
      <c r="G117" s="45" t="n"/>
      <c r="H117" s="56" t="n"/>
      <c r="I117" s="56" t="n"/>
      <c r="J117" s="56" t="n"/>
      <c r="K117" s="59">
        <f>(K31*$AS31)/$AV31</f>
        <v/>
      </c>
      <c r="L117" s="59" t="n"/>
      <c r="M117" s="59" t="n"/>
      <c r="N117" s="58" t="n"/>
      <c r="O117" s="58" t="n"/>
      <c r="P117" s="58" t="n"/>
      <c r="Q117" s="59" t="n"/>
      <c r="R117" s="59" t="n"/>
      <c r="S117" s="59" t="n"/>
      <c r="T117" s="59">
        <f>(T31*$AS31)/$AV31</f>
        <v/>
      </c>
      <c r="U117" s="59" t="n"/>
      <c r="V117" s="57" t="n"/>
      <c r="W117" s="57">
        <f>(W31*$AS31)/$AV31</f>
        <v/>
      </c>
      <c r="X117" s="57" t="n"/>
      <c r="Y117" s="59" t="n"/>
      <c r="Z117" s="59">
        <f>(Z31*$AS31)/$AV31</f>
        <v/>
      </c>
      <c r="AA117" s="59" t="n"/>
      <c r="AB117" s="57" t="n"/>
      <c r="AC117" s="57">
        <f>(AC31*$AS31)/$AV31</f>
        <v/>
      </c>
      <c r="AD117" s="57" t="n"/>
      <c r="AE117" s="59" t="n"/>
      <c r="AF117" s="59">
        <f>(AF31*$AS31)/$AV31</f>
        <v/>
      </c>
      <c r="AG117" s="59" t="n"/>
      <c r="AH117" s="59" t="n"/>
      <c r="AI117" s="59">
        <f>(AI31)/$AV31</f>
        <v/>
      </c>
      <c r="AJ117" s="59" t="n"/>
      <c r="AK117" s="74" t="n"/>
      <c r="AL117" s="59">
        <f>(AL31/52*$AS31)/$AV31</f>
        <v/>
      </c>
      <c r="AM117" s="59" t="n"/>
      <c r="AN117" s="59" t="n"/>
      <c r="AO117" s="59">
        <f>(AO31*$AS31)/$AV31</f>
        <v/>
      </c>
      <c r="AP117" s="59" t="n"/>
      <c r="AQ117" s="62" t="n"/>
      <c r="AR117" s="59">
        <f>(AR31)/$AV31</f>
        <v/>
      </c>
      <c r="AS117" s="59">
        <f>(AS31)/$AV31</f>
        <v/>
      </c>
      <c r="AT117" s="59">
        <f>(AT31)/$AV31</f>
        <v/>
      </c>
      <c r="BA117" s="78" t="n"/>
      <c r="BB117" s="78" t="n"/>
      <c r="BC117" s="78" t="n"/>
      <c r="BD117" s="78" t="n"/>
      <c r="BE117" s="78" t="n"/>
      <c r="BF117" s="78" t="n"/>
      <c r="BG117" s="78" t="n"/>
      <c r="BH117" s="78" t="n"/>
      <c r="BI117" s="78" t="n"/>
      <c r="BJ117" s="78" t="n"/>
      <c r="BK117" s="78" t="n"/>
      <c r="BL117" s="78" t="n"/>
      <c r="BM117" s="78" t="n"/>
      <c r="BN117" s="78" t="n"/>
      <c r="BO117" s="78" t="n"/>
      <c r="BP117" s="78" t="n"/>
      <c r="BQ117" s="78" t="n"/>
      <c r="BR117" s="78" t="n"/>
      <c r="BS117" s="78" t="n"/>
      <c r="BT117" s="78" t="n"/>
      <c r="BU117" s="78" t="n"/>
      <c r="BV117" s="78" t="n"/>
      <c r="BW117" s="78" t="n"/>
      <c r="BX117" s="78" t="n"/>
    </row>
    <row r="118" customFormat="1" s="64">
      <c r="A118" s="45" t="inlineStr">
        <is>
          <t>WA</t>
        </is>
      </c>
      <c r="B118" s="46" t="inlineStr">
        <is>
          <t>Pathologists</t>
        </is>
      </c>
      <c r="C118" s="54" t="n"/>
      <c r="D118" s="45" t="n"/>
      <c r="E118" s="55" t="n"/>
      <c r="F118" s="45" t="n"/>
      <c r="G118" s="45" t="n"/>
      <c r="H118" s="56" t="n"/>
      <c r="I118" s="56" t="n"/>
      <c r="J118" s="56" t="n"/>
      <c r="K118" s="59">
        <f>(K32*$AS32)/$AV32</f>
        <v/>
      </c>
      <c r="L118" s="59" t="n"/>
      <c r="M118" s="59" t="n"/>
      <c r="N118" s="58" t="n"/>
      <c r="O118" s="58" t="n"/>
      <c r="P118" s="58" t="n"/>
      <c r="Q118" s="59" t="n"/>
      <c r="R118" s="59" t="n"/>
      <c r="S118" s="59" t="n"/>
      <c r="T118" s="59">
        <f>(T32*$AS32)/$AV32</f>
        <v/>
      </c>
      <c r="U118" s="59" t="n"/>
      <c r="V118" s="57" t="n"/>
      <c r="W118" s="57">
        <f>(W32*$AS32)/$AV32</f>
        <v/>
      </c>
      <c r="X118" s="57" t="n"/>
      <c r="Y118" s="59" t="n"/>
      <c r="Z118" s="59">
        <f>(Z32*$AS32)/$AV32</f>
        <v/>
      </c>
      <c r="AA118" s="59" t="n"/>
      <c r="AB118" s="57" t="n"/>
      <c r="AC118" s="57">
        <f>(AC32*$AS32)/$AV32</f>
        <v/>
      </c>
      <c r="AD118" s="57" t="n"/>
      <c r="AE118" s="59" t="n"/>
      <c r="AF118" s="59">
        <f>(AF32*$AS32)/$AV32</f>
        <v/>
      </c>
      <c r="AG118" s="59" t="n"/>
      <c r="AH118" s="59" t="n"/>
      <c r="AI118" s="59">
        <f>(AI32)/$AV32</f>
        <v/>
      </c>
      <c r="AJ118" s="59" t="n"/>
      <c r="AK118" s="74" t="n"/>
      <c r="AL118" s="59">
        <f>(AL32/52*$AS32)/$AV32</f>
        <v/>
      </c>
      <c r="AM118" s="59" t="n"/>
      <c r="AN118" s="59" t="n"/>
      <c r="AO118" s="59">
        <f>(AO32*$AS32)/$AV32</f>
        <v/>
      </c>
      <c r="AP118" s="59" t="n"/>
      <c r="AQ118" s="62" t="n"/>
      <c r="AR118" s="59">
        <f>(AR32)/$AV32</f>
        <v/>
      </c>
      <c r="AS118" s="59">
        <f>(AS32)/$AV32</f>
        <v/>
      </c>
      <c r="AT118" s="59">
        <f>(AT32)/$AV32</f>
        <v/>
      </c>
      <c r="BA118" s="78" t="n"/>
      <c r="BB118" s="78" t="n"/>
      <c r="BC118" s="78" t="n"/>
      <c r="BD118" s="78" t="n"/>
      <c r="BE118" s="78" t="n"/>
      <c r="BF118" s="78" t="n"/>
      <c r="BG118" s="78" t="n"/>
      <c r="BH118" s="78" t="n"/>
      <c r="BI118" s="78" t="n"/>
      <c r="BJ118" s="78" t="n"/>
      <c r="BK118" s="78" t="n"/>
      <c r="BL118" s="78" t="n"/>
      <c r="BM118" s="78" t="n"/>
      <c r="BN118" s="78" t="n"/>
      <c r="BO118" s="78" t="n"/>
      <c r="BP118" s="78" t="n"/>
      <c r="BQ118" s="78" t="n"/>
      <c r="BR118" s="78" t="n"/>
      <c r="BS118" s="78" t="n"/>
      <c r="BT118" s="78" t="n"/>
      <c r="BU118" s="78" t="n"/>
      <c r="BV118" s="78" t="n"/>
      <c r="BW118" s="78" t="n"/>
      <c r="BX118" s="78" t="n"/>
    </row>
    <row r="120" customFormat="1" s="64">
      <c r="A120" s="45" t="inlineStr">
        <is>
          <t>ALL</t>
        </is>
      </c>
      <c r="B120" s="46" t="inlineStr">
        <is>
          <t>Lab technician</t>
        </is>
      </c>
      <c r="C120" s="54" t="n"/>
      <c r="D120" s="45" t="n"/>
      <c r="E120" s="55" t="n"/>
      <c r="F120" s="45" t="n"/>
      <c r="G120" s="45" t="n"/>
      <c r="H120" s="56" t="n"/>
      <c r="I120" s="56" t="n"/>
      <c r="J120" s="56" t="n"/>
      <c r="K120" s="72">
        <f>TEXT((AVERAGE(K28,K22,K16,K10,K4)*$AS4/$AV4), "0.0%") &amp; " (" &amp; TEXT((MIN(K28,K22,K16,K10,K4)*$AS4/$AV4), "0.0%") &amp; " - " &amp; TEXT((MAX(K28,K22,K16,K10,K4)*$AS4/$AV4), "0.0%") &amp; ")"</f>
        <v/>
      </c>
      <c r="L120" s="72" t="n"/>
      <c r="M120" s="72" t="n"/>
      <c r="N120" s="58" t="n"/>
      <c r="O120" s="58" t="n"/>
      <c r="P120" s="58" t="n"/>
      <c r="Q120" s="59" t="n"/>
      <c r="R120" s="59" t="n"/>
      <c r="S120" s="59" t="n"/>
      <c r="T120" s="72">
        <f>TEXT((AVERAGE(T28,T22,T16,T10,T4)*$AS4/$AV4), "0.0%") &amp; " (" &amp; TEXT((MIN(T28,T22,T16,T10,T4)*$AS4/$AV4), "0.0%") &amp; " - " &amp; TEXT((MAX(T28,T22,T16,T10,T4)*$AS4/$AV4), "0.0%") &amp; ")"</f>
        <v/>
      </c>
      <c r="U120" s="72" t="n"/>
      <c r="V120" s="72" t="n"/>
      <c r="W120" s="72">
        <f>TEXT((AVERAGE(W28,W22,W16,W10,W4)*$AS4/$AV4), "0.0%") &amp; " (" &amp; TEXT((MIN(W28,W22,W16,W10,W4)*$AS4/$AV4), "0.0%") &amp; " - " &amp; TEXT((MAX(W28,W22,W16,W10,W4)*$AS4/$AV4), "0.0%") &amp; ")"</f>
        <v/>
      </c>
      <c r="X120" s="72" t="n"/>
      <c r="Y120" s="72" t="n"/>
      <c r="Z120" s="72">
        <f>TEXT((AVERAGE(Z28,Z22,Z16,Z10,Z4)*$AS4/$AV4), "0.0%") &amp; " (" &amp; TEXT((MIN(Z28,Z22,Z16,Z10,Z4)*$AS4/$AV4), "0.0%") &amp; " - " &amp; TEXT((MAX(Z28,Z22,Z16,Z10,Z4)*$AS4/$AV4), "0.0%") &amp; ")"</f>
        <v/>
      </c>
      <c r="AA120" s="72" t="n"/>
      <c r="AB120" s="72" t="n"/>
      <c r="AC120" s="72">
        <f>TEXT((AVERAGE(AC28,AC22,AC16,AC10,AC4)*$AS4/$AV4), "0.0%") &amp; " (" &amp; TEXT((MIN(AC28,AC22,AC16,AC10,AC4)*$AS4/$AV4), "0.0%") &amp; " - " &amp; TEXT((MAX(AC28,AC22,AC16,AC10,AC4)*$AS4/$AV4), "0.0%") &amp; ")"</f>
        <v/>
      </c>
      <c r="AD120" s="72" t="n"/>
      <c r="AE120" s="72" t="n"/>
      <c r="AF120" s="72">
        <f>TEXT((AVERAGE(AF28,AF22,AF16,AF10,AF4)*$AS4/$AV4), "0.0%") &amp; " (" &amp; TEXT((MIN(AF28,AF22,AF16,AF10,AF4)*$AS4/$AV4), "0.0%") &amp; " - " &amp; TEXT((MAX(AF28,AF22,AF16,AF10,AF4)*$AS4/$AV4), "0.0%") &amp; ")"</f>
        <v/>
      </c>
      <c r="AG120" s="72" t="n"/>
      <c r="AH120" s="72" t="n"/>
      <c r="AI120" s="72">
        <f>TEXT((AVERAGE(AI28,AI22,AI16,AI10,AI4)/$AV4), "0.0%") &amp; " (" &amp; TEXT((MIN(AI28,AI22,AI16,AI10,AI4)/$AV4), "0.0%") &amp; " - " &amp; TEXT((MAX(AI28,AI22,AI16,AI10,AI4)/$AV4), "0.0%") &amp; ")"</f>
        <v/>
      </c>
      <c r="AJ120" s="72" t="n"/>
      <c r="AK120" s="76" t="n"/>
      <c r="AL120" s="72">
        <f>TEXT((AVERAGE(AL28,AL22,AL16,AL10,AL4)/52*$AS4/$AV4), "0.0%") &amp; " (" &amp; TEXT((MIN(AL28,AL22,AL16,AL10,AL4)/52*$AS4/$AV4), "0.0%") &amp; " - " &amp; TEXT((MAX(AL28,AL22,AL16,AL10,AL4)/52*$AS4/$AV4), "0.0%") &amp; ")"</f>
        <v/>
      </c>
      <c r="AM120" s="72" t="n"/>
      <c r="AN120" s="72" t="n"/>
      <c r="AO120" s="72">
        <f>TEXT((AVERAGE(AO28,AO22,AO16,AO10,AO4)*$AS4/$AV4), "0.0%") &amp; " (" &amp; TEXT((MIN(AO28,AO22,AO16,AO10,AO4)*$AS4/$AV4), "0.0%") &amp; " - " &amp; TEXT((MAX(AO28,AO22,AO16,AO10,AO4)*$AS4/$AV4), "0.0%") &amp; ")"</f>
        <v/>
      </c>
      <c r="AP120" s="72" t="n"/>
      <c r="AQ120" s="62" t="n"/>
      <c r="AR120" s="72">
        <f>TEXT((AVERAGE(AR28,AR22,AR16,AR10,AR4)/$AV4), "0.0%") &amp; " (" &amp; TEXT((MIN(AR28,AR22,AR16,AR10,AR4)/$AV4), "0.0%") &amp; " - " &amp; TEXT((MAX(AR28,AR22,AR16,AR10,AR4)/$AV4), "0.0%") &amp; ")"</f>
        <v/>
      </c>
      <c r="AS120" s="72">
        <f>TEXT((AVERAGE(AS28,AS22,AS16,AS10,AS4)/$AV4), "0.0%") &amp; " (" &amp; TEXT((MIN(AS28,AS22,AS16,AS10,AS4)/$AV4), "0.0%") &amp; " - " &amp; TEXT((MAX(AS28,AS22,AS16,AS10,AS4)/$AV4), "0.0%") &amp; ")"</f>
        <v/>
      </c>
      <c r="AT120" s="72">
        <f>TEXT((AVERAGE(AT28,AT22,AT16,AT10,AT4)/$AV4), "0.0%") &amp; " (" &amp; TEXT((MIN(AT28,AT22,AT16,AT10,AT4)/$AV4), "0.0%") &amp; " - " &amp; TEXT((MAX(AT28,AT22,AT16,AT10,AT4)/$AV4), "0.0%") &amp; ")"</f>
        <v/>
      </c>
      <c r="BA120" s="78" t="n"/>
      <c r="BB120" s="78" t="n"/>
      <c r="BC120" s="78" t="n"/>
      <c r="BD120" s="78" t="n"/>
      <c r="BE120" s="78" t="n"/>
      <c r="BF120" s="78" t="n"/>
      <c r="BG120" s="78" t="n"/>
      <c r="BH120" s="78" t="n"/>
      <c r="BI120" s="78" t="n"/>
      <c r="BJ120" s="78" t="n"/>
      <c r="BK120" s="78" t="n"/>
      <c r="BL120" s="78" t="n"/>
      <c r="BM120" s="78" t="n"/>
      <c r="BN120" s="78" t="n"/>
      <c r="BO120" s="78" t="n"/>
      <c r="BP120" s="78" t="n"/>
      <c r="BQ120" s="78" t="n"/>
      <c r="BR120" s="78" t="n"/>
      <c r="BS120" s="78" t="n"/>
      <c r="BT120" s="78" t="n"/>
      <c r="BU120" s="78" t="n"/>
      <c r="BV120" s="78" t="n"/>
      <c r="BW120" s="78" t="n"/>
      <c r="BX120" s="78" t="n"/>
    </row>
    <row r="121" customFormat="1" s="64">
      <c r="A121" s="45" t="inlineStr">
        <is>
          <t>ALL</t>
        </is>
      </c>
      <c r="B121" s="46" t="inlineStr">
        <is>
          <t>Medical scientist</t>
        </is>
      </c>
      <c r="C121" s="54" t="n"/>
      <c r="D121" s="45" t="n"/>
      <c r="E121" s="55" t="n"/>
      <c r="F121" s="45" t="n"/>
      <c r="G121" s="45" t="n"/>
      <c r="H121" s="56" t="n"/>
      <c r="I121" s="56" t="n"/>
      <c r="J121" s="56" t="n"/>
      <c r="K121" s="72">
        <f>TEXT((AVERAGE(K29,K23,K17,K11,K5)*$AS5/$AV5), "0.0%") &amp; " (" &amp; TEXT((MIN(K29,K23,K17,K11,K5)*$AS5/$AV5), "0.0%") &amp; " - " &amp; TEXT((MAX(K29,K23,K17,K11,K5)*$AS5/$AV5), "0.0%") &amp; ")"</f>
        <v/>
      </c>
      <c r="L121" s="72" t="n"/>
      <c r="M121" s="72" t="n"/>
      <c r="N121" s="58" t="n"/>
      <c r="O121" s="58" t="n"/>
      <c r="P121" s="58" t="n"/>
      <c r="Q121" s="59" t="n"/>
      <c r="R121" s="59" t="n"/>
      <c r="S121" s="59" t="n"/>
      <c r="T121" s="72">
        <f>TEXT((AVERAGE(T29,T23,T17,T11,T5)*$AS5/$AV5), "0.0%") &amp; " (" &amp; TEXT((MIN(T29,T23,T17,T11,T5)*$AS5/$AV5), "0.0%") &amp; " - " &amp; TEXT((MAX(T29,T23,T17,T11,T5)*$AS5/$AV5), "0.0%") &amp; ")"</f>
        <v/>
      </c>
      <c r="U121" s="72" t="n"/>
      <c r="V121" s="72" t="n"/>
      <c r="W121" s="72">
        <f>TEXT((AVERAGE(W29,W23,W17,W11,W5)*$AS5/$AV5), "0.0%") &amp; " (" &amp; TEXT((MIN(W29,W23,W17,W11,W5)*$AS5/$AV5), "0.0%") &amp; " - " &amp; TEXT((MAX(W29,W23,W17,W11,W5)*$AS5/$AV5), "0.0%") &amp; ")"</f>
        <v/>
      </c>
      <c r="X121" s="72" t="n"/>
      <c r="Y121" s="72" t="n"/>
      <c r="Z121" s="72">
        <f>TEXT((AVERAGE(Z29,Z23,Z17,Z11,Z5)*$AS5/$AV5), "0.0%") &amp; " (" &amp; TEXT((MIN(Z29,Z23,Z17,Z11,Z5)*$AS5/$AV5), "0.0%") &amp; " - " &amp; TEXT((MAX(Z29,Z23,Z17,Z11,Z5)*$AS5/$AV5), "0.0%") &amp; ")"</f>
        <v/>
      </c>
      <c r="AA121" s="72" t="n"/>
      <c r="AB121" s="72" t="n"/>
      <c r="AC121" s="72">
        <f>TEXT((AVERAGE(AC29,AC23,AC17,AC11,AC5)*$AS5/$AV5), "0.0%") &amp; " (" &amp; TEXT((MIN(AC29,AC23,AC17,AC11,AC5)*$AS5/$AV5), "0.0%") &amp; " - " &amp; TEXT((MAX(AC29,AC23,AC17,AC11,AC5)*$AS5/$AV5), "0.0%") &amp; ")"</f>
        <v/>
      </c>
      <c r="AD121" s="72" t="n"/>
      <c r="AE121" s="72" t="n"/>
      <c r="AF121" s="72">
        <f>TEXT((AVERAGE(AF29,AF23,AF17,AF11,AF5)*$AS5/$AV5), "0.0%") &amp; " (" &amp; TEXT((MIN(AF29,AF23,AF17,AF11,AF5)*$AS5/$AV5), "0.0%") &amp; " - " &amp; TEXT((MAX(AF29,AF23,AF17,AF11,AF5)*$AS5/$AV5), "0.0%") &amp; ")"</f>
        <v/>
      </c>
      <c r="AG121" s="72" t="n"/>
      <c r="AH121" s="72" t="n"/>
      <c r="AI121" s="72">
        <f>TEXT((AVERAGE(AI29,AI23,AI17,AI11,AI5)/$AV5), "0.0%") &amp; " (" &amp; TEXT((MIN(AI29,AI23,AI17,AI11,AI5)/$AV5), "0.0%") &amp; " - " &amp; TEXT((MAX(AI29,AI23,AI17,AI11,AI5)/$AV5), "0.0%") &amp; ")"</f>
        <v/>
      </c>
      <c r="AJ121" s="72" t="n"/>
      <c r="AK121" s="76" t="n"/>
      <c r="AL121" s="72">
        <f>TEXT((AVERAGE(AL29,AL23,AL17,AL11,AL5)/52*$AS5/$AV5), "0.0%") &amp; " (" &amp; TEXT((MIN(AL29,AL23,AL17,AL11,AL5)/52*$AS5/$AV5), "0.0%") &amp; " - " &amp; TEXT((MAX(AL29,AL23,AL17,AL11,AL5)/52*$AS5/$AV5), "0.0%") &amp; ")"</f>
        <v/>
      </c>
      <c r="AM121" s="72" t="n"/>
      <c r="AN121" s="72" t="n"/>
      <c r="AO121" s="72">
        <f>TEXT((AVERAGE(AO29,AO23,AO17,AO11,AO5)*$AS5/$AV5), "0.0%") &amp; " (" &amp; TEXT((MIN(AO29,AO23,AO17,AO11,AO5)*$AS5/$AV5), "0.0%") &amp; " - " &amp; TEXT((MAX(AO29,AO23,AO17,AO11,AO5)*$AS5/$AV5), "0.0%") &amp; ")"</f>
        <v/>
      </c>
      <c r="AP121" s="72" t="n"/>
      <c r="AQ121" s="62" t="n"/>
      <c r="AR121" s="72">
        <f>TEXT((AVERAGE(AR29,AR23,AR17,AR11,AR5)/$AV5), "0.0%") &amp; " (" &amp; TEXT((MIN(AR29,AR23,AR17,AR11,AR5)/$AV5), "0.0%") &amp; " - " &amp; TEXT((MAX(AR29,AR23,AR17,AR11,AR5)/$AV5), "0.0%") &amp; ")"</f>
        <v/>
      </c>
      <c r="AS121" s="72">
        <f>TEXT((AVERAGE(AS29,AS23,AS17,AS11,AS5)/$AV5), "0.0%") &amp; " (" &amp; TEXT((MIN(AS29,AS23,AS17,AS11,AS5)/$AV5), "0.0%") &amp; " - " &amp; TEXT((MAX(AS29,AS23,AS17,AS11,AS5)/$AV5), "0.0%") &amp; ")"</f>
        <v/>
      </c>
      <c r="AT121" s="72">
        <f>TEXT((AVERAGE(AT29,AT23,AT17,AT11,AT5)/$AV5), "0.0%") &amp; " (" &amp; TEXT((MIN(AT29,AT23,AT17,AT11,AT5)/$AV5), "0.0%") &amp; " - " &amp; TEXT((MAX(AT29,AT23,AT17,AT11,AT5)/$AV5), "0.0%") &amp; ")"</f>
        <v/>
      </c>
      <c r="BA121" s="78" t="n"/>
      <c r="BB121" s="78" t="n"/>
      <c r="BC121" s="78" t="n"/>
      <c r="BD121" s="78" t="n"/>
      <c r="BE121" s="78" t="n"/>
      <c r="BF121" s="78" t="n"/>
      <c r="BG121" s="78" t="n"/>
      <c r="BH121" s="78" t="n"/>
      <c r="BI121" s="78" t="n"/>
      <c r="BJ121" s="78" t="n"/>
      <c r="BK121" s="78" t="n"/>
      <c r="BL121" s="78" t="n"/>
      <c r="BM121" s="78" t="n"/>
      <c r="BN121" s="78" t="n"/>
      <c r="BO121" s="78" t="n"/>
      <c r="BP121" s="78" t="n"/>
      <c r="BQ121" s="78" t="n"/>
      <c r="BR121" s="78" t="n"/>
      <c r="BS121" s="78" t="n"/>
      <c r="BT121" s="78" t="n"/>
      <c r="BU121" s="78" t="n"/>
      <c r="BV121" s="78" t="n"/>
      <c r="BW121" s="78" t="n"/>
      <c r="BX121" s="78" t="n"/>
    </row>
    <row r="122" customFormat="1" s="64">
      <c r="A122" s="45" t="inlineStr">
        <is>
          <t>ALL</t>
        </is>
      </c>
      <c r="B122" s="46" t="inlineStr">
        <is>
          <t>Admin staff</t>
        </is>
      </c>
      <c r="C122" s="54" t="n"/>
      <c r="D122" s="45" t="n"/>
      <c r="E122" s="55" t="n"/>
      <c r="F122" s="45" t="n"/>
      <c r="G122" s="45" t="n"/>
      <c r="H122" s="56" t="n"/>
      <c r="I122" s="56" t="n"/>
      <c r="J122" s="56" t="n"/>
      <c r="K122" s="72">
        <f>TEXT((AVERAGE(K30,K24,K18,K12,K6)*$AS6/$AV6), "0.0%") &amp; " (" &amp; TEXT((MIN(K30,K24,K18,K12,K6)*$AS6/$AV6), "0.0%") &amp; " - " &amp; TEXT((MAX(K30,K24,K18,K12,K6)*$AS6/$AV6), "0.0%") &amp; ")"</f>
        <v/>
      </c>
      <c r="L122" s="72" t="n"/>
      <c r="M122" s="72" t="n"/>
      <c r="N122" s="58" t="n"/>
      <c r="O122" s="58" t="n"/>
      <c r="P122" s="58" t="n"/>
      <c r="Q122" s="59" t="n"/>
      <c r="R122" s="59" t="n"/>
      <c r="S122" s="59" t="n"/>
      <c r="T122" s="72">
        <f>TEXT((AVERAGE(T30,T24,T18,T12,T6)*$AS6/$AV6), "0.0%") &amp; " (" &amp; TEXT((MIN(T30,T24,T18,T12,T6)*$AS6/$AV6), "0.0%") &amp; " - " &amp; TEXT((MAX(T30,T24,T18,T12,T6)*$AS6/$AV6), "0.0%") &amp; ")"</f>
        <v/>
      </c>
      <c r="U122" s="72" t="n"/>
      <c r="V122" s="72" t="n"/>
      <c r="W122" s="72">
        <f>TEXT((AVERAGE(W30,W24,W18,W12,W6)*$AS6/$AV6), "0.0%") &amp; " (" &amp; TEXT((MIN(W30,W24,W18,W12,W6)*$AS6/$AV6), "0.0%") &amp; " - " &amp; TEXT((MAX(W30,W24,W18,W12,W6)*$AS6/$AV6), "0.0%") &amp; ")"</f>
        <v/>
      </c>
      <c r="X122" s="72" t="n"/>
      <c r="Y122" s="72" t="n"/>
      <c r="Z122" s="72">
        <f>TEXT((AVERAGE(Z30,Z24,Z18,Z12,Z6)*$AS6/$AV6), "0.0%") &amp; " (" &amp; TEXT((MIN(Z30,Z24,Z18,Z12,Z6)*$AS6/$AV6), "0.0%") &amp; " - " &amp; TEXT((MAX(Z30,Z24,Z18,Z12,Z6)*$AS6/$AV6), "0.0%") &amp; ")"</f>
        <v/>
      </c>
      <c r="AA122" s="72" t="n"/>
      <c r="AB122" s="72" t="n"/>
      <c r="AC122" s="72">
        <f>TEXT((AVERAGE(AC30,AC24,AC18,AC12,AC6)*$AS6/$AV6), "0.0%") &amp; " (" &amp; TEXT((MIN(AC30,AC24,AC18,AC12,AC6)*$AS6/$AV6), "0.0%") &amp; " - " &amp; TEXT((MAX(AC30,AC24,AC18,AC12,AC6)*$AS6/$AV6), "0.0%") &amp; ")"</f>
        <v/>
      </c>
      <c r="AD122" s="72" t="n"/>
      <c r="AE122" s="72" t="n"/>
      <c r="AF122" s="72">
        <f>TEXT((AVERAGE(AF30,AF24,AF18,AF12,AF6)*$AS6/$AV6), "0.0%") &amp; " (" &amp; TEXT((MIN(AF30,AF24,AF18,AF12,AF6)*$AS6/$AV6), "0.0%") &amp; " - " &amp; TEXT((MAX(AF30,AF24,AF18,AF12,AF6)*$AS6/$AV6), "0.0%") &amp; ")"</f>
        <v/>
      </c>
      <c r="AG122" s="72" t="n"/>
      <c r="AH122" s="72" t="n"/>
      <c r="AI122" s="72">
        <f>TEXT((AVERAGE(AI30,AI24,AI18,AI12,AI6)/$AV6), "0.0%") &amp; " (" &amp; TEXT((MIN(AI30,AI24,AI18,AI12,AI6)/$AV6), "0.0%") &amp; " - " &amp; TEXT((MAX(AI30,AI24,AI18,AI12,AI6)/$AV6), "0.0%") &amp; ")"</f>
        <v/>
      </c>
      <c r="AJ122" s="72" t="n"/>
      <c r="AK122" s="76" t="n"/>
      <c r="AL122" s="72">
        <f>TEXT((AVERAGE(AL30,AL24,AL18,AL12,AL6)/52*$AS6/$AV6), "0.0%") &amp; " (" &amp; TEXT((MIN(AL30,AL24,AL18,AL12,AL6)/52*$AS6/$AV6), "0.0%") &amp; " - " &amp; TEXT((MAX(AL30,AL24,AL18,AL12,AL6)/52*$AS6/$AV6), "0.0%") &amp; ")"</f>
        <v/>
      </c>
      <c r="AM122" s="72" t="n"/>
      <c r="AN122" s="72" t="n"/>
      <c r="AO122" s="72">
        <f>TEXT((AVERAGE(AO30,AO24,AO18,AO12,AO6)*$AS6/$AV6), "0.0%") &amp; " (" &amp; TEXT((MIN(AO30,AO24,AO18,AO12,AO6)*$AS6/$AV6), "0.0%") &amp; " - " &amp; TEXT((MAX(AO30,AO24,AO18,AO12,AO6)*$AS6/$AV6), "0.0%") &amp; ")"</f>
        <v/>
      </c>
      <c r="AP122" s="72" t="n"/>
      <c r="AQ122" s="62" t="n"/>
      <c r="AR122" s="72">
        <f>TEXT((AVERAGE(AR30,AR24,AR18,AR12,AR6)/$AV6), "0.0%") &amp; " (" &amp; TEXT((MIN(AR30,AR24,AR18,AR12,AR6)/$AV6), "0.0%") &amp; " - " &amp; TEXT((MAX(AR30,AR24,AR18,AR12,AR6)/$AV6), "0.0%") &amp; ")"</f>
        <v/>
      </c>
      <c r="AS122" s="72">
        <f>TEXT((AVERAGE(AS30,AS24,AS18,AS12,AS6)/$AV6), "0.0%") &amp; " (" &amp; TEXT((MIN(AS30,AS24,AS18,AS12,AS6)/$AV6), "0.0%") &amp; " - " &amp; TEXT((MAX(AS30,AS24,AS18,AS12,AS6)/$AV6), "0.0%") &amp; ")"</f>
        <v/>
      </c>
      <c r="AT122" s="72">
        <f>TEXT((AVERAGE(AT30,AT24,AT18,AT12,AT6)/$AV6), "0.0%") &amp; " (" &amp; TEXT((MIN(AT30,AT24,AT18,AT12,AT6)/$AV6), "0.0%") &amp; " - " &amp; TEXT((MAX(AT30,AT24,AT18,AT12,AT6)/$AV6), "0.0%") &amp; ")"</f>
        <v/>
      </c>
      <c r="BA122" s="78" t="n"/>
      <c r="BB122" s="78" t="n"/>
      <c r="BC122" s="78" t="n"/>
      <c r="BD122" s="78" t="n"/>
      <c r="BE122" s="78" t="n"/>
      <c r="BF122" s="78" t="n"/>
      <c r="BG122" s="78" t="n"/>
      <c r="BH122" s="78" t="n"/>
      <c r="BI122" s="78" t="n"/>
      <c r="BJ122" s="78" t="n"/>
      <c r="BK122" s="78" t="n"/>
      <c r="BL122" s="78" t="n"/>
      <c r="BM122" s="78" t="n"/>
      <c r="BN122" s="78" t="n"/>
      <c r="BO122" s="78" t="n"/>
      <c r="BP122" s="78" t="n"/>
      <c r="BQ122" s="78" t="n"/>
      <c r="BR122" s="78" t="n"/>
      <c r="BS122" s="78" t="n"/>
      <c r="BT122" s="78" t="n"/>
      <c r="BU122" s="78" t="n"/>
      <c r="BV122" s="78" t="n"/>
      <c r="BW122" s="78" t="n"/>
      <c r="BX122" s="78" t="n"/>
    </row>
    <row r="123" customFormat="1" s="64">
      <c r="A123" s="45" t="inlineStr">
        <is>
          <t>ALL</t>
        </is>
      </c>
      <c r="B123" s="46" t="inlineStr">
        <is>
          <t>Bioinformatics staff</t>
        </is>
      </c>
      <c r="C123" s="54" t="n"/>
      <c r="D123" s="45" t="n"/>
      <c r="E123" s="55" t="n"/>
      <c r="F123" s="45" t="n"/>
      <c r="G123" s="45" t="n"/>
      <c r="H123" s="56" t="n"/>
      <c r="I123" s="56" t="n"/>
      <c r="J123" s="56" t="n"/>
      <c r="K123" s="72">
        <f>TEXT((AVERAGE(K31,K25,K19,K13,K7)*$AS7/$AV7), "0.0%") &amp; " (" &amp; TEXT((MIN(K31,K25,K19,K13,K7)*$AS7/$AV7), "0.0%") &amp; " - " &amp; TEXT((MAX(K31,K25,K19,K13,K7)*$AS7/$AV7), "0.0%") &amp; ")"</f>
        <v/>
      </c>
      <c r="L123" s="72" t="n"/>
      <c r="M123" s="72" t="n"/>
      <c r="N123" s="58" t="n"/>
      <c r="O123" s="58" t="n"/>
      <c r="P123" s="58" t="n"/>
      <c r="Q123" s="59" t="n"/>
      <c r="R123" s="59" t="n"/>
      <c r="S123" s="59" t="n"/>
      <c r="T123" s="72">
        <f>TEXT((AVERAGE(T31,T25,T19,T13,T7)*$AS7/$AV7), "0.0%") &amp; " (" &amp; TEXT((MIN(T31,T25,T19,T13,T7)*$AS7/$AV7), "0.0%") &amp; " - " &amp; TEXT((MAX(T31,T25,T19,T13,T7)*$AS7/$AV7), "0.0%") &amp; ")"</f>
        <v/>
      </c>
      <c r="U123" s="72" t="n"/>
      <c r="V123" s="72" t="n"/>
      <c r="W123" s="72">
        <f>TEXT((AVERAGE(W31,W25,W19,W13,W7)*$AS7/$AV7), "0.0%") &amp; " (" &amp; TEXT((MIN(W31,W25,W19,W13,W7)*$AS7/$AV7), "0.0%") &amp; " - " &amp; TEXT((MAX(W31,W25,W19,W13,W7)*$AS7/$AV7), "0.0%") &amp; ")"</f>
        <v/>
      </c>
      <c r="X123" s="72" t="n"/>
      <c r="Y123" s="72" t="n"/>
      <c r="Z123" s="72">
        <f>TEXT((AVERAGE(Z31,Z25,Z19,Z13,Z7)*$AS7/$AV7), "0.0%") &amp; " (" &amp; TEXT((MIN(Z31,Z25,Z19,Z13,Z7)*$AS7/$AV7), "0.0%") &amp; " - " &amp; TEXT((MAX(Z31,Z25,Z19,Z13,Z7)*$AS7/$AV7), "0.0%") &amp; ")"</f>
        <v/>
      </c>
      <c r="AA123" s="72" t="n"/>
      <c r="AB123" s="72" t="n"/>
      <c r="AC123" s="72">
        <f>TEXT((AVERAGE(AC31,AC25,AC19,AC13,AC7)*$AS7/$AV7), "0.0%") &amp; " (" &amp; TEXT((MIN(AC31,AC25,AC19,AC13,AC7)*$AS7/$AV7), "0.0%") &amp; " - " &amp; TEXT((MAX(AC31,AC25,AC19,AC13,AC7)*$AS7/$AV7), "0.0%") &amp; ")"</f>
        <v/>
      </c>
      <c r="AD123" s="72" t="n"/>
      <c r="AE123" s="72" t="n"/>
      <c r="AF123" s="72">
        <f>TEXT((AVERAGE(AF31,AF25,AF19,AF13,AF7)*$AS7/$AV7), "0.0%") &amp; " (" &amp; TEXT((MIN(AF31,AF25,AF19,AF13,AF7)*$AS7/$AV7), "0.0%") &amp; " - " &amp; TEXT((MAX(AF31,AF25,AF19,AF13,AF7)*$AS7/$AV7), "0.0%") &amp; ")"</f>
        <v/>
      </c>
      <c r="AG123" s="72" t="n"/>
      <c r="AH123" s="72" t="n"/>
      <c r="AI123" s="72">
        <f>TEXT((AVERAGE(AI31,AI25,AI19,AI13,AI7)/$AV7), "0.0%") &amp; " (" &amp; TEXT((MIN(AI31,AI25,AI19,AI13,AI7)/$AV7), "0.0%") &amp; " - " &amp; TEXT((MAX(AI31,AI25,AI19,AI13,AI7)/$AV7), "0.0%") &amp; ")"</f>
        <v/>
      </c>
      <c r="AJ123" s="72" t="n"/>
      <c r="AK123" s="76" t="n"/>
      <c r="AL123" s="72">
        <f>TEXT((AVERAGE(AL31,AL25,AL19,AL13,AL7)/52*$AS7/$AV7), "0.0%") &amp; " (" &amp; TEXT((MIN(AL31,AL25,AL19,AL13,AL7)/52*$AS7/$AV7), "0.0%") &amp; " - " &amp; TEXT((MAX(AL31,AL25,AL19,AL13,AL7)/52*$AS7/$AV7), "0.0%") &amp; ")"</f>
        <v/>
      </c>
      <c r="AM123" s="72" t="n"/>
      <c r="AN123" s="72" t="n"/>
      <c r="AO123" s="72">
        <f>TEXT((AVERAGE(AO31,AO25,AO19,AO13,AO7)*$AS7/$AV7), "0.0%") &amp; " (" &amp; TEXT((MIN(AO31,AO25,AO19,AO13,AO7)*$AS7/$AV7), "0.0%") &amp; " - " &amp; TEXT((MAX(AO31,AO25,AO19,AO13,AO7)*$AS7/$AV7), "0.0%") &amp; ")"</f>
        <v/>
      </c>
      <c r="AP123" s="72" t="n"/>
      <c r="AQ123" s="62" t="n"/>
      <c r="AR123" s="72">
        <f>TEXT((AVERAGE(AR31,AR25,AR19,AR13,AR7)/$AV7), "0.0%") &amp; " (" &amp; TEXT((MIN(AR31,AR25,AR19,AR13,AR7)/$AV7), "0.0%") &amp; " - " &amp; TEXT((MAX(AR31,AR25,AR19,AR13,AR7)/$AV7), "0.0%") &amp; ")"</f>
        <v/>
      </c>
      <c r="AS123" s="72">
        <f>TEXT((AVERAGE(AS31,AS25,AS19,AS13,AS7)/$AV7), "0.0%") &amp; " (" &amp; TEXT((MIN(AS31,AS25,AS19,AS13,AS7)/$AV7), "0.0%") &amp; " - " &amp; TEXT((MAX(AS31,AS25,AS19,AS13,AS7)/$AV7), "0.0%") &amp; ")"</f>
        <v/>
      </c>
      <c r="AT123" s="72">
        <f>TEXT((AVERAGE(AT31,AT25,AT19,AT13,AT7)/$AV7), "0.0%") &amp; " (" &amp; TEXT((MIN(AT31,AT25,AT19,AT13,AT7)/$AV7), "0.0%") &amp; " - " &amp; TEXT((MAX(AT31,AT25,AT19,AT13,AT7)/$AV7), "0.0%") &amp; ")"</f>
        <v/>
      </c>
      <c r="BA123" s="78" t="n"/>
      <c r="BB123" s="78" t="n"/>
      <c r="BC123" s="78" t="n"/>
      <c r="BD123" s="78" t="n"/>
      <c r="BE123" s="78" t="n"/>
      <c r="BF123" s="78" t="n"/>
      <c r="BG123" s="78" t="n"/>
      <c r="BH123" s="78" t="n"/>
      <c r="BI123" s="78" t="n"/>
      <c r="BJ123" s="78" t="n"/>
      <c r="BK123" s="78" t="n"/>
      <c r="BL123" s="78" t="n"/>
      <c r="BM123" s="78" t="n"/>
      <c r="BN123" s="78" t="n"/>
      <c r="BO123" s="78" t="n"/>
      <c r="BP123" s="78" t="n"/>
      <c r="BQ123" s="78" t="n"/>
      <c r="BR123" s="78" t="n"/>
      <c r="BS123" s="78" t="n"/>
      <c r="BT123" s="78" t="n"/>
      <c r="BU123" s="78" t="n"/>
      <c r="BV123" s="78" t="n"/>
      <c r="BW123" s="78" t="n"/>
      <c r="BX123" s="78" t="n"/>
    </row>
    <row r="124" customFormat="1" s="64">
      <c r="A124" s="45" t="inlineStr">
        <is>
          <t>ALL</t>
        </is>
      </c>
      <c r="B124" s="46" t="inlineStr">
        <is>
          <t>Pathologists</t>
        </is>
      </c>
      <c r="C124" s="54" t="n"/>
      <c r="D124" s="45" t="n"/>
      <c r="E124" s="55" t="n"/>
      <c r="F124" s="45" t="n"/>
      <c r="G124" s="45" t="n"/>
      <c r="H124" s="56" t="n"/>
      <c r="I124" s="56" t="n"/>
      <c r="J124" s="56" t="n"/>
      <c r="K124" s="72">
        <f>TEXT((AVERAGE(K32,K26,K20,K14,K8)*$AS8/$AV8), "0.0%") &amp; " (" &amp; TEXT((MIN(K32,K26,K20,K14,K8)*$AS8/$AV8), "0.0%") &amp; " - " &amp; TEXT((MAX(K32,K26,K20,K14,K8)*$AS8/$AV8), "0.0%") &amp; ")"</f>
        <v/>
      </c>
      <c r="L124" s="72" t="n"/>
      <c r="M124" s="72" t="n"/>
      <c r="N124" s="58" t="n"/>
      <c r="O124" s="58" t="n"/>
      <c r="P124" s="58" t="n"/>
      <c r="Q124" s="59" t="n"/>
      <c r="R124" s="59" t="n"/>
      <c r="S124" s="59" t="n"/>
      <c r="T124" s="72">
        <f>TEXT((AVERAGE(T32,T26,T20,T14,T8)*$AS8/$AV8), "0.0%") &amp; " (" &amp; TEXT((MIN(T32,T26,T20,T14,T8)*$AS8/$AV8), "0.0%") &amp; " - " &amp; TEXT((MAX(T32,T26,T20,T14,T8)*$AS8/$AV8), "0.0%") &amp; ")"</f>
        <v/>
      </c>
      <c r="U124" s="72" t="n"/>
      <c r="V124" s="72" t="n"/>
      <c r="W124" s="72">
        <f>TEXT((AVERAGE(W32,W26,W20,W14,W8)*$AS8/$AV8), "0.0%") &amp; " (" &amp; TEXT((MIN(W32,W26,W20,W14,W8)*$AS8/$AV8), "0.0%") &amp; " - " &amp; TEXT((MAX(W32,W26,W20,W14,W8)*$AS8/$AV8), "0.0%") &amp; ")"</f>
        <v/>
      </c>
      <c r="X124" s="72" t="n"/>
      <c r="Y124" s="72" t="n"/>
      <c r="Z124" s="72">
        <f>TEXT((AVERAGE(Z32,Z26,Z20,Z14,Z8)*$AS8/$AV8), "0.0%") &amp; " (" &amp; TEXT((MIN(Z32,Z26,Z20,Z14,Z8)*$AS8/$AV8), "0.0%") &amp; " - " &amp; TEXT((MAX(Z32,Z26,Z20,Z14,Z8)*$AS8/$AV8), "0.0%") &amp; ")"</f>
        <v/>
      </c>
      <c r="AA124" s="72" t="n"/>
      <c r="AB124" s="72" t="n"/>
      <c r="AC124" s="72">
        <f>TEXT((AVERAGE(AC32,AC26,AC20,AC14,AC8)*$AS8/$AV8), "0.0%") &amp; " (" &amp; TEXT((MIN(AC32,AC26,AC20,AC14,AC8)*$AS8/$AV8), "0.0%") &amp; " - " &amp; TEXT((MAX(AC32,AC26,AC20,AC14,AC8)*$AS8/$AV8), "0.0%") &amp; ")"</f>
        <v/>
      </c>
      <c r="AD124" s="72" t="n"/>
      <c r="AE124" s="72" t="n"/>
      <c r="AF124" s="72">
        <f>TEXT((AVERAGE(AF32,AF26,AF20,AF14,AF8)*$AS8/$AV8), "0.0%") &amp; " (" &amp; TEXT((MIN(AF32,AF26,AF20,AF14,AF8)*$AS8/$AV8), "0.0%") &amp; " - " &amp; TEXT((MAX(AF32,AF26,AF20,AF14,AF8)*$AS8/$AV8), "0.0%") &amp; ")"</f>
        <v/>
      </c>
      <c r="AG124" s="72" t="n"/>
      <c r="AH124" s="72" t="n"/>
      <c r="AI124" s="72">
        <f>TEXT((AVERAGE(AI32,AI26,AI20,AI14,AI8)/$AV8), "0.0%") &amp; " (" &amp; TEXT((MIN(AI32,AI26,AI20,AI14,AI8)/$AV8), "0.0%") &amp; " - " &amp; TEXT((MAX(AI32,AI26,AI20,AI14,AI8)/$AV8), "0.0%") &amp; ")"</f>
        <v/>
      </c>
      <c r="AJ124" s="72" t="n"/>
      <c r="AK124" s="76" t="n"/>
      <c r="AL124" s="72">
        <f>TEXT((AVERAGE(AL32,AL26,AL20,AL14,AL8)/52*$AS8/$AV8), "0.0%") &amp; " (" &amp; TEXT((MIN(AL32,AL26,AL20,AL14,AL8)/52*$AS8/$AV8), "0.0%") &amp; " - " &amp; TEXT((MAX(AL32,AL26,AL20,AL14,AL8)/52*$AS8/$AV8), "0.0%") &amp; ")"</f>
        <v/>
      </c>
      <c r="AM124" s="72" t="n"/>
      <c r="AN124" s="72" t="n"/>
      <c r="AO124" s="72">
        <f>TEXT((AVERAGE(AO32,AO26,AO20,AO14,AO8)*$AS8/$AV8), "0.0%") &amp; " (" &amp; TEXT((MIN(AO32,AO26,AO20,AO14,AO8)*$AS8/$AV8), "0.0%") &amp; " - " &amp; TEXT((MAX(AO32,AO26,AO20,AO14,AO8)*$AS8/$AV8), "0.0%") &amp; ")"</f>
        <v/>
      </c>
      <c r="AP124" s="72" t="n"/>
      <c r="AQ124" s="62" t="n"/>
      <c r="AR124" s="72">
        <f>TEXT((AVERAGE(AR32,AR26,AR20,AR14,AR8)/$AV8), "0.0%") &amp; " (" &amp; TEXT((MIN(AR32,AR26,AR20,AR14,AR8)/$AV8), "0.0%") &amp; " - " &amp; TEXT((MAX(AR32,AR26,AR20,AR14,AR8)/$AV8), "0.0%") &amp; ")"</f>
        <v/>
      </c>
      <c r="AS124" s="72">
        <f>TEXT((AVERAGE(AS32,AS26,AS20,AS14,AS8)/$AV8), "0.0%") &amp; " (" &amp; TEXT((MIN(AS32,AS26,AS20,AS14,AS8)/$AV8), "0.0%") &amp; " - " &amp; TEXT((MAX(AS32,AS26,AS20,AS14,AS8)/$AV8), "0.0%") &amp; ")"</f>
        <v/>
      </c>
      <c r="AT124" s="72">
        <f>TEXT((AVERAGE(AT32,AT26,AT20,AT14,AT8)/$AV8), "0.0%") &amp; " (" &amp; TEXT((MIN(AT32,AT26,AT20,AT14,AT8)/$AV8), "0.0%") &amp; " - " &amp; TEXT((MAX(AT32,AT26,AT20,AT14,AT8)/$AV8), "0.0%") &amp; ")"</f>
        <v/>
      </c>
      <c r="BA124" s="78" t="n"/>
      <c r="BB124" s="78" t="n"/>
      <c r="BC124" s="78" t="n"/>
      <c r="BD124" s="78" t="n"/>
      <c r="BE124" s="78" t="n"/>
      <c r="BF124" s="78" t="n"/>
      <c r="BG124" s="78" t="n"/>
      <c r="BH124" s="78" t="n"/>
      <c r="BI124" s="78" t="n"/>
      <c r="BJ124" s="78" t="n"/>
      <c r="BK124" s="78" t="n"/>
      <c r="BL124" s="78" t="n"/>
      <c r="BM124" s="78" t="n"/>
      <c r="BN124" s="78" t="n"/>
      <c r="BO124" s="78" t="n"/>
      <c r="BP124" s="78" t="n"/>
      <c r="BQ124" s="78" t="n"/>
      <c r="BR124" s="78" t="n"/>
      <c r="BS124" s="78" t="n"/>
      <c r="BT124" s="78" t="n"/>
      <c r="BU124" s="78" t="n"/>
      <c r="BV124" s="78" t="n"/>
      <c r="BW124" s="78" t="n"/>
      <c r="BX124" s="78" t="n"/>
    </row>
  </sheetData>
  <mergeCells count="45">
    <mergeCell ref="AX2:AZ2"/>
    <mergeCell ref="BD2:BF2"/>
    <mergeCell ref="Y2:AA2"/>
    <mergeCell ref="AE2:AG2"/>
    <mergeCell ref="CZ2:DB2"/>
    <mergeCell ref="BM1:BR1"/>
    <mergeCell ref="BY2:CA2"/>
    <mergeCell ref="BG1:BL1"/>
    <mergeCell ref="BP2:BR2"/>
    <mergeCell ref="BJ2:BL2"/>
    <mergeCell ref="P2:R2"/>
    <mergeCell ref="CK2:CM2"/>
    <mergeCell ref="BS1:BX1"/>
    <mergeCell ref="CW2:CY2"/>
    <mergeCell ref="AB2:AD2"/>
    <mergeCell ref="BV2:BX2"/>
    <mergeCell ref="AN2:AP2"/>
    <mergeCell ref="BG2:BI2"/>
    <mergeCell ref="CE1:CJ1"/>
    <mergeCell ref="CH2:CJ2"/>
    <mergeCell ref="CQ1:CV1"/>
    <mergeCell ref="AR2:AT2"/>
    <mergeCell ref="AH2:AJ2"/>
    <mergeCell ref="BA1:BF1"/>
    <mergeCell ref="BS2:BU2"/>
    <mergeCell ref="J2:L2"/>
    <mergeCell ref="AK2:AM2"/>
    <mergeCell ref="CT2:CV2"/>
    <mergeCell ref="AR1:AZ1"/>
    <mergeCell ref="DF2:DH2"/>
    <mergeCell ref="CE2:CG2"/>
    <mergeCell ref="AU2:AW2"/>
    <mergeCell ref="CQ2:CS2"/>
    <mergeCell ref="DC1:DH1"/>
    <mergeCell ref="BY1:CD1"/>
    <mergeCell ref="V2:X2"/>
    <mergeCell ref="BA2:BC2"/>
    <mergeCell ref="DC2:DE2"/>
    <mergeCell ref="CB2:CD2"/>
    <mergeCell ref="CN2:CP2"/>
    <mergeCell ref="CK1:CP1"/>
    <mergeCell ref="CW1:DB1"/>
    <mergeCell ref="M2:O2"/>
    <mergeCell ref="S2:U2"/>
    <mergeCell ref="BM2:BO2"/>
  </mergeCell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BP33"/>
  <sheetViews>
    <sheetView workbookViewId="0">
      <selection activeCell="A1" sqref="A1:BP33"/>
    </sheetView>
  </sheetViews>
  <sheetFormatPr baseColWidth="10" defaultColWidth="11" defaultRowHeight="16"/>
  <sheetData>
    <row r="1">
      <c r="C1" s="44" t="inlineStr">
        <is>
          <t>Base Case</t>
        </is>
      </c>
      <c r="D1" s="44" t="n"/>
      <c r="E1" s="44" t="n"/>
      <c r="F1" s="44" t="n"/>
      <c r="G1" s="44" t="n"/>
      <c r="H1" s="44" t="n"/>
      <c r="I1" s="44" t="inlineStr">
        <is>
          <t>Superannuation Rate</t>
        </is>
      </c>
      <c r="J1" s="44" t="n"/>
      <c r="K1" s="44" t="n"/>
      <c r="L1" s="44" t="n"/>
      <c r="M1" s="44" t="n"/>
      <c r="N1" s="44" t="n"/>
      <c r="O1" s="44" t="inlineStr">
        <is>
          <t>Hours worked per week</t>
        </is>
      </c>
      <c r="P1" s="44" t="n"/>
      <c r="Q1" s="44" t="n"/>
      <c r="R1" s="44" t="n"/>
      <c r="S1" s="44" t="n"/>
      <c r="T1" s="44" t="n"/>
      <c r="U1" s="44" t="inlineStr">
        <is>
          <t>Average Penalties</t>
        </is>
      </c>
      <c r="V1" s="44" t="n"/>
      <c r="W1" s="44" t="n"/>
      <c r="X1" s="44" t="n"/>
      <c r="Y1" s="44" t="n"/>
      <c r="Z1" s="44" t="n"/>
      <c r="AA1" s="44" t="inlineStr">
        <is>
          <t>Public Holiday Penalty</t>
        </is>
      </c>
      <c r="AB1" s="44" t="n"/>
      <c r="AC1" s="44" t="n"/>
      <c r="AD1" s="44" t="n"/>
      <c r="AE1" s="44" t="n"/>
      <c r="AF1" s="44" t="n"/>
      <c r="AG1" s="44" t="inlineStr">
        <is>
          <t>Private Practice Loading</t>
        </is>
      </c>
      <c r="AH1" s="44" t="n"/>
      <c r="AI1" s="44" t="n"/>
      <c r="AJ1" s="44" t="n"/>
      <c r="AK1" s="44" t="n"/>
      <c r="AL1" s="44" t="n"/>
      <c r="AM1" s="44" t="inlineStr">
        <is>
          <t>Attraction and Retention Allowance</t>
        </is>
      </c>
      <c r="AN1" s="44" t="n"/>
      <c r="AO1" s="44" t="n"/>
      <c r="AP1" s="44" t="n"/>
      <c r="AQ1" s="44" t="n"/>
      <c r="AR1" s="44" t="n"/>
      <c r="AS1" s="44" t="inlineStr">
        <is>
          <t>Sick Leave</t>
        </is>
      </c>
      <c r="AT1" s="44" t="n"/>
      <c r="AU1" s="44" t="n"/>
      <c r="AV1" s="44" t="n"/>
      <c r="AW1" s="44" t="n"/>
      <c r="AX1" s="44" t="n"/>
      <c r="AY1" s="44" t="inlineStr">
        <is>
          <t>Professional Development Allowance</t>
        </is>
      </c>
      <c r="AZ1" s="44" t="n"/>
      <c r="BA1" s="44" t="n"/>
      <c r="BB1" s="44" t="n"/>
      <c r="BC1" s="44" t="n"/>
      <c r="BD1" s="44" t="n"/>
      <c r="BE1" s="44" t="inlineStr">
        <is>
          <t>Annual Leave</t>
        </is>
      </c>
      <c r="BF1" s="44" t="n"/>
      <c r="BG1" s="44" t="n"/>
      <c r="BH1" s="44" t="n"/>
      <c r="BI1" s="44" t="n"/>
      <c r="BJ1" s="44" t="n"/>
      <c r="BK1" s="44" t="inlineStr">
        <is>
          <t xml:space="preserve">Leave Loading (%)		</t>
        </is>
      </c>
      <c r="BL1" s="44" t="n"/>
      <c r="BM1" s="44" t="n"/>
      <c r="BN1" s="44" t="n"/>
      <c r="BO1" s="44" t="n"/>
      <c r="BP1" s="44" t="n"/>
    </row>
    <row r="2">
      <c r="A2" t="inlineStr">
        <is>
          <t>Jurisdiction</t>
        </is>
      </c>
      <c r="B2" t="inlineStr">
        <is>
          <t>Personnel type</t>
        </is>
      </c>
      <c r="C2" s="44" t="inlineStr">
        <is>
          <t>Base Salary + Costs</t>
        </is>
      </c>
      <c r="D2" s="44" t="n"/>
      <c r="E2" s="44" t="n"/>
      <c r="F2" s="44" t="inlineStr">
        <is>
          <t>Base Salary + Costs (hourly)</t>
        </is>
      </c>
      <c r="G2" s="44" t="n"/>
      <c r="H2" s="44" t="n"/>
      <c r="I2" s="44" t="inlineStr">
        <is>
          <t>Base Salary + Costs</t>
        </is>
      </c>
      <c r="J2" s="44" t="n"/>
      <c r="K2" s="44" t="n"/>
      <c r="L2" s="44" t="inlineStr">
        <is>
          <t>Base Salary + Costs (hourly)</t>
        </is>
      </c>
      <c r="M2" s="44" t="n"/>
      <c r="N2" s="44" t="n"/>
      <c r="O2" s="44" t="inlineStr">
        <is>
          <t>Base Salary + Costs</t>
        </is>
      </c>
      <c r="P2" s="44" t="n"/>
      <c r="Q2" s="44" t="n"/>
      <c r="R2" s="44" t="inlineStr">
        <is>
          <t>Base Salary + Costs (hourly)</t>
        </is>
      </c>
      <c r="S2" s="44" t="n"/>
      <c r="T2" s="44" t="n"/>
      <c r="U2" s="44" t="inlineStr">
        <is>
          <t>Base Salary + Costs</t>
        </is>
      </c>
      <c r="V2" s="44" t="n"/>
      <c r="W2" s="44" t="n"/>
      <c r="X2" s="44" t="inlineStr">
        <is>
          <t>Base Salary + Costs (hourly)</t>
        </is>
      </c>
      <c r="Y2" s="44" t="n"/>
      <c r="Z2" s="44" t="n"/>
      <c r="AA2" s="44" t="inlineStr">
        <is>
          <t>Base Salary + Costs</t>
        </is>
      </c>
      <c r="AB2" s="44" t="n"/>
      <c r="AC2" s="44" t="n"/>
      <c r="AD2" s="44" t="inlineStr">
        <is>
          <t>Base Salary + Costs (hourly)</t>
        </is>
      </c>
      <c r="AE2" s="44" t="n"/>
      <c r="AF2" s="44" t="n"/>
      <c r="AG2" s="44" t="inlineStr">
        <is>
          <t>Base Salary + Costs</t>
        </is>
      </c>
      <c r="AH2" s="44" t="n"/>
      <c r="AI2" s="44" t="n"/>
      <c r="AJ2" s="44" t="inlineStr">
        <is>
          <t>Base Salary + Costs (hourly)</t>
        </is>
      </c>
      <c r="AK2" s="44" t="n"/>
      <c r="AL2" s="44" t="n"/>
      <c r="AM2" s="44" t="inlineStr">
        <is>
          <t>Base Salary + Costs</t>
        </is>
      </c>
      <c r="AN2" s="44" t="n"/>
      <c r="AO2" s="44" t="n"/>
      <c r="AP2" s="44" t="inlineStr">
        <is>
          <t>Base Salary + Costs (hourly)</t>
        </is>
      </c>
      <c r="AQ2" s="44" t="n"/>
      <c r="AR2" s="44" t="n"/>
      <c r="AS2" s="44" t="inlineStr">
        <is>
          <t>Base Salary + Costs</t>
        </is>
      </c>
      <c r="AT2" s="44" t="n"/>
      <c r="AU2" s="44" t="n"/>
      <c r="AV2" s="44" t="inlineStr">
        <is>
          <t>Base Salary + Costs (hourly)</t>
        </is>
      </c>
      <c r="AW2" s="44" t="n"/>
      <c r="AX2" s="44" t="n"/>
      <c r="AY2" s="44" t="inlineStr">
        <is>
          <t>Base Salary + Costs</t>
        </is>
      </c>
      <c r="AZ2" s="44" t="n"/>
      <c r="BA2" s="44" t="n"/>
      <c r="BB2" s="44" t="inlineStr">
        <is>
          <t>Base Salary + Costs (hourly)</t>
        </is>
      </c>
      <c r="BC2" s="44" t="n"/>
      <c r="BD2" s="44" t="n"/>
      <c r="BE2" s="44" t="inlineStr">
        <is>
          <t>Base Salary + Costs</t>
        </is>
      </c>
      <c r="BF2" s="44" t="n"/>
      <c r="BG2" s="44" t="n"/>
      <c r="BH2" s="44" t="inlineStr">
        <is>
          <t>Base Salary + Costs (hourly)</t>
        </is>
      </c>
      <c r="BI2" s="44" t="n"/>
      <c r="BJ2" s="44" t="n"/>
      <c r="BK2" s="44" t="inlineStr">
        <is>
          <t>Base Salary + Costs</t>
        </is>
      </c>
      <c r="BL2" s="44" t="n"/>
      <c r="BM2" s="44" t="n"/>
      <c r="BN2" s="44" t="inlineStr">
        <is>
          <t>Base Salary + Costs (hourly)</t>
        </is>
      </c>
      <c r="BO2" s="44" t="n"/>
      <c r="BP2" s="44" t="n"/>
    </row>
    <row r="3">
      <c r="C3" s="44" t="inlineStr">
        <is>
          <t>LL</t>
        </is>
      </c>
      <c r="D3" s="44" t="inlineStr">
        <is>
          <t>MP</t>
        </is>
      </c>
      <c r="E3" s="44" t="inlineStr">
        <is>
          <t>UL</t>
        </is>
      </c>
      <c r="F3" s="44" t="inlineStr">
        <is>
          <t>LL</t>
        </is>
      </c>
      <c r="G3" s="44" t="inlineStr">
        <is>
          <t>MP</t>
        </is>
      </c>
      <c r="H3" s="44" t="inlineStr">
        <is>
          <t>UL</t>
        </is>
      </c>
      <c r="I3" s="44" t="inlineStr">
        <is>
          <t>LL</t>
        </is>
      </c>
      <c r="J3" s="44" t="inlineStr">
        <is>
          <t>MP</t>
        </is>
      </c>
      <c r="K3" s="44" t="inlineStr">
        <is>
          <t>UL</t>
        </is>
      </c>
      <c r="L3" s="44" t="inlineStr">
        <is>
          <t>LL</t>
        </is>
      </c>
      <c r="M3" s="44" t="inlineStr">
        <is>
          <t>MP</t>
        </is>
      </c>
      <c r="N3" s="44" t="inlineStr">
        <is>
          <t>UL</t>
        </is>
      </c>
      <c r="O3" s="44" t="inlineStr">
        <is>
          <t>LL</t>
        </is>
      </c>
      <c r="P3" s="44" t="inlineStr">
        <is>
          <t>MP</t>
        </is>
      </c>
      <c r="Q3" s="44" t="inlineStr">
        <is>
          <t>UL</t>
        </is>
      </c>
      <c r="R3" s="44" t="inlineStr">
        <is>
          <t>LL</t>
        </is>
      </c>
      <c r="S3" s="44" t="inlineStr">
        <is>
          <t>MP</t>
        </is>
      </c>
      <c r="T3" s="44" t="inlineStr">
        <is>
          <t>UL</t>
        </is>
      </c>
      <c r="U3" s="44" t="inlineStr">
        <is>
          <t>LL</t>
        </is>
      </c>
      <c r="V3" s="44" t="inlineStr">
        <is>
          <t>MP</t>
        </is>
      </c>
      <c r="W3" s="44" t="inlineStr">
        <is>
          <t>UL</t>
        </is>
      </c>
      <c r="X3" s="44" t="inlineStr">
        <is>
          <t>LL</t>
        </is>
      </c>
      <c r="Y3" s="44" t="inlineStr">
        <is>
          <t>MP</t>
        </is>
      </c>
      <c r="Z3" s="44" t="inlineStr">
        <is>
          <t>UL</t>
        </is>
      </c>
      <c r="AA3" s="44" t="inlineStr">
        <is>
          <t>LL</t>
        </is>
      </c>
      <c r="AB3" s="44" t="inlineStr">
        <is>
          <t>MP</t>
        </is>
      </c>
      <c r="AC3" s="44" t="inlineStr">
        <is>
          <t>UL</t>
        </is>
      </c>
      <c r="AD3" s="44" t="inlineStr">
        <is>
          <t>LL</t>
        </is>
      </c>
      <c r="AE3" s="44" t="inlineStr">
        <is>
          <t>MP</t>
        </is>
      </c>
      <c r="AF3" s="44" t="inlineStr">
        <is>
          <t>UL</t>
        </is>
      </c>
      <c r="AG3" s="44" t="inlineStr">
        <is>
          <t>LL</t>
        </is>
      </c>
      <c r="AH3" s="44" t="inlineStr">
        <is>
          <t>MP</t>
        </is>
      </c>
      <c r="AI3" s="44" t="inlineStr">
        <is>
          <t>UL</t>
        </is>
      </c>
      <c r="AJ3" s="44" t="inlineStr">
        <is>
          <t>LL</t>
        </is>
      </c>
      <c r="AK3" s="44" t="inlineStr">
        <is>
          <t>MP</t>
        </is>
      </c>
      <c r="AL3" s="44" t="inlineStr">
        <is>
          <t>UL</t>
        </is>
      </c>
      <c r="AM3" s="44" t="inlineStr">
        <is>
          <t>LL</t>
        </is>
      </c>
      <c r="AN3" s="44" t="inlineStr">
        <is>
          <t>MP</t>
        </is>
      </c>
      <c r="AO3" s="44" t="inlineStr">
        <is>
          <t>UL</t>
        </is>
      </c>
      <c r="AP3" s="44" t="inlineStr">
        <is>
          <t>LL</t>
        </is>
      </c>
      <c r="AQ3" s="44" t="inlineStr">
        <is>
          <t>MP</t>
        </is>
      </c>
      <c r="AR3" s="44" t="inlineStr">
        <is>
          <t>UL</t>
        </is>
      </c>
      <c r="AS3" s="44" t="inlineStr">
        <is>
          <t>LL</t>
        </is>
      </c>
      <c r="AT3" s="44" t="inlineStr">
        <is>
          <t>MP</t>
        </is>
      </c>
      <c r="AU3" s="44" t="inlineStr">
        <is>
          <t>UL</t>
        </is>
      </c>
      <c r="AV3" s="44" t="inlineStr">
        <is>
          <t>LL</t>
        </is>
      </c>
      <c r="AW3" s="44" t="inlineStr">
        <is>
          <t>MP</t>
        </is>
      </c>
      <c r="AX3" s="44" t="inlineStr">
        <is>
          <t>UL</t>
        </is>
      </c>
      <c r="AY3" s="44" t="inlineStr">
        <is>
          <t>LL</t>
        </is>
      </c>
      <c r="AZ3" s="44" t="inlineStr">
        <is>
          <t>MP</t>
        </is>
      </c>
      <c r="BA3" s="44" t="inlineStr">
        <is>
          <t>UL</t>
        </is>
      </c>
      <c r="BB3" s="44" t="inlineStr">
        <is>
          <t>LL</t>
        </is>
      </c>
      <c r="BC3" s="44" t="inlineStr">
        <is>
          <t>MP</t>
        </is>
      </c>
      <c r="BD3" s="44" t="inlineStr">
        <is>
          <t>UL</t>
        </is>
      </c>
      <c r="BE3" s="44" t="inlineStr">
        <is>
          <t>LL</t>
        </is>
      </c>
      <c r="BF3" s="44" t="inlineStr">
        <is>
          <t>MP</t>
        </is>
      </c>
      <c r="BG3" s="44" t="inlineStr">
        <is>
          <t>UL</t>
        </is>
      </c>
      <c r="BH3" s="44" t="inlineStr">
        <is>
          <t>LL</t>
        </is>
      </c>
      <c r="BI3" s="44" t="inlineStr">
        <is>
          <t>MP</t>
        </is>
      </c>
      <c r="BJ3" s="44" t="inlineStr">
        <is>
          <t>UL</t>
        </is>
      </c>
      <c r="BK3" s="44" t="inlineStr">
        <is>
          <t>LL</t>
        </is>
      </c>
      <c r="BL3" s="44" t="inlineStr">
        <is>
          <t>MP</t>
        </is>
      </c>
      <c r="BM3" s="44" t="inlineStr">
        <is>
          <t>UL</t>
        </is>
      </c>
      <c r="BN3" s="44" t="inlineStr">
        <is>
          <t>LL</t>
        </is>
      </c>
      <c r="BO3" s="44" t="inlineStr">
        <is>
          <t>MP</t>
        </is>
      </c>
      <c r="BP3" s="44" t="inlineStr">
        <is>
          <t>UL</t>
        </is>
      </c>
    </row>
    <row r="4">
      <c r="A4" t="inlineStr">
        <is>
          <t>VIC</t>
        </is>
      </c>
      <c r="B4" t="inlineStr">
        <is>
          <t>Lab technician</t>
        </is>
      </c>
      <c r="C4" s="65" t="n">
        <v>203549.5686153846</v>
      </c>
      <c r="D4" s="65" t="n">
        <v>242777.2905384615</v>
      </c>
      <c r="E4" s="65" t="n">
        <v>282005.0124615384</v>
      </c>
      <c r="F4" s="65" t="n">
        <v>103.0109152911865</v>
      </c>
      <c r="G4" s="65" t="n">
        <v>122.8630012846465</v>
      </c>
      <c r="H4" s="65" t="n">
        <v>142.7150872781065</v>
      </c>
      <c r="I4" s="78" t="n">
        <v>242302.4455384615</v>
      </c>
      <c r="J4" s="78" t="n">
        <v>242777.2905384615</v>
      </c>
      <c r="K4" s="78" t="n">
        <v>244439.2480384615</v>
      </c>
      <c r="L4" s="78" t="n">
        <v>122.6226951105574</v>
      </c>
      <c r="M4" s="78" t="n">
        <v>122.8630012846465</v>
      </c>
      <c r="N4" s="78" t="n">
        <v>123.7040728939583</v>
      </c>
      <c r="O4" s="78" t="n">
        <v>242777.2905384615</v>
      </c>
      <c r="P4" s="78" t="n">
        <v>242777.2905384615</v>
      </c>
      <c r="Q4" s="78" t="n">
        <v>242777.2905384615</v>
      </c>
      <c r="R4" s="78" t="n">
        <v>116.7198512204142</v>
      </c>
      <c r="S4" s="78" t="n">
        <v>122.8630012846465</v>
      </c>
      <c r="T4" s="78" t="n">
        <v>128.61691594536</v>
      </c>
      <c r="U4" s="78" t="n">
        <v>233280.3905384615</v>
      </c>
      <c r="V4" s="78" t="n">
        <v>242777.2905384615</v>
      </c>
      <c r="W4" s="78" t="n">
        <v>261771.0905384615</v>
      </c>
      <c r="X4" s="78" t="n">
        <v>118.0568778028651</v>
      </c>
      <c r="Y4" s="78" t="n">
        <v>122.8630012846465</v>
      </c>
      <c r="Z4" s="78" t="n">
        <v>132.4752482482093</v>
      </c>
      <c r="AA4" s="78" t="n">
        <v>242254.9610384615</v>
      </c>
      <c r="AB4" s="78" t="n">
        <v>242777.2905384615</v>
      </c>
      <c r="AC4" s="78" t="n">
        <v>243252.1355384615</v>
      </c>
      <c r="AD4" s="78" t="n">
        <v>122.5986644931485</v>
      </c>
      <c r="AE4" s="78" t="n">
        <v>122.8630012846465</v>
      </c>
      <c r="AF4" s="78" t="n">
        <v>123.1033074587356</v>
      </c>
      <c r="AG4" s="78" t="n">
        <v>242777.2905384615</v>
      </c>
      <c r="AH4" s="78" t="n">
        <v>242777.2905384615</v>
      </c>
      <c r="AI4" s="78" t="n">
        <v>261771.0905384615</v>
      </c>
      <c r="AJ4" s="78" t="n">
        <v>122.8630012846465</v>
      </c>
      <c r="AK4" s="78" t="n">
        <v>122.8630012846465</v>
      </c>
      <c r="AL4" s="78" t="n">
        <v>132.4752482482093</v>
      </c>
      <c r="AM4" s="78" t="n">
        <v>242777.2905384615</v>
      </c>
      <c r="AN4" s="78" t="n">
        <v>242777.2905384615</v>
      </c>
      <c r="AO4" s="78" t="n">
        <v>242777.2905384615</v>
      </c>
      <c r="AP4" s="78" t="n">
        <v>122.8630012846465</v>
      </c>
      <c r="AQ4" s="78" t="n">
        <v>122.8630012846465</v>
      </c>
      <c r="AR4" s="78" t="n">
        <v>122.8630012846465</v>
      </c>
      <c r="AS4" s="78" t="n">
        <v>239358.4065384615</v>
      </c>
      <c r="AT4" s="78" t="n">
        <v>242777.2905384615</v>
      </c>
      <c r="AU4" s="78" t="n">
        <v>246006.2365384615</v>
      </c>
      <c r="AV4" s="78" t="n">
        <v>121.1327968312052</v>
      </c>
      <c r="AW4" s="78" t="n">
        <v>122.8630012846465</v>
      </c>
      <c r="AX4" s="78" t="n">
        <v>124.4970832684522</v>
      </c>
      <c r="AY4" s="78" t="n">
        <v>242777.2905384615</v>
      </c>
      <c r="AZ4" s="78" t="n">
        <v>242777.2905384615</v>
      </c>
      <c r="BA4" s="78" t="n">
        <v>244777.2905384615</v>
      </c>
      <c r="BB4" s="78" t="n">
        <v>122.8630012846465</v>
      </c>
      <c r="BC4" s="78" t="n">
        <v>122.8630012846465</v>
      </c>
      <c r="BD4" s="78" t="n">
        <v>123.8751470336344</v>
      </c>
      <c r="BE4" s="78" t="n">
        <v>234193.554</v>
      </c>
      <c r="BF4" s="78" t="n">
        <v>242777.2905384615</v>
      </c>
      <c r="BG4" s="78" t="n">
        <v>244923.2246730769</v>
      </c>
      <c r="BH4" s="78" t="n">
        <v>118.5190050607287</v>
      </c>
      <c r="BI4" s="78" t="n">
        <v>122.8630012846465</v>
      </c>
      <c r="BJ4" s="78" t="n">
        <v>123.949000340626</v>
      </c>
      <c r="BK4" s="78" t="n">
        <v>224879.2866923077</v>
      </c>
      <c r="BL4" s="78" t="n">
        <v>242777.2905384615</v>
      </c>
      <c r="BM4" s="78" t="n">
        <v>245334.1482307692</v>
      </c>
      <c r="BN4" s="78" t="n">
        <v>113.8053070305201</v>
      </c>
      <c r="BO4" s="78" t="n">
        <v>122.8630012846465</v>
      </c>
      <c r="BP4" s="78" t="n">
        <v>124.1569576066646</v>
      </c>
    </row>
    <row r="5">
      <c r="A5" t="inlineStr">
        <is>
          <t>VIC</t>
        </is>
      </c>
      <c r="B5" t="inlineStr">
        <is>
          <t>Medical scientist</t>
        </is>
      </c>
      <c r="C5" s="65" t="n">
        <v>157843.939</v>
      </c>
      <c r="D5" s="65" t="n">
        <v>262742.4344</v>
      </c>
      <c r="E5" s="65" t="n">
        <v>367640.9298</v>
      </c>
      <c r="F5" s="65" t="n">
        <v>79.88053593117409</v>
      </c>
      <c r="G5" s="65" t="n">
        <v>132.9668190283401</v>
      </c>
      <c r="H5" s="65" t="n">
        <v>186.0531021255061</v>
      </c>
      <c r="I5" s="78" t="n">
        <v>262233.0424</v>
      </c>
      <c r="J5" s="78" t="n">
        <v>262742.4344</v>
      </c>
      <c r="K5" s="78" t="n">
        <v>264525.3064000001</v>
      </c>
      <c r="L5" s="78" t="n">
        <v>132.7090295546559</v>
      </c>
      <c r="M5" s="78" t="n">
        <v>132.9668190283401</v>
      </c>
      <c r="N5" s="78" t="n">
        <v>133.8690821862349</v>
      </c>
      <c r="O5" s="78" t="n">
        <v>262742.4344</v>
      </c>
      <c r="P5" s="78" t="n">
        <v>262742.4344</v>
      </c>
      <c r="Q5" s="78" t="n">
        <v>262742.4344</v>
      </c>
      <c r="R5" s="78" t="n">
        <v>126.3184780769231</v>
      </c>
      <c r="S5" s="78" t="n">
        <v>132.9668190283401</v>
      </c>
      <c r="T5" s="78" t="n">
        <v>139.1939152362789</v>
      </c>
      <c r="U5" s="78" t="n">
        <v>252554.5944000001</v>
      </c>
      <c r="V5" s="78" t="n">
        <v>262742.4344</v>
      </c>
      <c r="W5" s="78" t="n">
        <v>283118.1144000001</v>
      </c>
      <c r="X5" s="78" t="n">
        <v>127.8110295546559</v>
      </c>
      <c r="Y5" s="78" t="n">
        <v>132.9668190283401</v>
      </c>
      <c r="Z5" s="78" t="n">
        <v>143.2783979757085</v>
      </c>
      <c r="AA5" s="78" t="n">
        <v>262182.1032000001</v>
      </c>
      <c r="AB5" s="78" t="n">
        <v>262742.4344</v>
      </c>
      <c r="AC5" s="78" t="n">
        <v>263251.8264</v>
      </c>
      <c r="AD5" s="78" t="n">
        <v>132.6832506072875</v>
      </c>
      <c r="AE5" s="78" t="n">
        <v>132.9668190283401</v>
      </c>
      <c r="AF5" s="78" t="n">
        <v>133.2246085020243</v>
      </c>
      <c r="AG5" s="78" t="n">
        <v>262742.4344</v>
      </c>
      <c r="AH5" s="78" t="n">
        <v>262742.4344</v>
      </c>
      <c r="AI5" s="78" t="n">
        <v>283118.1144000001</v>
      </c>
      <c r="AJ5" s="78" t="n">
        <v>132.9668190283401</v>
      </c>
      <c r="AK5" s="78" t="n">
        <v>132.9668190283401</v>
      </c>
      <c r="AL5" s="78" t="n">
        <v>143.2783979757085</v>
      </c>
      <c r="AM5" s="78" t="n">
        <v>262742.4344</v>
      </c>
      <c r="AN5" s="78" t="n">
        <v>262742.4344</v>
      </c>
      <c r="AO5" s="78" t="n">
        <v>262742.4344</v>
      </c>
      <c r="AP5" s="78" t="n">
        <v>132.9668190283401</v>
      </c>
      <c r="AQ5" s="78" t="n">
        <v>132.9668190283401</v>
      </c>
      <c r="AR5" s="78" t="n">
        <v>132.9668190283401</v>
      </c>
      <c r="AS5" s="78" t="n">
        <v>259074.812</v>
      </c>
      <c r="AT5" s="78" t="n">
        <v>262742.4344</v>
      </c>
      <c r="AU5" s="78" t="n">
        <v>266206.3</v>
      </c>
      <c r="AV5" s="78" t="n">
        <v>131.1107348178138</v>
      </c>
      <c r="AW5" s="78" t="n">
        <v>132.9668190283401</v>
      </c>
      <c r="AX5" s="78" t="n">
        <v>134.7197874493928</v>
      </c>
      <c r="AY5" s="78" t="n">
        <v>262742.4344</v>
      </c>
      <c r="AZ5" s="78" t="n">
        <v>262742.4344</v>
      </c>
      <c r="BA5" s="78" t="n">
        <v>264742.4344</v>
      </c>
      <c r="BB5" s="78" t="n">
        <v>132.9668190283401</v>
      </c>
      <c r="BC5" s="78" t="n">
        <v>132.9668190283401</v>
      </c>
      <c r="BD5" s="78" t="n">
        <v>133.9789647773279</v>
      </c>
      <c r="BE5" s="78" t="n">
        <v>251232.1344</v>
      </c>
      <c r="BF5" s="78" t="n">
        <v>262742.4344</v>
      </c>
      <c r="BG5" s="78" t="n">
        <v>262742.4344</v>
      </c>
      <c r="BH5" s="78" t="n">
        <v>127.1417684210527</v>
      </c>
      <c r="BI5" s="78" t="n">
        <v>132.9668190283401</v>
      </c>
      <c r="BJ5" s="78" t="n">
        <v>132.9668190283401</v>
      </c>
      <c r="BK5" s="78" t="n">
        <v>243199.4144</v>
      </c>
      <c r="BL5" s="78" t="n">
        <v>262742.4344</v>
      </c>
      <c r="BM5" s="78" t="n">
        <v>265534.2944</v>
      </c>
      <c r="BN5" s="78" t="n">
        <v>123.0766267206478</v>
      </c>
      <c r="BO5" s="78" t="n">
        <v>132.9668190283401</v>
      </c>
      <c r="BP5" s="78" t="n">
        <v>134.3797036437247</v>
      </c>
    </row>
    <row r="6">
      <c r="A6" t="inlineStr">
        <is>
          <t>VIC</t>
        </is>
      </c>
      <c r="B6" t="inlineStr">
        <is>
          <t>Admin staff</t>
        </is>
      </c>
      <c r="C6" s="65" t="n">
        <v>162844.2563846154</v>
      </c>
      <c r="D6" s="65" t="n">
        <v>198325.5966538462</v>
      </c>
      <c r="E6" s="65" t="n">
        <v>233806.9369230769</v>
      </c>
      <c r="F6" s="65" t="n">
        <v>82.41106092338835</v>
      </c>
      <c r="G6" s="65" t="n">
        <v>100.3672047843351</v>
      </c>
      <c r="H6" s="65" t="n">
        <v>118.3233486452818</v>
      </c>
      <c r="I6" s="78" t="n">
        <v>197937.6941538462</v>
      </c>
      <c r="J6" s="78" t="n">
        <v>198325.5966538462</v>
      </c>
      <c r="K6" s="78" t="n">
        <v>199683.2554038462</v>
      </c>
      <c r="L6" s="78" t="n">
        <v>100.1708978511367</v>
      </c>
      <c r="M6" s="78" t="n">
        <v>100.3672047843351</v>
      </c>
      <c r="N6" s="78" t="n">
        <v>101.0542790505294</v>
      </c>
      <c r="O6" s="78" t="n">
        <v>198325.5966538462</v>
      </c>
      <c r="P6" s="78" t="n">
        <v>198325.5966538462</v>
      </c>
      <c r="Q6" s="78" t="n">
        <v>198325.5966538462</v>
      </c>
      <c r="R6" s="78" t="n">
        <v>95.34884454511834</v>
      </c>
      <c r="S6" s="78" t="n">
        <v>100.3672047843351</v>
      </c>
      <c r="T6" s="78" t="n">
        <v>105.0675972948963</v>
      </c>
      <c r="U6" s="78" t="n">
        <v>190567.5466538462</v>
      </c>
      <c r="V6" s="78" t="n">
        <v>198325.5966538462</v>
      </c>
      <c r="W6" s="78" t="n">
        <v>213841.6966538461</v>
      </c>
      <c r="X6" s="78" t="n">
        <v>96.44106612036749</v>
      </c>
      <c r="Y6" s="78" t="n">
        <v>100.3672047843351</v>
      </c>
      <c r="Z6" s="78" t="n">
        <v>108.2194821122703</v>
      </c>
      <c r="AA6" s="78" t="n">
        <v>197898.9039038462</v>
      </c>
      <c r="AB6" s="78" t="n">
        <v>198325.5966538462</v>
      </c>
      <c r="AC6" s="78" t="n">
        <v>198713.4991538461</v>
      </c>
      <c r="AD6" s="78" t="n">
        <v>100.1512671578169</v>
      </c>
      <c r="AE6" s="78" t="n">
        <v>100.3672047843351</v>
      </c>
      <c r="AF6" s="78" t="n">
        <v>100.5635117175335</v>
      </c>
      <c r="AG6" s="78" t="n">
        <v>198325.5966538462</v>
      </c>
      <c r="AH6" s="78" t="n">
        <v>198325.5966538462</v>
      </c>
      <c r="AI6" s="78" t="n">
        <v>213841.6966538462</v>
      </c>
      <c r="AJ6" s="78" t="n">
        <v>100.3672047843351</v>
      </c>
      <c r="AK6" s="78" t="n">
        <v>100.3672047843351</v>
      </c>
      <c r="AL6" s="78" t="n">
        <v>108.2194821122703</v>
      </c>
      <c r="AM6" s="78" t="n">
        <v>198325.5966538462</v>
      </c>
      <c r="AN6" s="78" t="n">
        <v>198325.5966538462</v>
      </c>
      <c r="AO6" s="78" t="n">
        <v>198325.5966538462</v>
      </c>
      <c r="AP6" s="78" t="n">
        <v>100.3672047843351</v>
      </c>
      <c r="AQ6" s="78" t="n">
        <v>100.3672047843351</v>
      </c>
      <c r="AR6" s="78" t="n">
        <v>100.3672047843351</v>
      </c>
      <c r="AS6" s="78" t="n">
        <v>195532.6986538462</v>
      </c>
      <c r="AT6" s="78" t="n">
        <v>198325.5966538462</v>
      </c>
      <c r="AU6" s="78" t="n">
        <v>200963.3336538462</v>
      </c>
      <c r="AV6" s="78" t="n">
        <v>98.95379486530676</v>
      </c>
      <c r="AW6" s="78" t="n">
        <v>100.3672047843351</v>
      </c>
      <c r="AX6" s="78" t="n">
        <v>101.7020919300841</v>
      </c>
      <c r="AY6" s="78" t="n">
        <v>198325.5966538462</v>
      </c>
      <c r="AZ6" s="78" t="n">
        <v>198325.5966538462</v>
      </c>
      <c r="BA6" s="78" t="n">
        <v>200325.5966538462</v>
      </c>
      <c r="BB6" s="78" t="n">
        <v>100.3672047843351</v>
      </c>
      <c r="BC6" s="78" t="n">
        <v>100.3672047843351</v>
      </c>
      <c r="BD6" s="78" t="n">
        <v>101.3793505333229</v>
      </c>
      <c r="BE6" s="78" t="n">
        <v>191313.513</v>
      </c>
      <c r="BF6" s="78" t="n">
        <v>198325.5966538462</v>
      </c>
      <c r="BG6" s="78" t="n">
        <v>200078.6175673077</v>
      </c>
      <c r="BH6" s="78" t="n">
        <v>96.8185794534413</v>
      </c>
      <c r="BI6" s="78" t="n">
        <v>100.3672047843351</v>
      </c>
      <c r="BJ6" s="78" t="n">
        <v>101.2543611170586</v>
      </c>
      <c r="BK6" s="78" t="n">
        <v>183704.6562692308</v>
      </c>
      <c r="BL6" s="78" t="n">
        <v>198325.5966538462</v>
      </c>
      <c r="BM6" s="78" t="n">
        <v>200414.3024230769</v>
      </c>
      <c r="BN6" s="78" t="n">
        <v>92.96794345608845</v>
      </c>
      <c r="BO6" s="78" t="n">
        <v>100.3672047843351</v>
      </c>
      <c r="BP6" s="78" t="n">
        <v>101.4242421169418</v>
      </c>
    </row>
    <row r="7">
      <c r="A7" t="inlineStr">
        <is>
          <t>VIC</t>
        </is>
      </c>
      <c r="B7" t="inlineStr">
        <is>
          <t>Bioinformatics staff</t>
        </is>
      </c>
      <c r="C7" s="65" t="n">
        <v>203549.5686153846</v>
      </c>
      <c r="D7" s="65" t="n">
        <v>260395.8933076923</v>
      </c>
      <c r="E7" s="65" t="n">
        <v>317242.218</v>
      </c>
      <c r="F7" s="65" t="n">
        <v>103.0109152911865</v>
      </c>
      <c r="G7" s="65" t="n">
        <v>131.7792982326378</v>
      </c>
      <c r="H7" s="65" t="n">
        <v>160.5476811740891</v>
      </c>
      <c r="I7" s="78" t="n">
        <v>259886.5883076923</v>
      </c>
      <c r="J7" s="78" t="n">
        <v>260395.8933076923</v>
      </c>
      <c r="K7" s="78" t="n">
        <v>262178.4608076923</v>
      </c>
      <c r="L7" s="78" t="n">
        <v>131.5215527872937</v>
      </c>
      <c r="M7" s="78" t="n">
        <v>131.7792982326378</v>
      </c>
      <c r="N7" s="78" t="n">
        <v>132.6814072913422</v>
      </c>
      <c r="O7" s="78" t="n">
        <v>260395.8933076923</v>
      </c>
      <c r="P7" s="78" t="n">
        <v>260395.8933076923</v>
      </c>
      <c r="Q7" s="78" t="n">
        <v>260395.8933076923</v>
      </c>
      <c r="R7" s="78" t="n">
        <v>125.1903333210059</v>
      </c>
      <c r="S7" s="78" t="n">
        <v>131.7792982326378</v>
      </c>
      <c r="T7" s="78" t="n">
        <v>137.9507805190148</v>
      </c>
      <c r="U7" s="78" t="n">
        <v>250209.7933076923</v>
      </c>
      <c r="V7" s="78" t="n">
        <v>260395.8933076923</v>
      </c>
      <c r="W7" s="78" t="n">
        <v>280768.0933076923</v>
      </c>
      <c r="X7" s="78" t="n">
        <v>126.6243893257552</v>
      </c>
      <c r="Y7" s="78" t="n">
        <v>131.7792982326378</v>
      </c>
      <c r="Z7" s="78" t="n">
        <v>142.089116046403</v>
      </c>
      <c r="AA7" s="78" t="n">
        <v>259835.6578076923</v>
      </c>
      <c r="AB7" s="78" t="n">
        <v>260395.8933076923</v>
      </c>
      <c r="AC7" s="78" t="n">
        <v>260905.1983076923</v>
      </c>
      <c r="AD7" s="78" t="n">
        <v>131.4957782427593</v>
      </c>
      <c r="AE7" s="78" t="n">
        <v>131.7792982326378</v>
      </c>
      <c r="AF7" s="78" t="n">
        <v>132.037043677982</v>
      </c>
      <c r="AG7" s="78" t="n">
        <v>260395.8933076923</v>
      </c>
      <c r="AH7" s="78" t="n">
        <v>260395.8933076923</v>
      </c>
      <c r="AI7" s="78" t="n">
        <v>280768.0933076923</v>
      </c>
      <c r="AJ7" s="78" t="n">
        <v>131.7792982326378</v>
      </c>
      <c r="AK7" s="78" t="n">
        <v>131.7792982326378</v>
      </c>
      <c r="AL7" s="78" t="n">
        <v>142.089116046403</v>
      </c>
      <c r="AM7" s="78" t="n">
        <v>260395.8933076923</v>
      </c>
      <c r="AN7" s="78" t="n">
        <v>260395.8933076923</v>
      </c>
      <c r="AO7" s="78" t="n">
        <v>260395.8933076923</v>
      </c>
      <c r="AP7" s="78" t="n">
        <v>131.7792982326378</v>
      </c>
      <c r="AQ7" s="78" t="n">
        <v>131.7792982326378</v>
      </c>
      <c r="AR7" s="78" t="n">
        <v>131.7792982326378</v>
      </c>
      <c r="AS7" s="78" t="n">
        <v>256728.8973076923</v>
      </c>
      <c r="AT7" s="78" t="n">
        <v>260395.8933076923</v>
      </c>
      <c r="AU7" s="78" t="n">
        <v>263859.1673076923</v>
      </c>
      <c r="AV7" s="78" t="n">
        <v>129.9235310261601</v>
      </c>
      <c r="AW7" s="78" t="n">
        <v>131.7792982326378</v>
      </c>
      <c r="AX7" s="78" t="n">
        <v>133.5319672609779</v>
      </c>
      <c r="AY7" s="78" t="n">
        <v>260395.8933076923</v>
      </c>
      <c r="AZ7" s="78" t="n">
        <v>260395.8933076923</v>
      </c>
      <c r="BA7" s="78" t="n">
        <v>262395.8933076923</v>
      </c>
      <c r="BB7" s="78" t="n">
        <v>131.7792982326378</v>
      </c>
      <c r="BC7" s="78" t="n">
        <v>131.7792982326378</v>
      </c>
      <c r="BD7" s="78" t="n">
        <v>132.7914439816257</v>
      </c>
      <c r="BE7" s="78" t="n">
        <v>251189.226</v>
      </c>
      <c r="BF7" s="78" t="n">
        <v>260395.8933076923</v>
      </c>
      <c r="BG7" s="78" t="n">
        <v>262697.5601346154</v>
      </c>
      <c r="BH7" s="78" t="n">
        <v>127.1200536437247</v>
      </c>
      <c r="BI7" s="78" t="n">
        <v>131.7792982326378</v>
      </c>
      <c r="BJ7" s="78" t="n">
        <v>132.9441093798661</v>
      </c>
      <c r="BK7" s="78" t="n">
        <v>241199.0125384615</v>
      </c>
      <c r="BL7" s="78" t="n">
        <v>260395.8933076923</v>
      </c>
      <c r="BM7" s="78" t="n">
        <v>263138.3048461538</v>
      </c>
      <c r="BN7" s="78" t="n">
        <v>122.064277600436</v>
      </c>
      <c r="BO7" s="78" t="n">
        <v>131.7792982326378</v>
      </c>
      <c r="BP7" s="78" t="n">
        <v>133.1671583229523</v>
      </c>
    </row>
    <row r="8">
      <c r="A8" t="inlineStr">
        <is>
          <t>VIC</t>
        </is>
      </c>
      <c r="B8" t="inlineStr">
        <is>
          <t>Pathologists</t>
        </is>
      </c>
      <c r="C8" s="65" t="n">
        <v>666741.4299999999</v>
      </c>
      <c r="D8" s="65" t="n">
        <v>786323.7339000001</v>
      </c>
      <c r="E8" s="65" t="n">
        <v>905906.0377999999</v>
      </c>
      <c r="F8" s="65" t="n">
        <v>337.4197520242915</v>
      </c>
      <c r="G8" s="65" t="n">
        <v>397.9371122975709</v>
      </c>
      <c r="H8" s="65" t="n">
        <v>458.4544725708502</v>
      </c>
      <c r="I8" s="78" t="n">
        <v>784842.4944</v>
      </c>
      <c r="J8" s="78" t="n">
        <v>786323.7339000001</v>
      </c>
      <c r="K8" s="78" t="n">
        <v>791508.07215</v>
      </c>
      <c r="L8" s="78" t="n">
        <v>397.1874971659919</v>
      </c>
      <c r="M8" s="78" t="n">
        <v>397.9371122975709</v>
      </c>
      <c r="N8" s="78" t="n">
        <v>400.5607652580971</v>
      </c>
      <c r="O8" s="78" t="n">
        <v>786323.7339000001</v>
      </c>
      <c r="P8" s="78" t="n">
        <v>786323.7339000001</v>
      </c>
      <c r="Q8" s="78" t="n">
        <v>786323.7339000001</v>
      </c>
      <c r="R8" s="78" t="n">
        <v>378.0402566826924</v>
      </c>
      <c r="S8" s="78" t="n">
        <v>397.9371122975709</v>
      </c>
      <c r="T8" s="78" t="n">
        <v>416.573285600763</v>
      </c>
      <c r="U8" s="78" t="n">
        <v>786323.7339000001</v>
      </c>
      <c r="V8" s="78" t="n">
        <v>786323.7339000001</v>
      </c>
      <c r="W8" s="78" t="n">
        <v>875198.1039</v>
      </c>
      <c r="X8" s="78" t="n">
        <v>397.9371122975709</v>
      </c>
      <c r="Y8" s="78" t="n">
        <v>397.9371122975709</v>
      </c>
      <c r="Z8" s="78" t="n">
        <v>442.9140201923076</v>
      </c>
      <c r="AA8" s="78" t="n">
        <v>784694.37045</v>
      </c>
      <c r="AB8" s="78" t="n">
        <v>786323.7339000001</v>
      </c>
      <c r="AC8" s="78" t="n">
        <v>787804.9734</v>
      </c>
      <c r="AD8" s="78" t="n">
        <v>397.112535652834</v>
      </c>
      <c r="AE8" s="78" t="n">
        <v>397.9371122975709</v>
      </c>
      <c r="AF8" s="78" t="n">
        <v>398.6867274291498</v>
      </c>
      <c r="AG8" s="78" t="n">
        <v>756698.9439000001</v>
      </c>
      <c r="AH8" s="78" t="n">
        <v>786323.7339000001</v>
      </c>
      <c r="AI8" s="78" t="n">
        <v>815948.5239000001</v>
      </c>
      <c r="AJ8" s="78" t="n">
        <v>382.944809665992</v>
      </c>
      <c r="AK8" s="78" t="n">
        <v>397.9371122975709</v>
      </c>
      <c r="AL8" s="78" t="n">
        <v>412.9294149291499</v>
      </c>
      <c r="AM8" s="78" t="n">
        <v>786323.7339000001</v>
      </c>
      <c r="AN8" s="78" t="n">
        <v>786323.7339000001</v>
      </c>
      <c r="AO8" s="78" t="n">
        <v>786323.7339000001</v>
      </c>
      <c r="AP8" s="78" t="n">
        <v>397.9371122975709</v>
      </c>
      <c r="AQ8" s="78" t="n">
        <v>397.9371122975709</v>
      </c>
      <c r="AR8" s="78" t="n">
        <v>397.9371122975709</v>
      </c>
      <c r="AS8" s="78" t="n">
        <v>775658.8095</v>
      </c>
      <c r="AT8" s="78" t="n">
        <v>786323.7339000001</v>
      </c>
      <c r="AU8" s="78" t="n">
        <v>796396.1625000001</v>
      </c>
      <c r="AV8" s="78" t="n">
        <v>392.5398833502024</v>
      </c>
      <c r="AW8" s="78" t="n">
        <v>397.9371122975709</v>
      </c>
      <c r="AX8" s="78" t="n">
        <v>403.0344951923078</v>
      </c>
      <c r="AY8" s="78" t="n">
        <v>757323.5739000001</v>
      </c>
      <c r="AZ8" s="78" t="n">
        <v>786323.7339000001</v>
      </c>
      <c r="BA8" s="78" t="n">
        <v>786323.5739000001</v>
      </c>
      <c r="BB8" s="78" t="n">
        <v>383.2609179655871</v>
      </c>
      <c r="BC8" s="78" t="n">
        <v>397.9371122975709</v>
      </c>
      <c r="BD8" s="78" t="n">
        <v>397.937031325911</v>
      </c>
      <c r="BE8" s="78" t="n">
        <v>759547.4814</v>
      </c>
      <c r="BF8" s="78" t="n">
        <v>786323.7339000001</v>
      </c>
      <c r="BG8" s="78" t="n">
        <v>793017.7970250002</v>
      </c>
      <c r="BH8" s="78" t="n">
        <v>384.3863772267206</v>
      </c>
      <c r="BI8" s="78" t="n">
        <v>397.9371122975709</v>
      </c>
      <c r="BJ8" s="78" t="n">
        <v>401.3247960652835</v>
      </c>
      <c r="BK8" s="78" t="n">
        <v>730492.3989</v>
      </c>
      <c r="BL8" s="78" t="n">
        <v>786323.7339000001</v>
      </c>
      <c r="BM8" s="78" t="n">
        <v>794299.6389</v>
      </c>
      <c r="BN8" s="78" t="n">
        <v>369.6823881072875</v>
      </c>
      <c r="BO8" s="78" t="n">
        <v>397.9371122975709</v>
      </c>
      <c r="BP8" s="78" t="n">
        <v>401.9735014676114</v>
      </c>
    </row>
    <row r="9">
      <c r="A9" t="inlineStr">
        <is>
          <t>SA</t>
        </is>
      </c>
      <c r="B9" t="inlineStr">
        <is>
          <t>Lab technician</t>
        </is>
      </c>
      <c r="C9" s="65" t="n">
        <v>128729.7701538462</v>
      </c>
      <c r="D9" s="65" t="n">
        <v>183923.6891538462</v>
      </c>
      <c r="E9" s="65" t="n">
        <v>239117.6081538461</v>
      </c>
      <c r="F9" s="65" t="n">
        <v>65.14664481469947</v>
      </c>
      <c r="G9" s="65" t="n">
        <v>93.07879005761446</v>
      </c>
      <c r="H9" s="65" t="n">
        <v>121.0109353005294</v>
      </c>
      <c r="I9" s="78" t="n">
        <v>183535.3241538461</v>
      </c>
      <c r="J9" s="78" t="n">
        <v>183923.6891538462</v>
      </c>
      <c r="K9" s="78" t="n">
        <v>185282.9666538461</v>
      </c>
      <c r="L9" s="78" t="n">
        <v>92.8822490657116</v>
      </c>
      <c r="M9" s="78" t="n">
        <v>93.07879005761446</v>
      </c>
      <c r="N9" s="78" t="n">
        <v>93.76668352927436</v>
      </c>
      <c r="O9" s="78" t="n">
        <v>183923.6891538462</v>
      </c>
      <c r="P9" s="78" t="n">
        <v>183923.6891538462</v>
      </c>
      <c r="Q9" s="78" t="n">
        <v>183923.6891538462</v>
      </c>
      <c r="R9" s="78" t="n">
        <v>88.42485055473374</v>
      </c>
      <c r="S9" s="78" t="n">
        <v>93.07879005761446</v>
      </c>
      <c r="T9" s="78" t="n">
        <v>97.43785185094627</v>
      </c>
      <c r="U9" s="78" t="n">
        <v>176156.3891538461</v>
      </c>
      <c r="V9" s="78" t="n">
        <v>183923.6891538462</v>
      </c>
      <c r="W9" s="78" t="n">
        <v>199458.2891538462</v>
      </c>
      <c r="X9" s="78" t="n">
        <v>89.14797021955776</v>
      </c>
      <c r="Y9" s="78" t="n">
        <v>93.07879005761446</v>
      </c>
      <c r="Z9" s="78" t="n">
        <v>100.9404297337278</v>
      </c>
      <c r="AA9" s="78" t="n">
        <v>183496.4876538462</v>
      </c>
      <c r="AB9" s="78" t="n">
        <v>183923.6891538462</v>
      </c>
      <c r="AC9" s="78" t="n">
        <v>184312.0541538462</v>
      </c>
      <c r="AD9" s="78" t="n">
        <v>92.86259496652133</v>
      </c>
      <c r="AE9" s="78" t="n">
        <v>93.07879005761446</v>
      </c>
      <c r="AF9" s="78" t="n">
        <v>93.27533104951729</v>
      </c>
      <c r="AG9" s="78" t="n">
        <v>183923.6891538462</v>
      </c>
      <c r="AH9" s="78" t="n">
        <v>183923.6891538462</v>
      </c>
      <c r="AI9" s="78" t="n">
        <v>199458.2891538462</v>
      </c>
      <c r="AJ9" s="78" t="n">
        <v>93.07879005761446</v>
      </c>
      <c r="AK9" s="78" t="n">
        <v>93.07879005761446</v>
      </c>
      <c r="AL9" s="78" t="n">
        <v>100.9404297337278</v>
      </c>
      <c r="AM9" s="78" t="n">
        <v>183923.6891538462</v>
      </c>
      <c r="AN9" s="78" t="n">
        <v>183923.6891538462</v>
      </c>
      <c r="AO9" s="78" t="n">
        <v>183923.6891538462</v>
      </c>
      <c r="AP9" s="78" t="n">
        <v>93.07879005761446</v>
      </c>
      <c r="AQ9" s="78" t="n">
        <v>93.07879005761446</v>
      </c>
      <c r="AR9" s="78" t="n">
        <v>93.07879005761446</v>
      </c>
      <c r="AS9" s="78" t="n">
        <v>181127.4611538462</v>
      </c>
      <c r="AT9" s="78" t="n">
        <v>183923.6891538462</v>
      </c>
      <c r="AU9" s="78" t="n">
        <v>186564.5711538462</v>
      </c>
      <c r="AV9" s="78" t="n">
        <v>91.66369491591405</v>
      </c>
      <c r="AW9" s="78" t="n">
        <v>93.07879005761446</v>
      </c>
      <c r="AX9" s="78" t="n">
        <v>94.41526880255373</v>
      </c>
      <c r="AY9" s="78" t="n">
        <v>183923.6891538462</v>
      </c>
      <c r="AZ9" s="78" t="n">
        <v>183923.6891538462</v>
      </c>
      <c r="BA9" s="78" t="n">
        <v>185923.6891538462</v>
      </c>
      <c r="BB9" s="78" t="n">
        <v>93.07879005761446</v>
      </c>
      <c r="BC9" s="78" t="n">
        <v>93.07879005761446</v>
      </c>
      <c r="BD9" s="78" t="n">
        <v>94.09093580660232</v>
      </c>
      <c r="BE9" s="78" t="n">
        <v>177948.843</v>
      </c>
      <c r="BF9" s="78" t="n">
        <v>183923.6891538462</v>
      </c>
      <c r="BG9" s="78" t="n">
        <v>185417.4006923077</v>
      </c>
      <c r="BH9" s="78" t="n">
        <v>90.05508248987853</v>
      </c>
      <c r="BI9" s="78" t="n">
        <v>93.07879005761446</v>
      </c>
      <c r="BJ9" s="78" t="n">
        <v>93.83471694954844</v>
      </c>
      <c r="BK9" s="78" t="n">
        <v>183923.6891538462</v>
      </c>
      <c r="BL9" s="78" t="n">
        <v>183923.6891538462</v>
      </c>
      <c r="BM9" s="78" t="n">
        <v>200653.2583846154</v>
      </c>
      <c r="BN9" s="78" t="n">
        <v>93.07879005761446</v>
      </c>
      <c r="BO9" s="78" t="n">
        <v>93.07879005761446</v>
      </c>
      <c r="BP9" s="78" t="n">
        <v>101.545171247275</v>
      </c>
    </row>
    <row r="10">
      <c r="A10" t="inlineStr">
        <is>
          <t>SA</t>
        </is>
      </c>
      <c r="B10" t="inlineStr">
        <is>
          <t>Medical scientist</t>
        </is>
      </c>
      <c r="C10" s="65" t="n">
        <v>158473.5952307692</v>
      </c>
      <c r="D10" s="65" t="n">
        <v>248832.1426153846</v>
      </c>
      <c r="E10" s="65" t="n">
        <v>339190.6900000001</v>
      </c>
      <c r="F10" s="65" t="n">
        <v>80.1991878698225</v>
      </c>
      <c r="G10" s="65" t="n">
        <v>125.9271976798505</v>
      </c>
      <c r="H10" s="65" t="n">
        <v>171.6552074898786</v>
      </c>
      <c r="I10" s="78" t="n">
        <v>248310.9526153846</v>
      </c>
      <c r="J10" s="78" t="n">
        <v>248832.1426153846</v>
      </c>
      <c r="K10" s="78" t="n">
        <v>250656.3076153846</v>
      </c>
      <c r="L10" s="78" t="n">
        <v>125.663437558393</v>
      </c>
      <c r="M10" s="78" t="n">
        <v>125.9271976798505</v>
      </c>
      <c r="N10" s="78" t="n">
        <v>126.8503581049517</v>
      </c>
      <c r="O10" s="78" t="n">
        <v>248832.1426153846</v>
      </c>
      <c r="P10" s="78" t="n">
        <v>248832.1426153846</v>
      </c>
      <c r="Q10" s="78" t="n">
        <v>248832.1426153846</v>
      </c>
      <c r="R10" s="78" t="n">
        <v>119.630837795858</v>
      </c>
      <c r="S10" s="78" t="n">
        <v>125.9271976798505</v>
      </c>
      <c r="T10" s="78" t="n">
        <v>131.8246146510832</v>
      </c>
      <c r="U10" s="78" t="n">
        <v>238408.3426153846</v>
      </c>
      <c r="V10" s="78" t="n">
        <v>248832.1426153846</v>
      </c>
      <c r="W10" s="78" t="n">
        <v>269679.7426153846</v>
      </c>
      <c r="X10" s="78" t="n">
        <v>120.6519952507007</v>
      </c>
      <c r="Y10" s="78" t="n">
        <v>125.9271976798505</v>
      </c>
      <c r="Z10" s="78" t="n">
        <v>136.4776025381501</v>
      </c>
      <c r="AA10" s="78" t="n">
        <v>248258.8336153846</v>
      </c>
      <c r="AB10" s="78" t="n">
        <v>248832.1426153846</v>
      </c>
      <c r="AC10" s="78" t="n">
        <v>249353.3326153846</v>
      </c>
      <c r="AD10" s="78" t="n">
        <v>125.6370615462473</v>
      </c>
      <c r="AE10" s="78" t="n">
        <v>125.9271976798505</v>
      </c>
      <c r="AF10" s="78" t="n">
        <v>126.190957801308</v>
      </c>
      <c r="AG10" s="78" t="n">
        <v>248832.1426153846</v>
      </c>
      <c r="AH10" s="78" t="n">
        <v>248832.1426153846</v>
      </c>
      <c r="AI10" s="78" t="n">
        <v>269679.7426153846</v>
      </c>
      <c r="AJ10" s="78" t="n">
        <v>125.9271976798505</v>
      </c>
      <c r="AK10" s="78" t="n">
        <v>125.9271976798505</v>
      </c>
      <c r="AL10" s="78" t="n">
        <v>136.4776025381501</v>
      </c>
      <c r="AM10" s="78" t="n">
        <v>248832.1426153846</v>
      </c>
      <c r="AN10" s="78" t="n">
        <v>248832.1426153846</v>
      </c>
      <c r="AO10" s="78" t="n">
        <v>248832.1426153846</v>
      </c>
      <c r="AP10" s="78" t="n">
        <v>125.9271976798505</v>
      </c>
      <c r="AQ10" s="78" t="n">
        <v>125.9271976798505</v>
      </c>
      <c r="AR10" s="78" t="n">
        <v>125.9271976798505</v>
      </c>
      <c r="AS10" s="78" t="n">
        <v>245079.5746153846</v>
      </c>
      <c r="AT10" s="78" t="n">
        <v>248832.1426153846</v>
      </c>
      <c r="AU10" s="78" t="n">
        <v>252376.2346153846</v>
      </c>
      <c r="AV10" s="78" t="n">
        <v>124.0281248053566</v>
      </c>
      <c r="AW10" s="78" t="n">
        <v>125.9271976798505</v>
      </c>
      <c r="AX10" s="78" t="n">
        <v>127.7207665057614</v>
      </c>
      <c r="AY10" s="78" t="n">
        <v>248832.1426153846</v>
      </c>
      <c r="AZ10" s="78" t="n">
        <v>248832.1426153846</v>
      </c>
      <c r="BA10" s="78" t="n">
        <v>250832.1426153846</v>
      </c>
      <c r="BB10" s="78" t="n">
        <v>125.9271976798505</v>
      </c>
      <c r="BC10" s="78" t="n">
        <v>125.9271976798505</v>
      </c>
      <c r="BD10" s="78" t="n">
        <v>126.9393434288384</v>
      </c>
      <c r="BE10" s="78" t="n">
        <v>238809.258</v>
      </c>
      <c r="BF10" s="78" t="n">
        <v>248832.1426153846</v>
      </c>
      <c r="BG10" s="78" t="n">
        <v>248832.1426153846</v>
      </c>
      <c r="BH10" s="78" t="n">
        <v>120.8548876518219</v>
      </c>
      <c r="BI10" s="78" t="n">
        <v>125.9271976798505</v>
      </c>
      <c r="BJ10" s="78" t="n">
        <v>125.9271976798505</v>
      </c>
      <c r="BK10" s="78" t="n">
        <v>248832.1426153846</v>
      </c>
      <c r="BL10" s="78" t="n">
        <v>248832.1426153846</v>
      </c>
      <c r="BM10" s="78" t="n">
        <v>271684.3195384615</v>
      </c>
      <c r="BN10" s="78" t="n">
        <v>125.9271976798505</v>
      </c>
      <c r="BO10" s="78" t="n">
        <v>125.9271976798505</v>
      </c>
      <c r="BP10" s="78" t="n">
        <v>137.4920645437558</v>
      </c>
    </row>
    <row r="11">
      <c r="A11" t="inlineStr">
        <is>
          <t>SA</t>
        </is>
      </c>
      <c r="B11" t="inlineStr">
        <is>
          <t>Admin staff</t>
        </is>
      </c>
      <c r="C11" s="65" t="n">
        <v>134772.7098461539</v>
      </c>
      <c r="D11" s="65" t="n">
        <v>150064.7570769231</v>
      </c>
      <c r="E11" s="65" t="n">
        <v>165356.8043076923</v>
      </c>
      <c r="F11" s="65" t="n">
        <v>68.20481267517907</v>
      </c>
      <c r="G11" s="65" t="n">
        <v>75.94370297415135</v>
      </c>
      <c r="H11" s="65" t="n">
        <v>83.68259327312363</v>
      </c>
      <c r="I11" s="78" t="n">
        <v>149747.8870769231</v>
      </c>
      <c r="J11" s="78" t="n">
        <v>150064.7570769231</v>
      </c>
      <c r="K11" s="78" t="n">
        <v>151173.8020769231</v>
      </c>
      <c r="L11" s="78" t="n">
        <v>75.78334366241046</v>
      </c>
      <c r="M11" s="78" t="n">
        <v>75.94370297415135</v>
      </c>
      <c r="N11" s="78" t="n">
        <v>76.50496056524447</v>
      </c>
      <c r="O11" s="78" t="n">
        <v>150064.7570769231</v>
      </c>
      <c r="P11" s="78" t="n">
        <v>150064.7570769231</v>
      </c>
      <c r="Q11" s="78" t="n">
        <v>150064.7570769231</v>
      </c>
      <c r="R11" s="78" t="n">
        <v>72.14651782544378</v>
      </c>
      <c r="S11" s="78" t="n">
        <v>75.94370297415135</v>
      </c>
      <c r="T11" s="78" t="n">
        <v>79.50029512445596</v>
      </c>
      <c r="U11" s="78" t="n">
        <v>143727.3570769231</v>
      </c>
      <c r="V11" s="78" t="n">
        <v>150064.7570769231</v>
      </c>
      <c r="W11" s="78" t="n">
        <v>162739.5570769231</v>
      </c>
      <c r="X11" s="78" t="n">
        <v>72.73651673933354</v>
      </c>
      <c r="Y11" s="78" t="n">
        <v>75.94370297415135</v>
      </c>
      <c r="Z11" s="78" t="n">
        <v>82.35807544378699</v>
      </c>
      <c r="AA11" s="78" t="n">
        <v>149716.2000769231</v>
      </c>
      <c r="AB11" s="78" t="n">
        <v>150064.7570769231</v>
      </c>
      <c r="AC11" s="78" t="n">
        <v>150381.6270769231</v>
      </c>
      <c r="AD11" s="78" t="n">
        <v>75.76730773123637</v>
      </c>
      <c r="AE11" s="78" t="n">
        <v>75.94370297415135</v>
      </c>
      <c r="AF11" s="78" t="n">
        <v>76.10406228589225</v>
      </c>
      <c r="AG11" s="78" t="n">
        <v>150064.7570769231</v>
      </c>
      <c r="AH11" s="78" t="n">
        <v>150064.7570769231</v>
      </c>
      <c r="AI11" s="78" t="n">
        <v>162739.5570769231</v>
      </c>
      <c r="AJ11" s="78" t="n">
        <v>75.94370297415135</v>
      </c>
      <c r="AK11" s="78" t="n">
        <v>75.94370297415135</v>
      </c>
      <c r="AL11" s="78" t="n">
        <v>82.35807544378699</v>
      </c>
      <c r="AM11" s="78" t="n">
        <v>150064.7570769231</v>
      </c>
      <c r="AN11" s="78" t="n">
        <v>150064.7570769231</v>
      </c>
      <c r="AO11" s="78" t="n">
        <v>150064.7570769231</v>
      </c>
      <c r="AP11" s="78" t="n">
        <v>75.94370297415135</v>
      </c>
      <c r="AQ11" s="78" t="n">
        <v>75.94370297415135</v>
      </c>
      <c r="AR11" s="78" t="n">
        <v>75.94370297415135</v>
      </c>
      <c r="AS11" s="78" t="n">
        <v>147783.2930769231</v>
      </c>
      <c r="AT11" s="78" t="n">
        <v>150064.7570769231</v>
      </c>
      <c r="AU11" s="78" t="n">
        <v>152219.4730769231</v>
      </c>
      <c r="AV11" s="78" t="n">
        <v>74.78911592961693</v>
      </c>
      <c r="AW11" s="78" t="n">
        <v>75.94370297415135</v>
      </c>
      <c r="AX11" s="78" t="n">
        <v>77.03414629398939</v>
      </c>
      <c r="AY11" s="78" t="n">
        <v>150064.7570769231</v>
      </c>
      <c r="AZ11" s="78" t="n">
        <v>150064.7570769231</v>
      </c>
      <c r="BA11" s="78" t="n">
        <v>152064.7570769231</v>
      </c>
      <c r="BB11" s="78" t="n">
        <v>75.94370297415135</v>
      </c>
      <c r="BC11" s="78" t="n">
        <v>75.94370297415135</v>
      </c>
      <c r="BD11" s="78" t="n">
        <v>76.9558487231392</v>
      </c>
      <c r="BE11" s="78" t="n">
        <v>145189.834</v>
      </c>
      <c r="BF11" s="78" t="n">
        <v>150064.7570769231</v>
      </c>
      <c r="BG11" s="78" t="n">
        <v>151283.4878461538</v>
      </c>
      <c r="BH11" s="78" t="n">
        <v>73.4766366396761</v>
      </c>
      <c r="BI11" s="78" t="n">
        <v>75.94370297415135</v>
      </c>
      <c r="BJ11" s="78" t="n">
        <v>76.56046955777016</v>
      </c>
      <c r="BK11" s="78" t="n">
        <v>150064.7570769231</v>
      </c>
      <c r="BL11" s="78" t="n">
        <v>150064.7570769231</v>
      </c>
      <c r="BM11" s="78" t="n">
        <v>163714.5416923077</v>
      </c>
      <c r="BN11" s="78" t="n">
        <v>75.94370297415135</v>
      </c>
      <c r="BO11" s="78" t="n">
        <v>75.94370297415135</v>
      </c>
      <c r="BP11" s="78" t="n">
        <v>82.85148871068202</v>
      </c>
    </row>
    <row r="12">
      <c r="A12" t="inlineStr">
        <is>
          <t>SA</t>
        </is>
      </c>
      <c r="B12" t="inlineStr">
        <is>
          <t>Bioinformatics staff</t>
        </is>
      </c>
      <c r="C12" s="65" t="n">
        <v>157196.9413846154</v>
      </c>
      <c r="D12" s="65" t="n">
        <v>216872.1548076923</v>
      </c>
      <c r="E12" s="65" t="n">
        <v>276547.3682307692</v>
      </c>
      <c r="F12" s="65" t="n">
        <v>79.55310798816568</v>
      </c>
      <c r="G12" s="65" t="n">
        <v>109.7531147812208</v>
      </c>
      <c r="H12" s="65" t="n">
        <v>139.9531215742759</v>
      </c>
      <c r="I12" s="78" t="n">
        <v>216414.2173076923</v>
      </c>
      <c r="J12" s="78" t="n">
        <v>216872.1548076923</v>
      </c>
      <c r="K12" s="78" t="n">
        <v>218474.9360576923</v>
      </c>
      <c r="L12" s="78" t="n">
        <v>109.5213650342572</v>
      </c>
      <c r="M12" s="78" t="n">
        <v>109.7531147812208</v>
      </c>
      <c r="N12" s="78" t="n">
        <v>110.5642388955932</v>
      </c>
      <c r="O12" s="78" t="n">
        <v>216872.1548076923</v>
      </c>
      <c r="P12" s="78" t="n">
        <v>216872.1548076923</v>
      </c>
      <c r="Q12" s="78" t="n">
        <v>216872.1548076923</v>
      </c>
      <c r="R12" s="78" t="n">
        <v>104.2654590421597</v>
      </c>
      <c r="S12" s="78" t="n">
        <v>109.7531147812208</v>
      </c>
      <c r="T12" s="78" t="n">
        <v>114.8930678150521</v>
      </c>
      <c r="U12" s="78" t="n">
        <v>207713.4048076923</v>
      </c>
      <c r="V12" s="78" t="n">
        <v>216872.1548076923</v>
      </c>
      <c r="W12" s="78" t="n">
        <v>235189.6548076923</v>
      </c>
      <c r="X12" s="78" t="n">
        <v>105.1181198419495</v>
      </c>
      <c r="Y12" s="78" t="n">
        <v>109.7531147812208</v>
      </c>
      <c r="Z12" s="78" t="n">
        <v>119.0231046597633</v>
      </c>
      <c r="AA12" s="78" t="n">
        <v>216368.4235576923</v>
      </c>
      <c r="AB12" s="78" t="n">
        <v>216872.1548076923</v>
      </c>
      <c r="AC12" s="78" t="n">
        <v>217330.0923076923</v>
      </c>
      <c r="AD12" s="78" t="n">
        <v>109.4981900595609</v>
      </c>
      <c r="AE12" s="78" t="n">
        <v>109.7531147812208</v>
      </c>
      <c r="AF12" s="78" t="n">
        <v>109.9848645281843</v>
      </c>
      <c r="AG12" s="78" t="n">
        <v>216872.1548076923</v>
      </c>
      <c r="AH12" s="78" t="n">
        <v>216872.1548076923</v>
      </c>
      <c r="AI12" s="78" t="n">
        <v>235189.6548076923</v>
      </c>
      <c r="AJ12" s="78" t="n">
        <v>109.7531147812208</v>
      </c>
      <c r="AK12" s="78" t="n">
        <v>109.7531147812208</v>
      </c>
      <c r="AL12" s="78" t="n">
        <v>119.0231046597633</v>
      </c>
      <c r="AM12" s="78" t="n">
        <v>216872.1548076923</v>
      </c>
      <c r="AN12" s="78" t="n">
        <v>216872.1548076923</v>
      </c>
      <c r="AO12" s="78" t="n">
        <v>216872.1548076923</v>
      </c>
      <c r="AP12" s="78" t="n">
        <v>109.7531147812208</v>
      </c>
      <c r="AQ12" s="78" t="n">
        <v>109.7531147812208</v>
      </c>
      <c r="AR12" s="78" t="n">
        <v>109.7531147812208</v>
      </c>
      <c r="AS12" s="78" t="n">
        <v>213575.0048076923</v>
      </c>
      <c r="AT12" s="78" t="n">
        <v>216872.1548076923</v>
      </c>
      <c r="AU12" s="78" t="n">
        <v>219986.1298076923</v>
      </c>
      <c r="AV12" s="78" t="n">
        <v>108.0845166030831</v>
      </c>
      <c r="AW12" s="78" t="n">
        <v>109.7531147812208</v>
      </c>
      <c r="AX12" s="78" t="n">
        <v>111.329013060573</v>
      </c>
      <c r="AY12" s="78" t="n">
        <v>216872.1548076923</v>
      </c>
      <c r="AZ12" s="78" t="n">
        <v>216872.1548076923</v>
      </c>
      <c r="BA12" s="78" t="n">
        <v>218872.1548076923</v>
      </c>
      <c r="BB12" s="78" t="n">
        <v>109.7531147812208</v>
      </c>
      <c r="BC12" s="78" t="n">
        <v>109.7531147812208</v>
      </c>
      <c r="BD12" s="78" t="n">
        <v>110.7652605302086</v>
      </c>
      <c r="BE12" s="78" t="n">
        <v>209826.9625</v>
      </c>
      <c r="BF12" s="78" t="n">
        <v>216872.1548076923</v>
      </c>
      <c r="BG12" s="78" t="n">
        <v>218633.4528846154</v>
      </c>
      <c r="BH12" s="78" t="n">
        <v>106.1877340587045</v>
      </c>
      <c r="BI12" s="78" t="n">
        <v>109.7531147812208</v>
      </c>
      <c r="BJ12" s="78" t="n">
        <v>110.6444599618499</v>
      </c>
      <c r="BK12" s="78" t="n">
        <v>216872.1548076923</v>
      </c>
      <c r="BL12" s="78" t="n">
        <v>216872.1548076923</v>
      </c>
      <c r="BM12" s="78" t="n">
        <v>236598.6932692307</v>
      </c>
      <c r="BN12" s="78" t="n">
        <v>109.7531147812208</v>
      </c>
      <c r="BO12" s="78" t="n">
        <v>109.7531147812208</v>
      </c>
      <c r="BP12" s="78" t="n">
        <v>119.7361808042666</v>
      </c>
    </row>
    <row r="13">
      <c r="A13" t="inlineStr">
        <is>
          <t>SA</t>
        </is>
      </c>
      <c r="B13" t="inlineStr">
        <is>
          <t>Pathologists</t>
        </is>
      </c>
      <c r="C13" s="65" t="n">
        <v>730532.0760384616</v>
      </c>
      <c r="D13" s="65" t="n">
        <v>842427.4306442309</v>
      </c>
      <c r="E13" s="65" t="n">
        <v>954322.7852500001</v>
      </c>
      <c r="F13" s="65" t="n">
        <v>369.7024676308004</v>
      </c>
      <c r="G13" s="65" t="n">
        <v>426.3296713786594</v>
      </c>
      <c r="H13" s="65" t="n">
        <v>482.9568751265182</v>
      </c>
      <c r="I13" s="78" t="n">
        <v>841143.3281442309</v>
      </c>
      <c r="J13" s="78" t="n">
        <v>842427.4306442309</v>
      </c>
      <c r="K13" s="78" t="n">
        <v>846921.7893942308</v>
      </c>
      <c r="L13" s="78" t="n">
        <v>425.6798219353395</v>
      </c>
      <c r="M13" s="78" t="n">
        <v>426.3296713786594</v>
      </c>
      <c r="N13" s="78" t="n">
        <v>428.6041444302787</v>
      </c>
      <c r="O13" s="78" t="n">
        <v>842427.4306442309</v>
      </c>
      <c r="P13" s="78" t="n">
        <v>842427.4306442309</v>
      </c>
      <c r="Q13" s="78" t="n">
        <v>842427.4306442309</v>
      </c>
      <c r="R13" s="78" t="n">
        <v>405.0131878097264</v>
      </c>
      <c r="S13" s="78" t="n">
        <v>426.3296713786594</v>
      </c>
      <c r="T13" s="78" t="n">
        <v>446.2955237572743</v>
      </c>
      <c r="U13" s="78" t="n">
        <v>842427.4306442309</v>
      </c>
      <c r="V13" s="78" t="n">
        <v>842427.4306442309</v>
      </c>
      <c r="W13" s="78" t="n">
        <v>919473.5806442308</v>
      </c>
      <c r="X13" s="78" t="n">
        <v>426.3296713786594</v>
      </c>
      <c r="Y13" s="78" t="n">
        <v>426.3296713786594</v>
      </c>
      <c r="Z13" s="78" t="n">
        <v>465.3206379778496</v>
      </c>
      <c r="AA13" s="78" t="n">
        <v>841014.9178942308</v>
      </c>
      <c r="AB13" s="78" t="n">
        <v>842427.4306442309</v>
      </c>
      <c r="AC13" s="78" t="n">
        <v>843711.5331442308</v>
      </c>
      <c r="AD13" s="78" t="n">
        <v>425.6148369910075</v>
      </c>
      <c r="AE13" s="78" t="n">
        <v>426.3296713786594</v>
      </c>
      <c r="AF13" s="78" t="n">
        <v>426.9795208219792</v>
      </c>
      <c r="AG13" s="78" t="n">
        <v>816745.3806442309</v>
      </c>
      <c r="AH13" s="78" t="n">
        <v>842427.4306442309</v>
      </c>
      <c r="AI13" s="78" t="n">
        <v>868109.480644231</v>
      </c>
      <c r="AJ13" s="78" t="n">
        <v>413.3326825122626</v>
      </c>
      <c r="AK13" s="78" t="n">
        <v>426.3296713786594</v>
      </c>
      <c r="AL13" s="78" t="n">
        <v>439.3266602450561</v>
      </c>
      <c r="AM13" s="78" t="n">
        <v>765381.2806442308</v>
      </c>
      <c r="AN13" s="78" t="n">
        <v>842427.4306442309</v>
      </c>
      <c r="AO13" s="78" t="n">
        <v>860404.865644231</v>
      </c>
      <c r="AP13" s="78" t="n">
        <v>387.338704779469</v>
      </c>
      <c r="AQ13" s="78" t="n">
        <v>426.3296713786594</v>
      </c>
      <c r="AR13" s="78" t="n">
        <v>435.4275635851371</v>
      </c>
      <c r="AS13" s="78" t="n">
        <v>833181.8926442309</v>
      </c>
      <c r="AT13" s="78" t="n">
        <v>842427.4306442309</v>
      </c>
      <c r="AU13" s="78" t="n">
        <v>851159.3276442308</v>
      </c>
      <c r="AV13" s="78" t="n">
        <v>421.6507553867565</v>
      </c>
      <c r="AW13" s="78" t="n">
        <v>426.3296713786594</v>
      </c>
      <c r="AX13" s="78" t="n">
        <v>430.7486475932342</v>
      </c>
      <c r="AY13" s="78" t="n">
        <v>816427.4306442309</v>
      </c>
      <c r="AZ13" s="78" t="n">
        <v>842427.4306442309</v>
      </c>
      <c r="BA13" s="78" t="n">
        <v>842427.4306442309</v>
      </c>
      <c r="BB13" s="78" t="n">
        <v>413.1717766418173</v>
      </c>
      <c r="BC13" s="78" t="n">
        <v>426.3296713786594</v>
      </c>
      <c r="BD13" s="78" t="n">
        <v>426.3296713786594</v>
      </c>
      <c r="BE13" s="78" t="n">
        <v>813411.653</v>
      </c>
      <c r="BF13" s="78" t="n">
        <v>842427.4306442309</v>
      </c>
      <c r="BG13" s="78" t="n">
        <v>842427.4306442309</v>
      </c>
      <c r="BH13" s="78" t="n">
        <v>411.6455733805668</v>
      </c>
      <c r="BI13" s="78" t="n">
        <v>426.3296713786594</v>
      </c>
      <c r="BJ13" s="78" t="n">
        <v>426.3296713786594</v>
      </c>
      <c r="BK13" s="78" t="n">
        <v>793162.3443461539</v>
      </c>
      <c r="BL13" s="78" t="n">
        <v>842427.4306442309</v>
      </c>
      <c r="BM13" s="78" t="n">
        <v>849465.3001153846</v>
      </c>
      <c r="BN13" s="78" t="n">
        <v>401.3979475436001</v>
      </c>
      <c r="BO13" s="78" t="n">
        <v>426.3296713786594</v>
      </c>
      <c r="BP13" s="78" t="n">
        <v>429.8913462122392</v>
      </c>
    </row>
    <row r="14">
      <c r="A14" t="inlineStr">
        <is>
          <t>NSW</t>
        </is>
      </c>
      <c r="B14" t="inlineStr">
        <is>
          <t>Lab technician</t>
        </is>
      </c>
      <c r="C14" s="65" t="n">
        <v>142117.72308</v>
      </c>
      <c r="D14" s="65" t="n">
        <v>183839.76996</v>
      </c>
      <c r="E14" s="65" t="n">
        <v>225561.81684</v>
      </c>
      <c r="F14" s="65" t="n">
        <v>71.92192463562753</v>
      </c>
      <c r="G14" s="65" t="n">
        <v>93.03632082995951</v>
      </c>
      <c r="H14" s="65" t="n">
        <v>114.1507170242915</v>
      </c>
      <c r="I14" s="78" t="n">
        <v>183451.58216</v>
      </c>
      <c r="J14" s="78" t="n">
        <v>183839.76996</v>
      </c>
      <c r="K14" s="78" t="n">
        <v>185198.42726</v>
      </c>
      <c r="L14" s="78" t="n">
        <v>92.83986951417005</v>
      </c>
      <c r="M14" s="78" t="n">
        <v>93.03632082995951</v>
      </c>
      <c r="N14" s="78" t="n">
        <v>93.72390043522266</v>
      </c>
      <c r="O14" s="78" t="n">
        <v>183839.76996</v>
      </c>
      <c r="P14" s="78" t="n">
        <v>183839.76996</v>
      </c>
      <c r="Q14" s="78" t="n">
        <v>183839.76996</v>
      </c>
      <c r="R14" s="78" t="n">
        <v>88.38450478846153</v>
      </c>
      <c r="S14" s="78" t="n">
        <v>93.03632082995951</v>
      </c>
      <c r="T14" s="78" t="n">
        <v>97.39339370629371</v>
      </c>
      <c r="U14" s="78" t="n">
        <v>176076.01396</v>
      </c>
      <c r="V14" s="78" t="n">
        <v>183839.76996</v>
      </c>
      <c r="W14" s="78" t="n">
        <v>199367.28196</v>
      </c>
      <c r="X14" s="78" t="n">
        <v>89.10729451417004</v>
      </c>
      <c r="Y14" s="78" t="n">
        <v>93.03632082995951</v>
      </c>
      <c r="Z14" s="78" t="n">
        <v>100.8943734615384</v>
      </c>
      <c r="AA14" s="78" t="n">
        <v>183412.76338</v>
      </c>
      <c r="AB14" s="78" t="n">
        <v>183839.76996</v>
      </c>
      <c r="AC14" s="78" t="n">
        <v>184227.95776</v>
      </c>
      <c r="AD14" s="78" t="n">
        <v>92.82022438259108</v>
      </c>
      <c r="AE14" s="78" t="n">
        <v>93.03632082995951</v>
      </c>
      <c r="AF14" s="78" t="n">
        <v>93.23277214574897</v>
      </c>
      <c r="AG14" s="78" t="n">
        <v>183839.76996</v>
      </c>
      <c r="AH14" s="78" t="n">
        <v>183839.76996</v>
      </c>
      <c r="AI14" s="78" t="n">
        <v>199367.28196</v>
      </c>
      <c r="AJ14" s="78" t="n">
        <v>93.03632082995951</v>
      </c>
      <c r="AK14" s="78" t="n">
        <v>93.03632082995951</v>
      </c>
      <c r="AL14" s="78" t="n">
        <v>100.8943734615384</v>
      </c>
      <c r="AM14" s="78" t="n">
        <v>183839.76996</v>
      </c>
      <c r="AN14" s="78" t="n">
        <v>183839.76996</v>
      </c>
      <c r="AO14" s="78" t="n">
        <v>183839.76996</v>
      </c>
      <c r="AP14" s="78" t="n">
        <v>93.03632082995951</v>
      </c>
      <c r="AQ14" s="78" t="n">
        <v>93.03632082995951</v>
      </c>
      <c r="AR14" s="78" t="n">
        <v>93.03632082995951</v>
      </c>
      <c r="AS14" s="78" t="n">
        <v>181044.8178</v>
      </c>
      <c r="AT14" s="78" t="n">
        <v>183839.76996</v>
      </c>
      <c r="AU14" s="78" t="n">
        <v>186479.447</v>
      </c>
      <c r="AV14" s="78" t="n">
        <v>91.62187135627528</v>
      </c>
      <c r="AW14" s="78" t="n">
        <v>93.03632082995951</v>
      </c>
      <c r="AX14" s="78" t="n">
        <v>94.37218977732793</v>
      </c>
      <c r="AY14" s="78" t="n">
        <v>183839.76996</v>
      </c>
      <c r="AZ14" s="78" t="n">
        <v>183839.76996</v>
      </c>
      <c r="BA14" s="78" t="n">
        <v>185839.76996</v>
      </c>
      <c r="BB14" s="78" t="n">
        <v>93.03632082995951</v>
      </c>
      <c r="BC14" s="78" t="n">
        <v>93.03632082995951</v>
      </c>
      <c r="BD14" s="78" t="n">
        <v>94.04846657894736</v>
      </c>
      <c r="BE14" s="78" t="n">
        <v>177867.64996</v>
      </c>
      <c r="BF14" s="78" t="n">
        <v>183839.76996</v>
      </c>
      <c r="BG14" s="78" t="n">
        <v>185332.79996</v>
      </c>
      <c r="BH14" s="78" t="n">
        <v>90.01399289473683</v>
      </c>
      <c r="BI14" s="78" t="n">
        <v>93.03632082995951</v>
      </c>
      <c r="BJ14" s="78" t="n">
        <v>93.79190281376518</v>
      </c>
      <c r="BK14" s="78" t="n">
        <v>183839.76996</v>
      </c>
      <c r="BL14" s="78" t="n">
        <v>183839.76996</v>
      </c>
      <c r="BM14" s="78" t="n">
        <v>200561.70596</v>
      </c>
      <c r="BN14" s="78" t="n">
        <v>93.03632082995951</v>
      </c>
      <c r="BO14" s="78" t="n">
        <v>93.03632082995951</v>
      </c>
      <c r="BP14" s="78" t="n">
        <v>101.498839048583</v>
      </c>
    </row>
    <row r="15">
      <c r="A15" t="inlineStr">
        <is>
          <t>NSW</t>
        </is>
      </c>
      <c r="B15" t="inlineStr">
        <is>
          <t>Medical scientist</t>
        </is>
      </c>
      <c r="C15" s="65" t="n">
        <v>171850.50164</v>
      </c>
      <c r="D15" s="65" t="n">
        <v>263051.15888</v>
      </c>
      <c r="E15" s="65" t="n">
        <v>354251.81612</v>
      </c>
      <c r="F15" s="65" t="n">
        <v>86.96887734817814</v>
      </c>
      <c r="G15" s="65" t="n">
        <v>133.1230561133603</v>
      </c>
      <c r="H15" s="65" t="n">
        <v>179.2772348785425</v>
      </c>
      <c r="I15" s="78" t="n">
        <v>262536.66048</v>
      </c>
      <c r="J15" s="78" t="n">
        <v>263051.15888</v>
      </c>
      <c r="K15" s="78" t="n">
        <v>264851.90328</v>
      </c>
      <c r="L15" s="78" t="n">
        <v>132.8626824291498</v>
      </c>
      <c r="M15" s="78" t="n">
        <v>133.1230561133603</v>
      </c>
      <c r="N15" s="78" t="n">
        <v>134.0343640080972</v>
      </c>
      <c r="O15" s="78" t="n">
        <v>263051.15888</v>
      </c>
      <c r="P15" s="78" t="n">
        <v>263051.15888</v>
      </c>
      <c r="Q15" s="78" t="n">
        <v>263051.15888</v>
      </c>
      <c r="R15" s="78" t="n">
        <v>126.4669033076923</v>
      </c>
      <c r="S15" s="78" t="n">
        <v>133.1230561133603</v>
      </c>
      <c r="T15" s="78" t="n">
        <v>139.3574692095783</v>
      </c>
      <c r="U15" s="78" t="n">
        <v>252761.19088</v>
      </c>
      <c r="V15" s="78" t="n">
        <v>263051.15888</v>
      </c>
      <c r="W15" s="78" t="n">
        <v>283631.09488</v>
      </c>
      <c r="X15" s="78" t="n">
        <v>127.9155824291498</v>
      </c>
      <c r="Y15" s="78" t="n">
        <v>133.1230561133603</v>
      </c>
      <c r="Z15" s="78" t="n">
        <v>143.5380034817814</v>
      </c>
      <c r="AA15" s="78" t="n">
        <v>262485.2106399999</v>
      </c>
      <c r="AB15" s="78" t="n">
        <v>263051.15888</v>
      </c>
      <c r="AC15" s="78" t="n">
        <v>263565.65728</v>
      </c>
      <c r="AD15" s="78" t="n">
        <v>132.8366450607287</v>
      </c>
      <c r="AE15" s="78" t="n">
        <v>133.1230561133603</v>
      </c>
      <c r="AF15" s="78" t="n">
        <v>133.3834297975708</v>
      </c>
      <c r="AG15" s="78" t="n">
        <v>263051.15888</v>
      </c>
      <c r="AH15" s="78" t="n">
        <v>263051.15888</v>
      </c>
      <c r="AI15" s="78" t="n">
        <v>283631.09488</v>
      </c>
      <c r="AJ15" s="78" t="n">
        <v>133.1230561133603</v>
      </c>
      <c r="AK15" s="78" t="n">
        <v>133.1230561133603</v>
      </c>
      <c r="AL15" s="78" t="n">
        <v>143.5380034817814</v>
      </c>
      <c r="AM15" s="78" t="n">
        <v>263051.15888</v>
      </c>
      <c r="AN15" s="78" t="n">
        <v>263051.15888</v>
      </c>
      <c r="AO15" s="78" t="n">
        <v>263051.15888</v>
      </c>
      <c r="AP15" s="78" t="n">
        <v>133.1230561133603</v>
      </c>
      <c r="AQ15" s="78" t="n">
        <v>133.1230561133603</v>
      </c>
      <c r="AR15" s="78" t="n">
        <v>133.1230561133603</v>
      </c>
      <c r="AS15" s="78" t="n">
        <v>259346.7704</v>
      </c>
      <c r="AT15" s="78" t="n">
        <v>263051.15888</v>
      </c>
      <c r="AU15" s="78" t="n">
        <v>266549.748</v>
      </c>
      <c r="AV15" s="78" t="n">
        <v>131.2483655870445</v>
      </c>
      <c r="AW15" s="78" t="n">
        <v>133.1230561133603</v>
      </c>
      <c r="AX15" s="78" t="n">
        <v>134.8935971659919</v>
      </c>
      <c r="AY15" s="78" t="n">
        <v>263051.15888</v>
      </c>
      <c r="AZ15" s="78" t="n">
        <v>263051.15888</v>
      </c>
      <c r="BA15" s="78" t="n">
        <v>265051.15888</v>
      </c>
      <c r="BB15" s="78" t="n">
        <v>133.1230561133603</v>
      </c>
      <c r="BC15" s="78" t="n">
        <v>133.1230561133603</v>
      </c>
      <c r="BD15" s="78" t="n">
        <v>134.1352018623482</v>
      </c>
      <c r="BE15" s="78" t="n">
        <v>253750.61088</v>
      </c>
      <c r="BF15" s="78" t="n">
        <v>263051.15888</v>
      </c>
      <c r="BG15" s="78" t="n">
        <v>265376.29588</v>
      </c>
      <c r="BH15" s="78" t="n">
        <v>128.4163010526316</v>
      </c>
      <c r="BI15" s="78" t="n">
        <v>133.1230561133603</v>
      </c>
      <c r="BJ15" s="78" t="n">
        <v>134.2997448785425</v>
      </c>
      <c r="BK15" s="78" t="n">
        <v>243658.52688</v>
      </c>
      <c r="BL15" s="78" t="n">
        <v>263051.15888</v>
      </c>
      <c r="BM15" s="78" t="n">
        <v>265821.53488</v>
      </c>
      <c r="BN15" s="78" t="n">
        <v>123.3089710931174</v>
      </c>
      <c r="BO15" s="78" t="n">
        <v>133.1230561133603</v>
      </c>
      <c r="BP15" s="78" t="n">
        <v>134.5250682591093</v>
      </c>
    </row>
    <row r="16">
      <c r="A16" t="inlineStr">
        <is>
          <t>NSW</t>
        </is>
      </c>
      <c r="B16" t="inlineStr">
        <is>
          <t>Admin staff</t>
        </is>
      </c>
      <c r="C16" s="65" t="n">
        <v>114089.18592</v>
      </c>
      <c r="D16" s="65" t="n">
        <v>137204.75628</v>
      </c>
      <c r="E16" s="65" t="n">
        <v>160320.32664</v>
      </c>
      <c r="F16" s="65" t="n">
        <v>57.73744226720648</v>
      </c>
      <c r="G16" s="65" t="n">
        <v>69.43560540485831</v>
      </c>
      <c r="H16" s="65" t="n">
        <v>81.13376854251011</v>
      </c>
      <c r="I16" s="78" t="n">
        <v>136915.04088</v>
      </c>
      <c r="J16" s="78" t="n">
        <v>137204.75628</v>
      </c>
      <c r="K16" s="78" t="n">
        <v>138218.76018</v>
      </c>
      <c r="L16" s="78" t="n">
        <v>69.28898829959513</v>
      </c>
      <c r="M16" s="78" t="n">
        <v>69.43560540485831</v>
      </c>
      <c r="N16" s="78" t="n">
        <v>69.94876527327934</v>
      </c>
      <c r="O16" s="78" t="n">
        <v>137204.75628</v>
      </c>
      <c r="P16" s="78" t="n">
        <v>137204.75628</v>
      </c>
      <c r="Q16" s="78" t="n">
        <v>137204.75628</v>
      </c>
      <c r="R16" s="78" t="n">
        <v>65.96382513461539</v>
      </c>
      <c r="S16" s="78" t="n">
        <v>69.43560540485831</v>
      </c>
      <c r="T16" s="78" t="n">
        <v>72.68741061665608</v>
      </c>
      <c r="U16" s="78" t="n">
        <v>131410.44828</v>
      </c>
      <c r="V16" s="78" t="n">
        <v>137204.75628</v>
      </c>
      <c r="W16" s="78" t="n">
        <v>148793.37228</v>
      </c>
      <c r="X16" s="78" t="n">
        <v>66.50326329959515</v>
      </c>
      <c r="Y16" s="78" t="n">
        <v>69.43560540485831</v>
      </c>
      <c r="Z16" s="78" t="n">
        <v>75.30028961538463</v>
      </c>
      <c r="AA16" s="78" t="n">
        <v>136886.06934</v>
      </c>
      <c r="AB16" s="78" t="n">
        <v>137204.75628</v>
      </c>
      <c r="AC16" s="78" t="n">
        <v>137494.47168</v>
      </c>
      <c r="AD16" s="78" t="n">
        <v>69.27432658906882</v>
      </c>
      <c r="AE16" s="78" t="n">
        <v>69.43560540485831</v>
      </c>
      <c r="AF16" s="78" t="n">
        <v>69.58222251012144</v>
      </c>
      <c r="AG16" s="78" t="n">
        <v>137204.75628</v>
      </c>
      <c r="AH16" s="78" t="n">
        <v>137204.75628</v>
      </c>
      <c r="AI16" s="78" t="n">
        <v>148793.37228</v>
      </c>
      <c r="AJ16" s="78" t="n">
        <v>69.43560540485831</v>
      </c>
      <c r="AK16" s="78" t="n">
        <v>69.43560540485831</v>
      </c>
      <c r="AL16" s="78" t="n">
        <v>75.30028961538463</v>
      </c>
      <c r="AM16" s="78" t="n">
        <v>137204.75628</v>
      </c>
      <c r="AN16" s="78" t="n">
        <v>137204.75628</v>
      </c>
      <c r="AO16" s="78" t="n">
        <v>137204.75628</v>
      </c>
      <c r="AP16" s="78" t="n">
        <v>69.43560540485831</v>
      </c>
      <c r="AQ16" s="78" t="n">
        <v>69.43560540485831</v>
      </c>
      <c r="AR16" s="78" t="n">
        <v>69.43560540485831</v>
      </c>
      <c r="AS16" s="78" t="n">
        <v>135118.8054</v>
      </c>
      <c r="AT16" s="78" t="n">
        <v>137204.75628</v>
      </c>
      <c r="AU16" s="78" t="n">
        <v>139174.821</v>
      </c>
      <c r="AV16" s="78" t="n">
        <v>68.37996224696357</v>
      </c>
      <c r="AW16" s="78" t="n">
        <v>69.43560540485831</v>
      </c>
      <c r="AX16" s="78" t="n">
        <v>70.43260172064777</v>
      </c>
      <c r="AY16" s="78" t="n">
        <v>137204.75628</v>
      </c>
      <c r="AZ16" s="78" t="n">
        <v>137204.75628</v>
      </c>
      <c r="BA16" s="78" t="n">
        <v>139204.75628</v>
      </c>
      <c r="BB16" s="78" t="n">
        <v>69.43560540485831</v>
      </c>
      <c r="BC16" s="78" t="n">
        <v>69.43560540485831</v>
      </c>
      <c r="BD16" s="78" t="n">
        <v>70.44775115384616</v>
      </c>
      <c r="BE16" s="78" t="n">
        <v>132747.59628</v>
      </c>
      <c r="BF16" s="78" t="n">
        <v>137204.75628</v>
      </c>
      <c r="BG16" s="78" t="n">
        <v>138319.04628</v>
      </c>
      <c r="BH16" s="78" t="n">
        <v>67.17995763157894</v>
      </c>
      <c r="BI16" s="78" t="n">
        <v>69.43560540485831</v>
      </c>
      <c r="BJ16" s="78" t="n">
        <v>69.99951734817814</v>
      </c>
      <c r="BK16" s="78" t="n">
        <v>137204.75628</v>
      </c>
      <c r="BL16" s="78" t="n">
        <v>137204.75628</v>
      </c>
      <c r="BM16" s="78" t="n">
        <v>149684.80428</v>
      </c>
      <c r="BN16" s="78" t="n">
        <v>69.43560540485831</v>
      </c>
      <c r="BO16" s="78" t="n">
        <v>69.43560540485831</v>
      </c>
      <c r="BP16" s="78" t="n">
        <v>75.75141917004048</v>
      </c>
    </row>
    <row r="17">
      <c r="A17" t="inlineStr">
        <is>
          <t>NSW</t>
        </is>
      </c>
      <c r="B17" t="inlineStr">
        <is>
          <t>Bioinformatics staff</t>
        </is>
      </c>
      <c r="C17" s="65" t="n">
        <v>168992.3613846154</v>
      </c>
      <c r="D17" s="65" t="n">
        <v>231185.3645</v>
      </c>
      <c r="E17" s="65" t="n">
        <v>293378.3676153846</v>
      </c>
      <c r="F17" s="65" t="n">
        <v>85.52245009342886</v>
      </c>
      <c r="G17" s="65" t="n">
        <v>116.9966419534413</v>
      </c>
      <c r="H17" s="65" t="n">
        <v>148.4708338134538</v>
      </c>
      <c r="I17" s="78" t="n">
        <v>230733.192</v>
      </c>
      <c r="J17" s="78" t="n">
        <v>231185.3645</v>
      </c>
      <c r="K17" s="78" t="n">
        <v>232767.96825</v>
      </c>
      <c r="L17" s="78" t="n">
        <v>116.7678097165992</v>
      </c>
      <c r="M17" s="78" t="n">
        <v>116.9966419534413</v>
      </c>
      <c r="N17" s="78" t="n">
        <v>117.7975547823887</v>
      </c>
      <c r="O17" s="78" t="n">
        <v>231185.3645</v>
      </c>
      <c r="P17" s="78" t="n">
        <v>231185.3645</v>
      </c>
      <c r="Q17" s="78" t="n">
        <v>231185.3645</v>
      </c>
      <c r="R17" s="78" t="n">
        <v>111.1468098557692</v>
      </c>
      <c r="S17" s="78" t="n">
        <v>116.9966419534413</v>
      </c>
      <c r="T17" s="78" t="n">
        <v>122.4758235325281</v>
      </c>
      <c r="U17" s="78" t="n">
        <v>222141.9145</v>
      </c>
      <c r="V17" s="78" t="n">
        <v>231185.3645</v>
      </c>
      <c r="W17" s="78" t="n">
        <v>249272.2645</v>
      </c>
      <c r="X17" s="78" t="n">
        <v>112.4199972165992</v>
      </c>
      <c r="Y17" s="78" t="n">
        <v>116.9966419534413</v>
      </c>
      <c r="Z17" s="78" t="n">
        <v>126.1499314271255</v>
      </c>
      <c r="AA17" s="78" t="n">
        <v>230687.97475</v>
      </c>
      <c r="AB17" s="78" t="n">
        <v>231185.3645</v>
      </c>
      <c r="AC17" s="78" t="n">
        <v>231637.537</v>
      </c>
      <c r="AD17" s="78" t="n">
        <v>116.744926492915</v>
      </c>
      <c r="AE17" s="78" t="n">
        <v>116.9966419534413</v>
      </c>
      <c r="AF17" s="78" t="n">
        <v>117.2254741902834</v>
      </c>
      <c r="AG17" s="78" t="n">
        <v>231185.3645</v>
      </c>
      <c r="AH17" s="78" t="n">
        <v>231185.3645</v>
      </c>
      <c r="AI17" s="78" t="n">
        <v>249272.2645</v>
      </c>
      <c r="AJ17" s="78" t="n">
        <v>116.9966419534413</v>
      </c>
      <c r="AK17" s="78" t="n">
        <v>116.9966419534413</v>
      </c>
      <c r="AL17" s="78" t="n">
        <v>126.1499314271255</v>
      </c>
      <c r="AM17" s="78" t="n">
        <v>231185.3645</v>
      </c>
      <c r="AN17" s="78" t="n">
        <v>231185.3645</v>
      </c>
      <c r="AO17" s="78" t="n">
        <v>231185.3645</v>
      </c>
      <c r="AP17" s="78" t="n">
        <v>116.9966419534413</v>
      </c>
      <c r="AQ17" s="78" t="n">
        <v>116.9966419534413</v>
      </c>
      <c r="AR17" s="78" t="n">
        <v>116.9966419534413</v>
      </c>
      <c r="AS17" s="78" t="n">
        <v>227929.7225</v>
      </c>
      <c r="AT17" s="78" t="n">
        <v>231185.3645</v>
      </c>
      <c r="AU17" s="78" t="n">
        <v>234260.1375</v>
      </c>
      <c r="AV17" s="78" t="n">
        <v>115.3490498481781</v>
      </c>
      <c r="AW17" s="78" t="n">
        <v>116.9966419534413</v>
      </c>
      <c r="AX17" s="78" t="n">
        <v>118.5527011639676</v>
      </c>
      <c r="AY17" s="78" t="n">
        <v>231185.3645</v>
      </c>
      <c r="AZ17" s="78" t="n">
        <v>231185.3645</v>
      </c>
      <c r="BA17" s="78" t="n">
        <v>233185.3645</v>
      </c>
      <c r="BB17" s="78" t="n">
        <v>116.9966419534413</v>
      </c>
      <c r="BC17" s="78" t="n">
        <v>116.9966419534413</v>
      </c>
      <c r="BD17" s="78" t="n">
        <v>118.0087877024292</v>
      </c>
      <c r="BE17" s="78" t="n">
        <v>223011.477</v>
      </c>
      <c r="BF17" s="78" t="n">
        <v>231185.3645</v>
      </c>
      <c r="BG17" s="78" t="n">
        <v>233228.836375</v>
      </c>
      <c r="BH17" s="78" t="n">
        <v>112.8600592105263</v>
      </c>
      <c r="BI17" s="78" t="n">
        <v>116.9966419534413</v>
      </c>
      <c r="BJ17" s="78" t="n">
        <v>118.03078763917</v>
      </c>
      <c r="BK17" s="78" t="n">
        <v>214141.9395</v>
      </c>
      <c r="BL17" s="78" t="n">
        <v>231185.3645</v>
      </c>
      <c r="BM17" s="78" t="n">
        <v>233620.1395</v>
      </c>
      <c r="BN17" s="78" t="n">
        <v>108.3714268724696</v>
      </c>
      <c r="BO17" s="78" t="n">
        <v>116.9966419534413</v>
      </c>
      <c r="BP17" s="78" t="n">
        <v>118.2288155364372</v>
      </c>
    </row>
    <row r="18">
      <c r="A18" t="inlineStr">
        <is>
          <t>NSW</t>
        </is>
      </c>
      <c r="B18" t="inlineStr">
        <is>
          <t>Pathologists</t>
        </is>
      </c>
      <c r="C18" s="65" t="n">
        <v>530998.2901923077</v>
      </c>
      <c r="D18" s="65" t="n">
        <v>617527.22875</v>
      </c>
      <c r="E18" s="65" t="n">
        <v>704056.1673076923</v>
      </c>
      <c r="F18" s="65" t="n">
        <v>268.7238310689816</v>
      </c>
      <c r="G18" s="65" t="n">
        <v>312.5137797317814</v>
      </c>
      <c r="H18" s="65" t="n">
        <v>356.3037283945811</v>
      </c>
      <c r="I18" s="78" t="n">
        <v>616474.6837500001</v>
      </c>
      <c r="J18" s="78" t="n">
        <v>617527.22875</v>
      </c>
      <c r="K18" s="78" t="n">
        <v>621211.13625</v>
      </c>
      <c r="L18" s="78" t="n">
        <v>311.9811152580972</v>
      </c>
      <c r="M18" s="78" t="n">
        <v>312.5137797317814</v>
      </c>
      <c r="N18" s="78" t="n">
        <v>314.3781053896761</v>
      </c>
      <c r="O18" s="78" t="n">
        <v>617527.22875</v>
      </c>
      <c r="P18" s="78" t="n">
        <v>617527.22875</v>
      </c>
      <c r="Q18" s="78" t="n">
        <v>617527.22875</v>
      </c>
      <c r="R18" s="78" t="n">
        <v>296.8880907451923</v>
      </c>
      <c r="S18" s="78" t="n">
        <v>312.5137797317814</v>
      </c>
      <c r="T18" s="78" t="n">
        <v>327.1494112894682</v>
      </c>
      <c r="U18" s="78" t="n">
        <v>617527.22875</v>
      </c>
      <c r="V18" s="78" t="n">
        <v>617527.22875</v>
      </c>
      <c r="W18" s="78" t="n">
        <v>680679.9287500001</v>
      </c>
      <c r="X18" s="78" t="n">
        <v>312.5137797317814</v>
      </c>
      <c r="Y18" s="78" t="n">
        <v>312.5137797317814</v>
      </c>
      <c r="Z18" s="78" t="n">
        <v>344.4736481528341</v>
      </c>
      <c r="AA18" s="78" t="n">
        <v>616369.42925</v>
      </c>
      <c r="AB18" s="78" t="n">
        <v>617527.22875</v>
      </c>
      <c r="AC18" s="78" t="n">
        <v>618579.7737500001</v>
      </c>
      <c r="AD18" s="78" t="n">
        <v>311.9278488107288</v>
      </c>
      <c r="AE18" s="78" t="n">
        <v>312.5137797317814</v>
      </c>
      <c r="AF18" s="78" t="n">
        <v>313.0464442054656</v>
      </c>
      <c r="AG18" s="78" t="n">
        <v>596476.3287500001</v>
      </c>
      <c r="AH18" s="78" t="n">
        <v>617527.22875</v>
      </c>
      <c r="AI18" s="78" t="n">
        <v>638578.12875</v>
      </c>
      <c r="AJ18" s="78" t="n">
        <v>301.8604902580972</v>
      </c>
      <c r="AK18" s="78" t="n">
        <v>312.5137797317814</v>
      </c>
      <c r="AL18" s="78" t="n">
        <v>323.1670692054656</v>
      </c>
      <c r="AM18" s="78" t="n">
        <v>580898.6627500001</v>
      </c>
      <c r="AN18" s="78" t="n">
        <v>617527.22875</v>
      </c>
      <c r="AO18" s="78" t="n">
        <v>644051.3627500001</v>
      </c>
      <c r="AP18" s="78" t="n">
        <v>293.977056047571</v>
      </c>
      <c r="AQ18" s="78" t="n">
        <v>312.5137797317814</v>
      </c>
      <c r="AR18" s="78" t="n">
        <v>325.9369244686235</v>
      </c>
      <c r="AS18" s="78" t="n">
        <v>609948.9047500001</v>
      </c>
      <c r="AT18" s="78" t="n">
        <v>617527.22875</v>
      </c>
      <c r="AU18" s="78" t="n">
        <v>624684.5347500001</v>
      </c>
      <c r="AV18" s="78" t="n">
        <v>308.6785955212551</v>
      </c>
      <c r="AW18" s="78" t="n">
        <v>312.5137797317814</v>
      </c>
      <c r="AX18" s="78" t="n">
        <v>316.135898152834</v>
      </c>
      <c r="AY18" s="78" t="n">
        <v>579527.22875</v>
      </c>
      <c r="AZ18" s="78" t="n">
        <v>617527.22875</v>
      </c>
      <c r="BA18" s="78" t="n">
        <v>617527.22875</v>
      </c>
      <c r="BB18" s="78" t="n">
        <v>293.2830105010121</v>
      </c>
      <c r="BC18" s="78" t="n">
        <v>312.5137797317814</v>
      </c>
      <c r="BD18" s="78" t="n">
        <v>312.5137797317814</v>
      </c>
      <c r="BE18" s="78" t="n">
        <v>593743.76</v>
      </c>
      <c r="BF18" s="78" t="n">
        <v>617527.22875</v>
      </c>
      <c r="BG18" s="78" t="n">
        <v>617527.22875</v>
      </c>
      <c r="BH18" s="78" t="n">
        <v>300.4776113360324</v>
      </c>
      <c r="BI18" s="78" t="n">
        <v>312.5137797317814</v>
      </c>
      <c r="BJ18" s="78" t="n">
        <v>312.5137797317814</v>
      </c>
      <c r="BK18" s="78" t="n">
        <v>577145.9350000001</v>
      </c>
      <c r="BL18" s="78" t="n">
        <v>617527.22875</v>
      </c>
      <c r="BM18" s="78" t="n">
        <v>623295.9850000001</v>
      </c>
      <c r="BN18" s="78" t="n">
        <v>292.0779023279352</v>
      </c>
      <c r="BO18" s="78" t="n">
        <v>312.5137797317814</v>
      </c>
      <c r="BP18" s="78" t="n">
        <v>315.4331907894737</v>
      </c>
    </row>
    <row r="19">
      <c r="A19" t="inlineStr">
        <is>
          <t>QLD</t>
        </is>
      </c>
      <c r="B19" t="inlineStr">
        <is>
          <t>Lab technician</t>
        </is>
      </c>
      <c r="C19" s="65" t="n">
        <v>116793.4012307692</v>
      </c>
      <c r="D19" s="65" t="n">
        <v>168044.7283076923</v>
      </c>
      <c r="E19" s="65" t="n">
        <v>219296.0553846154</v>
      </c>
      <c r="F19" s="65" t="n">
        <v>59.10597228277796</v>
      </c>
      <c r="G19" s="65" t="n">
        <v>85.04287869822485</v>
      </c>
      <c r="H19" s="65" t="n">
        <v>110.9797851136718</v>
      </c>
      <c r="I19" s="78" t="n">
        <v>167693.7483076923</v>
      </c>
      <c r="J19" s="78" t="n">
        <v>168044.7283076923</v>
      </c>
      <c r="K19" s="78" t="n">
        <v>169273.1583076923</v>
      </c>
      <c r="L19" s="78" t="n">
        <v>84.86525724073496</v>
      </c>
      <c r="M19" s="78" t="n">
        <v>85.04287869822485</v>
      </c>
      <c r="N19" s="78" t="n">
        <v>85.66455379943943</v>
      </c>
      <c r="O19" s="78" t="n">
        <v>168044.7283076923</v>
      </c>
      <c r="P19" s="78" t="n">
        <v>168044.7283076923</v>
      </c>
      <c r="Q19" s="78" t="n">
        <v>168044.7283076923</v>
      </c>
      <c r="R19" s="78" t="n">
        <v>80.79073476331361</v>
      </c>
      <c r="S19" s="78" t="n">
        <v>85.04287869822485</v>
      </c>
      <c r="T19" s="78" t="n">
        <v>89.02560304497368</v>
      </c>
      <c r="U19" s="78" t="n">
        <v>161025.1283076923</v>
      </c>
      <c r="V19" s="78" t="n">
        <v>168044.7283076923</v>
      </c>
      <c r="W19" s="78" t="n">
        <v>182083.9283076923</v>
      </c>
      <c r="X19" s="78" t="n">
        <v>81.49044954842728</v>
      </c>
      <c r="Y19" s="78" t="n">
        <v>85.04287869822485</v>
      </c>
      <c r="Z19" s="78" t="n">
        <v>92.14773699781999</v>
      </c>
      <c r="AA19" s="78" t="n">
        <v>167658.6503076923</v>
      </c>
      <c r="AB19" s="78" t="n">
        <v>168044.7283076923</v>
      </c>
      <c r="AC19" s="78" t="n">
        <v>168395.7083076923</v>
      </c>
      <c r="AD19" s="78" t="n">
        <v>84.84749509498597</v>
      </c>
      <c r="AE19" s="78" t="n">
        <v>85.04287869822485</v>
      </c>
      <c r="AF19" s="78" t="n">
        <v>85.22050015571473</v>
      </c>
      <c r="AG19" s="78" t="n">
        <v>168044.7283076923</v>
      </c>
      <c r="AH19" s="78" t="n">
        <v>168044.7283076923</v>
      </c>
      <c r="AI19" s="78" t="n">
        <v>182083.9283076923</v>
      </c>
      <c r="AJ19" s="78" t="n">
        <v>85.04287869822485</v>
      </c>
      <c r="AK19" s="78" t="n">
        <v>85.04287869822485</v>
      </c>
      <c r="AL19" s="78" t="n">
        <v>92.14773699781999</v>
      </c>
      <c r="AM19" s="78" t="n">
        <v>168044.7283076923</v>
      </c>
      <c r="AN19" s="78" t="n">
        <v>168044.7283076923</v>
      </c>
      <c r="AO19" s="78" t="n">
        <v>168044.7283076923</v>
      </c>
      <c r="AP19" s="78" t="n">
        <v>85.04287869822485</v>
      </c>
      <c r="AQ19" s="78" t="n">
        <v>85.04287869822485</v>
      </c>
      <c r="AR19" s="78" t="n">
        <v>85.04287869822485</v>
      </c>
      <c r="AS19" s="78" t="n">
        <v>165517.6723076923</v>
      </c>
      <c r="AT19" s="78" t="n">
        <v>168044.7283076923</v>
      </c>
      <c r="AU19" s="78" t="n">
        <v>170431.3923076923</v>
      </c>
      <c r="AV19" s="78" t="n">
        <v>83.76400420429772</v>
      </c>
      <c r="AW19" s="78" t="n">
        <v>85.04287869822485</v>
      </c>
      <c r="AX19" s="78" t="n">
        <v>86.25070460915603</v>
      </c>
      <c r="AY19" s="78" t="n">
        <v>166218.7283076923</v>
      </c>
      <c r="AZ19" s="78" t="n">
        <v>168044.7283076923</v>
      </c>
      <c r="BA19" s="78" t="n">
        <v>168218.7283076923</v>
      </c>
      <c r="BB19" s="78" t="n">
        <v>84.11878962939895</v>
      </c>
      <c r="BC19" s="78" t="n">
        <v>85.04287869822485</v>
      </c>
      <c r="BD19" s="78" t="n">
        <v>85.13093537838679</v>
      </c>
      <c r="BE19" s="78" t="n">
        <v>162645.036</v>
      </c>
      <c r="BF19" s="78" t="n">
        <v>168044.7283076923</v>
      </c>
      <c r="BG19" s="78" t="n">
        <v>169394.6513846154</v>
      </c>
      <c r="BH19" s="78" t="n">
        <v>82.31024089068828</v>
      </c>
      <c r="BI19" s="78" t="n">
        <v>85.04287869822485</v>
      </c>
      <c r="BJ19" s="78" t="n">
        <v>85.72603815010901</v>
      </c>
      <c r="BK19" s="78" t="n">
        <v>168044.7283076923</v>
      </c>
      <c r="BL19" s="78" t="n">
        <v>168044.7283076923</v>
      </c>
      <c r="BM19" s="78" t="n">
        <v>183163.8667692307</v>
      </c>
      <c r="BN19" s="78" t="n">
        <v>85.04287869822485</v>
      </c>
      <c r="BO19" s="78" t="n">
        <v>85.04287869822485</v>
      </c>
      <c r="BP19" s="78" t="n">
        <v>92.69426455932729</v>
      </c>
    </row>
    <row r="20">
      <c r="A20" t="inlineStr">
        <is>
          <t>QLD</t>
        </is>
      </c>
      <c r="B20" t="inlineStr">
        <is>
          <t>Medical scientist</t>
        </is>
      </c>
      <c r="C20" s="65" t="n">
        <v>165286.0979230769</v>
      </c>
      <c r="D20" s="65" t="n">
        <v>248808.6646538461</v>
      </c>
      <c r="E20" s="65" t="n">
        <v>332331.2313846154</v>
      </c>
      <c r="F20" s="65" t="n">
        <v>83.64681068981626</v>
      </c>
      <c r="G20" s="65" t="n">
        <v>125.9153161203675</v>
      </c>
      <c r="H20" s="65" t="n">
        <v>168.1838215509187</v>
      </c>
      <c r="I20" s="78" t="n">
        <v>248287.1471538462</v>
      </c>
      <c r="J20" s="78" t="n">
        <v>248808.6646538461</v>
      </c>
      <c r="K20" s="78" t="n">
        <v>250633.9759038461</v>
      </c>
      <c r="L20" s="78" t="n">
        <v>125.6513902600436</v>
      </c>
      <c r="M20" s="78" t="n">
        <v>125.9153161203675</v>
      </c>
      <c r="N20" s="78" t="n">
        <v>126.8390566315011</v>
      </c>
      <c r="O20" s="78" t="n">
        <v>248808.6646538461</v>
      </c>
      <c r="P20" s="78" t="n">
        <v>248808.6646538461</v>
      </c>
      <c r="Q20" s="78" t="n">
        <v>248808.6646538461</v>
      </c>
      <c r="R20" s="78" t="n">
        <v>119.6195503143491</v>
      </c>
      <c r="S20" s="78" t="n">
        <v>125.9153161203675</v>
      </c>
      <c r="T20" s="78" t="n">
        <v>131.8121766549301</v>
      </c>
      <c r="U20" s="78" t="n">
        <v>238378.3146538461</v>
      </c>
      <c r="V20" s="78" t="n">
        <v>248808.6646538461</v>
      </c>
      <c r="W20" s="78" t="n">
        <v>269669.3646538461</v>
      </c>
      <c r="X20" s="78" t="n">
        <v>120.6367989138897</v>
      </c>
      <c r="Y20" s="78" t="n">
        <v>125.9153161203675</v>
      </c>
      <c r="Z20" s="78" t="n">
        <v>136.4723505333229</v>
      </c>
      <c r="AA20" s="78" t="n">
        <v>248234.9954038461</v>
      </c>
      <c r="AB20" s="78" t="n">
        <v>248808.6646538461</v>
      </c>
      <c r="AC20" s="78" t="n">
        <v>249330.1821538461</v>
      </c>
      <c r="AD20" s="78" t="n">
        <v>125.6249976740112</v>
      </c>
      <c r="AE20" s="78" t="n">
        <v>125.9153161203675</v>
      </c>
      <c r="AF20" s="78" t="n">
        <v>126.1792419806914</v>
      </c>
      <c r="AG20" s="78" t="n">
        <v>248808.6646538461</v>
      </c>
      <c r="AH20" s="78" t="n">
        <v>248808.6646538461</v>
      </c>
      <c r="AI20" s="78" t="n">
        <v>269669.3646538461</v>
      </c>
      <c r="AJ20" s="78" t="n">
        <v>125.9153161203675</v>
      </c>
      <c r="AK20" s="78" t="n">
        <v>125.9153161203675</v>
      </c>
      <c r="AL20" s="78" t="n">
        <v>136.4723505333229</v>
      </c>
      <c r="AM20" s="78" t="n">
        <v>248808.6646538461</v>
      </c>
      <c r="AN20" s="78" t="n">
        <v>248808.6646538461</v>
      </c>
      <c r="AO20" s="78" t="n">
        <v>248808.6646538461</v>
      </c>
      <c r="AP20" s="78" t="n">
        <v>125.9153161203675</v>
      </c>
      <c r="AQ20" s="78" t="n">
        <v>125.9153161203675</v>
      </c>
      <c r="AR20" s="78" t="n">
        <v>125.9153161203675</v>
      </c>
      <c r="AS20" s="78" t="n">
        <v>245053.7386538461</v>
      </c>
      <c r="AT20" s="78" t="n">
        <v>248808.6646538461</v>
      </c>
      <c r="AU20" s="78" t="n">
        <v>252354.9836538461</v>
      </c>
      <c r="AV20" s="78" t="n">
        <v>124.0150499260355</v>
      </c>
      <c r="AW20" s="78" t="n">
        <v>125.9153161203675</v>
      </c>
      <c r="AX20" s="78" t="n">
        <v>127.7100119705699</v>
      </c>
      <c r="AY20" s="78" t="n">
        <v>246982.6646538461</v>
      </c>
      <c r="AZ20" s="78" t="n">
        <v>248808.6646538461</v>
      </c>
      <c r="BA20" s="78" t="n">
        <v>248982.6646538461</v>
      </c>
      <c r="BB20" s="78" t="n">
        <v>124.9912270515415</v>
      </c>
      <c r="BC20" s="78" t="n">
        <v>125.9153161203675</v>
      </c>
      <c r="BD20" s="78" t="n">
        <v>126.0033728005294</v>
      </c>
      <c r="BE20" s="78" t="n">
        <v>240785.3185</v>
      </c>
      <c r="BF20" s="78" t="n">
        <v>248808.6646538461</v>
      </c>
      <c r="BG20" s="78" t="n">
        <v>250814.5011923077</v>
      </c>
      <c r="BH20" s="78" t="n">
        <v>121.8549182692308</v>
      </c>
      <c r="BI20" s="78" t="n">
        <v>125.9153161203675</v>
      </c>
      <c r="BJ20" s="78" t="n">
        <v>126.9304155831517</v>
      </c>
      <c r="BK20" s="78" t="n">
        <v>248808.6646538461</v>
      </c>
      <c r="BL20" s="78" t="n">
        <v>248808.6646538461</v>
      </c>
      <c r="BM20" s="78" t="n">
        <v>271274.0338846153</v>
      </c>
      <c r="BN20" s="78" t="n">
        <v>125.9153161203675</v>
      </c>
      <c r="BO20" s="78" t="n">
        <v>125.9153161203675</v>
      </c>
      <c r="BP20" s="78" t="n">
        <v>137.2844301035503</v>
      </c>
    </row>
    <row r="21">
      <c r="A21" t="inlineStr">
        <is>
          <t>QLD</t>
        </is>
      </c>
      <c r="B21" t="inlineStr">
        <is>
          <t>Admin staff</t>
        </is>
      </c>
      <c r="C21" s="65" t="n">
        <v>114785.4024615385</v>
      </c>
      <c r="D21" s="65" t="n">
        <v>152905.4121153846</v>
      </c>
      <c r="E21" s="65" t="n">
        <v>191025.4217692308</v>
      </c>
      <c r="F21" s="65" t="n">
        <v>58.08977857365307</v>
      </c>
      <c r="G21" s="65" t="n">
        <v>77.38128143491123</v>
      </c>
      <c r="H21" s="65" t="n">
        <v>96.67278429616943</v>
      </c>
      <c r="I21" s="78" t="n">
        <v>152586.3996153846</v>
      </c>
      <c r="J21" s="78" t="n">
        <v>152905.4121153846</v>
      </c>
      <c r="K21" s="78" t="n">
        <v>154021.9558653846</v>
      </c>
      <c r="L21" s="78" t="n">
        <v>77.21983786203673</v>
      </c>
      <c r="M21" s="78" t="n">
        <v>77.38128143491123</v>
      </c>
      <c r="N21" s="78" t="n">
        <v>77.94633393997196</v>
      </c>
      <c r="O21" s="78" t="n">
        <v>152905.4121153846</v>
      </c>
      <c r="P21" s="78" t="n">
        <v>152905.4121153846</v>
      </c>
      <c r="Q21" s="78" t="n">
        <v>152905.4121153846</v>
      </c>
      <c r="R21" s="78" t="n">
        <v>73.51221736316566</v>
      </c>
      <c r="S21" s="78" t="n">
        <v>77.38128143491123</v>
      </c>
      <c r="T21" s="78" t="n">
        <v>81.00519819632581</v>
      </c>
      <c r="U21" s="78" t="n">
        <v>146525.1621153846</v>
      </c>
      <c r="V21" s="78" t="n">
        <v>152905.4121153846</v>
      </c>
      <c r="W21" s="78" t="n">
        <v>165665.9121153846</v>
      </c>
      <c r="X21" s="78" t="n">
        <v>74.15240997742136</v>
      </c>
      <c r="Y21" s="78" t="n">
        <v>77.38128143491123</v>
      </c>
      <c r="Z21" s="78" t="n">
        <v>83.83902434989099</v>
      </c>
      <c r="AA21" s="78" t="n">
        <v>152554.4983653846</v>
      </c>
      <c r="AB21" s="78" t="n">
        <v>152905.4121153846</v>
      </c>
      <c r="AC21" s="78" t="n">
        <v>153224.4246153846</v>
      </c>
      <c r="AD21" s="78" t="n">
        <v>77.2036935047493</v>
      </c>
      <c r="AE21" s="78" t="n">
        <v>77.38128143491123</v>
      </c>
      <c r="AF21" s="78" t="n">
        <v>77.54272500778573</v>
      </c>
      <c r="AG21" s="78" t="n">
        <v>152905.4121153846</v>
      </c>
      <c r="AH21" s="78" t="n">
        <v>152905.4121153846</v>
      </c>
      <c r="AI21" s="78" t="n">
        <v>165665.9121153846</v>
      </c>
      <c r="AJ21" s="78" t="n">
        <v>77.38128143491123</v>
      </c>
      <c r="AK21" s="78" t="n">
        <v>77.38128143491123</v>
      </c>
      <c r="AL21" s="78" t="n">
        <v>83.83902434989099</v>
      </c>
      <c r="AM21" s="78" t="n">
        <v>152905.4121153846</v>
      </c>
      <c r="AN21" s="78" t="n">
        <v>152905.4121153846</v>
      </c>
      <c r="AO21" s="78" t="n">
        <v>152905.4121153846</v>
      </c>
      <c r="AP21" s="78" t="n">
        <v>77.38128143491123</v>
      </c>
      <c r="AQ21" s="78" t="n">
        <v>77.38128143491123</v>
      </c>
      <c r="AR21" s="78" t="n">
        <v>77.38128143491123</v>
      </c>
      <c r="AS21" s="78" t="n">
        <v>150608.5221153846</v>
      </c>
      <c r="AT21" s="78" t="n">
        <v>152905.4121153846</v>
      </c>
      <c r="AU21" s="78" t="n">
        <v>155074.6971153846</v>
      </c>
      <c r="AV21" s="78" t="n">
        <v>76.21888771021487</v>
      </c>
      <c r="AW21" s="78" t="n">
        <v>77.38128143491123</v>
      </c>
      <c r="AX21" s="78" t="n">
        <v>78.4790977304578</v>
      </c>
      <c r="AY21" s="78" t="n">
        <v>151079.4121153846</v>
      </c>
      <c r="AZ21" s="78" t="n">
        <v>152905.4121153846</v>
      </c>
      <c r="BA21" s="78" t="n">
        <v>153079.4121153846</v>
      </c>
      <c r="BB21" s="78" t="n">
        <v>76.45719236608532</v>
      </c>
      <c r="BC21" s="78" t="n">
        <v>77.38128143491123</v>
      </c>
      <c r="BD21" s="78" t="n">
        <v>77.46933811507317</v>
      </c>
      <c r="BE21" s="78" t="n">
        <v>147997.5275</v>
      </c>
      <c r="BF21" s="78" t="n">
        <v>152905.4121153846</v>
      </c>
      <c r="BG21" s="78" t="n">
        <v>154132.3832692308</v>
      </c>
      <c r="BH21" s="78" t="n">
        <v>74.89753415991902</v>
      </c>
      <c r="BI21" s="78" t="n">
        <v>77.38128143491123</v>
      </c>
      <c r="BJ21" s="78" t="n">
        <v>78.00221825365931</v>
      </c>
      <c r="BK21" s="78" t="n">
        <v>152905.4121153846</v>
      </c>
      <c r="BL21" s="78" t="n">
        <v>152905.4121153846</v>
      </c>
      <c r="BM21" s="78" t="n">
        <v>166647.4890384615</v>
      </c>
      <c r="BN21" s="78" t="n">
        <v>77.38128143491123</v>
      </c>
      <c r="BO21" s="78" t="n">
        <v>77.38128143491123</v>
      </c>
      <c r="BP21" s="78" t="n">
        <v>84.33577380488944</v>
      </c>
    </row>
    <row r="22">
      <c r="A22" t="inlineStr">
        <is>
          <t>QLD</t>
        </is>
      </c>
      <c r="B22" t="inlineStr">
        <is>
          <t>Bioinformatics staff</t>
        </is>
      </c>
      <c r="C22" s="65" t="n">
        <v>165286.0979230769</v>
      </c>
      <c r="D22" s="65" t="n">
        <v>248808.6646538461</v>
      </c>
      <c r="E22" s="65" t="n">
        <v>332331.2313846154</v>
      </c>
      <c r="F22" s="65" t="n">
        <v>83.64681068981626</v>
      </c>
      <c r="G22" s="65" t="n">
        <v>125.9153161203675</v>
      </c>
      <c r="H22" s="65" t="n">
        <v>168.1838215509187</v>
      </c>
      <c r="I22" s="78" t="n">
        <v>248287.1471538462</v>
      </c>
      <c r="J22" s="78" t="n">
        <v>248808.6646538461</v>
      </c>
      <c r="K22" s="78" t="n">
        <v>250633.9759038461</v>
      </c>
      <c r="L22" s="78" t="n">
        <v>125.6513902600436</v>
      </c>
      <c r="M22" s="78" t="n">
        <v>125.9153161203675</v>
      </c>
      <c r="N22" s="78" t="n">
        <v>126.8390566315011</v>
      </c>
      <c r="O22" s="78" t="n">
        <v>248808.6646538461</v>
      </c>
      <c r="P22" s="78" t="n">
        <v>248808.6646538461</v>
      </c>
      <c r="Q22" s="78" t="n">
        <v>248808.6646538461</v>
      </c>
      <c r="R22" s="78" t="n">
        <v>119.6195503143491</v>
      </c>
      <c r="S22" s="78" t="n">
        <v>125.9153161203675</v>
      </c>
      <c r="T22" s="78" t="n">
        <v>131.8121766549301</v>
      </c>
      <c r="U22" s="78" t="n">
        <v>238378.3146538461</v>
      </c>
      <c r="V22" s="78" t="n">
        <v>248808.6646538461</v>
      </c>
      <c r="W22" s="78" t="n">
        <v>269669.3646538461</v>
      </c>
      <c r="X22" s="78" t="n">
        <v>120.6367989138897</v>
      </c>
      <c r="Y22" s="78" t="n">
        <v>125.9153161203675</v>
      </c>
      <c r="Z22" s="78" t="n">
        <v>136.4723505333229</v>
      </c>
      <c r="AA22" s="78" t="n">
        <v>248234.9954038461</v>
      </c>
      <c r="AB22" s="78" t="n">
        <v>248808.6646538461</v>
      </c>
      <c r="AC22" s="78" t="n">
        <v>249330.1821538461</v>
      </c>
      <c r="AD22" s="78" t="n">
        <v>125.6249976740112</v>
      </c>
      <c r="AE22" s="78" t="n">
        <v>125.9153161203675</v>
      </c>
      <c r="AF22" s="78" t="n">
        <v>126.1792419806914</v>
      </c>
      <c r="AG22" s="78" t="n">
        <v>248808.6646538461</v>
      </c>
      <c r="AH22" s="78" t="n">
        <v>248808.6646538461</v>
      </c>
      <c r="AI22" s="78" t="n">
        <v>269669.3646538461</v>
      </c>
      <c r="AJ22" s="78" t="n">
        <v>125.9153161203675</v>
      </c>
      <c r="AK22" s="78" t="n">
        <v>125.9153161203675</v>
      </c>
      <c r="AL22" s="78" t="n">
        <v>136.4723505333229</v>
      </c>
      <c r="AM22" s="78" t="n">
        <v>248808.6646538461</v>
      </c>
      <c r="AN22" s="78" t="n">
        <v>248808.6646538461</v>
      </c>
      <c r="AO22" s="78" t="n">
        <v>248808.6646538461</v>
      </c>
      <c r="AP22" s="78" t="n">
        <v>125.9153161203675</v>
      </c>
      <c r="AQ22" s="78" t="n">
        <v>125.9153161203675</v>
      </c>
      <c r="AR22" s="78" t="n">
        <v>125.9153161203675</v>
      </c>
      <c r="AS22" s="78" t="n">
        <v>245053.7386538461</v>
      </c>
      <c r="AT22" s="78" t="n">
        <v>248808.6646538461</v>
      </c>
      <c r="AU22" s="78" t="n">
        <v>252354.9836538461</v>
      </c>
      <c r="AV22" s="78" t="n">
        <v>124.0150499260355</v>
      </c>
      <c r="AW22" s="78" t="n">
        <v>125.9153161203675</v>
      </c>
      <c r="AX22" s="78" t="n">
        <v>127.7100119705699</v>
      </c>
      <c r="AY22" s="78" t="n">
        <v>246982.6646538461</v>
      </c>
      <c r="AZ22" s="78" t="n">
        <v>248808.6646538461</v>
      </c>
      <c r="BA22" s="78" t="n">
        <v>248982.6646538461</v>
      </c>
      <c r="BB22" s="78" t="n">
        <v>124.9912270515415</v>
      </c>
      <c r="BC22" s="78" t="n">
        <v>125.9153161203675</v>
      </c>
      <c r="BD22" s="78" t="n">
        <v>126.0033728005294</v>
      </c>
      <c r="BE22" s="78" t="n">
        <v>240785.3185</v>
      </c>
      <c r="BF22" s="78" t="n">
        <v>248808.6646538461</v>
      </c>
      <c r="BG22" s="78" t="n">
        <v>250814.5011923077</v>
      </c>
      <c r="BH22" s="78" t="n">
        <v>121.8549182692308</v>
      </c>
      <c r="BI22" s="78" t="n">
        <v>125.9153161203675</v>
      </c>
      <c r="BJ22" s="78" t="n">
        <v>126.9304155831517</v>
      </c>
      <c r="BK22" s="78" t="n">
        <v>248808.6646538461</v>
      </c>
      <c r="BL22" s="78" t="n">
        <v>248808.6646538461</v>
      </c>
      <c r="BM22" s="78" t="n">
        <v>271274.0338846153</v>
      </c>
      <c r="BN22" s="78" t="n">
        <v>125.9153161203675</v>
      </c>
      <c r="BO22" s="78" t="n">
        <v>125.9153161203675</v>
      </c>
      <c r="BP22" s="78" t="n">
        <v>137.2844301035503</v>
      </c>
    </row>
    <row r="23">
      <c r="A23" t="inlineStr">
        <is>
          <t>QLD</t>
        </is>
      </c>
      <c r="B23" t="inlineStr">
        <is>
          <t>Pathologists</t>
        </is>
      </c>
      <c r="C23" s="65" t="n">
        <v>564701.8383076922</v>
      </c>
      <c r="D23" s="65" t="n">
        <v>668927.8987692308</v>
      </c>
      <c r="E23" s="65" t="n">
        <v>773153.9592307692</v>
      </c>
      <c r="F23" s="65" t="n">
        <v>285.7802825443786</v>
      </c>
      <c r="G23" s="65" t="n">
        <v>338.5262645593273</v>
      </c>
      <c r="H23" s="65" t="n">
        <v>391.2722465742759</v>
      </c>
      <c r="I23" s="78" t="n">
        <v>667799.1587692308</v>
      </c>
      <c r="J23" s="78" t="n">
        <v>668927.8987692308</v>
      </c>
      <c r="K23" s="78" t="n">
        <v>672878.4887692307</v>
      </c>
      <c r="L23" s="78" t="n">
        <v>337.955039862971</v>
      </c>
      <c r="M23" s="78" t="n">
        <v>338.5262645593273</v>
      </c>
      <c r="N23" s="78" t="n">
        <v>340.5255509965742</v>
      </c>
      <c r="O23" s="78" t="n">
        <v>668927.8987692308</v>
      </c>
      <c r="P23" s="78" t="n">
        <v>668927.8987692308</v>
      </c>
      <c r="Q23" s="78" t="n">
        <v>668927.8987692308</v>
      </c>
      <c r="R23" s="78" t="n">
        <v>321.599951331361</v>
      </c>
      <c r="S23" s="78" t="n">
        <v>338.5262645593273</v>
      </c>
      <c r="T23" s="78" t="n">
        <v>354.380111659902</v>
      </c>
      <c r="U23" s="78" t="n">
        <v>668927.8987692308</v>
      </c>
      <c r="V23" s="78" t="n">
        <v>668927.8987692308</v>
      </c>
      <c r="W23" s="78" t="n">
        <v>736652.2987692307</v>
      </c>
      <c r="X23" s="78" t="n">
        <v>338.5262645593273</v>
      </c>
      <c r="Y23" s="78" t="n">
        <v>338.5262645593273</v>
      </c>
      <c r="Z23" s="78" t="n">
        <v>372.7997463407038</v>
      </c>
      <c r="AA23" s="78" t="n">
        <v>667686.2847692308</v>
      </c>
      <c r="AB23" s="78" t="n">
        <v>668927.8987692308</v>
      </c>
      <c r="AC23" s="78" t="n">
        <v>670056.6387692308</v>
      </c>
      <c r="AD23" s="78" t="n">
        <v>337.8979173933354</v>
      </c>
      <c r="AE23" s="78" t="n">
        <v>338.5262645593273</v>
      </c>
      <c r="AF23" s="78" t="n">
        <v>339.0974892556836</v>
      </c>
      <c r="AG23" s="78" t="n">
        <v>646353.0987692308</v>
      </c>
      <c r="AH23" s="78" t="n">
        <v>668927.8987692308</v>
      </c>
      <c r="AI23" s="78" t="n">
        <v>691502.6987692307</v>
      </c>
      <c r="AJ23" s="78" t="n">
        <v>327.1017706322018</v>
      </c>
      <c r="AK23" s="78" t="n">
        <v>338.5262645593273</v>
      </c>
      <c r="AL23" s="78" t="n">
        <v>349.9507584864528</v>
      </c>
      <c r="AM23" s="78" t="n">
        <v>556053.8987692308</v>
      </c>
      <c r="AN23" s="78" t="n">
        <v>668927.8987692308</v>
      </c>
      <c r="AO23" s="78" t="n">
        <v>691502.6987692307</v>
      </c>
      <c r="AP23" s="78" t="n">
        <v>281.4037949236998</v>
      </c>
      <c r="AQ23" s="78" t="n">
        <v>338.5262645593273</v>
      </c>
      <c r="AR23" s="78" t="n">
        <v>349.9507584864528</v>
      </c>
      <c r="AS23" s="78" t="n">
        <v>660800.9707692307</v>
      </c>
      <c r="AT23" s="78" t="n">
        <v>668927.8987692308</v>
      </c>
      <c r="AU23" s="78" t="n">
        <v>676603.3307692308</v>
      </c>
      <c r="AV23" s="78" t="n">
        <v>334.4134467455621</v>
      </c>
      <c r="AW23" s="78" t="n">
        <v>338.5262645593273</v>
      </c>
      <c r="AX23" s="78" t="n">
        <v>342.41059249455</v>
      </c>
      <c r="AY23" s="78" t="n">
        <v>647427.8987692308</v>
      </c>
      <c r="AZ23" s="78" t="n">
        <v>668927.8987692308</v>
      </c>
      <c r="BA23" s="78" t="n">
        <v>668927.8987692308</v>
      </c>
      <c r="BB23" s="78" t="n">
        <v>327.6456977577079</v>
      </c>
      <c r="BC23" s="78" t="n">
        <v>338.5262645593273</v>
      </c>
      <c r="BD23" s="78" t="n">
        <v>338.5262645593273</v>
      </c>
      <c r="BE23" s="78" t="n">
        <v>651562.6680000001</v>
      </c>
      <c r="BF23" s="78" t="n">
        <v>668927.8987692308</v>
      </c>
      <c r="BG23" s="78" t="n">
        <v>673269.2064615386</v>
      </c>
      <c r="BH23" s="78" t="n">
        <v>329.7381923076923</v>
      </c>
      <c r="BI23" s="78" t="n">
        <v>338.5262645593273</v>
      </c>
      <c r="BJ23" s="78" t="n">
        <v>340.7232826222361</v>
      </c>
      <c r="BK23" s="78" t="n">
        <v>668927.8987692308</v>
      </c>
      <c r="BL23" s="78" t="n">
        <v>668927.8987692308</v>
      </c>
      <c r="BM23" s="78" t="n">
        <v>717550.5449230769</v>
      </c>
      <c r="BN23" s="78" t="n">
        <v>338.5262645593273</v>
      </c>
      <c r="BO23" s="78" t="n">
        <v>338.5262645593273</v>
      </c>
      <c r="BP23" s="78" t="n">
        <v>363.1328668639053</v>
      </c>
    </row>
    <row r="24">
      <c r="A24" t="inlineStr">
        <is>
          <t>WA</t>
        </is>
      </c>
      <c r="B24" t="inlineStr">
        <is>
          <t>Lab technician</t>
        </is>
      </c>
      <c r="C24" s="65" t="n">
        <v>148744.2736153846</v>
      </c>
      <c r="D24" s="65" t="n">
        <v>184365.5033846154</v>
      </c>
      <c r="E24" s="65" t="n">
        <v>219986.7331538461</v>
      </c>
      <c r="F24" s="65" t="n">
        <v>75.27544211304888</v>
      </c>
      <c r="G24" s="65" t="n">
        <v>93.30238025537216</v>
      </c>
      <c r="H24" s="65" t="n">
        <v>111.3293183976954</v>
      </c>
      <c r="I24" s="78" t="n">
        <v>184008.6633846154</v>
      </c>
      <c r="J24" s="78" t="n">
        <v>184365.5033846154</v>
      </c>
      <c r="K24" s="78" t="n">
        <v>185614.4433846154</v>
      </c>
      <c r="L24" s="78" t="n">
        <v>93.12179321083775</v>
      </c>
      <c r="M24" s="78" t="n">
        <v>93.30238025537216</v>
      </c>
      <c r="N24" s="78" t="n">
        <v>93.9344349112426</v>
      </c>
      <c r="O24" s="78" t="n">
        <v>184365.5033846154</v>
      </c>
      <c r="P24" s="78" t="n">
        <v>184365.5033846154</v>
      </c>
      <c r="Q24" s="78" t="n">
        <v>184365.5033846154</v>
      </c>
      <c r="R24" s="78" t="n">
        <v>88.63726124260356</v>
      </c>
      <c r="S24" s="78" t="n">
        <v>93.30238025537216</v>
      </c>
      <c r="T24" s="78" t="n">
        <v>97.67191321499014</v>
      </c>
      <c r="U24" s="78" t="n">
        <v>177228.7033846154</v>
      </c>
      <c r="V24" s="78" t="n">
        <v>184365.5033846154</v>
      </c>
      <c r="W24" s="78" t="n">
        <v>198639.1033846154</v>
      </c>
      <c r="X24" s="78" t="n">
        <v>89.69063936468389</v>
      </c>
      <c r="Y24" s="78" t="n">
        <v>93.30238025537216</v>
      </c>
      <c r="Z24" s="78" t="n">
        <v>100.5258620367487</v>
      </c>
      <c r="AA24" s="78" t="n">
        <v>183972.9793846154</v>
      </c>
      <c r="AB24" s="78" t="n">
        <v>184365.5033846154</v>
      </c>
      <c r="AC24" s="78" t="n">
        <v>184722.3433846154</v>
      </c>
      <c r="AD24" s="78" t="n">
        <v>93.1037345063843</v>
      </c>
      <c r="AE24" s="78" t="n">
        <v>93.30238025537216</v>
      </c>
      <c r="AF24" s="78" t="n">
        <v>93.48296729990658</v>
      </c>
      <c r="AG24" s="78" t="n">
        <v>184365.5033846154</v>
      </c>
      <c r="AH24" s="78" t="n">
        <v>184365.5033846154</v>
      </c>
      <c r="AI24" s="78" t="n">
        <v>198639.1033846154</v>
      </c>
      <c r="AJ24" s="78" t="n">
        <v>93.30238025537216</v>
      </c>
      <c r="AK24" s="78" t="n">
        <v>93.30238025537216</v>
      </c>
      <c r="AL24" s="78" t="n">
        <v>100.5258620367487</v>
      </c>
      <c r="AM24" s="78" t="n">
        <v>184365.5033846154</v>
      </c>
      <c r="AN24" s="78" t="n">
        <v>184365.5033846154</v>
      </c>
      <c r="AO24" s="78" t="n">
        <v>184365.5033846154</v>
      </c>
      <c r="AP24" s="78" t="n">
        <v>93.30238025537216</v>
      </c>
      <c r="AQ24" s="78" t="n">
        <v>93.30238025537216</v>
      </c>
      <c r="AR24" s="78" t="n">
        <v>93.30238025537216</v>
      </c>
      <c r="AS24" s="78" t="n">
        <v>181796.2553846154</v>
      </c>
      <c r="AT24" s="78" t="n">
        <v>184365.5033846154</v>
      </c>
      <c r="AU24" s="78" t="n">
        <v>186792.0153846154</v>
      </c>
      <c r="AV24" s="78" t="n">
        <v>92.0021535347244</v>
      </c>
      <c r="AW24" s="78" t="n">
        <v>93.30238025537216</v>
      </c>
      <c r="AX24" s="78" t="n">
        <v>94.53037215820618</v>
      </c>
      <c r="AY24" s="78" t="n">
        <v>184365.5033846154</v>
      </c>
      <c r="AZ24" s="78" t="n">
        <v>184365.5033846154</v>
      </c>
      <c r="BA24" s="78" t="n">
        <v>186365.5033846154</v>
      </c>
      <c r="BB24" s="78" t="n">
        <v>93.30238025537216</v>
      </c>
      <c r="BC24" s="78" t="n">
        <v>93.30238025537216</v>
      </c>
      <c r="BD24" s="78" t="n">
        <v>94.31452600436002</v>
      </c>
      <c r="BE24" s="78" t="n">
        <v>177777.688</v>
      </c>
      <c r="BF24" s="78" t="n">
        <v>184365.5033846154</v>
      </c>
      <c r="BG24" s="78" t="n">
        <v>186012.4572307692</v>
      </c>
      <c r="BH24" s="78" t="n">
        <v>89.96846558704453</v>
      </c>
      <c r="BI24" s="78" t="n">
        <v>93.30238025537216</v>
      </c>
      <c r="BJ24" s="78" t="n">
        <v>94.13585892245408</v>
      </c>
      <c r="BK24" s="78" t="n">
        <v>168993.9341538462</v>
      </c>
      <c r="BL24" s="78" t="n">
        <v>184365.5033846154</v>
      </c>
      <c r="BM24" s="78" t="n">
        <v>184365.5033846154</v>
      </c>
      <c r="BN24" s="78" t="n">
        <v>85.52324602927438</v>
      </c>
      <c r="BO24" s="78" t="n">
        <v>93.30238025537216</v>
      </c>
      <c r="BP24" s="78" t="n">
        <v>93.30238025537216</v>
      </c>
    </row>
    <row r="25">
      <c r="A25" t="inlineStr">
        <is>
          <t>WA</t>
        </is>
      </c>
      <c r="B25" t="inlineStr">
        <is>
          <t>Medical scientist</t>
        </is>
      </c>
      <c r="C25" s="65" t="n">
        <v>201066.5876153846</v>
      </c>
      <c r="D25" s="65" t="n">
        <v>281686.4540769231</v>
      </c>
      <c r="E25" s="65" t="n">
        <v>362306.3205384615</v>
      </c>
      <c r="F25" s="65" t="n">
        <v>101.7543459592027</v>
      </c>
      <c r="G25" s="65" t="n">
        <v>142.5538735207101</v>
      </c>
      <c r="H25" s="65" t="n">
        <v>183.3534010822173</v>
      </c>
      <c r="I25" s="78" t="n">
        <v>281141.2490769231</v>
      </c>
      <c r="J25" s="78" t="n">
        <v>281686.4540769231</v>
      </c>
      <c r="K25" s="78" t="n">
        <v>283594.6715769231</v>
      </c>
      <c r="L25" s="78" t="n">
        <v>142.2779600591716</v>
      </c>
      <c r="M25" s="78" t="n">
        <v>142.5538735207101</v>
      </c>
      <c r="N25" s="78" t="n">
        <v>143.5195706360947</v>
      </c>
      <c r="O25" s="78" t="n">
        <v>281686.4540769231</v>
      </c>
      <c r="P25" s="78" t="n">
        <v>281686.4540769231</v>
      </c>
      <c r="Q25" s="78" t="n">
        <v>281686.4540769231</v>
      </c>
      <c r="R25" s="78" t="n">
        <v>135.4261798446746</v>
      </c>
      <c r="S25" s="78" t="n">
        <v>142.5538735207101</v>
      </c>
      <c r="T25" s="78" t="n">
        <v>149.2299502420657</v>
      </c>
      <c r="U25" s="78" t="n">
        <v>270782.354076923</v>
      </c>
      <c r="V25" s="78" t="n">
        <v>281686.4540769231</v>
      </c>
      <c r="W25" s="78" t="n">
        <v>303494.654076923</v>
      </c>
      <c r="X25" s="78" t="n">
        <v>137.0356042899408</v>
      </c>
      <c r="Y25" s="78" t="n">
        <v>142.5538735207101</v>
      </c>
      <c r="Z25" s="78" t="n">
        <v>153.5904119822485</v>
      </c>
      <c r="AA25" s="78" t="n">
        <v>281086.728576923</v>
      </c>
      <c r="AB25" s="78" t="n">
        <v>281686.4540769231</v>
      </c>
      <c r="AC25" s="78" t="n">
        <v>282231.659076923</v>
      </c>
      <c r="AD25" s="78" t="n">
        <v>142.2503687130177</v>
      </c>
      <c r="AE25" s="78" t="n">
        <v>142.5538735207101</v>
      </c>
      <c r="AF25" s="78" t="n">
        <v>142.8297869822485</v>
      </c>
      <c r="AG25" s="78" t="n">
        <v>281686.4540769231</v>
      </c>
      <c r="AH25" s="78" t="n">
        <v>281686.4540769231</v>
      </c>
      <c r="AI25" s="78" t="n">
        <v>303494.654076923</v>
      </c>
      <c r="AJ25" s="78" t="n">
        <v>142.5538735207101</v>
      </c>
      <c r="AK25" s="78" t="n">
        <v>142.5538735207101</v>
      </c>
      <c r="AL25" s="78" t="n">
        <v>153.5904119822485</v>
      </c>
      <c r="AM25" s="78" t="n">
        <v>281686.4540769231</v>
      </c>
      <c r="AN25" s="78" t="n">
        <v>281686.4540769231</v>
      </c>
      <c r="AO25" s="78" t="n">
        <v>281686.4540769231</v>
      </c>
      <c r="AP25" s="78" t="n">
        <v>142.5538735207101</v>
      </c>
      <c r="AQ25" s="78" t="n">
        <v>142.5538735207101</v>
      </c>
      <c r="AR25" s="78" t="n">
        <v>142.5538735207101</v>
      </c>
      <c r="AS25" s="78" t="n">
        <v>277760.9780769231</v>
      </c>
      <c r="AT25" s="78" t="n">
        <v>281686.4540769231</v>
      </c>
      <c r="AU25" s="78" t="n">
        <v>285393.8480769231</v>
      </c>
      <c r="AV25" s="78" t="n">
        <v>140.5672965976331</v>
      </c>
      <c r="AW25" s="78" t="n">
        <v>142.5538735207101</v>
      </c>
      <c r="AX25" s="78" t="n">
        <v>144.4300850591716</v>
      </c>
      <c r="AY25" s="78" t="n">
        <v>281686.4540769231</v>
      </c>
      <c r="AZ25" s="78" t="n">
        <v>281686.4540769231</v>
      </c>
      <c r="BA25" s="78" t="n">
        <v>283686.4540769231</v>
      </c>
      <c r="BB25" s="78" t="n">
        <v>142.5538735207101</v>
      </c>
      <c r="BC25" s="78" t="n">
        <v>142.5538735207101</v>
      </c>
      <c r="BD25" s="78" t="n">
        <v>143.5660192696979</v>
      </c>
      <c r="BE25" s="78" t="n">
        <v>271621.131</v>
      </c>
      <c r="BF25" s="78" t="n">
        <v>281686.4540769231</v>
      </c>
      <c r="BG25" s="78" t="n">
        <v>284202.7848461538</v>
      </c>
      <c r="BH25" s="78" t="n">
        <v>137.4600865384615</v>
      </c>
      <c r="BI25" s="78" t="n">
        <v>142.5538735207101</v>
      </c>
      <c r="BJ25" s="78" t="n">
        <v>143.8273202662722</v>
      </c>
      <c r="BK25" s="78" t="n">
        <v>258200.7002307692</v>
      </c>
      <c r="BL25" s="78" t="n">
        <v>281686.4540769231</v>
      </c>
      <c r="BM25" s="78" t="n">
        <v>281686.4540769231</v>
      </c>
      <c r="BN25" s="78" t="n">
        <v>130.6683705621301</v>
      </c>
      <c r="BO25" s="78" t="n">
        <v>142.5538735207101</v>
      </c>
      <c r="BP25" s="78" t="n">
        <v>142.5538735207101</v>
      </c>
    </row>
    <row r="26">
      <c r="A26" t="inlineStr">
        <is>
          <t>WA</t>
        </is>
      </c>
      <c r="B26" t="inlineStr">
        <is>
          <t>Admin staff</t>
        </is>
      </c>
      <c r="C26" s="65" t="n">
        <v>148744.2736153846</v>
      </c>
      <c r="D26" s="65" t="n">
        <v>163559.5432307692</v>
      </c>
      <c r="E26" s="65" t="n">
        <v>178374.8128461538</v>
      </c>
      <c r="F26" s="65" t="n">
        <v>75.27544211304888</v>
      </c>
      <c r="G26" s="65" t="n">
        <v>82.77304819370912</v>
      </c>
      <c r="H26" s="65" t="n">
        <v>90.27065427436935</v>
      </c>
      <c r="I26" s="78" t="n">
        <v>163242.9732307692</v>
      </c>
      <c r="J26" s="78" t="n">
        <v>163559.5432307692</v>
      </c>
      <c r="K26" s="78" t="n">
        <v>164667.5382307692</v>
      </c>
      <c r="L26" s="78" t="n">
        <v>82.61284070383057</v>
      </c>
      <c r="M26" s="78" t="n">
        <v>82.77304819370912</v>
      </c>
      <c r="N26" s="78" t="n">
        <v>83.33377440828401</v>
      </c>
      <c r="O26" s="78" t="n">
        <v>163559.5432307692</v>
      </c>
      <c r="P26" s="78" t="n">
        <v>163559.5432307692</v>
      </c>
      <c r="Q26" s="78" t="n">
        <v>163559.5432307692</v>
      </c>
      <c r="R26" s="78" t="n">
        <v>78.63439578402367</v>
      </c>
      <c r="S26" s="78" t="n">
        <v>82.77304819370912</v>
      </c>
      <c r="T26" s="78" t="n">
        <v>86.64947193831809</v>
      </c>
      <c r="U26" s="78" t="n">
        <v>157228.1432307692</v>
      </c>
      <c r="V26" s="78" t="n">
        <v>163559.5432307692</v>
      </c>
      <c r="W26" s="78" t="n">
        <v>176222.3432307692</v>
      </c>
      <c r="X26" s="78" t="n">
        <v>79.56889839613827</v>
      </c>
      <c r="Y26" s="78" t="n">
        <v>82.77304819370912</v>
      </c>
      <c r="Z26" s="78" t="n">
        <v>89.18134778885081</v>
      </c>
      <c r="AA26" s="78" t="n">
        <v>163211.3162307692</v>
      </c>
      <c r="AB26" s="78" t="n">
        <v>163559.5432307692</v>
      </c>
      <c r="AC26" s="78" t="n">
        <v>163876.1132307692</v>
      </c>
      <c r="AD26" s="78" t="n">
        <v>82.59681995484272</v>
      </c>
      <c r="AE26" s="78" t="n">
        <v>82.77304819370912</v>
      </c>
      <c r="AF26" s="78" t="n">
        <v>82.93325568358767</v>
      </c>
      <c r="AG26" s="78" t="n">
        <v>163559.5432307692</v>
      </c>
      <c r="AH26" s="78" t="n">
        <v>163559.5432307692</v>
      </c>
      <c r="AI26" s="78" t="n">
        <v>176222.3432307692</v>
      </c>
      <c r="AJ26" s="78" t="n">
        <v>82.77304819370912</v>
      </c>
      <c r="AK26" s="78" t="n">
        <v>82.77304819370912</v>
      </c>
      <c r="AL26" s="78" t="n">
        <v>89.18134778885081</v>
      </c>
      <c r="AM26" s="78" t="n">
        <v>163559.5432307692</v>
      </c>
      <c r="AN26" s="78" t="n">
        <v>163559.5432307692</v>
      </c>
      <c r="AO26" s="78" t="n">
        <v>163559.5432307692</v>
      </c>
      <c r="AP26" s="78" t="n">
        <v>82.77304819370912</v>
      </c>
      <c r="AQ26" s="78" t="n">
        <v>82.77304819370912</v>
      </c>
      <c r="AR26" s="78" t="n">
        <v>82.77304819370912</v>
      </c>
      <c r="AS26" s="78" t="n">
        <v>161280.2392307692</v>
      </c>
      <c r="AT26" s="78" t="n">
        <v>163559.5432307692</v>
      </c>
      <c r="AU26" s="78" t="n">
        <v>165712.2192307692</v>
      </c>
      <c r="AV26" s="78" t="n">
        <v>81.61955426658362</v>
      </c>
      <c r="AW26" s="78" t="n">
        <v>82.77304819370912</v>
      </c>
      <c r="AX26" s="78" t="n">
        <v>83.8624591248832</v>
      </c>
      <c r="AY26" s="78" t="n">
        <v>163559.5432307692</v>
      </c>
      <c r="AZ26" s="78" t="n">
        <v>163559.5432307692</v>
      </c>
      <c r="BA26" s="78" t="n">
        <v>165559.5432307692</v>
      </c>
      <c r="BB26" s="78" t="n">
        <v>82.77304819370912</v>
      </c>
      <c r="BC26" s="78" t="n">
        <v>82.77304819370912</v>
      </c>
      <c r="BD26" s="78" t="n">
        <v>83.78519394269698</v>
      </c>
      <c r="BE26" s="78" t="n">
        <v>157715.174</v>
      </c>
      <c r="BF26" s="78" t="n">
        <v>163559.5432307692</v>
      </c>
      <c r="BG26" s="78" t="n">
        <v>165020.6355384616</v>
      </c>
      <c r="BH26" s="78" t="n">
        <v>79.81537145748989</v>
      </c>
      <c r="BI26" s="78" t="n">
        <v>82.77304819370912</v>
      </c>
      <c r="BJ26" s="78" t="n">
        <v>83.51246737776395</v>
      </c>
      <c r="BK26" s="78" t="n">
        <v>149922.6816923077</v>
      </c>
      <c r="BL26" s="78" t="n">
        <v>163559.5432307692</v>
      </c>
      <c r="BM26" s="78" t="n">
        <v>163559.5432307692</v>
      </c>
      <c r="BN26" s="78" t="n">
        <v>75.87180247586423</v>
      </c>
      <c r="BO26" s="78" t="n">
        <v>82.77304819370912</v>
      </c>
      <c r="BP26" s="78" t="n">
        <v>82.77304819370912</v>
      </c>
    </row>
    <row r="27">
      <c r="A27" t="inlineStr">
        <is>
          <t>WA</t>
        </is>
      </c>
      <c r="B27" t="inlineStr">
        <is>
          <t>Bioinformatics staff</t>
        </is>
      </c>
      <c r="C27" s="65" t="n">
        <v>206401.118</v>
      </c>
      <c r="D27" s="65" t="n">
        <v>224182.0248461539</v>
      </c>
      <c r="E27" s="65" t="n">
        <v>241962.9316923077</v>
      </c>
      <c r="F27" s="65" t="n">
        <v>104.4540070850203</v>
      </c>
      <c r="G27" s="65" t="n">
        <v>113.4524417237621</v>
      </c>
      <c r="H27" s="65" t="n">
        <v>122.4508763625039</v>
      </c>
      <c r="I27" s="78" t="n">
        <v>223748.1198461539</v>
      </c>
      <c r="J27" s="78" t="n">
        <v>224182.0248461539</v>
      </c>
      <c r="K27" s="78" t="n">
        <v>225700.6923461538</v>
      </c>
      <c r="L27" s="78" t="n">
        <v>113.2328541731548</v>
      </c>
      <c r="M27" s="78" t="n">
        <v>113.4524417237621</v>
      </c>
      <c r="N27" s="78" t="n">
        <v>114.2209981508876</v>
      </c>
      <c r="O27" s="78" t="n">
        <v>224182.0248461539</v>
      </c>
      <c r="P27" s="78" t="n">
        <v>224182.0248461539</v>
      </c>
      <c r="Q27" s="78" t="n">
        <v>224182.0248461539</v>
      </c>
      <c r="R27" s="78" t="n">
        <v>107.779819637574</v>
      </c>
      <c r="S27" s="78" t="n">
        <v>113.4524417237621</v>
      </c>
      <c r="T27" s="78" t="n">
        <v>118.7656414739107</v>
      </c>
      <c r="U27" s="78" t="n">
        <v>215503.9248461539</v>
      </c>
      <c r="V27" s="78" t="n">
        <v>224182.0248461539</v>
      </c>
      <c r="W27" s="78" t="n">
        <v>241538.2248461539</v>
      </c>
      <c r="X27" s="78" t="n">
        <v>109.0606907116163</v>
      </c>
      <c r="Y27" s="78" t="n">
        <v>113.4524417237621</v>
      </c>
      <c r="Z27" s="78" t="n">
        <v>122.2359437480536</v>
      </c>
      <c r="AA27" s="78" t="n">
        <v>223704.7293461539</v>
      </c>
      <c r="AB27" s="78" t="n">
        <v>224182.0248461539</v>
      </c>
      <c r="AC27" s="78" t="n">
        <v>224615.9298461539</v>
      </c>
      <c r="AD27" s="78" t="n">
        <v>113.2108954180941</v>
      </c>
      <c r="AE27" s="78" t="n">
        <v>113.4524417237621</v>
      </c>
      <c r="AF27" s="78" t="n">
        <v>113.6720292743694</v>
      </c>
      <c r="AG27" s="78" t="n">
        <v>224182.0248461539</v>
      </c>
      <c r="AH27" s="78" t="n">
        <v>224182.0248461539</v>
      </c>
      <c r="AI27" s="78" t="n">
        <v>241538.2248461539</v>
      </c>
      <c r="AJ27" s="78" t="n">
        <v>113.4524417237621</v>
      </c>
      <c r="AK27" s="78" t="n">
        <v>113.4524417237621</v>
      </c>
      <c r="AL27" s="78" t="n">
        <v>122.2359437480536</v>
      </c>
      <c r="AM27" s="78" t="n">
        <v>224182.0248461539</v>
      </c>
      <c r="AN27" s="78" t="n">
        <v>224182.0248461539</v>
      </c>
      <c r="AO27" s="78" t="n">
        <v>224182.0248461539</v>
      </c>
      <c r="AP27" s="78" t="n">
        <v>113.4524417237621</v>
      </c>
      <c r="AQ27" s="78" t="n">
        <v>113.4524417237621</v>
      </c>
      <c r="AR27" s="78" t="n">
        <v>113.4524417237621</v>
      </c>
      <c r="AS27" s="78" t="n">
        <v>221057.9088461538</v>
      </c>
      <c r="AT27" s="78" t="n">
        <v>224182.0248461539</v>
      </c>
      <c r="AU27" s="78" t="n">
        <v>227132.5788461539</v>
      </c>
      <c r="AV27" s="78" t="n">
        <v>111.8714113593896</v>
      </c>
      <c r="AW27" s="78" t="n">
        <v>113.4524417237621</v>
      </c>
      <c r="AX27" s="78" t="n">
        <v>114.9456370678916</v>
      </c>
      <c r="AY27" s="78" t="n">
        <v>224182.0248461539</v>
      </c>
      <c r="AZ27" s="78" t="n">
        <v>224182.0248461539</v>
      </c>
      <c r="BA27" s="78" t="n">
        <v>226182.0248461539</v>
      </c>
      <c r="BB27" s="78" t="n">
        <v>113.4524417237621</v>
      </c>
      <c r="BC27" s="78" t="n">
        <v>113.4524417237621</v>
      </c>
      <c r="BD27" s="78" t="n">
        <v>114.4645874727499</v>
      </c>
      <c r="BE27" s="78" t="n">
        <v>216171.471</v>
      </c>
      <c r="BF27" s="78" t="n">
        <v>224182.0248461539</v>
      </c>
      <c r="BG27" s="78" t="n">
        <v>226184.6633076923</v>
      </c>
      <c r="BH27" s="78" t="n">
        <v>109.3985177125506</v>
      </c>
      <c r="BI27" s="78" t="n">
        <v>113.4524417237621</v>
      </c>
      <c r="BJ27" s="78" t="n">
        <v>114.465922726565</v>
      </c>
      <c r="BK27" s="78" t="n">
        <v>205490.7325384616</v>
      </c>
      <c r="BL27" s="78" t="n">
        <v>224182.0248461539</v>
      </c>
      <c r="BM27" s="78" t="n">
        <v>224182.0248461539</v>
      </c>
      <c r="BN27" s="78" t="n">
        <v>103.993285697602</v>
      </c>
      <c r="BO27" s="78" t="n">
        <v>113.4524417237621</v>
      </c>
      <c r="BP27" s="78" t="n">
        <v>113.4524417237621</v>
      </c>
    </row>
    <row r="28">
      <c r="A28" t="inlineStr">
        <is>
          <t>WA</t>
        </is>
      </c>
      <c r="B28" t="inlineStr">
        <is>
          <t>Pathologists</t>
        </is>
      </c>
      <c r="C28" s="65" t="n">
        <v>733974.6716153846</v>
      </c>
      <c r="D28" s="65" t="n">
        <v>839060.7298461539</v>
      </c>
      <c r="E28" s="65" t="n">
        <v>944146.788076923</v>
      </c>
      <c r="F28" s="65" t="n">
        <v>371.444671870134</v>
      </c>
      <c r="G28" s="65" t="n">
        <v>424.6258754282155</v>
      </c>
      <c r="H28" s="65" t="n">
        <v>477.807078986297</v>
      </c>
      <c r="I28" s="78" t="n">
        <v>837350.0498461538</v>
      </c>
      <c r="J28" s="78" t="n">
        <v>839060.7298461539</v>
      </c>
      <c r="K28" s="78" t="n">
        <v>845048.1098461538</v>
      </c>
      <c r="L28" s="78" t="n">
        <v>423.7601466832762</v>
      </c>
      <c r="M28" s="78" t="n">
        <v>424.6258754282155</v>
      </c>
      <c r="N28" s="78" t="n">
        <v>427.6559260355029</v>
      </c>
      <c r="O28" s="78" t="n">
        <v>839060.7298461539</v>
      </c>
      <c r="P28" s="78" t="n">
        <v>839060.7298461539</v>
      </c>
      <c r="Q28" s="78" t="n">
        <v>839060.7298461539</v>
      </c>
      <c r="R28" s="78" t="n">
        <v>403.3945816568047</v>
      </c>
      <c r="S28" s="78" t="n">
        <v>424.6258754282155</v>
      </c>
      <c r="T28" s="78" t="n">
        <v>444.5119357099777</v>
      </c>
      <c r="U28" s="78" t="n">
        <v>839060.7298461539</v>
      </c>
      <c r="V28" s="78" t="n">
        <v>839060.7298461539</v>
      </c>
      <c r="W28" s="78" t="n">
        <v>941701.5298461539</v>
      </c>
      <c r="X28" s="78" t="n">
        <v>424.6258754282155</v>
      </c>
      <c r="Y28" s="78" t="n">
        <v>424.6258754282155</v>
      </c>
      <c r="Z28" s="78" t="n">
        <v>476.5696001245718</v>
      </c>
      <c r="AA28" s="78" t="n">
        <v>837178.9818461537</v>
      </c>
      <c r="AB28" s="78" t="n">
        <v>839060.7298461539</v>
      </c>
      <c r="AC28" s="78" t="n">
        <v>840771.4098461538</v>
      </c>
      <c r="AD28" s="78" t="n">
        <v>423.6735738087823</v>
      </c>
      <c r="AE28" s="78" t="n">
        <v>424.6258754282155</v>
      </c>
      <c r="AF28" s="78" t="n">
        <v>425.4916041731547</v>
      </c>
      <c r="AG28" s="78" t="n">
        <v>804847.1298461538</v>
      </c>
      <c r="AH28" s="78" t="n">
        <v>839060.7298461539</v>
      </c>
      <c r="AI28" s="78" t="n">
        <v>873274.3298461539</v>
      </c>
      <c r="AJ28" s="78" t="n">
        <v>407.3113005294301</v>
      </c>
      <c r="AK28" s="78" t="n">
        <v>424.6258754282155</v>
      </c>
      <c r="AL28" s="78" t="n">
        <v>441.9404503270009</v>
      </c>
      <c r="AM28" s="78" t="n">
        <v>839060.7298461539</v>
      </c>
      <c r="AN28" s="78" t="n">
        <v>839060.7298461539</v>
      </c>
      <c r="AO28" s="78" t="n">
        <v>839060.7298461539</v>
      </c>
      <c r="AP28" s="78" t="n">
        <v>424.6258754282155</v>
      </c>
      <c r="AQ28" s="78" t="n">
        <v>424.6258754282155</v>
      </c>
      <c r="AR28" s="78" t="n">
        <v>424.6258754282155</v>
      </c>
      <c r="AS28" s="78" t="n">
        <v>826743.8338461538</v>
      </c>
      <c r="AT28" s="78" t="n">
        <v>839060.7298461539</v>
      </c>
      <c r="AU28" s="78" t="n">
        <v>850693.3538461538</v>
      </c>
      <c r="AV28" s="78" t="n">
        <v>418.3926284646527</v>
      </c>
      <c r="AW28" s="78" t="n">
        <v>424.6258754282155</v>
      </c>
      <c r="AX28" s="78" t="n">
        <v>430.5128308938025</v>
      </c>
      <c r="AY28" s="78" t="n">
        <v>810151.7298461539</v>
      </c>
      <c r="AZ28" s="78" t="n">
        <v>839060.7298461539</v>
      </c>
      <c r="BA28" s="78" t="n">
        <v>839060.7298461539</v>
      </c>
      <c r="BB28" s="78" t="n">
        <v>409.9958146994706</v>
      </c>
      <c r="BC28" s="78" t="n">
        <v>424.6258754282155</v>
      </c>
      <c r="BD28" s="78" t="n">
        <v>424.6258754282155</v>
      </c>
      <c r="BE28" s="78" t="n">
        <v>812742.576</v>
      </c>
      <c r="BF28" s="78" t="n">
        <v>839060.7298461539</v>
      </c>
      <c r="BG28" s="78" t="n">
        <v>845640.2683076924</v>
      </c>
      <c r="BH28" s="78" t="n">
        <v>411.306971659919</v>
      </c>
      <c r="BI28" s="78" t="n">
        <v>424.6258754282155</v>
      </c>
      <c r="BJ28" s="78" t="n">
        <v>427.9556013702897</v>
      </c>
      <c r="BK28" s="78" t="n">
        <v>839060.7298461539</v>
      </c>
      <c r="BL28" s="78" t="n">
        <v>839060.7298461539</v>
      </c>
      <c r="BM28" s="78" t="n">
        <v>912751.5606153845</v>
      </c>
      <c r="BN28" s="78" t="n">
        <v>424.6258754282155</v>
      </c>
      <c r="BO28" s="78" t="n">
        <v>424.6258754282155</v>
      </c>
      <c r="BP28" s="78" t="n">
        <v>461.9188059794456</v>
      </c>
    </row>
    <row r="29">
      <c r="A29" t="inlineStr">
        <is>
          <t>ALL</t>
        </is>
      </c>
      <c r="B29" t="inlineStr">
        <is>
          <t>Lab technician</t>
        </is>
      </c>
      <c r="C29" s="44" t="n">
        <v>116793.4012307692</v>
      </c>
      <c r="D29" s="44" t="n">
        <v>192590.1962689231</v>
      </c>
      <c r="E29" s="44" t="n">
        <v>282005.0124615384</v>
      </c>
      <c r="F29" s="44" t="n">
        <v>59.10597228277796</v>
      </c>
      <c r="G29" s="44" t="n">
        <v>97.46467422516351</v>
      </c>
      <c r="H29" s="44" t="n">
        <v>142.7150872781065</v>
      </c>
      <c r="I29" s="44" t="n">
        <v>191874.2186781538</v>
      </c>
      <c r="J29" s="44" t="n">
        <v>192266.0622381538</v>
      </c>
      <c r="K29" s="44" t="n">
        <v>193637.5146981538</v>
      </c>
      <c r="L29" s="44" t="n">
        <v>97.10233738772966</v>
      </c>
      <c r="M29" s="44" t="n">
        <v>97.3006387844908</v>
      </c>
      <c r="N29" s="44" t="n">
        <v>97.99469367315477</v>
      </c>
      <c r="O29" s="44" t="n">
        <v>192266.0622381538</v>
      </c>
      <c r="P29" s="44" t="n">
        <v>192266.0622381538</v>
      </c>
      <c r="Q29" s="44" t="n">
        <v>192266.0622381538</v>
      </c>
      <c r="R29" s="44" t="n">
        <v>92.43560684526626</v>
      </c>
      <c r="S29" s="44" t="n">
        <v>97.3006387844908</v>
      </c>
      <c r="T29" s="44" t="n">
        <v>101.8574180113127</v>
      </c>
      <c r="U29" s="44" t="n">
        <v>184429.1910381538</v>
      </c>
      <c r="V29" s="44" t="n">
        <v>192266.0622381538</v>
      </c>
      <c r="W29" s="44" t="n">
        <v>207939.8046381538</v>
      </c>
      <c r="X29" s="44" t="n">
        <v>93.33461084926813</v>
      </c>
      <c r="Y29" s="44" t="n">
        <v>97.3006387844908</v>
      </c>
      <c r="Z29" s="44" t="n">
        <v>105.2326946549361</v>
      </c>
      <c r="AA29" s="44" t="n">
        <v>191835.0343221538</v>
      </c>
      <c r="AB29" s="44" t="n">
        <v>192266.0622381538</v>
      </c>
      <c r="AC29" s="44" t="n">
        <v>192657.9057981538</v>
      </c>
      <c r="AD29" s="44" t="n">
        <v>97.08250724805356</v>
      </c>
      <c r="AE29" s="44" t="n">
        <v>97.3006387844908</v>
      </c>
      <c r="AF29" s="44" t="n">
        <v>97.49894018125194</v>
      </c>
      <c r="AG29" s="44" t="n">
        <v>192266.0622381538</v>
      </c>
      <c r="AH29" s="44" t="n">
        <v>192266.0622381538</v>
      </c>
      <c r="AI29" s="44" t="n">
        <v>207939.8046381538</v>
      </c>
      <c r="AJ29" s="44" t="n">
        <v>97.3006387844908</v>
      </c>
      <c r="AK29" s="44" t="n">
        <v>97.3006387844908</v>
      </c>
      <c r="AL29" s="44" t="n">
        <v>105.2326946549361</v>
      </c>
      <c r="AM29" s="44" t="n">
        <v>192266.0622381538</v>
      </c>
      <c r="AN29" s="44" t="n">
        <v>192266.0622381538</v>
      </c>
      <c r="AO29" s="44" t="n">
        <v>192266.0622381538</v>
      </c>
      <c r="AP29" s="44" t="n">
        <v>97.3006387844908</v>
      </c>
      <c r="AQ29" s="44" t="n">
        <v>97.3006387844908</v>
      </c>
      <c r="AR29" s="44" t="n">
        <v>97.3006387844908</v>
      </c>
      <c r="AS29" s="44" t="n">
        <v>189444.7886061538</v>
      </c>
      <c r="AT29" s="44" t="n">
        <v>192266.0622381538</v>
      </c>
      <c r="AU29" s="44" t="n">
        <v>194930.5984461538</v>
      </c>
      <c r="AV29" s="44" t="n">
        <v>95.87286872781064</v>
      </c>
      <c r="AW29" s="44" t="n">
        <v>97.3006387844908</v>
      </c>
      <c r="AX29" s="44" t="n">
        <v>98.64908828246651</v>
      </c>
      <c r="AY29" s="44" t="n">
        <v>191900.8622381538</v>
      </c>
      <c r="AZ29" s="44" t="n">
        <v>192266.0622381538</v>
      </c>
      <c r="BA29" s="44" t="n">
        <v>193900.8622381538</v>
      </c>
      <c r="BB29" s="44" t="n">
        <v>97.11582097072562</v>
      </c>
      <c r="BC29" s="44" t="n">
        <v>97.3006387844908</v>
      </c>
      <c r="BD29" s="44" t="n">
        <v>98.12796671971347</v>
      </c>
      <c r="BE29" s="44" t="n">
        <v>185785.572592</v>
      </c>
      <c r="BF29" s="44" t="n">
        <v>192266.0622381538</v>
      </c>
      <c r="BG29" s="44" t="n">
        <v>193886.1846496923</v>
      </c>
      <c r="BH29" s="44" t="n">
        <v>94.0210387611336</v>
      </c>
      <c r="BI29" s="44" t="n">
        <v>97.3006387844908</v>
      </c>
      <c r="BJ29" s="44" t="n">
        <v>98.12053879033013</v>
      </c>
      <c r="BK29" s="44" t="n">
        <v>119254.1089230769</v>
      </c>
      <c r="BL29" s="44" t="n">
        <v>192266.0622381538</v>
      </c>
      <c r="BM29" s="44" t="n">
        <v>270490.2432307692</v>
      </c>
      <c r="BN29" s="44" t="n">
        <v>60.35126969791342</v>
      </c>
      <c r="BO29" s="44" t="n">
        <v>97.3006387844908</v>
      </c>
      <c r="BP29" s="44" t="n">
        <v>136.8877749143569</v>
      </c>
    </row>
    <row r="30">
      <c r="A30" t="inlineStr">
        <is>
          <t>ALL</t>
        </is>
      </c>
      <c r="B30" t="inlineStr">
        <is>
          <t>Medical scientist</t>
        </is>
      </c>
      <c r="C30" s="44" t="n">
        <v>157843.939</v>
      </c>
      <c r="D30" s="44" t="n">
        <v>261024.1709252308</v>
      </c>
      <c r="E30" s="44" t="n">
        <v>367640.9298</v>
      </c>
      <c r="F30" s="44" t="n">
        <v>79.88053593117409</v>
      </c>
      <c r="G30" s="44" t="n">
        <v>132.0972524925257</v>
      </c>
      <c r="H30" s="44" t="n">
        <v>186.0531021255061</v>
      </c>
      <c r="I30" s="44" t="n">
        <v>260492.7325233846</v>
      </c>
      <c r="J30" s="44" t="n">
        <v>261015.0931033847</v>
      </c>
      <c r="K30" s="44" t="n">
        <v>262843.3551333846</v>
      </c>
      <c r="L30" s="44" t="n">
        <v>131.828305932887</v>
      </c>
      <c r="M30" s="44" t="n">
        <v>132.0926584531299</v>
      </c>
      <c r="N30" s="44" t="n">
        <v>133.0178922739801</v>
      </c>
      <c r="O30" s="44" t="n">
        <v>261015.0931033847</v>
      </c>
      <c r="P30" s="44" t="n">
        <v>261015.0931033847</v>
      </c>
      <c r="Q30" s="44" t="n">
        <v>261015.0931033847</v>
      </c>
      <c r="R30" s="44" t="n">
        <v>125.4880255304734</v>
      </c>
      <c r="S30" s="44" t="n">
        <v>132.0926584531299</v>
      </c>
      <c r="T30" s="44" t="n">
        <v>138.278816011541</v>
      </c>
      <c r="U30" s="44" t="n">
        <v>250567.8815033846</v>
      </c>
      <c r="V30" s="44" t="n">
        <v>261015.0931033847</v>
      </c>
      <c r="W30" s="44" t="n">
        <v>281909.5163033846</v>
      </c>
      <c r="X30" s="44" t="n">
        <v>126.8056080482716</v>
      </c>
      <c r="Y30" s="44" t="n">
        <v>132.0926584531299</v>
      </c>
      <c r="Z30" s="44" t="n">
        <v>142.6667592628465</v>
      </c>
      <c r="AA30" s="44" t="n">
        <v>260440.4964653846</v>
      </c>
      <c r="AB30" s="44" t="n">
        <v>261015.0931033847</v>
      </c>
      <c r="AC30" s="44" t="n">
        <v>261537.4536833846</v>
      </c>
      <c r="AD30" s="44" t="n">
        <v>131.8018706808627</v>
      </c>
      <c r="AE30" s="44" t="n">
        <v>132.0926584531299</v>
      </c>
      <c r="AF30" s="44" t="n">
        <v>132.3570109733728</v>
      </c>
      <c r="AG30" s="44" t="n">
        <v>261015.0931033847</v>
      </c>
      <c r="AH30" s="44" t="n">
        <v>261015.0931033847</v>
      </c>
      <c r="AI30" s="44" t="n">
        <v>281909.5163033846</v>
      </c>
      <c r="AJ30" s="44" t="n">
        <v>132.0926584531299</v>
      </c>
      <c r="AK30" s="44" t="n">
        <v>132.0926584531299</v>
      </c>
      <c r="AL30" s="44" t="n">
        <v>142.6667592628465</v>
      </c>
      <c r="AM30" s="44" t="n">
        <v>261015.0931033847</v>
      </c>
      <c r="AN30" s="44" t="n">
        <v>261015.0931033847</v>
      </c>
      <c r="AO30" s="44" t="n">
        <v>261015.0931033847</v>
      </c>
      <c r="AP30" s="44" t="n">
        <v>132.0926584531299</v>
      </c>
      <c r="AQ30" s="44" t="n">
        <v>132.0926584531299</v>
      </c>
      <c r="AR30" s="44" t="n">
        <v>132.0926584531299</v>
      </c>
      <c r="AS30" s="44" t="n">
        <v>257254.0969273846</v>
      </c>
      <c r="AT30" s="44" t="n">
        <v>261015.0931033847</v>
      </c>
      <c r="AU30" s="44" t="n">
        <v>264567.1450473847</v>
      </c>
      <c r="AV30" s="44" t="n">
        <v>130.1893203073809</v>
      </c>
      <c r="AW30" s="44" t="n">
        <v>132.0926584531299</v>
      </c>
      <c r="AX30" s="44" t="n">
        <v>133.8902555907817</v>
      </c>
      <c r="AY30" s="44" t="n">
        <v>260649.8931033846</v>
      </c>
      <c r="AZ30" s="44" t="n">
        <v>261015.0931033847</v>
      </c>
      <c r="BA30" s="44" t="n">
        <v>262649.8931033846</v>
      </c>
      <c r="BB30" s="44" t="n">
        <v>131.9078406393647</v>
      </c>
      <c r="BC30" s="44" t="n">
        <v>132.0926584531299</v>
      </c>
      <c r="BD30" s="44" t="n">
        <v>132.9199863883526</v>
      </c>
      <c r="BE30" s="44" t="n">
        <v>251202.750516</v>
      </c>
      <c r="BF30" s="44" t="n">
        <v>261015.0931033847</v>
      </c>
      <c r="BG30" s="44" t="n">
        <v>262353.1398198462</v>
      </c>
      <c r="BH30" s="44" t="n">
        <v>127.126898034413</v>
      </c>
      <c r="BI30" s="44" t="n">
        <v>132.0926584531299</v>
      </c>
      <c r="BJ30" s="44" t="n">
        <v>132.7698076011367</v>
      </c>
      <c r="BK30" s="44" t="n">
        <v>153064.472</v>
      </c>
      <c r="BL30" s="44" t="n">
        <v>261015.0931033847</v>
      </c>
      <c r="BM30" s="44" t="n">
        <v>356023.4704</v>
      </c>
      <c r="BN30" s="44" t="n">
        <v>77.46177732793524</v>
      </c>
      <c r="BO30" s="44" t="n">
        <v>132.0926584531299</v>
      </c>
      <c r="BP30" s="44" t="n">
        <v>180.1738210526316</v>
      </c>
    </row>
    <row r="31">
      <c r="A31" t="inlineStr">
        <is>
          <t>ALL</t>
        </is>
      </c>
      <c r="B31" t="inlineStr">
        <is>
          <t>Admin staff</t>
        </is>
      </c>
      <c r="C31" s="44" t="n">
        <v>114089.18592</v>
      </c>
      <c r="D31" s="44" t="n">
        <v>160412.0130713846</v>
      </c>
      <c r="E31" s="44" t="n">
        <v>233806.9369230769</v>
      </c>
      <c r="F31" s="44" t="n">
        <v>57.73744226720648</v>
      </c>
      <c r="G31" s="44" t="n">
        <v>81.18016855839304</v>
      </c>
      <c r="H31" s="44" t="n">
        <v>118.3233486452818</v>
      </c>
      <c r="I31" s="44" t="n">
        <v>159700.8198990769</v>
      </c>
      <c r="J31" s="44" t="n">
        <v>160026.8339790769</v>
      </c>
      <c r="K31" s="44" t="n">
        <v>161167.8832590769</v>
      </c>
      <c r="L31" s="44" t="n">
        <v>80.8202529853628</v>
      </c>
      <c r="M31" s="44" t="n">
        <v>80.98523986795389</v>
      </c>
      <c r="N31" s="44" t="n">
        <v>81.56269395702273</v>
      </c>
      <c r="O31" s="44" t="n">
        <v>160026.8339790769</v>
      </c>
      <c r="P31" s="44" t="n">
        <v>160026.8339790769</v>
      </c>
      <c r="Q31" s="44" t="n">
        <v>160026.8339790769</v>
      </c>
      <c r="R31" s="44" t="n">
        <v>76.9359778745562</v>
      </c>
      <c r="S31" s="44" t="n">
        <v>80.98523986795389</v>
      </c>
      <c r="T31" s="44" t="n">
        <v>84.77793705185258</v>
      </c>
      <c r="U31" s="44" t="n">
        <v>153506.5523790769</v>
      </c>
      <c r="V31" s="44" t="n">
        <v>160026.8339790769</v>
      </c>
      <c r="W31" s="44" t="n">
        <v>173067.3971790769</v>
      </c>
      <c r="X31" s="44" t="n">
        <v>77.68550221613202</v>
      </c>
      <c r="Y31" s="44" t="n">
        <v>80.98523986795389</v>
      </c>
      <c r="Z31" s="44" t="n">
        <v>87.58471517159762</v>
      </c>
      <c r="AA31" s="44" t="n">
        <v>159668.2184910769</v>
      </c>
      <c r="AB31" s="44" t="n">
        <v>160026.8339790769</v>
      </c>
      <c r="AC31" s="44" t="n">
        <v>160352.8480590769</v>
      </c>
      <c r="AD31" s="44" t="n">
        <v>80.80375429710369</v>
      </c>
      <c r="AE31" s="44" t="n">
        <v>80.98523986795389</v>
      </c>
      <c r="AF31" s="44" t="n">
        <v>81.150226750545</v>
      </c>
      <c r="AG31" s="44" t="n">
        <v>160026.8339790769</v>
      </c>
      <c r="AH31" s="44" t="n">
        <v>160026.8339790769</v>
      </c>
      <c r="AI31" s="44" t="n">
        <v>173067.3971790769</v>
      </c>
      <c r="AJ31" s="44" t="n">
        <v>80.98523986795389</v>
      </c>
      <c r="AK31" s="44" t="n">
        <v>80.98523986795389</v>
      </c>
      <c r="AL31" s="44" t="n">
        <v>87.58471517159762</v>
      </c>
      <c r="AM31" s="44" t="n">
        <v>160026.8339790769</v>
      </c>
      <c r="AN31" s="44" t="n">
        <v>160026.8339790769</v>
      </c>
      <c r="AO31" s="44" t="n">
        <v>160026.8339790769</v>
      </c>
      <c r="AP31" s="44" t="n">
        <v>80.98523986795389</v>
      </c>
      <c r="AQ31" s="44" t="n">
        <v>80.98523986795389</v>
      </c>
      <c r="AR31" s="44" t="n">
        <v>80.98523986795389</v>
      </c>
      <c r="AS31" s="44" t="n">
        <v>157679.5326030769</v>
      </c>
      <c r="AT31" s="44" t="n">
        <v>160026.8339790769</v>
      </c>
      <c r="AU31" s="44" t="n">
        <v>162243.7297230769</v>
      </c>
      <c r="AV31" s="44" t="n">
        <v>79.79733431329802</v>
      </c>
      <c r="AW31" s="44" t="n">
        <v>80.98523986795389</v>
      </c>
      <c r="AX31" s="44" t="n">
        <v>82.10715066957334</v>
      </c>
      <c r="AY31" s="44" t="n">
        <v>159661.6339790769</v>
      </c>
      <c r="AZ31" s="44" t="n">
        <v>160026.8339790769</v>
      </c>
      <c r="BA31" s="44" t="n">
        <v>161661.6339790769</v>
      </c>
      <c r="BB31" s="44" t="n">
        <v>80.80042205418873</v>
      </c>
      <c r="BC31" s="44" t="n">
        <v>80.98523986795389</v>
      </c>
      <c r="BD31" s="44" t="n">
        <v>81.81256780317658</v>
      </c>
      <c r="BE31" s="44" t="n">
        <v>154635.062656</v>
      </c>
      <c r="BF31" s="44" t="n">
        <v>160026.8339790769</v>
      </c>
      <c r="BG31" s="44" t="n">
        <v>161374.7768098461</v>
      </c>
      <c r="BH31" s="44" t="n">
        <v>78.25661065587043</v>
      </c>
      <c r="BI31" s="44" t="n">
        <v>80.98523986795389</v>
      </c>
      <c r="BJ31" s="44" t="n">
        <v>81.66739717097477</v>
      </c>
      <c r="BK31" s="44" t="n">
        <v>117177.6178461539</v>
      </c>
      <c r="BL31" s="44" t="n">
        <v>160026.8339790769</v>
      </c>
      <c r="BM31" s="44" t="n">
        <v>224322.5984615385</v>
      </c>
      <c r="BN31" s="44" t="n">
        <v>59.30041388975397</v>
      </c>
      <c r="BO31" s="44" t="n">
        <v>80.98523986795389</v>
      </c>
      <c r="BP31" s="44" t="n">
        <v>113.5235822173778</v>
      </c>
    </row>
    <row r="32">
      <c r="A32" t="inlineStr">
        <is>
          <t>ALL</t>
        </is>
      </c>
      <c r="B32" t="inlineStr">
        <is>
          <t>Bioinformatics staff</t>
        </is>
      </c>
      <c r="C32" s="44" t="n">
        <v>157196.9413846154</v>
      </c>
      <c r="D32" s="44" t="n">
        <v>236288.8204230769</v>
      </c>
      <c r="E32" s="44" t="n">
        <v>332331.2313846154</v>
      </c>
      <c r="F32" s="44" t="n">
        <v>79.55310798816568</v>
      </c>
      <c r="G32" s="44" t="n">
        <v>119.5793625622859</v>
      </c>
      <c r="H32" s="44" t="n">
        <v>168.1838215509187</v>
      </c>
      <c r="I32" s="44" t="n">
        <v>236080.6094615385</v>
      </c>
      <c r="J32" s="44" t="n">
        <v>236555.5769615385</v>
      </c>
      <c r="K32" s="44" t="n">
        <v>238217.9632115385</v>
      </c>
      <c r="L32" s="44" t="n">
        <v>119.473992642479</v>
      </c>
      <c r="M32" s="44" t="n">
        <v>119.7143608104952</v>
      </c>
      <c r="N32" s="44" t="n">
        <v>120.5556493985519</v>
      </c>
      <c r="O32" s="44" t="n">
        <v>236555.5769615385</v>
      </c>
      <c r="P32" s="44" t="n">
        <v>236555.5769615385</v>
      </c>
      <c r="Q32" s="44" t="n">
        <v>236555.5769615385</v>
      </c>
      <c r="R32" s="44" t="n">
        <v>113.7286427699704</v>
      </c>
      <c r="S32" s="44" t="n">
        <v>119.7143608104952</v>
      </c>
      <c r="T32" s="44" t="n">
        <v>125.3208184793062</v>
      </c>
      <c r="U32" s="44" t="n">
        <v>227056.2269615385</v>
      </c>
      <c r="V32" s="44" t="n">
        <v>236555.5769615385</v>
      </c>
      <c r="W32" s="44" t="n">
        <v>255554.2769615385</v>
      </c>
      <c r="X32" s="44" t="n">
        <v>114.9069974501713</v>
      </c>
      <c r="Y32" s="44" t="n">
        <v>119.7143608104952</v>
      </c>
      <c r="Z32" s="44" t="n">
        <v>129.3290875311429</v>
      </c>
      <c r="AA32" s="44" t="n">
        <v>236033.1127115385</v>
      </c>
      <c r="AB32" s="44" t="n">
        <v>236555.5769615385</v>
      </c>
      <c r="AC32" s="44" t="n">
        <v>237030.5444615385</v>
      </c>
      <c r="AD32" s="44" t="n">
        <v>119.4499558256774</v>
      </c>
      <c r="AE32" s="44" t="n">
        <v>119.7143608104952</v>
      </c>
      <c r="AF32" s="44" t="n">
        <v>119.9547289785114</v>
      </c>
      <c r="AG32" s="44" t="n">
        <v>236555.5769615385</v>
      </c>
      <c r="AH32" s="44" t="n">
        <v>236555.5769615385</v>
      </c>
      <c r="AI32" s="44" t="n">
        <v>255554.2769615385</v>
      </c>
      <c r="AJ32" s="44" t="n">
        <v>119.7143608104952</v>
      </c>
      <c r="AK32" s="44" t="n">
        <v>119.7143608104952</v>
      </c>
      <c r="AL32" s="44" t="n">
        <v>129.3290875311429</v>
      </c>
      <c r="AM32" s="44" t="n">
        <v>236555.5769615385</v>
      </c>
      <c r="AN32" s="44" t="n">
        <v>236555.5769615385</v>
      </c>
      <c r="AO32" s="44" t="n">
        <v>236555.5769615385</v>
      </c>
      <c r="AP32" s="44" t="n">
        <v>119.7143608104952</v>
      </c>
      <c r="AQ32" s="44" t="n">
        <v>119.7143608104952</v>
      </c>
      <c r="AR32" s="44" t="n">
        <v>119.7143608104952</v>
      </c>
      <c r="AS32" s="44" t="n">
        <v>233135.8109615385</v>
      </c>
      <c r="AT32" s="44" t="n">
        <v>236555.5769615385</v>
      </c>
      <c r="AU32" s="44" t="n">
        <v>239785.3559615385</v>
      </c>
      <c r="AV32" s="44" t="n">
        <v>117.9837100007786</v>
      </c>
      <c r="AW32" s="44" t="n">
        <v>119.7143608104952</v>
      </c>
      <c r="AX32" s="44" t="n">
        <v>121.3488643530053</v>
      </c>
      <c r="AY32" s="44" t="n">
        <v>236190.3769615385</v>
      </c>
      <c r="AZ32" s="44" t="n">
        <v>236555.5769615385</v>
      </c>
      <c r="BA32" s="44" t="n">
        <v>238190.3769615385</v>
      </c>
      <c r="BB32" s="44" t="n">
        <v>119.52954299673</v>
      </c>
      <c r="BC32" s="44" t="n">
        <v>119.7143608104952</v>
      </c>
      <c r="BD32" s="44" t="n">
        <v>120.5416887457179</v>
      </c>
      <c r="BE32" s="44" t="n">
        <v>228444.5935</v>
      </c>
      <c r="BF32" s="44" t="n">
        <v>236555.5769615385</v>
      </c>
      <c r="BG32" s="44" t="n">
        <v>238583.3228269231</v>
      </c>
      <c r="BH32" s="44" t="n">
        <v>115.6096120951417</v>
      </c>
      <c r="BI32" s="44" t="n">
        <v>119.7143608104952</v>
      </c>
      <c r="BJ32" s="44" t="n">
        <v>120.7405479893335</v>
      </c>
      <c r="BK32" s="44" t="n">
        <v>164730.1413846154</v>
      </c>
      <c r="BL32" s="44" t="n">
        <v>236555.5769615385</v>
      </c>
      <c r="BM32" s="44" t="n">
        <v>347404.8190769231</v>
      </c>
      <c r="BN32" s="44" t="n">
        <v>83.36545616630333</v>
      </c>
      <c r="BO32" s="44" t="n">
        <v>119.7143608104952</v>
      </c>
      <c r="BP32" s="44" t="n">
        <v>175.8121554033011</v>
      </c>
    </row>
    <row r="33">
      <c r="A33" t="inlineStr">
        <is>
          <t>ALL</t>
        </is>
      </c>
      <c r="B33" t="inlineStr">
        <is>
          <t>Pathologists</t>
        </is>
      </c>
      <c r="C33" s="44" t="n">
        <v>530998.2901923077</v>
      </c>
      <c r="D33" s="44" t="n">
        <v>750853.4043819231</v>
      </c>
      <c r="E33" s="44" t="n">
        <v>954322.7852500001</v>
      </c>
      <c r="F33" s="44" t="n">
        <v>268.7238310689816</v>
      </c>
      <c r="G33" s="44" t="n">
        <v>379.9865406791109</v>
      </c>
      <c r="H33" s="44" t="n">
        <v>482.9568751265182</v>
      </c>
      <c r="I33" s="44" t="n">
        <v>758363.4426039999</v>
      </c>
      <c r="J33" s="44" t="n">
        <v>759694.9040039999</v>
      </c>
      <c r="K33" s="44" t="n">
        <v>764355.0189039999</v>
      </c>
      <c r="L33" s="44" t="n">
        <v>383.7871673097166</v>
      </c>
      <c r="M33" s="44" t="n">
        <v>384.4609838076923</v>
      </c>
      <c r="N33" s="44" t="n">
        <v>386.8193415506072</v>
      </c>
      <c r="O33" s="44" t="n">
        <v>759694.9040039999</v>
      </c>
      <c r="P33" s="44" t="n">
        <v>759694.9040039999</v>
      </c>
      <c r="Q33" s="44" t="n">
        <v>759694.9040039999</v>
      </c>
      <c r="R33" s="44" t="n">
        <v>365.2379346173076</v>
      </c>
      <c r="S33" s="44" t="n">
        <v>384.4609838076923</v>
      </c>
      <c r="T33" s="44" t="n">
        <v>402.4660436554354</v>
      </c>
      <c r="U33" s="44" t="n">
        <v>759694.9040039999</v>
      </c>
      <c r="V33" s="44" t="n">
        <v>759694.9040039999</v>
      </c>
      <c r="W33" s="44" t="n">
        <v>839582.5880039999</v>
      </c>
      <c r="X33" s="44" t="n">
        <v>384.4609838076923</v>
      </c>
      <c r="Y33" s="44" t="n">
        <v>384.4609838076923</v>
      </c>
      <c r="Z33" s="44" t="n">
        <v>424.8899736862348</v>
      </c>
      <c r="AA33" s="44" t="n">
        <v>758230.2964639999</v>
      </c>
      <c r="AB33" s="44" t="n">
        <v>759694.9040039999</v>
      </c>
      <c r="AC33" s="44" t="n">
        <v>761026.3654039999</v>
      </c>
      <c r="AD33" s="44" t="n">
        <v>383.719785659919</v>
      </c>
      <c r="AE33" s="44" t="n">
        <v>384.4609838076923</v>
      </c>
      <c r="AF33" s="44" t="n">
        <v>385.134800305668</v>
      </c>
      <c r="AG33" s="44" t="n">
        <v>733065.6760039999</v>
      </c>
      <c r="AH33" s="44" t="n">
        <v>759694.9040039999</v>
      </c>
      <c r="AI33" s="44" t="n">
        <v>786324.1320039999</v>
      </c>
      <c r="AJ33" s="44" t="n">
        <v>370.9846538481781</v>
      </c>
      <c r="AK33" s="44" t="n">
        <v>384.4609838076923</v>
      </c>
      <c r="AL33" s="44" t="n">
        <v>397.9373137672064</v>
      </c>
      <c r="AM33" s="44" t="n">
        <v>691843.6310599999</v>
      </c>
      <c r="AN33" s="44" t="n">
        <v>759694.9040039999</v>
      </c>
      <c r="AO33" s="44" t="n">
        <v>798360.5430599999</v>
      </c>
      <c r="AP33" s="44" t="n">
        <v>350.1232950708501</v>
      </c>
      <c r="AQ33" s="44" t="n">
        <v>384.4609838076923</v>
      </c>
      <c r="AR33" s="44" t="n">
        <v>404.0286149089068</v>
      </c>
      <c r="AS33" s="44" t="n">
        <v>750108.3819239999</v>
      </c>
      <c r="AT33" s="44" t="n">
        <v>759694.9040039999</v>
      </c>
      <c r="AU33" s="44" t="n">
        <v>768748.8415239998</v>
      </c>
      <c r="AV33" s="44" t="n">
        <v>379.6095050222671</v>
      </c>
      <c r="AW33" s="44" t="n">
        <v>384.4609838076923</v>
      </c>
      <c r="AX33" s="44" t="n">
        <v>389.042935993927</v>
      </c>
      <c r="AY33" s="44" t="n">
        <v>730785.9040039999</v>
      </c>
      <c r="AZ33" s="44" t="n">
        <v>759694.9040039999</v>
      </c>
      <c r="BA33" s="44" t="n">
        <v>759694.9040039999</v>
      </c>
      <c r="BB33" s="44" t="n">
        <v>369.8309230789473</v>
      </c>
      <c r="BC33" s="44" t="n">
        <v>384.4609838076923</v>
      </c>
      <c r="BD33" s="44" t="n">
        <v>384.4609838076923</v>
      </c>
      <c r="BE33" s="44" t="n">
        <v>734796.5758239999</v>
      </c>
      <c r="BF33" s="44" t="n">
        <v>759694.9040039999</v>
      </c>
      <c r="BG33" s="44" t="n">
        <v>763090.130574</v>
      </c>
      <c r="BH33" s="44" t="n">
        <v>371.8606152955465</v>
      </c>
      <c r="BI33" s="44" t="n">
        <v>384.4609838076923</v>
      </c>
      <c r="BJ33" s="44" t="n">
        <v>386.1792158775303</v>
      </c>
      <c r="BK33" s="44" t="n">
        <v>520352.7554</v>
      </c>
      <c r="BL33" s="44" t="n">
        <v>759694.9040039999</v>
      </c>
      <c r="BM33" s="44" t="n">
        <v>1089622.1145</v>
      </c>
      <c r="BN33" s="44" t="n">
        <v>263.3364146761134</v>
      </c>
      <c r="BO33" s="44" t="n">
        <v>384.4609838076923</v>
      </c>
      <c r="BP33" s="44" t="n">
        <v>551.4281955971659</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332"/>
  <sheetViews>
    <sheetView workbookViewId="0">
      <selection activeCell="A3" sqref="A3:I332"/>
    </sheetView>
  </sheetViews>
  <sheetFormatPr baseColWidth="10" defaultColWidth="11" defaultRowHeight="16"/>
  <cols>
    <col width="10.83203125" customWidth="1" min="4" max="6"/>
  </cols>
  <sheetData>
    <row r="1">
      <c r="A1" t="inlineStr">
        <is>
          <t>Personnel type</t>
        </is>
      </c>
      <c r="B1" t="inlineStr">
        <is>
          <t>Jurisdiction</t>
        </is>
      </c>
      <c r="C1" t="inlineStr">
        <is>
          <t>Variable</t>
        </is>
      </c>
      <c r="D1" s="44" t="inlineStr">
        <is>
          <t>Base Salary + Costs</t>
        </is>
      </c>
      <c r="E1" s="44" t="n"/>
      <c r="F1" s="44" t="n"/>
      <c r="G1" s="44" t="inlineStr">
        <is>
          <t>Base Salary + Costs (hourly)</t>
        </is>
      </c>
      <c r="H1" s="44" t="n"/>
      <c r="I1" s="44" t="n"/>
    </row>
    <row r="2">
      <c r="D2" s="44" t="inlineStr">
        <is>
          <t>LL</t>
        </is>
      </c>
      <c r="E2" s="44" t="inlineStr">
        <is>
          <t>MP</t>
        </is>
      </c>
      <c r="F2" s="44" t="inlineStr">
        <is>
          <t>UL</t>
        </is>
      </c>
      <c r="G2" s="44" t="inlineStr">
        <is>
          <t>LL</t>
        </is>
      </c>
      <c r="H2" s="44" t="inlineStr">
        <is>
          <t>MP</t>
        </is>
      </c>
      <c r="I2" s="44" t="inlineStr">
        <is>
          <t>UL</t>
        </is>
      </c>
    </row>
    <row r="3">
      <c r="A3" t="inlineStr">
        <is>
          <t>Lab technician</t>
        </is>
      </c>
      <c r="B3" t="inlineStr">
        <is>
          <t>VIC</t>
        </is>
      </c>
      <c r="C3" s="44" t="inlineStr">
        <is>
          <t>Base Case</t>
        </is>
      </c>
      <c r="D3" s="65" t="n">
        <v>203549.5686153846</v>
      </c>
      <c r="E3" s="65" t="n">
        <v>242777.2905384615</v>
      </c>
      <c r="F3" s="65" t="n">
        <v>282005.0124615384</v>
      </c>
      <c r="G3" s="65" t="n">
        <v>103.0109152911865</v>
      </c>
      <c r="H3" s="65" t="n">
        <v>122.8630012846465</v>
      </c>
      <c r="I3" s="65" t="n">
        <v>142.7150872781065</v>
      </c>
    </row>
    <row r="4">
      <c r="A4" t="inlineStr">
        <is>
          <t>Medical scientist</t>
        </is>
      </c>
      <c r="B4" t="inlineStr">
        <is>
          <t>VIC</t>
        </is>
      </c>
      <c r="C4" s="44" t="inlineStr">
        <is>
          <t>Base Case</t>
        </is>
      </c>
      <c r="D4" s="65" t="n">
        <v>157843.939</v>
      </c>
      <c r="E4" s="65" t="n">
        <v>262742.4344</v>
      </c>
      <c r="F4" s="65" t="n">
        <v>367640.9298</v>
      </c>
      <c r="G4" s="65" t="n">
        <v>79.88053593117409</v>
      </c>
      <c r="H4" s="65" t="n">
        <v>132.9668190283401</v>
      </c>
      <c r="I4" s="65" t="n">
        <v>186.0531021255061</v>
      </c>
    </row>
    <row r="5">
      <c r="A5" t="inlineStr">
        <is>
          <t>Admin staff</t>
        </is>
      </c>
      <c r="B5" t="inlineStr">
        <is>
          <t>VIC</t>
        </is>
      </c>
      <c r="C5" s="44" t="inlineStr">
        <is>
          <t>Base Case</t>
        </is>
      </c>
      <c r="D5" s="65" t="n">
        <v>162844.2563846154</v>
      </c>
      <c r="E5" s="65" t="n">
        <v>198325.5966538462</v>
      </c>
      <c r="F5" s="65" t="n">
        <v>233806.9369230769</v>
      </c>
      <c r="G5" s="65" t="n">
        <v>82.41106092338835</v>
      </c>
      <c r="H5" s="65" t="n">
        <v>100.3672047843351</v>
      </c>
      <c r="I5" s="65" t="n">
        <v>118.3233486452818</v>
      </c>
    </row>
    <row r="6">
      <c r="A6" t="inlineStr">
        <is>
          <t>Bioinformatics staff</t>
        </is>
      </c>
      <c r="B6" t="inlineStr">
        <is>
          <t>VIC</t>
        </is>
      </c>
      <c r="C6" s="44" t="inlineStr">
        <is>
          <t>Base Case</t>
        </is>
      </c>
      <c r="D6" s="65" t="n">
        <v>203549.5686153846</v>
      </c>
      <c r="E6" s="65" t="n">
        <v>260395.8933076923</v>
      </c>
      <c r="F6" s="65" t="n">
        <v>317242.218</v>
      </c>
      <c r="G6" s="65" t="n">
        <v>103.0109152911865</v>
      </c>
      <c r="H6" s="65" t="n">
        <v>131.7792982326378</v>
      </c>
      <c r="I6" s="65" t="n">
        <v>160.5476811740891</v>
      </c>
    </row>
    <row r="7">
      <c r="A7" t="inlineStr">
        <is>
          <t>Pathologists</t>
        </is>
      </c>
      <c r="B7" t="inlineStr">
        <is>
          <t>VIC</t>
        </is>
      </c>
      <c r="C7" s="44" t="inlineStr">
        <is>
          <t>Base Case</t>
        </is>
      </c>
      <c r="D7" s="65" t="n">
        <v>666741.4299999999</v>
      </c>
      <c r="E7" s="65" t="n">
        <v>786323.7339000001</v>
      </c>
      <c r="F7" s="65" t="n">
        <v>905906.0377999999</v>
      </c>
      <c r="G7" s="65" t="n">
        <v>337.4197520242915</v>
      </c>
      <c r="H7" s="65" t="n">
        <v>397.9371122975709</v>
      </c>
      <c r="I7" s="65" t="n">
        <v>458.4544725708502</v>
      </c>
    </row>
    <row r="8">
      <c r="A8" t="inlineStr">
        <is>
          <t>Lab technician</t>
        </is>
      </c>
      <c r="B8" t="inlineStr">
        <is>
          <t>SA</t>
        </is>
      </c>
      <c r="C8" s="44" t="inlineStr">
        <is>
          <t>Base Case</t>
        </is>
      </c>
      <c r="D8" s="65" t="n">
        <v>128729.7701538462</v>
      </c>
      <c r="E8" s="65" t="n">
        <v>183923.6891538462</v>
      </c>
      <c r="F8" s="65" t="n">
        <v>239117.6081538461</v>
      </c>
      <c r="G8" s="65" t="n">
        <v>65.14664481469947</v>
      </c>
      <c r="H8" s="65" t="n">
        <v>93.07879005761446</v>
      </c>
      <c r="I8" s="65" t="n">
        <v>121.0109353005294</v>
      </c>
    </row>
    <row r="9">
      <c r="A9" t="inlineStr">
        <is>
          <t>Medical scientist</t>
        </is>
      </c>
      <c r="B9" t="inlineStr">
        <is>
          <t>SA</t>
        </is>
      </c>
      <c r="C9" s="44" t="inlineStr">
        <is>
          <t>Base Case</t>
        </is>
      </c>
      <c r="D9" s="65" t="n">
        <v>158473.5952307692</v>
      </c>
      <c r="E9" s="65" t="n">
        <v>248832.1426153846</v>
      </c>
      <c r="F9" s="65" t="n">
        <v>339190.6900000001</v>
      </c>
      <c r="G9" s="65" t="n">
        <v>80.1991878698225</v>
      </c>
      <c r="H9" s="65" t="n">
        <v>125.9271976798505</v>
      </c>
      <c r="I9" s="65" t="n">
        <v>171.6552074898786</v>
      </c>
    </row>
    <row r="10">
      <c r="A10" t="inlineStr">
        <is>
          <t>Admin staff</t>
        </is>
      </c>
      <c r="B10" t="inlineStr">
        <is>
          <t>SA</t>
        </is>
      </c>
      <c r="C10" s="44" t="inlineStr">
        <is>
          <t>Base Case</t>
        </is>
      </c>
      <c r="D10" s="65" t="n">
        <v>134772.7098461539</v>
      </c>
      <c r="E10" s="65" t="n">
        <v>150064.7570769231</v>
      </c>
      <c r="F10" s="65" t="n">
        <v>165356.8043076923</v>
      </c>
      <c r="G10" s="65" t="n">
        <v>68.20481267517907</v>
      </c>
      <c r="H10" s="65" t="n">
        <v>75.94370297415135</v>
      </c>
      <c r="I10" s="65" t="n">
        <v>83.68259327312363</v>
      </c>
    </row>
    <row r="11">
      <c r="A11" t="inlineStr">
        <is>
          <t>Bioinformatics staff</t>
        </is>
      </c>
      <c r="B11" t="inlineStr">
        <is>
          <t>SA</t>
        </is>
      </c>
      <c r="C11" s="44" t="inlineStr">
        <is>
          <t>Base Case</t>
        </is>
      </c>
      <c r="D11" s="65" t="n">
        <v>157196.9413846154</v>
      </c>
      <c r="E11" s="65" t="n">
        <v>216872.1548076923</v>
      </c>
      <c r="F11" s="65" t="n">
        <v>276547.3682307692</v>
      </c>
      <c r="G11" s="65" t="n">
        <v>79.55310798816568</v>
      </c>
      <c r="H11" s="65" t="n">
        <v>109.7531147812208</v>
      </c>
      <c r="I11" s="65" t="n">
        <v>139.9531215742759</v>
      </c>
    </row>
    <row r="12">
      <c r="A12" t="inlineStr">
        <is>
          <t>Pathologists</t>
        </is>
      </c>
      <c r="B12" t="inlineStr">
        <is>
          <t>SA</t>
        </is>
      </c>
      <c r="C12" s="44" t="inlineStr">
        <is>
          <t>Base Case</t>
        </is>
      </c>
      <c r="D12" s="65" t="n">
        <v>730532.0760384616</v>
      </c>
      <c r="E12" s="65" t="n">
        <v>842427.4306442309</v>
      </c>
      <c r="F12" s="65" t="n">
        <v>954322.7852500001</v>
      </c>
      <c r="G12" s="65" t="n">
        <v>369.7024676308004</v>
      </c>
      <c r="H12" s="65" t="n">
        <v>426.3296713786594</v>
      </c>
      <c r="I12" s="65" t="n">
        <v>482.9568751265182</v>
      </c>
    </row>
    <row r="13">
      <c r="A13" t="inlineStr">
        <is>
          <t>Lab technician</t>
        </is>
      </c>
      <c r="B13" t="inlineStr">
        <is>
          <t>NSW</t>
        </is>
      </c>
      <c r="C13" s="44" t="inlineStr">
        <is>
          <t>Base Case</t>
        </is>
      </c>
      <c r="D13" s="65" t="n">
        <v>142117.72308</v>
      </c>
      <c r="E13" s="65" t="n">
        <v>183839.76996</v>
      </c>
      <c r="F13" s="65" t="n">
        <v>225561.81684</v>
      </c>
      <c r="G13" s="65" t="n">
        <v>71.92192463562753</v>
      </c>
      <c r="H13" s="65" t="n">
        <v>93.03632082995951</v>
      </c>
      <c r="I13" s="65" t="n">
        <v>114.1507170242915</v>
      </c>
    </row>
    <row r="14">
      <c r="A14" t="inlineStr">
        <is>
          <t>Medical scientist</t>
        </is>
      </c>
      <c r="B14" t="inlineStr">
        <is>
          <t>NSW</t>
        </is>
      </c>
      <c r="C14" s="44" t="inlineStr">
        <is>
          <t>Base Case</t>
        </is>
      </c>
      <c r="D14" s="65" t="n">
        <v>171850.50164</v>
      </c>
      <c r="E14" s="65" t="n">
        <v>263051.15888</v>
      </c>
      <c r="F14" s="65" t="n">
        <v>354251.81612</v>
      </c>
      <c r="G14" s="65" t="n">
        <v>86.96887734817814</v>
      </c>
      <c r="H14" s="65" t="n">
        <v>133.1230561133603</v>
      </c>
      <c r="I14" s="65" t="n">
        <v>179.2772348785425</v>
      </c>
    </row>
    <row r="15">
      <c r="A15" t="inlineStr">
        <is>
          <t>Admin staff</t>
        </is>
      </c>
      <c r="B15" t="inlineStr">
        <is>
          <t>NSW</t>
        </is>
      </c>
      <c r="C15" s="44" t="inlineStr">
        <is>
          <t>Base Case</t>
        </is>
      </c>
      <c r="D15" s="65" t="n">
        <v>114089.18592</v>
      </c>
      <c r="E15" s="65" t="n">
        <v>137204.75628</v>
      </c>
      <c r="F15" s="65" t="n">
        <v>160320.32664</v>
      </c>
      <c r="G15" s="65" t="n">
        <v>57.73744226720648</v>
      </c>
      <c r="H15" s="65" t="n">
        <v>69.43560540485831</v>
      </c>
      <c r="I15" s="65" t="n">
        <v>81.13376854251011</v>
      </c>
    </row>
    <row r="16">
      <c r="A16" t="inlineStr">
        <is>
          <t>Bioinformatics staff</t>
        </is>
      </c>
      <c r="B16" t="inlineStr">
        <is>
          <t>NSW</t>
        </is>
      </c>
      <c r="C16" s="44" t="inlineStr">
        <is>
          <t>Base Case</t>
        </is>
      </c>
      <c r="D16" s="65" t="n">
        <v>168992.3613846154</v>
      </c>
      <c r="E16" s="65" t="n">
        <v>231185.3645</v>
      </c>
      <c r="F16" s="65" t="n">
        <v>293378.3676153846</v>
      </c>
      <c r="G16" s="65" t="n">
        <v>85.52245009342886</v>
      </c>
      <c r="H16" s="65" t="n">
        <v>116.9966419534413</v>
      </c>
      <c r="I16" s="65" t="n">
        <v>148.4708338134538</v>
      </c>
    </row>
    <row r="17">
      <c r="A17" t="inlineStr">
        <is>
          <t>Pathologists</t>
        </is>
      </c>
      <c r="B17" t="inlineStr">
        <is>
          <t>NSW</t>
        </is>
      </c>
      <c r="C17" s="44" t="inlineStr">
        <is>
          <t>Base Case</t>
        </is>
      </c>
      <c r="D17" s="65" t="n">
        <v>530998.2901923077</v>
      </c>
      <c r="E17" s="65" t="n">
        <v>617527.22875</v>
      </c>
      <c r="F17" s="65" t="n">
        <v>704056.1673076923</v>
      </c>
      <c r="G17" s="65" t="n">
        <v>268.7238310689816</v>
      </c>
      <c r="H17" s="65" t="n">
        <v>312.5137797317814</v>
      </c>
      <c r="I17" s="65" t="n">
        <v>356.3037283945811</v>
      </c>
    </row>
    <row r="18">
      <c r="A18" t="inlineStr">
        <is>
          <t>Lab technician</t>
        </is>
      </c>
      <c r="B18" t="inlineStr">
        <is>
          <t>QLD</t>
        </is>
      </c>
      <c r="C18" s="44" t="inlineStr">
        <is>
          <t>Base Case</t>
        </is>
      </c>
      <c r="D18" s="65" t="n">
        <v>116793.4012307692</v>
      </c>
      <c r="E18" s="65" t="n">
        <v>168044.7283076923</v>
      </c>
      <c r="F18" s="65" t="n">
        <v>219296.0553846154</v>
      </c>
      <c r="G18" s="65" t="n">
        <v>59.10597228277796</v>
      </c>
      <c r="H18" s="65" t="n">
        <v>85.04287869822485</v>
      </c>
      <c r="I18" s="65" t="n">
        <v>110.9797851136718</v>
      </c>
    </row>
    <row r="19">
      <c r="A19" t="inlineStr">
        <is>
          <t>Medical scientist</t>
        </is>
      </c>
      <c r="B19" t="inlineStr">
        <is>
          <t>QLD</t>
        </is>
      </c>
      <c r="C19" s="44" t="inlineStr">
        <is>
          <t>Base Case</t>
        </is>
      </c>
      <c r="D19" s="65" t="n">
        <v>165286.0979230769</v>
      </c>
      <c r="E19" s="65" t="n">
        <v>248808.6646538461</v>
      </c>
      <c r="F19" s="65" t="n">
        <v>332331.2313846154</v>
      </c>
      <c r="G19" s="65" t="n">
        <v>83.64681068981626</v>
      </c>
      <c r="H19" s="65" t="n">
        <v>125.9153161203675</v>
      </c>
      <c r="I19" s="65" t="n">
        <v>168.1838215509187</v>
      </c>
    </row>
    <row r="20">
      <c r="A20" t="inlineStr">
        <is>
          <t>Admin staff</t>
        </is>
      </c>
      <c r="B20" t="inlineStr">
        <is>
          <t>QLD</t>
        </is>
      </c>
      <c r="C20" s="44" t="inlineStr">
        <is>
          <t>Base Case</t>
        </is>
      </c>
      <c r="D20" s="65" t="n">
        <v>114785.4024615385</v>
      </c>
      <c r="E20" s="65" t="n">
        <v>152905.4121153846</v>
      </c>
      <c r="F20" s="65" t="n">
        <v>191025.4217692308</v>
      </c>
      <c r="G20" s="65" t="n">
        <v>58.08977857365307</v>
      </c>
      <c r="H20" s="65" t="n">
        <v>77.38128143491123</v>
      </c>
      <c r="I20" s="65" t="n">
        <v>96.67278429616943</v>
      </c>
    </row>
    <row r="21">
      <c r="A21" t="inlineStr">
        <is>
          <t>Bioinformatics staff</t>
        </is>
      </c>
      <c r="B21" t="inlineStr">
        <is>
          <t>QLD</t>
        </is>
      </c>
      <c r="C21" s="44" t="inlineStr">
        <is>
          <t>Base Case</t>
        </is>
      </c>
      <c r="D21" s="65" t="n">
        <v>165286.0979230769</v>
      </c>
      <c r="E21" s="65" t="n">
        <v>248808.6646538461</v>
      </c>
      <c r="F21" s="65" t="n">
        <v>332331.2313846154</v>
      </c>
      <c r="G21" s="65" t="n">
        <v>83.64681068981626</v>
      </c>
      <c r="H21" s="65" t="n">
        <v>125.9153161203675</v>
      </c>
      <c r="I21" s="65" t="n">
        <v>168.1838215509187</v>
      </c>
    </row>
    <row r="22">
      <c r="A22" t="inlineStr">
        <is>
          <t>Pathologists</t>
        </is>
      </c>
      <c r="B22" t="inlineStr">
        <is>
          <t>QLD</t>
        </is>
      </c>
      <c r="C22" s="44" t="inlineStr">
        <is>
          <t>Base Case</t>
        </is>
      </c>
      <c r="D22" s="65" t="n">
        <v>564701.8383076922</v>
      </c>
      <c r="E22" s="65" t="n">
        <v>668927.8987692308</v>
      </c>
      <c r="F22" s="65" t="n">
        <v>773153.9592307692</v>
      </c>
      <c r="G22" s="65" t="n">
        <v>285.7802825443786</v>
      </c>
      <c r="H22" s="65" t="n">
        <v>338.5262645593273</v>
      </c>
      <c r="I22" s="65" t="n">
        <v>391.2722465742759</v>
      </c>
    </row>
    <row r="23">
      <c r="A23" t="inlineStr">
        <is>
          <t>Lab technician</t>
        </is>
      </c>
      <c r="B23" t="inlineStr">
        <is>
          <t>WA</t>
        </is>
      </c>
      <c r="C23" s="44" t="inlineStr">
        <is>
          <t>Base Case</t>
        </is>
      </c>
      <c r="D23" s="65" t="n">
        <v>148744.2736153846</v>
      </c>
      <c r="E23" s="65" t="n">
        <v>184365.5033846154</v>
      </c>
      <c r="F23" s="65" t="n">
        <v>219986.7331538461</v>
      </c>
      <c r="G23" s="65" t="n">
        <v>75.27544211304888</v>
      </c>
      <c r="H23" s="65" t="n">
        <v>93.30238025537216</v>
      </c>
      <c r="I23" s="65" t="n">
        <v>111.3293183976954</v>
      </c>
    </row>
    <row r="24">
      <c r="A24" t="inlineStr">
        <is>
          <t>Medical scientist</t>
        </is>
      </c>
      <c r="B24" t="inlineStr">
        <is>
          <t>WA</t>
        </is>
      </c>
      <c r="C24" s="44" t="inlineStr">
        <is>
          <t>Base Case</t>
        </is>
      </c>
      <c r="D24" s="65" t="n">
        <v>201066.5876153846</v>
      </c>
      <c r="E24" s="65" t="n">
        <v>281686.4540769231</v>
      </c>
      <c r="F24" s="65" t="n">
        <v>362306.3205384615</v>
      </c>
      <c r="G24" s="65" t="n">
        <v>101.7543459592027</v>
      </c>
      <c r="H24" s="65" t="n">
        <v>142.5538735207101</v>
      </c>
      <c r="I24" s="65" t="n">
        <v>183.3534010822173</v>
      </c>
    </row>
    <row r="25">
      <c r="A25" t="inlineStr">
        <is>
          <t>Admin staff</t>
        </is>
      </c>
      <c r="B25" t="inlineStr">
        <is>
          <t>WA</t>
        </is>
      </c>
      <c r="C25" s="44" t="inlineStr">
        <is>
          <t>Base Case</t>
        </is>
      </c>
      <c r="D25" s="65" t="n">
        <v>148744.2736153846</v>
      </c>
      <c r="E25" s="65" t="n">
        <v>163559.5432307692</v>
      </c>
      <c r="F25" s="65" t="n">
        <v>178374.8128461538</v>
      </c>
      <c r="G25" s="65" t="n">
        <v>75.27544211304888</v>
      </c>
      <c r="H25" s="65" t="n">
        <v>82.77304819370912</v>
      </c>
      <c r="I25" s="65" t="n">
        <v>90.27065427436935</v>
      </c>
    </row>
    <row r="26">
      <c r="A26" t="inlineStr">
        <is>
          <t>Bioinformatics staff</t>
        </is>
      </c>
      <c r="B26" t="inlineStr">
        <is>
          <t>WA</t>
        </is>
      </c>
      <c r="C26" s="44" t="inlineStr">
        <is>
          <t>Base Case</t>
        </is>
      </c>
      <c r="D26" s="65" t="n">
        <v>206401.118</v>
      </c>
      <c r="E26" s="65" t="n">
        <v>224182.0248461539</v>
      </c>
      <c r="F26" s="65" t="n">
        <v>241962.9316923077</v>
      </c>
      <c r="G26" s="65" t="n">
        <v>104.4540070850203</v>
      </c>
      <c r="H26" s="65" t="n">
        <v>113.4524417237621</v>
      </c>
      <c r="I26" s="65" t="n">
        <v>122.4508763625039</v>
      </c>
    </row>
    <row r="27">
      <c r="A27" t="inlineStr">
        <is>
          <t>Pathologists</t>
        </is>
      </c>
      <c r="B27" t="inlineStr">
        <is>
          <t>WA</t>
        </is>
      </c>
      <c r="C27" s="44" t="inlineStr">
        <is>
          <t>Base Case</t>
        </is>
      </c>
      <c r="D27" s="65" t="n">
        <v>733974.6716153846</v>
      </c>
      <c r="E27" s="65" t="n">
        <v>839060.7298461539</v>
      </c>
      <c r="F27" s="65" t="n">
        <v>944146.788076923</v>
      </c>
      <c r="G27" s="65" t="n">
        <v>371.444671870134</v>
      </c>
      <c r="H27" s="65" t="n">
        <v>424.6258754282155</v>
      </c>
      <c r="I27" s="65" t="n">
        <v>477.807078986297</v>
      </c>
    </row>
    <row r="28">
      <c r="A28" t="inlineStr">
        <is>
          <t>Lab technician</t>
        </is>
      </c>
      <c r="B28" t="inlineStr">
        <is>
          <t>ALL</t>
        </is>
      </c>
      <c r="C28" s="44" t="inlineStr">
        <is>
          <t>Base Case</t>
        </is>
      </c>
      <c r="D28" s="44" t="n">
        <v>116793.4012307692</v>
      </c>
      <c r="E28" s="44" t="n">
        <v>192590.1962689231</v>
      </c>
      <c r="F28" s="44" t="n">
        <v>282005.0124615384</v>
      </c>
      <c r="G28" s="44" t="n">
        <v>59.10597228277796</v>
      </c>
      <c r="H28" s="44" t="n">
        <v>97.46467422516351</v>
      </c>
      <c r="I28" s="44" t="n">
        <v>142.7150872781065</v>
      </c>
    </row>
    <row r="29">
      <c r="A29" t="inlineStr">
        <is>
          <t>Medical scientist</t>
        </is>
      </c>
      <c r="B29" t="inlineStr">
        <is>
          <t>ALL</t>
        </is>
      </c>
      <c r="C29" s="44" t="inlineStr">
        <is>
          <t>Base Case</t>
        </is>
      </c>
      <c r="D29" s="44" t="n">
        <v>157843.939</v>
      </c>
      <c r="E29" s="44" t="n">
        <v>261024.1709252308</v>
      </c>
      <c r="F29" s="44" t="n">
        <v>367640.9298</v>
      </c>
      <c r="G29" s="44" t="n">
        <v>79.88053593117409</v>
      </c>
      <c r="H29" s="44" t="n">
        <v>132.0972524925257</v>
      </c>
      <c r="I29" s="44" t="n">
        <v>186.0531021255061</v>
      </c>
    </row>
    <row r="30">
      <c r="A30" t="inlineStr">
        <is>
          <t>Admin staff</t>
        </is>
      </c>
      <c r="B30" t="inlineStr">
        <is>
          <t>ALL</t>
        </is>
      </c>
      <c r="C30" s="44" t="inlineStr">
        <is>
          <t>Base Case</t>
        </is>
      </c>
      <c r="D30" s="44" t="n">
        <v>114089.18592</v>
      </c>
      <c r="E30" s="44" t="n">
        <v>160412.0130713846</v>
      </c>
      <c r="F30" s="44" t="n">
        <v>233806.9369230769</v>
      </c>
      <c r="G30" s="44" t="n">
        <v>57.73744226720648</v>
      </c>
      <c r="H30" s="44" t="n">
        <v>81.18016855839304</v>
      </c>
      <c r="I30" s="44" t="n">
        <v>118.3233486452818</v>
      </c>
    </row>
    <row r="31">
      <c r="A31" t="inlineStr">
        <is>
          <t>Bioinformatics staff</t>
        </is>
      </c>
      <c r="B31" t="inlineStr">
        <is>
          <t>ALL</t>
        </is>
      </c>
      <c r="C31" s="44" t="inlineStr">
        <is>
          <t>Base Case</t>
        </is>
      </c>
      <c r="D31" s="44" t="n">
        <v>157196.9413846154</v>
      </c>
      <c r="E31" s="44" t="n">
        <v>236288.8204230769</v>
      </c>
      <c r="F31" s="44" t="n">
        <v>332331.2313846154</v>
      </c>
      <c r="G31" s="44" t="n">
        <v>79.55310798816568</v>
      </c>
      <c r="H31" s="44" t="n">
        <v>119.5793625622859</v>
      </c>
      <c r="I31" s="44" t="n">
        <v>168.1838215509187</v>
      </c>
    </row>
    <row r="32">
      <c r="A32" t="inlineStr">
        <is>
          <t>Pathologists</t>
        </is>
      </c>
      <c r="B32" t="inlineStr">
        <is>
          <t>ALL</t>
        </is>
      </c>
      <c r="C32" s="44" t="inlineStr">
        <is>
          <t>Base Case</t>
        </is>
      </c>
      <c r="D32" s="44" t="n">
        <v>530998.2901923077</v>
      </c>
      <c r="E32" s="44" t="n">
        <v>750853.4043819231</v>
      </c>
      <c r="F32" s="44" t="n">
        <v>954322.7852500001</v>
      </c>
      <c r="G32" s="44" t="n">
        <v>268.7238310689816</v>
      </c>
      <c r="H32" s="44" t="n">
        <v>379.9865406791109</v>
      </c>
      <c r="I32" s="44" t="n">
        <v>482.9568751265182</v>
      </c>
    </row>
    <row r="33">
      <c r="A33" t="inlineStr">
        <is>
          <t>Lab technician</t>
        </is>
      </c>
      <c r="B33" t="inlineStr">
        <is>
          <t>VIC</t>
        </is>
      </c>
      <c r="C33" s="44" t="inlineStr">
        <is>
          <t>Superannuation Rate</t>
        </is>
      </c>
      <c r="D33" s="78" t="n">
        <v>242302.4455384615</v>
      </c>
      <c r="E33" s="78" t="n">
        <v>242777.2905384615</v>
      </c>
      <c r="F33" s="78" t="n">
        <v>244439.2480384615</v>
      </c>
      <c r="G33" s="78" t="n">
        <v>122.6226951105574</v>
      </c>
      <c r="H33" s="78" t="n">
        <v>122.8630012846465</v>
      </c>
      <c r="I33" s="78" t="n">
        <v>123.7040728939583</v>
      </c>
    </row>
    <row r="34">
      <c r="A34" t="inlineStr">
        <is>
          <t>Medical scientist</t>
        </is>
      </c>
      <c r="B34" t="inlineStr">
        <is>
          <t>VIC</t>
        </is>
      </c>
      <c r="C34" s="44" t="inlineStr">
        <is>
          <t>Superannuation Rate</t>
        </is>
      </c>
      <c r="D34" s="78" t="n">
        <v>262233.0424</v>
      </c>
      <c r="E34" s="78" t="n">
        <v>262742.4344</v>
      </c>
      <c r="F34" s="78" t="n">
        <v>264525.3064000001</v>
      </c>
      <c r="G34" s="78" t="n">
        <v>132.7090295546559</v>
      </c>
      <c r="H34" s="78" t="n">
        <v>132.9668190283401</v>
      </c>
      <c r="I34" s="78" t="n">
        <v>133.8690821862349</v>
      </c>
    </row>
    <row r="35">
      <c r="A35" t="inlineStr">
        <is>
          <t>Admin staff</t>
        </is>
      </c>
      <c r="B35" t="inlineStr">
        <is>
          <t>VIC</t>
        </is>
      </c>
      <c r="C35" s="44" t="inlineStr">
        <is>
          <t>Superannuation Rate</t>
        </is>
      </c>
      <c r="D35" s="78" t="n">
        <v>197937.6941538462</v>
      </c>
      <c r="E35" s="78" t="n">
        <v>198325.5966538462</v>
      </c>
      <c r="F35" s="78" t="n">
        <v>199683.2554038462</v>
      </c>
      <c r="G35" s="78" t="n">
        <v>100.1708978511367</v>
      </c>
      <c r="H35" s="78" t="n">
        <v>100.3672047843351</v>
      </c>
      <c r="I35" s="78" t="n">
        <v>101.0542790505294</v>
      </c>
    </row>
    <row r="36">
      <c r="A36" t="inlineStr">
        <is>
          <t>Bioinformatics staff</t>
        </is>
      </c>
      <c r="B36" t="inlineStr">
        <is>
          <t>VIC</t>
        </is>
      </c>
      <c r="C36" s="44" t="inlineStr">
        <is>
          <t>Superannuation Rate</t>
        </is>
      </c>
      <c r="D36" s="78" t="n">
        <v>259886.5883076923</v>
      </c>
      <c r="E36" s="78" t="n">
        <v>260395.8933076923</v>
      </c>
      <c r="F36" s="78" t="n">
        <v>262178.4608076923</v>
      </c>
      <c r="G36" s="78" t="n">
        <v>131.5215527872937</v>
      </c>
      <c r="H36" s="78" t="n">
        <v>131.7792982326378</v>
      </c>
      <c r="I36" s="78" t="n">
        <v>132.6814072913422</v>
      </c>
    </row>
    <row r="37">
      <c r="A37" t="inlineStr">
        <is>
          <t>Pathologists</t>
        </is>
      </c>
      <c r="B37" t="inlineStr">
        <is>
          <t>VIC</t>
        </is>
      </c>
      <c r="C37" s="44" t="inlineStr">
        <is>
          <t>Superannuation Rate</t>
        </is>
      </c>
      <c r="D37" s="78" t="n">
        <v>784842.4944</v>
      </c>
      <c r="E37" s="78" t="n">
        <v>786323.7339000001</v>
      </c>
      <c r="F37" s="78" t="n">
        <v>791508.07215</v>
      </c>
      <c r="G37" s="78" t="n">
        <v>397.1874971659919</v>
      </c>
      <c r="H37" s="78" t="n">
        <v>397.9371122975709</v>
      </c>
      <c r="I37" s="78" t="n">
        <v>400.5607652580971</v>
      </c>
    </row>
    <row r="38">
      <c r="A38" t="inlineStr">
        <is>
          <t>Lab technician</t>
        </is>
      </c>
      <c r="B38" t="inlineStr">
        <is>
          <t>SA</t>
        </is>
      </c>
      <c r="C38" s="44" t="inlineStr">
        <is>
          <t>Superannuation Rate</t>
        </is>
      </c>
      <c r="D38" s="78" t="n">
        <v>183535.3241538461</v>
      </c>
      <c r="E38" s="78" t="n">
        <v>183923.6891538462</v>
      </c>
      <c r="F38" s="78" t="n">
        <v>185282.9666538461</v>
      </c>
      <c r="G38" s="78" t="n">
        <v>92.8822490657116</v>
      </c>
      <c r="H38" s="78" t="n">
        <v>93.07879005761446</v>
      </c>
      <c r="I38" s="78" t="n">
        <v>93.76668352927436</v>
      </c>
    </row>
    <row r="39">
      <c r="A39" t="inlineStr">
        <is>
          <t>Medical scientist</t>
        </is>
      </c>
      <c r="B39" t="inlineStr">
        <is>
          <t>SA</t>
        </is>
      </c>
      <c r="C39" s="44" t="inlineStr">
        <is>
          <t>Superannuation Rate</t>
        </is>
      </c>
      <c r="D39" s="78" t="n">
        <v>248310.9526153846</v>
      </c>
      <c r="E39" s="78" t="n">
        <v>248832.1426153846</v>
      </c>
      <c r="F39" s="78" t="n">
        <v>250656.3076153846</v>
      </c>
      <c r="G39" s="78" t="n">
        <v>125.663437558393</v>
      </c>
      <c r="H39" s="78" t="n">
        <v>125.9271976798505</v>
      </c>
      <c r="I39" s="78" t="n">
        <v>126.8503581049517</v>
      </c>
    </row>
    <row r="40">
      <c r="A40" t="inlineStr">
        <is>
          <t>Admin staff</t>
        </is>
      </c>
      <c r="B40" t="inlineStr">
        <is>
          <t>SA</t>
        </is>
      </c>
      <c r="C40" s="44" t="inlineStr">
        <is>
          <t>Superannuation Rate</t>
        </is>
      </c>
      <c r="D40" s="78" t="n">
        <v>149747.8870769231</v>
      </c>
      <c r="E40" s="78" t="n">
        <v>150064.7570769231</v>
      </c>
      <c r="F40" s="78" t="n">
        <v>151173.8020769231</v>
      </c>
      <c r="G40" s="78" t="n">
        <v>75.78334366241046</v>
      </c>
      <c r="H40" s="78" t="n">
        <v>75.94370297415135</v>
      </c>
      <c r="I40" s="78" t="n">
        <v>76.50496056524447</v>
      </c>
    </row>
    <row r="41">
      <c r="A41" t="inlineStr">
        <is>
          <t>Bioinformatics staff</t>
        </is>
      </c>
      <c r="B41" t="inlineStr">
        <is>
          <t>SA</t>
        </is>
      </c>
      <c r="C41" s="44" t="inlineStr">
        <is>
          <t>Superannuation Rate</t>
        </is>
      </c>
      <c r="D41" s="78" t="n">
        <v>216414.2173076923</v>
      </c>
      <c r="E41" s="78" t="n">
        <v>216872.1548076923</v>
      </c>
      <c r="F41" s="78" t="n">
        <v>218474.9360576923</v>
      </c>
      <c r="G41" s="78" t="n">
        <v>109.5213650342572</v>
      </c>
      <c r="H41" s="78" t="n">
        <v>109.7531147812208</v>
      </c>
      <c r="I41" s="78" t="n">
        <v>110.5642388955932</v>
      </c>
    </row>
    <row r="42">
      <c r="A42" t="inlineStr">
        <is>
          <t>Pathologists</t>
        </is>
      </c>
      <c r="B42" t="inlineStr">
        <is>
          <t>SA</t>
        </is>
      </c>
      <c r="C42" s="44" t="inlineStr">
        <is>
          <t>Superannuation Rate</t>
        </is>
      </c>
      <c r="D42" s="78" t="n">
        <v>841143.3281442309</v>
      </c>
      <c r="E42" s="78" t="n">
        <v>842427.4306442309</v>
      </c>
      <c r="F42" s="78" t="n">
        <v>846921.7893942308</v>
      </c>
      <c r="G42" s="78" t="n">
        <v>425.6798219353395</v>
      </c>
      <c r="H42" s="78" t="n">
        <v>426.3296713786594</v>
      </c>
      <c r="I42" s="78" t="n">
        <v>428.6041444302787</v>
      </c>
    </row>
    <row r="43">
      <c r="A43" t="inlineStr">
        <is>
          <t>Lab technician</t>
        </is>
      </c>
      <c r="B43" t="inlineStr">
        <is>
          <t>NSW</t>
        </is>
      </c>
      <c r="C43" s="44" t="inlineStr">
        <is>
          <t>Superannuation Rate</t>
        </is>
      </c>
      <c r="D43" s="78" t="n">
        <v>183451.58216</v>
      </c>
      <c r="E43" s="78" t="n">
        <v>183839.76996</v>
      </c>
      <c r="F43" s="78" t="n">
        <v>185198.42726</v>
      </c>
      <c r="G43" s="78" t="n">
        <v>92.83986951417005</v>
      </c>
      <c r="H43" s="78" t="n">
        <v>93.03632082995951</v>
      </c>
      <c r="I43" s="78" t="n">
        <v>93.72390043522266</v>
      </c>
    </row>
    <row r="44">
      <c r="A44" t="inlineStr">
        <is>
          <t>Medical scientist</t>
        </is>
      </c>
      <c r="B44" t="inlineStr">
        <is>
          <t>NSW</t>
        </is>
      </c>
      <c r="C44" s="44" t="inlineStr">
        <is>
          <t>Superannuation Rate</t>
        </is>
      </c>
      <c r="D44" s="78" t="n">
        <v>262536.66048</v>
      </c>
      <c r="E44" s="78" t="n">
        <v>263051.15888</v>
      </c>
      <c r="F44" s="78" t="n">
        <v>264851.90328</v>
      </c>
      <c r="G44" s="78" t="n">
        <v>132.8626824291498</v>
      </c>
      <c r="H44" s="78" t="n">
        <v>133.1230561133603</v>
      </c>
      <c r="I44" s="78" t="n">
        <v>134.0343640080972</v>
      </c>
    </row>
    <row r="45">
      <c r="A45" t="inlineStr">
        <is>
          <t>Admin staff</t>
        </is>
      </c>
      <c r="B45" t="inlineStr">
        <is>
          <t>NSW</t>
        </is>
      </c>
      <c r="C45" s="44" t="inlineStr">
        <is>
          <t>Superannuation Rate</t>
        </is>
      </c>
      <c r="D45" s="78" t="n">
        <v>136915.04088</v>
      </c>
      <c r="E45" s="78" t="n">
        <v>137204.75628</v>
      </c>
      <c r="F45" s="78" t="n">
        <v>138218.76018</v>
      </c>
      <c r="G45" s="78" t="n">
        <v>69.28898829959513</v>
      </c>
      <c r="H45" s="78" t="n">
        <v>69.43560540485831</v>
      </c>
      <c r="I45" s="78" t="n">
        <v>69.94876527327934</v>
      </c>
    </row>
    <row r="46">
      <c r="A46" t="inlineStr">
        <is>
          <t>Bioinformatics staff</t>
        </is>
      </c>
      <c r="B46" t="inlineStr">
        <is>
          <t>NSW</t>
        </is>
      </c>
      <c r="C46" s="44" t="inlineStr">
        <is>
          <t>Superannuation Rate</t>
        </is>
      </c>
      <c r="D46" s="78" t="n">
        <v>230733.192</v>
      </c>
      <c r="E46" s="78" t="n">
        <v>231185.3645</v>
      </c>
      <c r="F46" s="78" t="n">
        <v>232767.96825</v>
      </c>
      <c r="G46" s="78" t="n">
        <v>116.7678097165992</v>
      </c>
      <c r="H46" s="78" t="n">
        <v>116.9966419534413</v>
      </c>
      <c r="I46" s="78" t="n">
        <v>117.7975547823887</v>
      </c>
    </row>
    <row r="47">
      <c r="A47" t="inlineStr">
        <is>
          <t>Pathologists</t>
        </is>
      </c>
      <c r="B47" t="inlineStr">
        <is>
          <t>NSW</t>
        </is>
      </c>
      <c r="C47" s="44" t="inlineStr">
        <is>
          <t>Superannuation Rate</t>
        </is>
      </c>
      <c r="D47" s="78" t="n">
        <v>616474.6837500001</v>
      </c>
      <c r="E47" s="78" t="n">
        <v>617527.22875</v>
      </c>
      <c r="F47" s="78" t="n">
        <v>621211.13625</v>
      </c>
      <c r="G47" s="78" t="n">
        <v>311.9811152580972</v>
      </c>
      <c r="H47" s="78" t="n">
        <v>312.5137797317814</v>
      </c>
      <c r="I47" s="78" t="n">
        <v>314.3781053896761</v>
      </c>
    </row>
    <row r="48">
      <c r="A48" t="inlineStr">
        <is>
          <t>Lab technician</t>
        </is>
      </c>
      <c r="B48" t="inlineStr">
        <is>
          <t>QLD</t>
        </is>
      </c>
      <c r="C48" s="44" t="inlineStr">
        <is>
          <t>Superannuation Rate</t>
        </is>
      </c>
      <c r="D48" s="78" t="n">
        <v>167693.7483076923</v>
      </c>
      <c r="E48" s="78" t="n">
        <v>168044.7283076923</v>
      </c>
      <c r="F48" s="78" t="n">
        <v>169273.1583076923</v>
      </c>
      <c r="G48" s="78" t="n">
        <v>84.86525724073496</v>
      </c>
      <c r="H48" s="78" t="n">
        <v>85.04287869822485</v>
      </c>
      <c r="I48" s="78" t="n">
        <v>85.66455379943943</v>
      </c>
    </row>
    <row r="49">
      <c r="A49" t="inlineStr">
        <is>
          <t>Medical scientist</t>
        </is>
      </c>
      <c r="B49" t="inlineStr">
        <is>
          <t>QLD</t>
        </is>
      </c>
      <c r="C49" s="44" t="inlineStr">
        <is>
          <t>Superannuation Rate</t>
        </is>
      </c>
      <c r="D49" s="78" t="n">
        <v>248287.1471538462</v>
      </c>
      <c r="E49" s="78" t="n">
        <v>248808.6646538461</v>
      </c>
      <c r="F49" s="78" t="n">
        <v>250633.9759038461</v>
      </c>
      <c r="G49" s="78" t="n">
        <v>125.6513902600436</v>
      </c>
      <c r="H49" s="78" t="n">
        <v>125.9153161203675</v>
      </c>
      <c r="I49" s="78" t="n">
        <v>126.8390566315011</v>
      </c>
    </row>
    <row r="50">
      <c r="A50" t="inlineStr">
        <is>
          <t>Admin staff</t>
        </is>
      </c>
      <c r="B50" t="inlineStr">
        <is>
          <t>QLD</t>
        </is>
      </c>
      <c r="C50" s="44" t="inlineStr">
        <is>
          <t>Superannuation Rate</t>
        </is>
      </c>
      <c r="D50" s="78" t="n">
        <v>152586.3996153846</v>
      </c>
      <c r="E50" s="78" t="n">
        <v>152905.4121153846</v>
      </c>
      <c r="F50" s="78" t="n">
        <v>154021.9558653846</v>
      </c>
      <c r="G50" s="78" t="n">
        <v>77.21983786203673</v>
      </c>
      <c r="H50" s="78" t="n">
        <v>77.38128143491123</v>
      </c>
      <c r="I50" s="78" t="n">
        <v>77.94633393997196</v>
      </c>
    </row>
    <row r="51">
      <c r="A51" t="inlineStr">
        <is>
          <t>Bioinformatics staff</t>
        </is>
      </c>
      <c r="B51" t="inlineStr">
        <is>
          <t>QLD</t>
        </is>
      </c>
      <c r="C51" s="44" t="inlineStr">
        <is>
          <t>Superannuation Rate</t>
        </is>
      </c>
      <c r="D51" s="78" t="n">
        <v>248287.1471538462</v>
      </c>
      <c r="E51" s="78" t="n">
        <v>248808.6646538461</v>
      </c>
      <c r="F51" s="78" t="n">
        <v>250633.9759038461</v>
      </c>
      <c r="G51" s="78" t="n">
        <v>125.6513902600436</v>
      </c>
      <c r="H51" s="78" t="n">
        <v>125.9153161203675</v>
      </c>
      <c r="I51" s="78" t="n">
        <v>126.8390566315011</v>
      </c>
    </row>
    <row r="52">
      <c r="A52" t="inlineStr">
        <is>
          <t>Pathologists</t>
        </is>
      </c>
      <c r="B52" t="inlineStr">
        <is>
          <t>QLD</t>
        </is>
      </c>
      <c r="C52" s="44" t="inlineStr">
        <is>
          <t>Superannuation Rate</t>
        </is>
      </c>
      <c r="D52" s="78" t="n">
        <v>667799.1587692308</v>
      </c>
      <c r="E52" s="78" t="n">
        <v>668927.8987692308</v>
      </c>
      <c r="F52" s="78" t="n">
        <v>672878.4887692307</v>
      </c>
      <c r="G52" s="78" t="n">
        <v>337.955039862971</v>
      </c>
      <c r="H52" s="78" t="n">
        <v>338.5262645593273</v>
      </c>
      <c r="I52" s="78" t="n">
        <v>340.5255509965742</v>
      </c>
    </row>
    <row r="53">
      <c r="A53" t="inlineStr">
        <is>
          <t>Lab technician</t>
        </is>
      </c>
      <c r="B53" t="inlineStr">
        <is>
          <t>WA</t>
        </is>
      </c>
      <c r="C53" s="44" t="inlineStr">
        <is>
          <t>Superannuation Rate</t>
        </is>
      </c>
      <c r="D53" s="78" t="n">
        <v>184008.6633846154</v>
      </c>
      <c r="E53" s="78" t="n">
        <v>184365.5033846154</v>
      </c>
      <c r="F53" s="78" t="n">
        <v>185614.4433846154</v>
      </c>
      <c r="G53" s="78" t="n">
        <v>93.12179321083775</v>
      </c>
      <c r="H53" s="78" t="n">
        <v>93.30238025537216</v>
      </c>
      <c r="I53" s="78" t="n">
        <v>93.9344349112426</v>
      </c>
    </row>
    <row r="54">
      <c r="A54" t="inlineStr">
        <is>
          <t>Medical scientist</t>
        </is>
      </c>
      <c r="B54" t="inlineStr">
        <is>
          <t>WA</t>
        </is>
      </c>
      <c r="C54" s="44" t="inlineStr">
        <is>
          <t>Superannuation Rate</t>
        </is>
      </c>
      <c r="D54" s="78" t="n">
        <v>281141.2490769231</v>
      </c>
      <c r="E54" s="78" t="n">
        <v>281686.4540769231</v>
      </c>
      <c r="F54" s="78" t="n">
        <v>283594.6715769231</v>
      </c>
      <c r="G54" s="78" t="n">
        <v>142.2779600591716</v>
      </c>
      <c r="H54" s="78" t="n">
        <v>142.5538735207101</v>
      </c>
      <c r="I54" s="78" t="n">
        <v>143.5195706360947</v>
      </c>
    </row>
    <row r="55">
      <c r="A55" t="inlineStr">
        <is>
          <t>Admin staff</t>
        </is>
      </c>
      <c r="B55" t="inlineStr">
        <is>
          <t>WA</t>
        </is>
      </c>
      <c r="C55" s="44" t="inlineStr">
        <is>
          <t>Superannuation Rate</t>
        </is>
      </c>
      <c r="D55" s="78" t="n">
        <v>163242.9732307692</v>
      </c>
      <c r="E55" s="78" t="n">
        <v>163559.5432307692</v>
      </c>
      <c r="F55" s="78" t="n">
        <v>164667.5382307692</v>
      </c>
      <c r="G55" s="78" t="n">
        <v>82.61284070383057</v>
      </c>
      <c r="H55" s="78" t="n">
        <v>82.77304819370912</v>
      </c>
      <c r="I55" s="78" t="n">
        <v>83.33377440828401</v>
      </c>
    </row>
    <row r="56">
      <c r="A56" t="inlineStr">
        <is>
          <t>Bioinformatics staff</t>
        </is>
      </c>
      <c r="B56" t="inlineStr">
        <is>
          <t>WA</t>
        </is>
      </c>
      <c r="C56" s="44" t="inlineStr">
        <is>
          <t>Superannuation Rate</t>
        </is>
      </c>
      <c r="D56" s="78" t="n">
        <v>223748.1198461539</v>
      </c>
      <c r="E56" s="78" t="n">
        <v>224182.0248461539</v>
      </c>
      <c r="F56" s="78" t="n">
        <v>225700.6923461538</v>
      </c>
      <c r="G56" s="78" t="n">
        <v>113.2328541731548</v>
      </c>
      <c r="H56" s="78" t="n">
        <v>113.4524417237621</v>
      </c>
      <c r="I56" s="78" t="n">
        <v>114.2209981508876</v>
      </c>
    </row>
    <row r="57">
      <c r="A57" t="inlineStr">
        <is>
          <t>Pathologists</t>
        </is>
      </c>
      <c r="B57" t="inlineStr">
        <is>
          <t>WA</t>
        </is>
      </c>
      <c r="C57" s="44" t="inlineStr">
        <is>
          <t>Superannuation Rate</t>
        </is>
      </c>
      <c r="D57" s="78" t="n">
        <v>837350.0498461538</v>
      </c>
      <c r="E57" s="78" t="n">
        <v>839060.7298461539</v>
      </c>
      <c r="F57" s="78" t="n">
        <v>845048.1098461538</v>
      </c>
      <c r="G57" s="78" t="n">
        <v>423.7601466832762</v>
      </c>
      <c r="H57" s="78" t="n">
        <v>424.6258754282155</v>
      </c>
      <c r="I57" s="78" t="n">
        <v>427.6559260355029</v>
      </c>
    </row>
    <row r="58">
      <c r="A58" t="inlineStr">
        <is>
          <t>Lab technician</t>
        </is>
      </c>
      <c r="B58" t="inlineStr">
        <is>
          <t>ALL</t>
        </is>
      </c>
      <c r="C58" s="44" t="inlineStr">
        <is>
          <t>Superannuation Rate</t>
        </is>
      </c>
      <c r="D58" s="44" t="n">
        <v>191874.2186781538</v>
      </c>
      <c r="E58" s="44" t="n">
        <v>192266.0622381538</v>
      </c>
      <c r="F58" s="44" t="n">
        <v>193637.5146981538</v>
      </c>
      <c r="G58" s="44" t="n">
        <v>97.10233738772966</v>
      </c>
      <c r="H58" s="44" t="n">
        <v>97.3006387844908</v>
      </c>
      <c r="I58" s="44" t="n">
        <v>97.99469367315477</v>
      </c>
    </row>
    <row r="59">
      <c r="A59" t="inlineStr">
        <is>
          <t>Medical scientist</t>
        </is>
      </c>
      <c r="B59" t="inlineStr">
        <is>
          <t>ALL</t>
        </is>
      </c>
      <c r="C59" s="44" t="inlineStr">
        <is>
          <t>Superannuation Rate</t>
        </is>
      </c>
      <c r="D59" s="44" t="n">
        <v>260492.7325233846</v>
      </c>
      <c r="E59" s="44" t="n">
        <v>261015.0931033847</v>
      </c>
      <c r="F59" s="44" t="n">
        <v>262843.3551333846</v>
      </c>
      <c r="G59" s="44" t="n">
        <v>131.828305932887</v>
      </c>
      <c r="H59" s="44" t="n">
        <v>132.0926584531299</v>
      </c>
      <c r="I59" s="44" t="n">
        <v>133.0178922739801</v>
      </c>
    </row>
    <row r="60">
      <c r="A60" t="inlineStr">
        <is>
          <t>Admin staff</t>
        </is>
      </c>
      <c r="B60" t="inlineStr">
        <is>
          <t>ALL</t>
        </is>
      </c>
      <c r="C60" s="44" t="inlineStr">
        <is>
          <t>Superannuation Rate</t>
        </is>
      </c>
      <c r="D60" s="44" t="n">
        <v>159700.8198990769</v>
      </c>
      <c r="E60" s="44" t="n">
        <v>160026.8339790769</v>
      </c>
      <c r="F60" s="44" t="n">
        <v>161167.8832590769</v>
      </c>
      <c r="G60" s="44" t="n">
        <v>80.8202529853628</v>
      </c>
      <c r="H60" s="44" t="n">
        <v>80.98523986795389</v>
      </c>
      <c r="I60" s="44" t="n">
        <v>81.56269395702273</v>
      </c>
    </row>
    <row r="61">
      <c r="A61" t="inlineStr">
        <is>
          <t>Bioinformatics staff</t>
        </is>
      </c>
      <c r="B61" t="inlineStr">
        <is>
          <t>ALL</t>
        </is>
      </c>
      <c r="C61" s="44" t="inlineStr">
        <is>
          <t>Superannuation Rate</t>
        </is>
      </c>
      <c r="D61" s="44" t="n">
        <v>236080.6094615385</v>
      </c>
      <c r="E61" s="44" t="n">
        <v>236555.5769615385</v>
      </c>
      <c r="F61" s="44" t="n">
        <v>238217.9632115385</v>
      </c>
      <c r="G61" s="44" t="n">
        <v>119.473992642479</v>
      </c>
      <c r="H61" s="44" t="n">
        <v>119.7143608104952</v>
      </c>
      <c r="I61" s="44" t="n">
        <v>120.5556493985519</v>
      </c>
    </row>
    <row r="62">
      <c r="A62" t="inlineStr">
        <is>
          <t>Pathologists</t>
        </is>
      </c>
      <c r="B62" t="inlineStr">
        <is>
          <t>ALL</t>
        </is>
      </c>
      <c r="C62" s="44" t="inlineStr">
        <is>
          <t>Superannuation Rate</t>
        </is>
      </c>
      <c r="D62" s="44" t="n">
        <v>758363.4426039999</v>
      </c>
      <c r="E62" s="44" t="n">
        <v>759694.9040039999</v>
      </c>
      <c r="F62" s="44" t="n">
        <v>764355.0189039999</v>
      </c>
      <c r="G62" s="44" t="n">
        <v>383.7871673097166</v>
      </c>
      <c r="H62" s="44" t="n">
        <v>384.4609838076923</v>
      </c>
      <c r="I62" s="44" t="n">
        <v>386.8193415506072</v>
      </c>
    </row>
    <row r="63">
      <c r="A63" t="inlineStr">
        <is>
          <t>Lab technician</t>
        </is>
      </c>
      <c r="B63" t="inlineStr">
        <is>
          <t>VIC</t>
        </is>
      </c>
      <c r="C63" s="44" t="inlineStr">
        <is>
          <t>Hours worked per week</t>
        </is>
      </c>
      <c r="D63" s="78" t="n">
        <v>242777.2905384615</v>
      </c>
      <c r="E63" s="78" t="n">
        <v>242777.2905384615</v>
      </c>
      <c r="F63" s="78" t="n">
        <v>242777.2905384615</v>
      </c>
      <c r="G63" s="78" t="n">
        <v>116.7198512204142</v>
      </c>
      <c r="H63" s="78" t="n">
        <v>122.8630012846465</v>
      </c>
      <c r="I63" s="78" t="n">
        <v>128.61691594536</v>
      </c>
    </row>
    <row r="64">
      <c r="A64" t="inlineStr">
        <is>
          <t>Medical scientist</t>
        </is>
      </c>
      <c r="B64" t="inlineStr">
        <is>
          <t>VIC</t>
        </is>
      </c>
      <c r="C64" s="44" t="inlineStr">
        <is>
          <t>Hours worked per week</t>
        </is>
      </c>
      <c r="D64" s="78" t="n">
        <v>262742.4344</v>
      </c>
      <c r="E64" s="78" t="n">
        <v>262742.4344</v>
      </c>
      <c r="F64" s="78" t="n">
        <v>262742.4344</v>
      </c>
      <c r="G64" s="78" t="n">
        <v>126.3184780769231</v>
      </c>
      <c r="H64" s="78" t="n">
        <v>132.9668190283401</v>
      </c>
      <c r="I64" s="78" t="n">
        <v>139.1939152362789</v>
      </c>
    </row>
    <row r="65">
      <c r="A65" t="inlineStr">
        <is>
          <t>Admin staff</t>
        </is>
      </c>
      <c r="B65" t="inlineStr">
        <is>
          <t>VIC</t>
        </is>
      </c>
      <c r="C65" s="44" t="inlineStr">
        <is>
          <t>Hours worked per week</t>
        </is>
      </c>
      <c r="D65" s="78" t="n">
        <v>198325.5966538462</v>
      </c>
      <c r="E65" s="78" t="n">
        <v>198325.5966538462</v>
      </c>
      <c r="F65" s="78" t="n">
        <v>198325.5966538462</v>
      </c>
      <c r="G65" s="78" t="n">
        <v>95.34884454511834</v>
      </c>
      <c r="H65" s="78" t="n">
        <v>100.3672047843351</v>
      </c>
      <c r="I65" s="78" t="n">
        <v>105.0675972948963</v>
      </c>
    </row>
    <row r="66">
      <c r="A66" t="inlineStr">
        <is>
          <t>Bioinformatics staff</t>
        </is>
      </c>
      <c r="B66" t="inlineStr">
        <is>
          <t>VIC</t>
        </is>
      </c>
      <c r="C66" s="44" t="inlineStr">
        <is>
          <t>Hours worked per week</t>
        </is>
      </c>
      <c r="D66" s="78" t="n">
        <v>260395.8933076923</v>
      </c>
      <c r="E66" s="78" t="n">
        <v>260395.8933076923</v>
      </c>
      <c r="F66" s="78" t="n">
        <v>260395.8933076923</v>
      </c>
      <c r="G66" s="78" t="n">
        <v>125.1903333210059</v>
      </c>
      <c r="H66" s="78" t="n">
        <v>131.7792982326378</v>
      </c>
      <c r="I66" s="78" t="n">
        <v>137.9507805190148</v>
      </c>
    </row>
    <row r="67">
      <c r="A67" t="inlineStr">
        <is>
          <t>Pathologists</t>
        </is>
      </c>
      <c r="B67" t="inlineStr">
        <is>
          <t>VIC</t>
        </is>
      </c>
      <c r="C67" s="44" t="inlineStr">
        <is>
          <t>Hours worked per week</t>
        </is>
      </c>
      <c r="D67" s="78" t="n">
        <v>786323.7339000001</v>
      </c>
      <c r="E67" s="78" t="n">
        <v>786323.7339000001</v>
      </c>
      <c r="F67" s="78" t="n">
        <v>786323.7339000001</v>
      </c>
      <c r="G67" s="78" t="n">
        <v>378.0402566826924</v>
      </c>
      <c r="H67" s="78" t="n">
        <v>397.9371122975709</v>
      </c>
      <c r="I67" s="78" t="n">
        <v>416.573285600763</v>
      </c>
    </row>
    <row r="68">
      <c r="A68" t="inlineStr">
        <is>
          <t>Lab technician</t>
        </is>
      </c>
      <c r="B68" t="inlineStr">
        <is>
          <t>SA</t>
        </is>
      </c>
      <c r="C68" s="44" t="inlineStr">
        <is>
          <t>Hours worked per week</t>
        </is>
      </c>
      <c r="D68" s="78" t="n">
        <v>183923.6891538462</v>
      </c>
      <c r="E68" s="78" t="n">
        <v>183923.6891538462</v>
      </c>
      <c r="F68" s="78" t="n">
        <v>183923.6891538462</v>
      </c>
      <c r="G68" s="78" t="n">
        <v>88.42485055473374</v>
      </c>
      <c r="H68" s="78" t="n">
        <v>93.07879005761446</v>
      </c>
      <c r="I68" s="78" t="n">
        <v>97.43785185094627</v>
      </c>
    </row>
    <row r="69">
      <c r="A69" t="inlineStr">
        <is>
          <t>Medical scientist</t>
        </is>
      </c>
      <c r="B69" t="inlineStr">
        <is>
          <t>SA</t>
        </is>
      </c>
      <c r="C69" s="44" t="inlineStr">
        <is>
          <t>Hours worked per week</t>
        </is>
      </c>
      <c r="D69" s="78" t="n">
        <v>248832.1426153846</v>
      </c>
      <c r="E69" s="78" t="n">
        <v>248832.1426153846</v>
      </c>
      <c r="F69" s="78" t="n">
        <v>248832.1426153846</v>
      </c>
      <c r="G69" s="78" t="n">
        <v>119.630837795858</v>
      </c>
      <c r="H69" s="78" t="n">
        <v>125.9271976798505</v>
      </c>
      <c r="I69" s="78" t="n">
        <v>131.8246146510832</v>
      </c>
    </row>
    <row r="70">
      <c r="A70" t="inlineStr">
        <is>
          <t>Admin staff</t>
        </is>
      </c>
      <c r="B70" t="inlineStr">
        <is>
          <t>SA</t>
        </is>
      </c>
      <c r="C70" s="44" t="inlineStr">
        <is>
          <t>Hours worked per week</t>
        </is>
      </c>
      <c r="D70" s="78" t="n">
        <v>150064.7570769231</v>
      </c>
      <c r="E70" s="78" t="n">
        <v>150064.7570769231</v>
      </c>
      <c r="F70" s="78" t="n">
        <v>150064.7570769231</v>
      </c>
      <c r="G70" s="78" t="n">
        <v>72.14651782544378</v>
      </c>
      <c r="H70" s="78" t="n">
        <v>75.94370297415135</v>
      </c>
      <c r="I70" s="78" t="n">
        <v>79.50029512445596</v>
      </c>
    </row>
    <row r="71">
      <c r="A71" t="inlineStr">
        <is>
          <t>Bioinformatics staff</t>
        </is>
      </c>
      <c r="B71" t="inlineStr">
        <is>
          <t>SA</t>
        </is>
      </c>
      <c r="C71" s="44" t="inlineStr">
        <is>
          <t>Hours worked per week</t>
        </is>
      </c>
      <c r="D71" s="78" t="n">
        <v>216872.1548076923</v>
      </c>
      <c r="E71" s="78" t="n">
        <v>216872.1548076923</v>
      </c>
      <c r="F71" s="78" t="n">
        <v>216872.1548076923</v>
      </c>
      <c r="G71" s="78" t="n">
        <v>104.2654590421597</v>
      </c>
      <c r="H71" s="78" t="n">
        <v>109.7531147812208</v>
      </c>
      <c r="I71" s="78" t="n">
        <v>114.8930678150521</v>
      </c>
    </row>
    <row r="72">
      <c r="A72" t="inlineStr">
        <is>
          <t>Pathologists</t>
        </is>
      </c>
      <c r="B72" t="inlineStr">
        <is>
          <t>SA</t>
        </is>
      </c>
      <c r="C72" s="44" t="inlineStr">
        <is>
          <t>Hours worked per week</t>
        </is>
      </c>
      <c r="D72" s="78" t="n">
        <v>842427.4306442309</v>
      </c>
      <c r="E72" s="78" t="n">
        <v>842427.4306442309</v>
      </c>
      <c r="F72" s="78" t="n">
        <v>842427.4306442309</v>
      </c>
      <c r="G72" s="78" t="n">
        <v>405.0131878097264</v>
      </c>
      <c r="H72" s="78" t="n">
        <v>426.3296713786594</v>
      </c>
      <c r="I72" s="78" t="n">
        <v>446.2955237572743</v>
      </c>
    </row>
    <row r="73">
      <c r="A73" t="inlineStr">
        <is>
          <t>Lab technician</t>
        </is>
      </c>
      <c r="B73" t="inlineStr">
        <is>
          <t>NSW</t>
        </is>
      </c>
      <c r="C73" s="44" t="inlineStr">
        <is>
          <t>Hours worked per week</t>
        </is>
      </c>
      <c r="D73" s="78" t="n">
        <v>183839.76996</v>
      </c>
      <c r="E73" s="78" t="n">
        <v>183839.76996</v>
      </c>
      <c r="F73" s="78" t="n">
        <v>183839.76996</v>
      </c>
      <c r="G73" s="78" t="n">
        <v>88.38450478846153</v>
      </c>
      <c r="H73" s="78" t="n">
        <v>93.03632082995951</v>
      </c>
      <c r="I73" s="78" t="n">
        <v>97.39339370629371</v>
      </c>
    </row>
    <row r="74">
      <c r="A74" t="inlineStr">
        <is>
          <t>Medical scientist</t>
        </is>
      </c>
      <c r="B74" t="inlineStr">
        <is>
          <t>NSW</t>
        </is>
      </c>
      <c r="C74" s="44" t="inlineStr">
        <is>
          <t>Hours worked per week</t>
        </is>
      </c>
      <c r="D74" s="78" t="n">
        <v>263051.15888</v>
      </c>
      <c r="E74" s="78" t="n">
        <v>263051.15888</v>
      </c>
      <c r="F74" s="78" t="n">
        <v>263051.15888</v>
      </c>
      <c r="G74" s="78" t="n">
        <v>126.4669033076923</v>
      </c>
      <c r="H74" s="78" t="n">
        <v>133.1230561133603</v>
      </c>
      <c r="I74" s="78" t="n">
        <v>139.3574692095783</v>
      </c>
    </row>
    <row r="75">
      <c r="A75" t="inlineStr">
        <is>
          <t>Admin staff</t>
        </is>
      </c>
      <c r="B75" t="inlineStr">
        <is>
          <t>NSW</t>
        </is>
      </c>
      <c r="C75" s="44" t="inlineStr">
        <is>
          <t>Hours worked per week</t>
        </is>
      </c>
      <c r="D75" s="78" t="n">
        <v>137204.75628</v>
      </c>
      <c r="E75" s="78" t="n">
        <v>137204.75628</v>
      </c>
      <c r="F75" s="78" t="n">
        <v>137204.75628</v>
      </c>
      <c r="G75" s="78" t="n">
        <v>65.96382513461539</v>
      </c>
      <c r="H75" s="78" t="n">
        <v>69.43560540485831</v>
      </c>
      <c r="I75" s="78" t="n">
        <v>72.68741061665608</v>
      </c>
    </row>
    <row r="76">
      <c r="A76" t="inlineStr">
        <is>
          <t>Bioinformatics staff</t>
        </is>
      </c>
      <c r="B76" t="inlineStr">
        <is>
          <t>NSW</t>
        </is>
      </c>
      <c r="C76" s="44" t="inlineStr">
        <is>
          <t>Hours worked per week</t>
        </is>
      </c>
      <c r="D76" s="78" t="n">
        <v>231185.3645</v>
      </c>
      <c r="E76" s="78" t="n">
        <v>231185.3645</v>
      </c>
      <c r="F76" s="78" t="n">
        <v>231185.3645</v>
      </c>
      <c r="G76" s="78" t="n">
        <v>111.1468098557692</v>
      </c>
      <c r="H76" s="78" t="n">
        <v>116.9966419534413</v>
      </c>
      <c r="I76" s="78" t="n">
        <v>122.4758235325281</v>
      </c>
    </row>
    <row r="77">
      <c r="A77" t="inlineStr">
        <is>
          <t>Pathologists</t>
        </is>
      </c>
      <c r="B77" t="inlineStr">
        <is>
          <t>NSW</t>
        </is>
      </c>
      <c r="C77" s="44" t="inlineStr">
        <is>
          <t>Hours worked per week</t>
        </is>
      </c>
      <c r="D77" s="78" t="n">
        <v>617527.22875</v>
      </c>
      <c r="E77" s="78" t="n">
        <v>617527.22875</v>
      </c>
      <c r="F77" s="78" t="n">
        <v>617527.22875</v>
      </c>
      <c r="G77" s="78" t="n">
        <v>296.8880907451923</v>
      </c>
      <c r="H77" s="78" t="n">
        <v>312.5137797317814</v>
      </c>
      <c r="I77" s="78" t="n">
        <v>327.1494112894682</v>
      </c>
    </row>
    <row r="78">
      <c r="A78" t="inlineStr">
        <is>
          <t>Lab technician</t>
        </is>
      </c>
      <c r="B78" t="inlineStr">
        <is>
          <t>QLD</t>
        </is>
      </c>
      <c r="C78" s="44" t="inlineStr">
        <is>
          <t>Hours worked per week</t>
        </is>
      </c>
      <c r="D78" s="78" t="n">
        <v>168044.7283076923</v>
      </c>
      <c r="E78" s="78" t="n">
        <v>168044.7283076923</v>
      </c>
      <c r="F78" s="78" t="n">
        <v>168044.7283076923</v>
      </c>
      <c r="G78" s="78" t="n">
        <v>80.79073476331361</v>
      </c>
      <c r="H78" s="78" t="n">
        <v>85.04287869822485</v>
      </c>
      <c r="I78" s="78" t="n">
        <v>89.02560304497368</v>
      </c>
    </row>
    <row r="79">
      <c r="A79" t="inlineStr">
        <is>
          <t>Medical scientist</t>
        </is>
      </c>
      <c r="B79" t="inlineStr">
        <is>
          <t>QLD</t>
        </is>
      </c>
      <c r="C79" s="44" t="inlineStr">
        <is>
          <t>Hours worked per week</t>
        </is>
      </c>
      <c r="D79" s="78" t="n">
        <v>248808.6646538461</v>
      </c>
      <c r="E79" s="78" t="n">
        <v>248808.6646538461</v>
      </c>
      <c r="F79" s="78" t="n">
        <v>248808.6646538461</v>
      </c>
      <c r="G79" s="78" t="n">
        <v>119.6195503143491</v>
      </c>
      <c r="H79" s="78" t="n">
        <v>125.9153161203675</v>
      </c>
      <c r="I79" s="78" t="n">
        <v>131.8121766549301</v>
      </c>
    </row>
    <row r="80">
      <c r="A80" t="inlineStr">
        <is>
          <t>Admin staff</t>
        </is>
      </c>
      <c r="B80" t="inlineStr">
        <is>
          <t>QLD</t>
        </is>
      </c>
      <c r="C80" s="44" t="inlineStr">
        <is>
          <t>Hours worked per week</t>
        </is>
      </c>
      <c r="D80" s="78" t="n">
        <v>152905.4121153846</v>
      </c>
      <c r="E80" s="78" t="n">
        <v>152905.4121153846</v>
      </c>
      <c r="F80" s="78" t="n">
        <v>152905.4121153846</v>
      </c>
      <c r="G80" s="78" t="n">
        <v>73.51221736316566</v>
      </c>
      <c r="H80" s="78" t="n">
        <v>77.38128143491123</v>
      </c>
      <c r="I80" s="78" t="n">
        <v>81.00519819632581</v>
      </c>
    </row>
    <row r="81">
      <c r="A81" t="inlineStr">
        <is>
          <t>Bioinformatics staff</t>
        </is>
      </c>
      <c r="B81" t="inlineStr">
        <is>
          <t>QLD</t>
        </is>
      </c>
      <c r="C81" s="44" t="inlineStr">
        <is>
          <t>Hours worked per week</t>
        </is>
      </c>
      <c r="D81" s="78" t="n">
        <v>248808.6646538461</v>
      </c>
      <c r="E81" s="78" t="n">
        <v>248808.6646538461</v>
      </c>
      <c r="F81" s="78" t="n">
        <v>248808.6646538461</v>
      </c>
      <c r="G81" s="78" t="n">
        <v>119.6195503143491</v>
      </c>
      <c r="H81" s="78" t="n">
        <v>125.9153161203675</v>
      </c>
      <c r="I81" s="78" t="n">
        <v>131.8121766549301</v>
      </c>
    </row>
    <row r="82">
      <c r="A82" t="inlineStr">
        <is>
          <t>Pathologists</t>
        </is>
      </c>
      <c r="B82" t="inlineStr">
        <is>
          <t>QLD</t>
        </is>
      </c>
      <c r="C82" s="44" t="inlineStr">
        <is>
          <t>Hours worked per week</t>
        </is>
      </c>
      <c r="D82" s="78" t="n">
        <v>668927.8987692308</v>
      </c>
      <c r="E82" s="78" t="n">
        <v>668927.8987692308</v>
      </c>
      <c r="F82" s="78" t="n">
        <v>668927.8987692308</v>
      </c>
      <c r="G82" s="78" t="n">
        <v>321.599951331361</v>
      </c>
      <c r="H82" s="78" t="n">
        <v>338.5262645593273</v>
      </c>
      <c r="I82" s="78" t="n">
        <v>354.380111659902</v>
      </c>
    </row>
    <row r="83">
      <c r="A83" t="inlineStr">
        <is>
          <t>Lab technician</t>
        </is>
      </c>
      <c r="B83" t="inlineStr">
        <is>
          <t>WA</t>
        </is>
      </c>
      <c r="C83" s="44" t="inlineStr">
        <is>
          <t>Hours worked per week</t>
        </is>
      </c>
      <c r="D83" s="78" t="n">
        <v>184365.5033846154</v>
      </c>
      <c r="E83" s="78" t="n">
        <v>184365.5033846154</v>
      </c>
      <c r="F83" s="78" t="n">
        <v>184365.5033846154</v>
      </c>
      <c r="G83" s="78" t="n">
        <v>88.63726124260356</v>
      </c>
      <c r="H83" s="78" t="n">
        <v>93.30238025537216</v>
      </c>
      <c r="I83" s="78" t="n">
        <v>97.67191321499014</v>
      </c>
    </row>
    <row r="84">
      <c r="A84" t="inlineStr">
        <is>
          <t>Medical scientist</t>
        </is>
      </c>
      <c r="B84" t="inlineStr">
        <is>
          <t>WA</t>
        </is>
      </c>
      <c r="C84" s="44" t="inlineStr">
        <is>
          <t>Hours worked per week</t>
        </is>
      </c>
      <c r="D84" s="78" t="n">
        <v>281686.4540769231</v>
      </c>
      <c r="E84" s="78" t="n">
        <v>281686.4540769231</v>
      </c>
      <c r="F84" s="78" t="n">
        <v>281686.4540769231</v>
      </c>
      <c r="G84" s="78" t="n">
        <v>135.4261798446746</v>
      </c>
      <c r="H84" s="78" t="n">
        <v>142.5538735207101</v>
      </c>
      <c r="I84" s="78" t="n">
        <v>149.2299502420657</v>
      </c>
    </row>
    <row r="85">
      <c r="A85" t="inlineStr">
        <is>
          <t>Admin staff</t>
        </is>
      </c>
      <c r="B85" t="inlineStr">
        <is>
          <t>WA</t>
        </is>
      </c>
      <c r="C85" s="44" t="inlineStr">
        <is>
          <t>Hours worked per week</t>
        </is>
      </c>
      <c r="D85" s="78" t="n">
        <v>163559.5432307692</v>
      </c>
      <c r="E85" s="78" t="n">
        <v>163559.5432307692</v>
      </c>
      <c r="F85" s="78" t="n">
        <v>163559.5432307692</v>
      </c>
      <c r="G85" s="78" t="n">
        <v>78.63439578402367</v>
      </c>
      <c r="H85" s="78" t="n">
        <v>82.77304819370912</v>
      </c>
      <c r="I85" s="78" t="n">
        <v>86.64947193831809</v>
      </c>
    </row>
    <row r="86">
      <c r="A86" t="inlineStr">
        <is>
          <t>Bioinformatics staff</t>
        </is>
      </c>
      <c r="B86" t="inlineStr">
        <is>
          <t>WA</t>
        </is>
      </c>
      <c r="C86" s="44" t="inlineStr">
        <is>
          <t>Hours worked per week</t>
        </is>
      </c>
      <c r="D86" s="78" t="n">
        <v>224182.0248461539</v>
      </c>
      <c r="E86" s="78" t="n">
        <v>224182.0248461539</v>
      </c>
      <c r="F86" s="78" t="n">
        <v>224182.0248461539</v>
      </c>
      <c r="G86" s="78" t="n">
        <v>107.779819637574</v>
      </c>
      <c r="H86" s="78" t="n">
        <v>113.4524417237621</v>
      </c>
      <c r="I86" s="78" t="n">
        <v>118.7656414739107</v>
      </c>
    </row>
    <row r="87">
      <c r="A87" t="inlineStr">
        <is>
          <t>Pathologists</t>
        </is>
      </c>
      <c r="B87" t="inlineStr">
        <is>
          <t>WA</t>
        </is>
      </c>
      <c r="C87" s="44" t="inlineStr">
        <is>
          <t>Hours worked per week</t>
        </is>
      </c>
      <c r="D87" s="78" t="n">
        <v>839060.7298461539</v>
      </c>
      <c r="E87" s="78" t="n">
        <v>839060.7298461539</v>
      </c>
      <c r="F87" s="78" t="n">
        <v>839060.7298461539</v>
      </c>
      <c r="G87" s="78" t="n">
        <v>403.3945816568047</v>
      </c>
      <c r="H87" s="78" t="n">
        <v>424.6258754282155</v>
      </c>
      <c r="I87" s="78" t="n">
        <v>444.5119357099777</v>
      </c>
    </row>
    <row r="88">
      <c r="A88" t="inlineStr">
        <is>
          <t>Lab technician</t>
        </is>
      </c>
      <c r="B88" t="inlineStr">
        <is>
          <t>ALL</t>
        </is>
      </c>
      <c r="C88" s="44" t="inlineStr">
        <is>
          <t>Hours worked per week</t>
        </is>
      </c>
      <c r="D88" s="44" t="n">
        <v>192266.0622381538</v>
      </c>
      <c r="E88" s="44" t="n">
        <v>192266.0622381538</v>
      </c>
      <c r="F88" s="44" t="n">
        <v>192266.0622381538</v>
      </c>
      <c r="G88" s="44" t="n">
        <v>92.43560684526626</v>
      </c>
      <c r="H88" s="44" t="n">
        <v>97.3006387844908</v>
      </c>
      <c r="I88" s="44" t="n">
        <v>101.8574180113127</v>
      </c>
    </row>
    <row r="89">
      <c r="A89" t="inlineStr">
        <is>
          <t>Medical scientist</t>
        </is>
      </c>
      <c r="B89" t="inlineStr">
        <is>
          <t>ALL</t>
        </is>
      </c>
      <c r="C89" s="44" t="inlineStr">
        <is>
          <t>Hours worked per week</t>
        </is>
      </c>
      <c r="D89" s="44" t="n">
        <v>261015.0931033847</v>
      </c>
      <c r="E89" s="44" t="n">
        <v>261015.0931033847</v>
      </c>
      <c r="F89" s="44" t="n">
        <v>261015.0931033847</v>
      </c>
      <c r="G89" s="44" t="n">
        <v>125.4880255304734</v>
      </c>
      <c r="H89" s="44" t="n">
        <v>132.0926584531299</v>
      </c>
      <c r="I89" s="44" t="n">
        <v>138.278816011541</v>
      </c>
    </row>
    <row r="90">
      <c r="A90" t="inlineStr">
        <is>
          <t>Admin staff</t>
        </is>
      </c>
      <c r="B90" t="inlineStr">
        <is>
          <t>ALL</t>
        </is>
      </c>
      <c r="C90" s="44" t="inlineStr">
        <is>
          <t>Hours worked per week</t>
        </is>
      </c>
      <c r="D90" s="44" t="n">
        <v>160026.8339790769</v>
      </c>
      <c r="E90" s="44" t="n">
        <v>160026.8339790769</v>
      </c>
      <c r="F90" s="44" t="n">
        <v>160026.8339790769</v>
      </c>
      <c r="G90" s="44" t="n">
        <v>76.9359778745562</v>
      </c>
      <c r="H90" s="44" t="n">
        <v>80.98523986795389</v>
      </c>
      <c r="I90" s="44" t="n">
        <v>84.77793705185258</v>
      </c>
    </row>
    <row r="91">
      <c r="A91" t="inlineStr">
        <is>
          <t>Bioinformatics staff</t>
        </is>
      </c>
      <c r="B91" t="inlineStr">
        <is>
          <t>ALL</t>
        </is>
      </c>
      <c r="C91" s="44" t="inlineStr">
        <is>
          <t>Hours worked per week</t>
        </is>
      </c>
      <c r="D91" s="44" t="n">
        <v>236555.5769615385</v>
      </c>
      <c r="E91" s="44" t="n">
        <v>236555.5769615385</v>
      </c>
      <c r="F91" s="44" t="n">
        <v>236555.5769615385</v>
      </c>
      <c r="G91" s="44" t="n">
        <v>113.7286427699704</v>
      </c>
      <c r="H91" s="44" t="n">
        <v>119.7143608104952</v>
      </c>
      <c r="I91" s="44" t="n">
        <v>125.3208184793062</v>
      </c>
    </row>
    <row r="92">
      <c r="A92" t="inlineStr">
        <is>
          <t>Pathologists</t>
        </is>
      </c>
      <c r="B92" t="inlineStr">
        <is>
          <t>ALL</t>
        </is>
      </c>
      <c r="C92" s="44" t="inlineStr">
        <is>
          <t>Hours worked per week</t>
        </is>
      </c>
      <c r="D92" s="44" t="n">
        <v>759694.9040039999</v>
      </c>
      <c r="E92" s="44" t="n">
        <v>759694.9040039999</v>
      </c>
      <c r="F92" s="44" t="n">
        <v>759694.9040039999</v>
      </c>
      <c r="G92" s="44" t="n">
        <v>365.2379346173076</v>
      </c>
      <c r="H92" s="44" t="n">
        <v>384.4609838076923</v>
      </c>
      <c r="I92" s="44" t="n">
        <v>402.4660436554354</v>
      </c>
    </row>
    <row r="93">
      <c r="A93" t="inlineStr">
        <is>
          <t>Lab technician</t>
        </is>
      </c>
      <c r="B93" t="inlineStr">
        <is>
          <t>VIC</t>
        </is>
      </c>
      <c r="C93" s="44" t="inlineStr">
        <is>
          <t>Average Penalties</t>
        </is>
      </c>
      <c r="D93" s="78" t="n">
        <v>233280.3905384615</v>
      </c>
      <c r="E93" s="78" t="n">
        <v>242777.2905384615</v>
      </c>
      <c r="F93" s="78" t="n">
        <v>261771.0905384615</v>
      </c>
      <c r="G93" s="78" t="n">
        <v>118.0568778028651</v>
      </c>
      <c r="H93" s="78" t="n">
        <v>122.8630012846465</v>
      </c>
      <c r="I93" s="78" t="n">
        <v>132.4752482482093</v>
      </c>
    </row>
    <row r="94">
      <c r="A94" t="inlineStr">
        <is>
          <t>Medical scientist</t>
        </is>
      </c>
      <c r="B94" t="inlineStr">
        <is>
          <t>VIC</t>
        </is>
      </c>
      <c r="C94" s="44" t="inlineStr">
        <is>
          <t>Average Penalties</t>
        </is>
      </c>
      <c r="D94" s="78" t="n">
        <v>252554.5944000001</v>
      </c>
      <c r="E94" s="78" t="n">
        <v>262742.4344</v>
      </c>
      <c r="F94" s="78" t="n">
        <v>283118.1144000001</v>
      </c>
      <c r="G94" s="78" t="n">
        <v>127.8110295546559</v>
      </c>
      <c r="H94" s="78" t="n">
        <v>132.9668190283401</v>
      </c>
      <c r="I94" s="78" t="n">
        <v>143.2783979757085</v>
      </c>
    </row>
    <row r="95">
      <c r="A95" t="inlineStr">
        <is>
          <t>Admin staff</t>
        </is>
      </c>
      <c r="B95" t="inlineStr">
        <is>
          <t>VIC</t>
        </is>
      </c>
      <c r="C95" s="44" t="inlineStr">
        <is>
          <t>Average Penalties</t>
        </is>
      </c>
      <c r="D95" s="78" t="n">
        <v>190567.5466538462</v>
      </c>
      <c r="E95" s="78" t="n">
        <v>198325.5966538462</v>
      </c>
      <c r="F95" s="78" t="n">
        <v>213841.6966538461</v>
      </c>
      <c r="G95" s="78" t="n">
        <v>96.44106612036749</v>
      </c>
      <c r="H95" s="78" t="n">
        <v>100.3672047843351</v>
      </c>
      <c r="I95" s="78" t="n">
        <v>108.2194821122703</v>
      </c>
    </row>
    <row r="96">
      <c r="A96" t="inlineStr">
        <is>
          <t>Bioinformatics staff</t>
        </is>
      </c>
      <c r="B96" t="inlineStr">
        <is>
          <t>VIC</t>
        </is>
      </c>
      <c r="C96" s="44" t="inlineStr">
        <is>
          <t>Average Penalties</t>
        </is>
      </c>
      <c r="D96" s="78" t="n">
        <v>250209.7933076923</v>
      </c>
      <c r="E96" s="78" t="n">
        <v>260395.8933076923</v>
      </c>
      <c r="F96" s="78" t="n">
        <v>280768.0933076923</v>
      </c>
      <c r="G96" s="78" t="n">
        <v>126.6243893257552</v>
      </c>
      <c r="H96" s="78" t="n">
        <v>131.7792982326378</v>
      </c>
      <c r="I96" s="78" t="n">
        <v>142.089116046403</v>
      </c>
    </row>
    <row r="97">
      <c r="A97" t="inlineStr">
        <is>
          <t>Pathologists</t>
        </is>
      </c>
      <c r="B97" t="inlineStr">
        <is>
          <t>VIC</t>
        </is>
      </c>
      <c r="C97" s="44" t="inlineStr">
        <is>
          <t>Average Penalties</t>
        </is>
      </c>
      <c r="D97" s="78" t="n">
        <v>786323.7339000001</v>
      </c>
      <c r="E97" s="78" t="n">
        <v>786323.7339000001</v>
      </c>
      <c r="F97" s="78" t="n">
        <v>875198.1039</v>
      </c>
      <c r="G97" s="78" t="n">
        <v>397.9371122975709</v>
      </c>
      <c r="H97" s="78" t="n">
        <v>397.9371122975709</v>
      </c>
      <c r="I97" s="78" t="n">
        <v>442.9140201923076</v>
      </c>
    </row>
    <row r="98">
      <c r="A98" t="inlineStr">
        <is>
          <t>Lab technician</t>
        </is>
      </c>
      <c r="B98" t="inlineStr">
        <is>
          <t>SA</t>
        </is>
      </c>
      <c r="C98" s="44" t="inlineStr">
        <is>
          <t>Average Penalties</t>
        </is>
      </c>
      <c r="D98" s="78" t="n">
        <v>176156.3891538461</v>
      </c>
      <c r="E98" s="78" t="n">
        <v>183923.6891538462</v>
      </c>
      <c r="F98" s="78" t="n">
        <v>199458.2891538462</v>
      </c>
      <c r="G98" s="78" t="n">
        <v>89.14797021955776</v>
      </c>
      <c r="H98" s="78" t="n">
        <v>93.07879005761446</v>
      </c>
      <c r="I98" s="78" t="n">
        <v>100.9404297337278</v>
      </c>
    </row>
    <row r="99">
      <c r="A99" t="inlineStr">
        <is>
          <t>Medical scientist</t>
        </is>
      </c>
      <c r="B99" t="inlineStr">
        <is>
          <t>SA</t>
        </is>
      </c>
      <c r="C99" s="44" t="inlineStr">
        <is>
          <t>Average Penalties</t>
        </is>
      </c>
      <c r="D99" s="78" t="n">
        <v>238408.3426153846</v>
      </c>
      <c r="E99" s="78" t="n">
        <v>248832.1426153846</v>
      </c>
      <c r="F99" s="78" t="n">
        <v>269679.7426153846</v>
      </c>
      <c r="G99" s="78" t="n">
        <v>120.6519952507007</v>
      </c>
      <c r="H99" s="78" t="n">
        <v>125.9271976798505</v>
      </c>
      <c r="I99" s="78" t="n">
        <v>136.4776025381501</v>
      </c>
    </row>
    <row r="100">
      <c r="A100" t="inlineStr">
        <is>
          <t>Admin staff</t>
        </is>
      </c>
      <c r="B100" t="inlineStr">
        <is>
          <t>SA</t>
        </is>
      </c>
      <c r="C100" s="44" t="inlineStr">
        <is>
          <t>Average Penalties</t>
        </is>
      </c>
      <c r="D100" s="78" t="n">
        <v>143727.3570769231</v>
      </c>
      <c r="E100" s="78" t="n">
        <v>150064.7570769231</v>
      </c>
      <c r="F100" s="78" t="n">
        <v>162739.5570769231</v>
      </c>
      <c r="G100" s="78" t="n">
        <v>72.73651673933354</v>
      </c>
      <c r="H100" s="78" t="n">
        <v>75.94370297415135</v>
      </c>
      <c r="I100" s="78" t="n">
        <v>82.35807544378699</v>
      </c>
    </row>
    <row r="101">
      <c r="A101" t="inlineStr">
        <is>
          <t>Bioinformatics staff</t>
        </is>
      </c>
      <c r="B101" t="inlineStr">
        <is>
          <t>SA</t>
        </is>
      </c>
      <c r="C101" s="44" t="inlineStr">
        <is>
          <t>Average Penalties</t>
        </is>
      </c>
      <c r="D101" s="78" t="n">
        <v>207713.4048076923</v>
      </c>
      <c r="E101" s="78" t="n">
        <v>216872.1548076923</v>
      </c>
      <c r="F101" s="78" t="n">
        <v>235189.6548076923</v>
      </c>
      <c r="G101" s="78" t="n">
        <v>105.1181198419495</v>
      </c>
      <c r="H101" s="78" t="n">
        <v>109.7531147812208</v>
      </c>
      <c r="I101" s="78" t="n">
        <v>119.0231046597633</v>
      </c>
    </row>
    <row r="102">
      <c r="A102" t="inlineStr">
        <is>
          <t>Pathologists</t>
        </is>
      </c>
      <c r="B102" t="inlineStr">
        <is>
          <t>SA</t>
        </is>
      </c>
      <c r="C102" s="44" t="inlineStr">
        <is>
          <t>Average Penalties</t>
        </is>
      </c>
      <c r="D102" s="78" t="n">
        <v>842427.4306442309</v>
      </c>
      <c r="E102" s="78" t="n">
        <v>842427.4306442309</v>
      </c>
      <c r="F102" s="78" t="n">
        <v>919473.5806442308</v>
      </c>
      <c r="G102" s="78" t="n">
        <v>426.3296713786594</v>
      </c>
      <c r="H102" s="78" t="n">
        <v>426.3296713786594</v>
      </c>
      <c r="I102" s="78" t="n">
        <v>465.3206379778496</v>
      </c>
    </row>
    <row r="103">
      <c r="A103" t="inlineStr">
        <is>
          <t>Lab technician</t>
        </is>
      </c>
      <c r="B103" t="inlineStr">
        <is>
          <t>NSW</t>
        </is>
      </c>
      <c r="C103" s="44" t="inlineStr">
        <is>
          <t>Average Penalties</t>
        </is>
      </c>
      <c r="D103" s="78" t="n">
        <v>176076.01396</v>
      </c>
      <c r="E103" s="78" t="n">
        <v>183839.76996</v>
      </c>
      <c r="F103" s="78" t="n">
        <v>199367.28196</v>
      </c>
      <c r="G103" s="78" t="n">
        <v>89.10729451417004</v>
      </c>
      <c r="H103" s="78" t="n">
        <v>93.03632082995951</v>
      </c>
      <c r="I103" s="78" t="n">
        <v>100.8943734615384</v>
      </c>
    </row>
    <row r="104">
      <c r="A104" t="inlineStr">
        <is>
          <t>Medical scientist</t>
        </is>
      </c>
      <c r="B104" t="inlineStr">
        <is>
          <t>NSW</t>
        </is>
      </c>
      <c r="C104" s="44" t="inlineStr">
        <is>
          <t>Average Penalties</t>
        </is>
      </c>
      <c r="D104" s="78" t="n">
        <v>252761.19088</v>
      </c>
      <c r="E104" s="78" t="n">
        <v>263051.15888</v>
      </c>
      <c r="F104" s="78" t="n">
        <v>283631.09488</v>
      </c>
      <c r="G104" s="78" t="n">
        <v>127.9155824291498</v>
      </c>
      <c r="H104" s="78" t="n">
        <v>133.1230561133603</v>
      </c>
      <c r="I104" s="78" t="n">
        <v>143.5380034817814</v>
      </c>
    </row>
    <row r="105">
      <c r="A105" t="inlineStr">
        <is>
          <t>Admin staff</t>
        </is>
      </c>
      <c r="B105" t="inlineStr">
        <is>
          <t>NSW</t>
        </is>
      </c>
      <c r="C105" s="44" t="inlineStr">
        <is>
          <t>Average Penalties</t>
        </is>
      </c>
      <c r="D105" s="78" t="n">
        <v>131410.44828</v>
      </c>
      <c r="E105" s="78" t="n">
        <v>137204.75628</v>
      </c>
      <c r="F105" s="78" t="n">
        <v>148793.37228</v>
      </c>
      <c r="G105" s="78" t="n">
        <v>66.50326329959515</v>
      </c>
      <c r="H105" s="78" t="n">
        <v>69.43560540485831</v>
      </c>
      <c r="I105" s="78" t="n">
        <v>75.30028961538463</v>
      </c>
    </row>
    <row r="106">
      <c r="A106" t="inlineStr">
        <is>
          <t>Bioinformatics staff</t>
        </is>
      </c>
      <c r="B106" t="inlineStr">
        <is>
          <t>NSW</t>
        </is>
      </c>
      <c r="C106" s="44" t="inlineStr">
        <is>
          <t>Average Penalties</t>
        </is>
      </c>
      <c r="D106" s="78" t="n">
        <v>222141.9145</v>
      </c>
      <c r="E106" s="78" t="n">
        <v>231185.3645</v>
      </c>
      <c r="F106" s="78" t="n">
        <v>249272.2645</v>
      </c>
      <c r="G106" s="78" t="n">
        <v>112.4199972165992</v>
      </c>
      <c r="H106" s="78" t="n">
        <v>116.9966419534413</v>
      </c>
      <c r="I106" s="78" t="n">
        <v>126.1499314271255</v>
      </c>
    </row>
    <row r="107">
      <c r="A107" t="inlineStr">
        <is>
          <t>Pathologists</t>
        </is>
      </c>
      <c r="B107" t="inlineStr">
        <is>
          <t>NSW</t>
        </is>
      </c>
      <c r="C107" s="44" t="inlineStr">
        <is>
          <t>Average Penalties</t>
        </is>
      </c>
      <c r="D107" s="78" t="n">
        <v>617527.22875</v>
      </c>
      <c r="E107" s="78" t="n">
        <v>617527.22875</v>
      </c>
      <c r="F107" s="78" t="n">
        <v>680679.9287500001</v>
      </c>
      <c r="G107" s="78" t="n">
        <v>312.5137797317814</v>
      </c>
      <c r="H107" s="78" t="n">
        <v>312.5137797317814</v>
      </c>
      <c r="I107" s="78" t="n">
        <v>344.4736481528341</v>
      </c>
    </row>
    <row r="108">
      <c r="A108" t="inlineStr">
        <is>
          <t>Lab technician</t>
        </is>
      </c>
      <c r="B108" t="inlineStr">
        <is>
          <t>QLD</t>
        </is>
      </c>
      <c r="C108" s="44" t="inlineStr">
        <is>
          <t>Average Penalties</t>
        </is>
      </c>
      <c r="D108" s="78" t="n">
        <v>161025.1283076923</v>
      </c>
      <c r="E108" s="78" t="n">
        <v>168044.7283076923</v>
      </c>
      <c r="F108" s="78" t="n">
        <v>182083.9283076923</v>
      </c>
      <c r="G108" s="78" t="n">
        <v>81.49044954842728</v>
      </c>
      <c r="H108" s="78" t="n">
        <v>85.04287869822485</v>
      </c>
      <c r="I108" s="78" t="n">
        <v>92.14773699781999</v>
      </c>
    </row>
    <row r="109">
      <c r="A109" t="inlineStr">
        <is>
          <t>Medical scientist</t>
        </is>
      </c>
      <c r="B109" t="inlineStr">
        <is>
          <t>QLD</t>
        </is>
      </c>
      <c r="C109" s="44" t="inlineStr">
        <is>
          <t>Average Penalties</t>
        </is>
      </c>
      <c r="D109" s="78" t="n">
        <v>238378.3146538461</v>
      </c>
      <c r="E109" s="78" t="n">
        <v>248808.6646538461</v>
      </c>
      <c r="F109" s="78" t="n">
        <v>269669.3646538461</v>
      </c>
      <c r="G109" s="78" t="n">
        <v>120.6367989138897</v>
      </c>
      <c r="H109" s="78" t="n">
        <v>125.9153161203675</v>
      </c>
      <c r="I109" s="78" t="n">
        <v>136.4723505333229</v>
      </c>
    </row>
    <row r="110">
      <c r="A110" t="inlineStr">
        <is>
          <t>Admin staff</t>
        </is>
      </c>
      <c r="B110" t="inlineStr">
        <is>
          <t>QLD</t>
        </is>
      </c>
      <c r="C110" s="44" t="inlineStr">
        <is>
          <t>Average Penalties</t>
        </is>
      </c>
      <c r="D110" s="78" t="n">
        <v>146525.1621153846</v>
      </c>
      <c r="E110" s="78" t="n">
        <v>152905.4121153846</v>
      </c>
      <c r="F110" s="78" t="n">
        <v>165665.9121153846</v>
      </c>
      <c r="G110" s="78" t="n">
        <v>74.15240997742136</v>
      </c>
      <c r="H110" s="78" t="n">
        <v>77.38128143491123</v>
      </c>
      <c r="I110" s="78" t="n">
        <v>83.83902434989099</v>
      </c>
    </row>
    <row r="111">
      <c r="A111" t="inlineStr">
        <is>
          <t>Bioinformatics staff</t>
        </is>
      </c>
      <c r="B111" t="inlineStr">
        <is>
          <t>QLD</t>
        </is>
      </c>
      <c r="C111" s="44" t="inlineStr">
        <is>
          <t>Average Penalties</t>
        </is>
      </c>
      <c r="D111" s="78" t="n">
        <v>238378.3146538461</v>
      </c>
      <c r="E111" s="78" t="n">
        <v>248808.6646538461</v>
      </c>
      <c r="F111" s="78" t="n">
        <v>269669.3646538461</v>
      </c>
      <c r="G111" s="78" t="n">
        <v>120.6367989138897</v>
      </c>
      <c r="H111" s="78" t="n">
        <v>125.9153161203675</v>
      </c>
      <c r="I111" s="78" t="n">
        <v>136.4723505333229</v>
      </c>
    </row>
    <row r="112">
      <c r="A112" t="inlineStr">
        <is>
          <t>Pathologists</t>
        </is>
      </c>
      <c r="B112" t="inlineStr">
        <is>
          <t>QLD</t>
        </is>
      </c>
      <c r="C112" s="44" t="inlineStr">
        <is>
          <t>Average Penalties</t>
        </is>
      </c>
      <c r="D112" s="78" t="n">
        <v>668927.8987692308</v>
      </c>
      <c r="E112" s="78" t="n">
        <v>668927.8987692308</v>
      </c>
      <c r="F112" s="78" t="n">
        <v>736652.2987692307</v>
      </c>
      <c r="G112" s="78" t="n">
        <v>338.5262645593273</v>
      </c>
      <c r="H112" s="78" t="n">
        <v>338.5262645593273</v>
      </c>
      <c r="I112" s="78" t="n">
        <v>372.7997463407038</v>
      </c>
    </row>
    <row r="113">
      <c r="A113" t="inlineStr">
        <is>
          <t>Lab technician</t>
        </is>
      </c>
      <c r="B113" t="inlineStr">
        <is>
          <t>WA</t>
        </is>
      </c>
      <c r="C113" s="44" t="inlineStr">
        <is>
          <t>Average Penalties</t>
        </is>
      </c>
      <c r="D113" s="78" t="n">
        <v>177228.7033846154</v>
      </c>
      <c r="E113" s="78" t="n">
        <v>184365.5033846154</v>
      </c>
      <c r="F113" s="78" t="n">
        <v>198639.1033846154</v>
      </c>
      <c r="G113" s="78" t="n">
        <v>89.69063936468389</v>
      </c>
      <c r="H113" s="78" t="n">
        <v>93.30238025537216</v>
      </c>
      <c r="I113" s="78" t="n">
        <v>100.5258620367487</v>
      </c>
    </row>
    <row r="114">
      <c r="A114" t="inlineStr">
        <is>
          <t>Medical scientist</t>
        </is>
      </c>
      <c r="B114" t="inlineStr">
        <is>
          <t>WA</t>
        </is>
      </c>
      <c r="C114" s="44" t="inlineStr">
        <is>
          <t>Average Penalties</t>
        </is>
      </c>
      <c r="D114" s="78" t="n">
        <v>270782.354076923</v>
      </c>
      <c r="E114" s="78" t="n">
        <v>281686.4540769231</v>
      </c>
      <c r="F114" s="78" t="n">
        <v>303494.654076923</v>
      </c>
      <c r="G114" s="78" t="n">
        <v>137.0356042899408</v>
      </c>
      <c r="H114" s="78" t="n">
        <v>142.5538735207101</v>
      </c>
      <c r="I114" s="78" t="n">
        <v>153.5904119822485</v>
      </c>
    </row>
    <row r="115">
      <c r="A115" t="inlineStr">
        <is>
          <t>Admin staff</t>
        </is>
      </c>
      <c r="B115" t="inlineStr">
        <is>
          <t>WA</t>
        </is>
      </c>
      <c r="C115" s="44" t="inlineStr">
        <is>
          <t>Average Penalties</t>
        </is>
      </c>
      <c r="D115" s="78" t="n">
        <v>157228.1432307692</v>
      </c>
      <c r="E115" s="78" t="n">
        <v>163559.5432307692</v>
      </c>
      <c r="F115" s="78" t="n">
        <v>176222.3432307692</v>
      </c>
      <c r="G115" s="78" t="n">
        <v>79.56889839613827</v>
      </c>
      <c r="H115" s="78" t="n">
        <v>82.77304819370912</v>
      </c>
      <c r="I115" s="78" t="n">
        <v>89.18134778885081</v>
      </c>
    </row>
    <row r="116">
      <c r="A116" t="inlineStr">
        <is>
          <t>Bioinformatics staff</t>
        </is>
      </c>
      <c r="B116" t="inlineStr">
        <is>
          <t>WA</t>
        </is>
      </c>
      <c r="C116" s="44" t="inlineStr">
        <is>
          <t>Average Penalties</t>
        </is>
      </c>
      <c r="D116" s="78" t="n">
        <v>215503.9248461539</v>
      </c>
      <c r="E116" s="78" t="n">
        <v>224182.0248461539</v>
      </c>
      <c r="F116" s="78" t="n">
        <v>241538.2248461539</v>
      </c>
      <c r="G116" s="78" t="n">
        <v>109.0606907116163</v>
      </c>
      <c r="H116" s="78" t="n">
        <v>113.4524417237621</v>
      </c>
      <c r="I116" s="78" t="n">
        <v>122.2359437480536</v>
      </c>
    </row>
    <row r="117">
      <c r="A117" t="inlineStr">
        <is>
          <t>Pathologists</t>
        </is>
      </c>
      <c r="B117" t="inlineStr">
        <is>
          <t>WA</t>
        </is>
      </c>
      <c r="C117" s="44" t="inlineStr">
        <is>
          <t>Average Penalties</t>
        </is>
      </c>
      <c r="D117" s="78" t="n">
        <v>839060.7298461539</v>
      </c>
      <c r="E117" s="78" t="n">
        <v>839060.7298461539</v>
      </c>
      <c r="F117" s="78" t="n">
        <v>941701.5298461539</v>
      </c>
      <c r="G117" s="78" t="n">
        <v>424.6258754282155</v>
      </c>
      <c r="H117" s="78" t="n">
        <v>424.6258754282155</v>
      </c>
      <c r="I117" s="78" t="n">
        <v>476.5696001245718</v>
      </c>
    </row>
    <row r="118">
      <c r="A118" t="inlineStr">
        <is>
          <t>Lab technician</t>
        </is>
      </c>
      <c r="B118" t="inlineStr">
        <is>
          <t>ALL</t>
        </is>
      </c>
      <c r="C118" s="44" t="inlineStr">
        <is>
          <t>Average Penalties</t>
        </is>
      </c>
      <c r="D118" s="44" t="n">
        <v>184429.1910381538</v>
      </c>
      <c r="E118" s="44" t="n">
        <v>192266.0622381538</v>
      </c>
      <c r="F118" s="44" t="n">
        <v>207939.8046381538</v>
      </c>
      <c r="G118" s="44" t="n">
        <v>93.33461084926813</v>
      </c>
      <c r="H118" s="44" t="n">
        <v>97.3006387844908</v>
      </c>
      <c r="I118" s="44" t="n">
        <v>105.2326946549361</v>
      </c>
    </row>
    <row r="119">
      <c r="A119" t="inlineStr">
        <is>
          <t>Medical scientist</t>
        </is>
      </c>
      <c r="B119" t="inlineStr">
        <is>
          <t>ALL</t>
        </is>
      </c>
      <c r="C119" s="44" t="inlineStr">
        <is>
          <t>Average Penalties</t>
        </is>
      </c>
      <c r="D119" s="44" t="n">
        <v>250567.8815033846</v>
      </c>
      <c r="E119" s="44" t="n">
        <v>261015.0931033847</v>
      </c>
      <c r="F119" s="44" t="n">
        <v>281909.5163033846</v>
      </c>
      <c r="G119" s="44" t="n">
        <v>126.8056080482716</v>
      </c>
      <c r="H119" s="44" t="n">
        <v>132.0926584531299</v>
      </c>
      <c r="I119" s="44" t="n">
        <v>142.6667592628465</v>
      </c>
    </row>
    <row r="120">
      <c r="A120" t="inlineStr">
        <is>
          <t>Admin staff</t>
        </is>
      </c>
      <c r="B120" t="inlineStr">
        <is>
          <t>ALL</t>
        </is>
      </c>
      <c r="C120" s="44" t="inlineStr">
        <is>
          <t>Average Penalties</t>
        </is>
      </c>
      <c r="D120" s="44" t="n">
        <v>153506.5523790769</v>
      </c>
      <c r="E120" s="44" t="n">
        <v>160026.8339790769</v>
      </c>
      <c r="F120" s="44" t="n">
        <v>173067.3971790769</v>
      </c>
      <c r="G120" s="44" t="n">
        <v>77.68550221613202</v>
      </c>
      <c r="H120" s="44" t="n">
        <v>80.98523986795389</v>
      </c>
      <c r="I120" s="44" t="n">
        <v>87.58471517159762</v>
      </c>
    </row>
    <row r="121">
      <c r="A121" t="inlineStr">
        <is>
          <t>Bioinformatics staff</t>
        </is>
      </c>
      <c r="B121" t="inlineStr">
        <is>
          <t>ALL</t>
        </is>
      </c>
      <c r="C121" s="44" t="inlineStr">
        <is>
          <t>Average Penalties</t>
        </is>
      </c>
      <c r="D121" s="44" t="n">
        <v>227056.2269615385</v>
      </c>
      <c r="E121" s="44" t="n">
        <v>236555.5769615385</v>
      </c>
      <c r="F121" s="44" t="n">
        <v>255554.2769615385</v>
      </c>
      <c r="G121" s="44" t="n">
        <v>114.9069974501713</v>
      </c>
      <c r="H121" s="44" t="n">
        <v>119.7143608104952</v>
      </c>
      <c r="I121" s="44" t="n">
        <v>129.3290875311429</v>
      </c>
    </row>
    <row r="122">
      <c r="A122" t="inlineStr">
        <is>
          <t>Pathologists</t>
        </is>
      </c>
      <c r="B122" t="inlineStr">
        <is>
          <t>ALL</t>
        </is>
      </c>
      <c r="C122" s="44" t="inlineStr">
        <is>
          <t>Average Penalties</t>
        </is>
      </c>
      <c r="D122" s="44" t="n">
        <v>759694.9040039999</v>
      </c>
      <c r="E122" s="44" t="n">
        <v>759694.9040039999</v>
      </c>
      <c r="F122" s="44" t="n">
        <v>839582.5880039999</v>
      </c>
      <c r="G122" s="44" t="n">
        <v>384.4609838076923</v>
      </c>
      <c r="H122" s="44" t="n">
        <v>384.4609838076923</v>
      </c>
      <c r="I122" s="44" t="n">
        <v>424.8899736862348</v>
      </c>
    </row>
    <row r="123">
      <c r="A123" t="inlineStr">
        <is>
          <t>Lab technician</t>
        </is>
      </c>
      <c r="B123" t="inlineStr">
        <is>
          <t>VIC</t>
        </is>
      </c>
      <c r="C123" s="44" t="inlineStr">
        <is>
          <t>Public Holiday Penalty</t>
        </is>
      </c>
      <c r="D123" s="78" t="n">
        <v>242254.9610384615</v>
      </c>
      <c r="E123" s="78" t="n">
        <v>242777.2905384615</v>
      </c>
      <c r="F123" s="78" t="n">
        <v>243252.1355384615</v>
      </c>
      <c r="G123" s="78" t="n">
        <v>122.5986644931485</v>
      </c>
      <c r="H123" s="78" t="n">
        <v>122.8630012846465</v>
      </c>
      <c r="I123" s="78" t="n">
        <v>123.1033074587356</v>
      </c>
    </row>
    <row r="124">
      <c r="A124" t="inlineStr">
        <is>
          <t>Medical scientist</t>
        </is>
      </c>
      <c r="B124" t="inlineStr">
        <is>
          <t>VIC</t>
        </is>
      </c>
      <c r="C124" s="44" t="inlineStr">
        <is>
          <t>Public Holiday Penalty</t>
        </is>
      </c>
      <c r="D124" s="78" t="n">
        <v>262182.1032000001</v>
      </c>
      <c r="E124" s="78" t="n">
        <v>262742.4344</v>
      </c>
      <c r="F124" s="78" t="n">
        <v>263251.8264</v>
      </c>
      <c r="G124" s="78" t="n">
        <v>132.6832506072875</v>
      </c>
      <c r="H124" s="78" t="n">
        <v>132.9668190283401</v>
      </c>
      <c r="I124" s="78" t="n">
        <v>133.2246085020243</v>
      </c>
    </row>
    <row r="125">
      <c r="A125" t="inlineStr">
        <is>
          <t>Admin staff</t>
        </is>
      </c>
      <c r="B125" t="inlineStr">
        <is>
          <t>VIC</t>
        </is>
      </c>
      <c r="C125" s="44" t="inlineStr">
        <is>
          <t>Public Holiday Penalty</t>
        </is>
      </c>
      <c r="D125" s="78" t="n">
        <v>197898.9039038462</v>
      </c>
      <c r="E125" s="78" t="n">
        <v>198325.5966538462</v>
      </c>
      <c r="F125" s="78" t="n">
        <v>198713.4991538461</v>
      </c>
      <c r="G125" s="78" t="n">
        <v>100.1512671578169</v>
      </c>
      <c r="H125" s="78" t="n">
        <v>100.3672047843351</v>
      </c>
      <c r="I125" s="78" t="n">
        <v>100.5635117175335</v>
      </c>
    </row>
    <row r="126">
      <c r="A126" t="inlineStr">
        <is>
          <t>Bioinformatics staff</t>
        </is>
      </c>
      <c r="B126" t="inlineStr">
        <is>
          <t>VIC</t>
        </is>
      </c>
      <c r="C126" s="44" t="inlineStr">
        <is>
          <t>Public Holiday Penalty</t>
        </is>
      </c>
      <c r="D126" s="78" t="n">
        <v>259835.6578076923</v>
      </c>
      <c r="E126" s="78" t="n">
        <v>260395.8933076923</v>
      </c>
      <c r="F126" s="78" t="n">
        <v>260905.1983076923</v>
      </c>
      <c r="G126" s="78" t="n">
        <v>131.4957782427593</v>
      </c>
      <c r="H126" s="78" t="n">
        <v>131.7792982326378</v>
      </c>
      <c r="I126" s="78" t="n">
        <v>132.037043677982</v>
      </c>
    </row>
    <row r="127">
      <c r="A127" t="inlineStr">
        <is>
          <t>Pathologists</t>
        </is>
      </c>
      <c r="B127" t="inlineStr">
        <is>
          <t>VIC</t>
        </is>
      </c>
      <c r="C127" s="44" t="inlineStr">
        <is>
          <t>Public Holiday Penalty</t>
        </is>
      </c>
      <c r="D127" s="78" t="n">
        <v>784694.37045</v>
      </c>
      <c r="E127" s="78" t="n">
        <v>786323.7339000001</v>
      </c>
      <c r="F127" s="78" t="n">
        <v>787804.9734</v>
      </c>
      <c r="G127" s="78" t="n">
        <v>397.112535652834</v>
      </c>
      <c r="H127" s="78" t="n">
        <v>397.9371122975709</v>
      </c>
      <c r="I127" s="78" t="n">
        <v>398.6867274291498</v>
      </c>
    </row>
    <row r="128">
      <c r="A128" t="inlineStr">
        <is>
          <t>Lab technician</t>
        </is>
      </c>
      <c r="B128" t="inlineStr">
        <is>
          <t>SA</t>
        </is>
      </c>
      <c r="C128" s="44" t="inlineStr">
        <is>
          <t>Public Holiday Penalty</t>
        </is>
      </c>
      <c r="D128" s="78" t="n">
        <v>183496.4876538462</v>
      </c>
      <c r="E128" s="78" t="n">
        <v>183923.6891538462</v>
      </c>
      <c r="F128" s="78" t="n">
        <v>184312.0541538462</v>
      </c>
      <c r="G128" s="78" t="n">
        <v>92.86259496652133</v>
      </c>
      <c r="H128" s="78" t="n">
        <v>93.07879005761446</v>
      </c>
      <c r="I128" s="78" t="n">
        <v>93.27533104951729</v>
      </c>
    </row>
    <row r="129">
      <c r="A129" t="inlineStr">
        <is>
          <t>Medical scientist</t>
        </is>
      </c>
      <c r="B129" t="inlineStr">
        <is>
          <t>SA</t>
        </is>
      </c>
      <c r="C129" s="44" t="inlineStr">
        <is>
          <t>Public Holiday Penalty</t>
        </is>
      </c>
      <c r="D129" s="78" t="n">
        <v>248258.8336153846</v>
      </c>
      <c r="E129" s="78" t="n">
        <v>248832.1426153846</v>
      </c>
      <c r="F129" s="78" t="n">
        <v>249353.3326153846</v>
      </c>
      <c r="G129" s="78" t="n">
        <v>125.6370615462473</v>
      </c>
      <c r="H129" s="78" t="n">
        <v>125.9271976798505</v>
      </c>
      <c r="I129" s="78" t="n">
        <v>126.190957801308</v>
      </c>
    </row>
    <row r="130">
      <c r="A130" t="inlineStr">
        <is>
          <t>Admin staff</t>
        </is>
      </c>
      <c r="B130" t="inlineStr">
        <is>
          <t>SA</t>
        </is>
      </c>
      <c r="C130" s="44" t="inlineStr">
        <is>
          <t>Public Holiday Penalty</t>
        </is>
      </c>
      <c r="D130" s="78" t="n">
        <v>149716.2000769231</v>
      </c>
      <c r="E130" s="78" t="n">
        <v>150064.7570769231</v>
      </c>
      <c r="F130" s="78" t="n">
        <v>150381.6270769231</v>
      </c>
      <c r="G130" s="78" t="n">
        <v>75.76730773123637</v>
      </c>
      <c r="H130" s="78" t="n">
        <v>75.94370297415135</v>
      </c>
      <c r="I130" s="78" t="n">
        <v>76.10406228589225</v>
      </c>
    </row>
    <row r="131">
      <c r="A131" t="inlineStr">
        <is>
          <t>Bioinformatics staff</t>
        </is>
      </c>
      <c r="B131" t="inlineStr">
        <is>
          <t>SA</t>
        </is>
      </c>
      <c r="C131" s="44" t="inlineStr">
        <is>
          <t>Public Holiday Penalty</t>
        </is>
      </c>
      <c r="D131" s="78" t="n">
        <v>216368.4235576923</v>
      </c>
      <c r="E131" s="78" t="n">
        <v>216872.1548076923</v>
      </c>
      <c r="F131" s="78" t="n">
        <v>217330.0923076923</v>
      </c>
      <c r="G131" s="78" t="n">
        <v>109.4981900595609</v>
      </c>
      <c r="H131" s="78" t="n">
        <v>109.7531147812208</v>
      </c>
      <c r="I131" s="78" t="n">
        <v>109.9848645281843</v>
      </c>
    </row>
    <row r="132">
      <c r="A132" t="inlineStr">
        <is>
          <t>Pathologists</t>
        </is>
      </c>
      <c r="B132" t="inlineStr">
        <is>
          <t>SA</t>
        </is>
      </c>
      <c r="C132" s="44" t="inlineStr">
        <is>
          <t>Public Holiday Penalty</t>
        </is>
      </c>
      <c r="D132" s="78" t="n">
        <v>841014.9178942308</v>
      </c>
      <c r="E132" s="78" t="n">
        <v>842427.4306442309</v>
      </c>
      <c r="F132" s="78" t="n">
        <v>843711.5331442308</v>
      </c>
      <c r="G132" s="78" t="n">
        <v>425.6148369910075</v>
      </c>
      <c r="H132" s="78" t="n">
        <v>426.3296713786594</v>
      </c>
      <c r="I132" s="78" t="n">
        <v>426.9795208219792</v>
      </c>
    </row>
    <row r="133">
      <c r="A133" t="inlineStr">
        <is>
          <t>Lab technician</t>
        </is>
      </c>
      <c r="B133" t="inlineStr">
        <is>
          <t>NSW</t>
        </is>
      </c>
      <c r="C133" s="44" t="inlineStr">
        <is>
          <t>Public Holiday Penalty</t>
        </is>
      </c>
      <c r="D133" s="78" t="n">
        <v>183412.76338</v>
      </c>
      <c r="E133" s="78" t="n">
        <v>183839.76996</v>
      </c>
      <c r="F133" s="78" t="n">
        <v>184227.95776</v>
      </c>
      <c r="G133" s="78" t="n">
        <v>92.82022438259108</v>
      </c>
      <c r="H133" s="78" t="n">
        <v>93.03632082995951</v>
      </c>
      <c r="I133" s="78" t="n">
        <v>93.23277214574897</v>
      </c>
    </row>
    <row r="134">
      <c r="A134" t="inlineStr">
        <is>
          <t>Medical scientist</t>
        </is>
      </c>
      <c r="B134" t="inlineStr">
        <is>
          <t>NSW</t>
        </is>
      </c>
      <c r="C134" s="44" t="inlineStr">
        <is>
          <t>Public Holiday Penalty</t>
        </is>
      </c>
      <c r="D134" s="78" t="n">
        <v>262485.2106399999</v>
      </c>
      <c r="E134" s="78" t="n">
        <v>263051.15888</v>
      </c>
      <c r="F134" s="78" t="n">
        <v>263565.65728</v>
      </c>
      <c r="G134" s="78" t="n">
        <v>132.8366450607287</v>
      </c>
      <c r="H134" s="78" t="n">
        <v>133.1230561133603</v>
      </c>
      <c r="I134" s="78" t="n">
        <v>133.3834297975708</v>
      </c>
    </row>
    <row r="135">
      <c r="A135" t="inlineStr">
        <is>
          <t>Admin staff</t>
        </is>
      </c>
      <c r="B135" t="inlineStr">
        <is>
          <t>NSW</t>
        </is>
      </c>
      <c r="C135" s="44" t="inlineStr">
        <is>
          <t>Public Holiday Penalty</t>
        </is>
      </c>
      <c r="D135" s="78" t="n">
        <v>136886.06934</v>
      </c>
      <c r="E135" s="78" t="n">
        <v>137204.75628</v>
      </c>
      <c r="F135" s="78" t="n">
        <v>137494.47168</v>
      </c>
      <c r="G135" s="78" t="n">
        <v>69.27432658906882</v>
      </c>
      <c r="H135" s="78" t="n">
        <v>69.43560540485831</v>
      </c>
      <c r="I135" s="78" t="n">
        <v>69.58222251012144</v>
      </c>
    </row>
    <row r="136">
      <c r="A136" t="inlineStr">
        <is>
          <t>Bioinformatics staff</t>
        </is>
      </c>
      <c r="B136" t="inlineStr">
        <is>
          <t>NSW</t>
        </is>
      </c>
      <c r="C136" s="44" t="inlineStr">
        <is>
          <t>Public Holiday Penalty</t>
        </is>
      </c>
      <c r="D136" s="78" t="n">
        <v>230687.97475</v>
      </c>
      <c r="E136" s="78" t="n">
        <v>231185.3645</v>
      </c>
      <c r="F136" s="78" t="n">
        <v>231637.537</v>
      </c>
      <c r="G136" s="78" t="n">
        <v>116.744926492915</v>
      </c>
      <c r="H136" s="78" t="n">
        <v>116.9966419534413</v>
      </c>
      <c r="I136" s="78" t="n">
        <v>117.2254741902834</v>
      </c>
    </row>
    <row r="137">
      <c r="A137" t="inlineStr">
        <is>
          <t>Pathologists</t>
        </is>
      </c>
      <c r="B137" t="inlineStr">
        <is>
          <t>NSW</t>
        </is>
      </c>
      <c r="C137" s="44" t="inlineStr">
        <is>
          <t>Public Holiday Penalty</t>
        </is>
      </c>
      <c r="D137" s="78" t="n">
        <v>616369.42925</v>
      </c>
      <c r="E137" s="78" t="n">
        <v>617527.22875</v>
      </c>
      <c r="F137" s="78" t="n">
        <v>618579.7737500001</v>
      </c>
      <c r="G137" s="78" t="n">
        <v>311.9278488107288</v>
      </c>
      <c r="H137" s="78" t="n">
        <v>312.5137797317814</v>
      </c>
      <c r="I137" s="78" t="n">
        <v>313.0464442054656</v>
      </c>
    </row>
    <row r="138">
      <c r="A138" t="inlineStr">
        <is>
          <t>Lab technician</t>
        </is>
      </c>
      <c r="B138" t="inlineStr">
        <is>
          <t>QLD</t>
        </is>
      </c>
      <c r="C138" s="44" t="inlineStr">
        <is>
          <t>Public Holiday Penalty</t>
        </is>
      </c>
      <c r="D138" s="78" t="n">
        <v>167658.6503076923</v>
      </c>
      <c r="E138" s="78" t="n">
        <v>168044.7283076923</v>
      </c>
      <c r="F138" s="78" t="n">
        <v>168395.7083076923</v>
      </c>
      <c r="G138" s="78" t="n">
        <v>84.84749509498597</v>
      </c>
      <c r="H138" s="78" t="n">
        <v>85.04287869822485</v>
      </c>
      <c r="I138" s="78" t="n">
        <v>85.22050015571473</v>
      </c>
    </row>
    <row r="139">
      <c r="A139" t="inlineStr">
        <is>
          <t>Medical scientist</t>
        </is>
      </c>
      <c r="B139" t="inlineStr">
        <is>
          <t>QLD</t>
        </is>
      </c>
      <c r="C139" s="44" t="inlineStr">
        <is>
          <t>Public Holiday Penalty</t>
        </is>
      </c>
      <c r="D139" s="78" t="n">
        <v>248234.9954038461</v>
      </c>
      <c r="E139" s="78" t="n">
        <v>248808.6646538461</v>
      </c>
      <c r="F139" s="78" t="n">
        <v>249330.1821538461</v>
      </c>
      <c r="G139" s="78" t="n">
        <v>125.6249976740112</v>
      </c>
      <c r="H139" s="78" t="n">
        <v>125.9153161203675</v>
      </c>
      <c r="I139" s="78" t="n">
        <v>126.1792419806914</v>
      </c>
    </row>
    <row r="140">
      <c r="A140" t="inlineStr">
        <is>
          <t>Admin staff</t>
        </is>
      </c>
      <c r="B140" t="inlineStr">
        <is>
          <t>QLD</t>
        </is>
      </c>
      <c r="C140" s="44" t="inlineStr">
        <is>
          <t>Public Holiday Penalty</t>
        </is>
      </c>
      <c r="D140" s="78" t="n">
        <v>152554.4983653846</v>
      </c>
      <c r="E140" s="78" t="n">
        <v>152905.4121153846</v>
      </c>
      <c r="F140" s="78" t="n">
        <v>153224.4246153846</v>
      </c>
      <c r="G140" s="78" t="n">
        <v>77.2036935047493</v>
      </c>
      <c r="H140" s="78" t="n">
        <v>77.38128143491123</v>
      </c>
      <c r="I140" s="78" t="n">
        <v>77.54272500778573</v>
      </c>
    </row>
    <row r="141">
      <c r="A141" t="inlineStr">
        <is>
          <t>Bioinformatics staff</t>
        </is>
      </c>
      <c r="B141" t="inlineStr">
        <is>
          <t>QLD</t>
        </is>
      </c>
      <c r="C141" s="44" t="inlineStr">
        <is>
          <t>Public Holiday Penalty</t>
        </is>
      </c>
      <c r="D141" s="78" t="n">
        <v>248234.9954038461</v>
      </c>
      <c r="E141" s="78" t="n">
        <v>248808.6646538461</v>
      </c>
      <c r="F141" s="78" t="n">
        <v>249330.1821538461</v>
      </c>
      <c r="G141" s="78" t="n">
        <v>125.6249976740112</v>
      </c>
      <c r="H141" s="78" t="n">
        <v>125.9153161203675</v>
      </c>
      <c r="I141" s="78" t="n">
        <v>126.1792419806914</v>
      </c>
    </row>
    <row r="142">
      <c r="A142" t="inlineStr">
        <is>
          <t>Pathologists</t>
        </is>
      </c>
      <c r="B142" t="inlineStr">
        <is>
          <t>QLD</t>
        </is>
      </c>
      <c r="C142" s="44" t="inlineStr">
        <is>
          <t>Public Holiday Penalty</t>
        </is>
      </c>
      <c r="D142" s="78" t="n">
        <v>667686.2847692308</v>
      </c>
      <c r="E142" s="78" t="n">
        <v>668927.8987692308</v>
      </c>
      <c r="F142" s="78" t="n">
        <v>670056.6387692308</v>
      </c>
      <c r="G142" s="78" t="n">
        <v>337.8979173933354</v>
      </c>
      <c r="H142" s="78" t="n">
        <v>338.5262645593273</v>
      </c>
      <c r="I142" s="78" t="n">
        <v>339.0974892556836</v>
      </c>
    </row>
    <row r="143">
      <c r="A143" t="inlineStr">
        <is>
          <t>Lab technician</t>
        </is>
      </c>
      <c r="B143" t="inlineStr">
        <is>
          <t>WA</t>
        </is>
      </c>
      <c r="C143" s="44" t="inlineStr">
        <is>
          <t>Public Holiday Penalty</t>
        </is>
      </c>
      <c r="D143" s="78" t="n">
        <v>183972.9793846154</v>
      </c>
      <c r="E143" s="78" t="n">
        <v>184365.5033846154</v>
      </c>
      <c r="F143" s="78" t="n">
        <v>184722.3433846154</v>
      </c>
      <c r="G143" s="78" t="n">
        <v>93.1037345063843</v>
      </c>
      <c r="H143" s="78" t="n">
        <v>93.30238025537216</v>
      </c>
      <c r="I143" s="78" t="n">
        <v>93.48296729990658</v>
      </c>
    </row>
    <row r="144">
      <c r="A144" t="inlineStr">
        <is>
          <t>Medical scientist</t>
        </is>
      </c>
      <c r="B144" t="inlineStr">
        <is>
          <t>WA</t>
        </is>
      </c>
      <c r="C144" s="44" t="inlineStr">
        <is>
          <t>Public Holiday Penalty</t>
        </is>
      </c>
      <c r="D144" s="78" t="n">
        <v>281086.728576923</v>
      </c>
      <c r="E144" s="78" t="n">
        <v>281686.4540769231</v>
      </c>
      <c r="F144" s="78" t="n">
        <v>282231.659076923</v>
      </c>
      <c r="G144" s="78" t="n">
        <v>142.2503687130177</v>
      </c>
      <c r="H144" s="78" t="n">
        <v>142.5538735207101</v>
      </c>
      <c r="I144" s="78" t="n">
        <v>142.8297869822485</v>
      </c>
    </row>
    <row r="145">
      <c r="A145" t="inlineStr">
        <is>
          <t>Admin staff</t>
        </is>
      </c>
      <c r="B145" t="inlineStr">
        <is>
          <t>WA</t>
        </is>
      </c>
      <c r="C145" s="44" t="inlineStr">
        <is>
          <t>Public Holiday Penalty</t>
        </is>
      </c>
      <c r="D145" s="78" t="n">
        <v>163211.3162307692</v>
      </c>
      <c r="E145" s="78" t="n">
        <v>163559.5432307692</v>
      </c>
      <c r="F145" s="78" t="n">
        <v>163876.1132307692</v>
      </c>
      <c r="G145" s="78" t="n">
        <v>82.59681995484272</v>
      </c>
      <c r="H145" s="78" t="n">
        <v>82.77304819370912</v>
      </c>
      <c r="I145" s="78" t="n">
        <v>82.93325568358767</v>
      </c>
    </row>
    <row r="146">
      <c r="A146" t="inlineStr">
        <is>
          <t>Bioinformatics staff</t>
        </is>
      </c>
      <c r="B146" t="inlineStr">
        <is>
          <t>WA</t>
        </is>
      </c>
      <c r="C146" s="44" t="inlineStr">
        <is>
          <t>Public Holiday Penalty</t>
        </is>
      </c>
      <c r="D146" s="78" t="n">
        <v>223704.7293461539</v>
      </c>
      <c r="E146" s="78" t="n">
        <v>224182.0248461539</v>
      </c>
      <c r="F146" s="78" t="n">
        <v>224615.9298461539</v>
      </c>
      <c r="G146" s="78" t="n">
        <v>113.2108954180941</v>
      </c>
      <c r="H146" s="78" t="n">
        <v>113.4524417237621</v>
      </c>
      <c r="I146" s="78" t="n">
        <v>113.6720292743694</v>
      </c>
    </row>
    <row r="147">
      <c r="A147" t="inlineStr">
        <is>
          <t>Pathologists</t>
        </is>
      </c>
      <c r="B147" t="inlineStr">
        <is>
          <t>WA</t>
        </is>
      </c>
      <c r="C147" s="44" t="inlineStr">
        <is>
          <t>Public Holiday Penalty</t>
        </is>
      </c>
      <c r="D147" s="78" t="n">
        <v>837178.9818461537</v>
      </c>
      <c r="E147" s="78" t="n">
        <v>839060.7298461539</v>
      </c>
      <c r="F147" s="78" t="n">
        <v>840771.4098461538</v>
      </c>
      <c r="G147" s="78" t="n">
        <v>423.6735738087823</v>
      </c>
      <c r="H147" s="78" t="n">
        <v>424.6258754282155</v>
      </c>
      <c r="I147" s="78" t="n">
        <v>425.4916041731547</v>
      </c>
    </row>
    <row r="148">
      <c r="A148" t="inlineStr">
        <is>
          <t>Lab technician</t>
        </is>
      </c>
      <c r="B148" t="inlineStr">
        <is>
          <t>ALL</t>
        </is>
      </c>
      <c r="C148" s="44" t="inlineStr">
        <is>
          <t>Public Holiday Penalty</t>
        </is>
      </c>
      <c r="D148" s="44" t="n">
        <v>191835.0343221538</v>
      </c>
      <c r="E148" s="44" t="n">
        <v>192266.0622381538</v>
      </c>
      <c r="F148" s="44" t="n">
        <v>192657.9057981538</v>
      </c>
      <c r="G148" s="44" t="n">
        <v>97.08250724805356</v>
      </c>
      <c r="H148" s="44" t="n">
        <v>97.3006387844908</v>
      </c>
      <c r="I148" s="44" t="n">
        <v>97.49894018125194</v>
      </c>
    </row>
    <row r="149">
      <c r="A149" t="inlineStr">
        <is>
          <t>Medical scientist</t>
        </is>
      </c>
      <c r="B149" t="inlineStr">
        <is>
          <t>ALL</t>
        </is>
      </c>
      <c r="C149" s="44" t="inlineStr">
        <is>
          <t>Public Holiday Penalty</t>
        </is>
      </c>
      <c r="D149" s="44" t="n">
        <v>260440.4964653846</v>
      </c>
      <c r="E149" s="44" t="n">
        <v>261015.0931033847</v>
      </c>
      <c r="F149" s="44" t="n">
        <v>261537.4536833846</v>
      </c>
      <c r="G149" s="44" t="n">
        <v>131.8018706808627</v>
      </c>
      <c r="H149" s="44" t="n">
        <v>132.0926584531299</v>
      </c>
      <c r="I149" s="44" t="n">
        <v>132.3570109733728</v>
      </c>
    </row>
    <row r="150">
      <c r="A150" t="inlineStr">
        <is>
          <t>Admin staff</t>
        </is>
      </c>
      <c r="B150" t="inlineStr">
        <is>
          <t>ALL</t>
        </is>
      </c>
      <c r="C150" s="44" t="inlineStr">
        <is>
          <t>Public Holiday Penalty</t>
        </is>
      </c>
      <c r="D150" s="44" t="n">
        <v>159668.2184910769</v>
      </c>
      <c r="E150" s="44" t="n">
        <v>160026.8339790769</v>
      </c>
      <c r="F150" s="44" t="n">
        <v>160352.8480590769</v>
      </c>
      <c r="G150" s="44" t="n">
        <v>80.80375429710369</v>
      </c>
      <c r="H150" s="44" t="n">
        <v>80.98523986795389</v>
      </c>
      <c r="I150" s="44" t="n">
        <v>81.150226750545</v>
      </c>
    </row>
    <row r="151">
      <c r="A151" t="inlineStr">
        <is>
          <t>Bioinformatics staff</t>
        </is>
      </c>
      <c r="B151" t="inlineStr">
        <is>
          <t>ALL</t>
        </is>
      </c>
      <c r="C151" s="44" t="inlineStr">
        <is>
          <t>Public Holiday Penalty</t>
        </is>
      </c>
      <c r="D151" s="44" t="n">
        <v>236033.1127115385</v>
      </c>
      <c r="E151" s="44" t="n">
        <v>236555.5769615385</v>
      </c>
      <c r="F151" s="44" t="n">
        <v>237030.5444615385</v>
      </c>
      <c r="G151" s="44" t="n">
        <v>119.4499558256774</v>
      </c>
      <c r="H151" s="44" t="n">
        <v>119.7143608104952</v>
      </c>
      <c r="I151" s="44" t="n">
        <v>119.9547289785114</v>
      </c>
    </row>
    <row r="152">
      <c r="A152" t="inlineStr">
        <is>
          <t>Pathologists</t>
        </is>
      </c>
      <c r="B152" t="inlineStr">
        <is>
          <t>ALL</t>
        </is>
      </c>
      <c r="C152" s="44" t="inlineStr">
        <is>
          <t>Public Holiday Penalty</t>
        </is>
      </c>
      <c r="D152" s="44" t="n">
        <v>758230.2964639999</v>
      </c>
      <c r="E152" s="44" t="n">
        <v>759694.9040039999</v>
      </c>
      <c r="F152" s="44" t="n">
        <v>761026.3654039999</v>
      </c>
      <c r="G152" s="44" t="n">
        <v>383.719785659919</v>
      </c>
      <c r="H152" s="44" t="n">
        <v>384.4609838076923</v>
      </c>
      <c r="I152" s="44" t="n">
        <v>385.134800305668</v>
      </c>
    </row>
    <row r="153">
      <c r="A153" t="inlineStr">
        <is>
          <t>Lab technician</t>
        </is>
      </c>
      <c r="B153" t="inlineStr">
        <is>
          <t>VIC</t>
        </is>
      </c>
      <c r="C153" s="44" t="inlineStr">
        <is>
          <t>Private Practice Loading</t>
        </is>
      </c>
      <c r="D153" s="78" t="n">
        <v>242777.2905384615</v>
      </c>
      <c r="E153" s="78" t="n">
        <v>242777.2905384615</v>
      </c>
      <c r="F153" s="78" t="n">
        <v>261771.0905384615</v>
      </c>
      <c r="G153" s="78" t="n">
        <v>122.8630012846465</v>
      </c>
      <c r="H153" s="78" t="n">
        <v>122.8630012846465</v>
      </c>
      <c r="I153" s="78" t="n">
        <v>132.4752482482093</v>
      </c>
    </row>
    <row r="154">
      <c r="A154" t="inlineStr">
        <is>
          <t>Medical scientist</t>
        </is>
      </c>
      <c r="B154" t="inlineStr">
        <is>
          <t>VIC</t>
        </is>
      </c>
      <c r="C154" s="44" t="inlineStr">
        <is>
          <t>Private Practice Loading</t>
        </is>
      </c>
      <c r="D154" s="78" t="n">
        <v>262742.4344</v>
      </c>
      <c r="E154" s="78" t="n">
        <v>262742.4344</v>
      </c>
      <c r="F154" s="78" t="n">
        <v>283118.1144000001</v>
      </c>
      <c r="G154" s="78" t="n">
        <v>132.9668190283401</v>
      </c>
      <c r="H154" s="78" t="n">
        <v>132.9668190283401</v>
      </c>
      <c r="I154" s="78" t="n">
        <v>143.2783979757085</v>
      </c>
    </row>
    <row r="155">
      <c r="A155" t="inlineStr">
        <is>
          <t>Admin staff</t>
        </is>
      </c>
      <c r="B155" t="inlineStr">
        <is>
          <t>VIC</t>
        </is>
      </c>
      <c r="C155" s="44" t="inlineStr">
        <is>
          <t>Private Practice Loading</t>
        </is>
      </c>
      <c r="D155" s="78" t="n">
        <v>198325.5966538462</v>
      </c>
      <c r="E155" s="78" t="n">
        <v>198325.5966538462</v>
      </c>
      <c r="F155" s="78" t="n">
        <v>213841.6966538462</v>
      </c>
      <c r="G155" s="78" t="n">
        <v>100.3672047843351</v>
      </c>
      <c r="H155" s="78" t="n">
        <v>100.3672047843351</v>
      </c>
      <c r="I155" s="78" t="n">
        <v>108.2194821122703</v>
      </c>
    </row>
    <row r="156">
      <c r="A156" t="inlineStr">
        <is>
          <t>Bioinformatics staff</t>
        </is>
      </c>
      <c r="B156" t="inlineStr">
        <is>
          <t>VIC</t>
        </is>
      </c>
      <c r="C156" s="44" t="inlineStr">
        <is>
          <t>Private Practice Loading</t>
        </is>
      </c>
      <c r="D156" s="78" t="n">
        <v>260395.8933076923</v>
      </c>
      <c r="E156" s="78" t="n">
        <v>260395.8933076923</v>
      </c>
      <c r="F156" s="78" t="n">
        <v>280768.0933076923</v>
      </c>
      <c r="G156" s="78" t="n">
        <v>131.7792982326378</v>
      </c>
      <c r="H156" s="78" t="n">
        <v>131.7792982326378</v>
      </c>
      <c r="I156" s="78" t="n">
        <v>142.089116046403</v>
      </c>
    </row>
    <row r="157">
      <c r="A157" t="inlineStr">
        <is>
          <t>Pathologists</t>
        </is>
      </c>
      <c r="B157" t="inlineStr">
        <is>
          <t>VIC</t>
        </is>
      </c>
      <c r="C157" s="44" t="inlineStr">
        <is>
          <t>Private Practice Loading</t>
        </is>
      </c>
      <c r="D157" s="78" t="n">
        <v>756698.9439000001</v>
      </c>
      <c r="E157" s="78" t="n">
        <v>786323.7339000001</v>
      </c>
      <c r="F157" s="78" t="n">
        <v>815948.5239000001</v>
      </c>
      <c r="G157" s="78" t="n">
        <v>382.944809665992</v>
      </c>
      <c r="H157" s="78" t="n">
        <v>397.9371122975709</v>
      </c>
      <c r="I157" s="78" t="n">
        <v>412.9294149291499</v>
      </c>
    </row>
    <row r="158">
      <c r="A158" t="inlineStr">
        <is>
          <t>Lab technician</t>
        </is>
      </c>
      <c r="B158" t="inlineStr">
        <is>
          <t>SA</t>
        </is>
      </c>
      <c r="C158" s="44" t="inlineStr">
        <is>
          <t>Private Practice Loading</t>
        </is>
      </c>
      <c r="D158" s="78" t="n">
        <v>183923.6891538462</v>
      </c>
      <c r="E158" s="78" t="n">
        <v>183923.6891538462</v>
      </c>
      <c r="F158" s="78" t="n">
        <v>199458.2891538462</v>
      </c>
      <c r="G158" s="78" t="n">
        <v>93.07879005761446</v>
      </c>
      <c r="H158" s="78" t="n">
        <v>93.07879005761446</v>
      </c>
      <c r="I158" s="78" t="n">
        <v>100.9404297337278</v>
      </c>
    </row>
    <row r="159">
      <c r="A159" t="inlineStr">
        <is>
          <t>Medical scientist</t>
        </is>
      </c>
      <c r="B159" t="inlineStr">
        <is>
          <t>SA</t>
        </is>
      </c>
      <c r="C159" s="44" t="inlineStr">
        <is>
          <t>Private Practice Loading</t>
        </is>
      </c>
      <c r="D159" s="78" t="n">
        <v>248832.1426153846</v>
      </c>
      <c r="E159" s="78" t="n">
        <v>248832.1426153846</v>
      </c>
      <c r="F159" s="78" t="n">
        <v>269679.7426153846</v>
      </c>
      <c r="G159" s="78" t="n">
        <v>125.9271976798505</v>
      </c>
      <c r="H159" s="78" t="n">
        <v>125.9271976798505</v>
      </c>
      <c r="I159" s="78" t="n">
        <v>136.4776025381501</v>
      </c>
    </row>
    <row r="160">
      <c r="A160" t="inlineStr">
        <is>
          <t>Admin staff</t>
        </is>
      </c>
      <c r="B160" t="inlineStr">
        <is>
          <t>SA</t>
        </is>
      </c>
      <c r="C160" s="44" t="inlineStr">
        <is>
          <t>Private Practice Loading</t>
        </is>
      </c>
      <c r="D160" s="78" t="n">
        <v>150064.7570769231</v>
      </c>
      <c r="E160" s="78" t="n">
        <v>150064.7570769231</v>
      </c>
      <c r="F160" s="78" t="n">
        <v>162739.5570769231</v>
      </c>
      <c r="G160" s="78" t="n">
        <v>75.94370297415135</v>
      </c>
      <c r="H160" s="78" t="n">
        <v>75.94370297415135</v>
      </c>
      <c r="I160" s="78" t="n">
        <v>82.35807544378699</v>
      </c>
    </row>
    <row r="161">
      <c r="A161" t="inlineStr">
        <is>
          <t>Bioinformatics staff</t>
        </is>
      </c>
      <c r="B161" t="inlineStr">
        <is>
          <t>SA</t>
        </is>
      </c>
      <c r="C161" s="44" t="inlineStr">
        <is>
          <t>Private Practice Loading</t>
        </is>
      </c>
      <c r="D161" s="78" t="n">
        <v>216872.1548076923</v>
      </c>
      <c r="E161" s="78" t="n">
        <v>216872.1548076923</v>
      </c>
      <c r="F161" s="78" t="n">
        <v>235189.6548076923</v>
      </c>
      <c r="G161" s="78" t="n">
        <v>109.7531147812208</v>
      </c>
      <c r="H161" s="78" t="n">
        <v>109.7531147812208</v>
      </c>
      <c r="I161" s="78" t="n">
        <v>119.0231046597633</v>
      </c>
    </row>
    <row r="162">
      <c r="A162" t="inlineStr">
        <is>
          <t>Pathologists</t>
        </is>
      </c>
      <c r="B162" t="inlineStr">
        <is>
          <t>SA</t>
        </is>
      </c>
      <c r="C162" s="44" t="inlineStr">
        <is>
          <t>Private Practice Loading</t>
        </is>
      </c>
      <c r="D162" s="78" t="n">
        <v>816745.3806442309</v>
      </c>
      <c r="E162" s="78" t="n">
        <v>842427.4306442309</v>
      </c>
      <c r="F162" s="78" t="n">
        <v>868109.480644231</v>
      </c>
      <c r="G162" s="78" t="n">
        <v>413.3326825122626</v>
      </c>
      <c r="H162" s="78" t="n">
        <v>426.3296713786594</v>
      </c>
      <c r="I162" s="78" t="n">
        <v>439.3266602450561</v>
      </c>
    </row>
    <row r="163">
      <c r="A163" t="inlineStr">
        <is>
          <t>Lab technician</t>
        </is>
      </c>
      <c r="B163" t="inlineStr">
        <is>
          <t>NSW</t>
        </is>
      </c>
      <c r="C163" s="44" t="inlineStr">
        <is>
          <t>Private Practice Loading</t>
        </is>
      </c>
      <c r="D163" s="78" t="n">
        <v>183839.76996</v>
      </c>
      <c r="E163" s="78" t="n">
        <v>183839.76996</v>
      </c>
      <c r="F163" s="78" t="n">
        <v>199367.28196</v>
      </c>
      <c r="G163" s="78" t="n">
        <v>93.03632082995951</v>
      </c>
      <c r="H163" s="78" t="n">
        <v>93.03632082995951</v>
      </c>
      <c r="I163" s="78" t="n">
        <v>100.8943734615384</v>
      </c>
    </row>
    <row r="164">
      <c r="A164" t="inlineStr">
        <is>
          <t>Medical scientist</t>
        </is>
      </c>
      <c r="B164" t="inlineStr">
        <is>
          <t>NSW</t>
        </is>
      </c>
      <c r="C164" s="44" t="inlineStr">
        <is>
          <t>Private Practice Loading</t>
        </is>
      </c>
      <c r="D164" s="78" t="n">
        <v>263051.15888</v>
      </c>
      <c r="E164" s="78" t="n">
        <v>263051.15888</v>
      </c>
      <c r="F164" s="78" t="n">
        <v>283631.09488</v>
      </c>
      <c r="G164" s="78" t="n">
        <v>133.1230561133603</v>
      </c>
      <c r="H164" s="78" t="n">
        <v>133.1230561133603</v>
      </c>
      <c r="I164" s="78" t="n">
        <v>143.5380034817814</v>
      </c>
    </row>
    <row r="165">
      <c r="A165" t="inlineStr">
        <is>
          <t>Admin staff</t>
        </is>
      </c>
      <c r="B165" t="inlineStr">
        <is>
          <t>NSW</t>
        </is>
      </c>
      <c r="C165" s="44" t="inlineStr">
        <is>
          <t>Private Practice Loading</t>
        </is>
      </c>
      <c r="D165" s="78" t="n">
        <v>137204.75628</v>
      </c>
      <c r="E165" s="78" t="n">
        <v>137204.75628</v>
      </c>
      <c r="F165" s="78" t="n">
        <v>148793.37228</v>
      </c>
      <c r="G165" s="78" t="n">
        <v>69.43560540485831</v>
      </c>
      <c r="H165" s="78" t="n">
        <v>69.43560540485831</v>
      </c>
      <c r="I165" s="78" t="n">
        <v>75.30028961538463</v>
      </c>
    </row>
    <row r="166">
      <c r="A166" t="inlineStr">
        <is>
          <t>Bioinformatics staff</t>
        </is>
      </c>
      <c r="B166" t="inlineStr">
        <is>
          <t>NSW</t>
        </is>
      </c>
      <c r="C166" s="44" t="inlineStr">
        <is>
          <t>Private Practice Loading</t>
        </is>
      </c>
      <c r="D166" s="78" t="n">
        <v>231185.3645</v>
      </c>
      <c r="E166" s="78" t="n">
        <v>231185.3645</v>
      </c>
      <c r="F166" s="78" t="n">
        <v>249272.2645</v>
      </c>
      <c r="G166" s="78" t="n">
        <v>116.9966419534413</v>
      </c>
      <c r="H166" s="78" t="n">
        <v>116.9966419534413</v>
      </c>
      <c r="I166" s="78" t="n">
        <v>126.1499314271255</v>
      </c>
    </row>
    <row r="167">
      <c r="A167" t="inlineStr">
        <is>
          <t>Pathologists</t>
        </is>
      </c>
      <c r="B167" t="inlineStr">
        <is>
          <t>NSW</t>
        </is>
      </c>
      <c r="C167" s="44" t="inlineStr">
        <is>
          <t>Private Practice Loading</t>
        </is>
      </c>
      <c r="D167" s="78" t="n">
        <v>596476.3287500001</v>
      </c>
      <c r="E167" s="78" t="n">
        <v>617527.22875</v>
      </c>
      <c r="F167" s="78" t="n">
        <v>638578.12875</v>
      </c>
      <c r="G167" s="78" t="n">
        <v>301.8604902580972</v>
      </c>
      <c r="H167" s="78" t="n">
        <v>312.5137797317814</v>
      </c>
      <c r="I167" s="78" t="n">
        <v>323.1670692054656</v>
      </c>
    </row>
    <row r="168">
      <c r="A168" t="inlineStr">
        <is>
          <t>Lab technician</t>
        </is>
      </c>
      <c r="B168" t="inlineStr">
        <is>
          <t>QLD</t>
        </is>
      </c>
      <c r="C168" s="44" t="inlineStr">
        <is>
          <t>Private Practice Loading</t>
        </is>
      </c>
      <c r="D168" s="78" t="n">
        <v>168044.7283076923</v>
      </c>
      <c r="E168" s="78" t="n">
        <v>168044.7283076923</v>
      </c>
      <c r="F168" s="78" t="n">
        <v>182083.9283076923</v>
      </c>
      <c r="G168" s="78" t="n">
        <v>85.04287869822485</v>
      </c>
      <c r="H168" s="78" t="n">
        <v>85.04287869822485</v>
      </c>
      <c r="I168" s="78" t="n">
        <v>92.14773699781999</v>
      </c>
    </row>
    <row r="169">
      <c r="A169" t="inlineStr">
        <is>
          <t>Medical scientist</t>
        </is>
      </c>
      <c r="B169" t="inlineStr">
        <is>
          <t>QLD</t>
        </is>
      </c>
      <c r="C169" s="44" t="inlineStr">
        <is>
          <t>Private Practice Loading</t>
        </is>
      </c>
      <c r="D169" s="78" t="n">
        <v>248808.6646538461</v>
      </c>
      <c r="E169" s="78" t="n">
        <v>248808.6646538461</v>
      </c>
      <c r="F169" s="78" t="n">
        <v>269669.3646538461</v>
      </c>
      <c r="G169" s="78" t="n">
        <v>125.9153161203675</v>
      </c>
      <c r="H169" s="78" t="n">
        <v>125.9153161203675</v>
      </c>
      <c r="I169" s="78" t="n">
        <v>136.4723505333229</v>
      </c>
    </row>
    <row r="170">
      <c r="A170" t="inlineStr">
        <is>
          <t>Admin staff</t>
        </is>
      </c>
      <c r="B170" t="inlineStr">
        <is>
          <t>QLD</t>
        </is>
      </c>
      <c r="C170" s="44" t="inlineStr">
        <is>
          <t>Private Practice Loading</t>
        </is>
      </c>
      <c r="D170" s="78" t="n">
        <v>152905.4121153846</v>
      </c>
      <c r="E170" s="78" t="n">
        <v>152905.4121153846</v>
      </c>
      <c r="F170" s="78" t="n">
        <v>165665.9121153846</v>
      </c>
      <c r="G170" s="78" t="n">
        <v>77.38128143491123</v>
      </c>
      <c r="H170" s="78" t="n">
        <v>77.38128143491123</v>
      </c>
      <c r="I170" s="78" t="n">
        <v>83.83902434989099</v>
      </c>
    </row>
    <row r="171">
      <c r="A171" t="inlineStr">
        <is>
          <t>Bioinformatics staff</t>
        </is>
      </c>
      <c r="B171" t="inlineStr">
        <is>
          <t>QLD</t>
        </is>
      </c>
      <c r="C171" s="44" t="inlineStr">
        <is>
          <t>Private Practice Loading</t>
        </is>
      </c>
      <c r="D171" s="78" t="n">
        <v>248808.6646538461</v>
      </c>
      <c r="E171" s="78" t="n">
        <v>248808.6646538461</v>
      </c>
      <c r="F171" s="78" t="n">
        <v>269669.3646538461</v>
      </c>
      <c r="G171" s="78" t="n">
        <v>125.9153161203675</v>
      </c>
      <c r="H171" s="78" t="n">
        <v>125.9153161203675</v>
      </c>
      <c r="I171" s="78" t="n">
        <v>136.4723505333229</v>
      </c>
    </row>
    <row r="172">
      <c r="A172" t="inlineStr">
        <is>
          <t>Pathologists</t>
        </is>
      </c>
      <c r="B172" t="inlineStr">
        <is>
          <t>QLD</t>
        </is>
      </c>
      <c r="C172" s="44" t="inlineStr">
        <is>
          <t>Private Practice Loading</t>
        </is>
      </c>
      <c r="D172" s="78" t="n">
        <v>646353.0987692308</v>
      </c>
      <c r="E172" s="78" t="n">
        <v>668927.8987692308</v>
      </c>
      <c r="F172" s="78" t="n">
        <v>691502.6987692307</v>
      </c>
      <c r="G172" s="78" t="n">
        <v>327.1017706322018</v>
      </c>
      <c r="H172" s="78" t="n">
        <v>338.5262645593273</v>
      </c>
      <c r="I172" s="78" t="n">
        <v>349.9507584864528</v>
      </c>
    </row>
    <row r="173">
      <c r="A173" t="inlineStr">
        <is>
          <t>Lab technician</t>
        </is>
      </c>
      <c r="B173" t="inlineStr">
        <is>
          <t>WA</t>
        </is>
      </c>
      <c r="C173" s="44" t="inlineStr">
        <is>
          <t>Private Practice Loading</t>
        </is>
      </c>
      <c r="D173" s="78" t="n">
        <v>184365.5033846154</v>
      </c>
      <c r="E173" s="78" t="n">
        <v>184365.5033846154</v>
      </c>
      <c r="F173" s="78" t="n">
        <v>198639.1033846154</v>
      </c>
      <c r="G173" s="78" t="n">
        <v>93.30238025537216</v>
      </c>
      <c r="H173" s="78" t="n">
        <v>93.30238025537216</v>
      </c>
      <c r="I173" s="78" t="n">
        <v>100.5258620367487</v>
      </c>
    </row>
    <row r="174">
      <c r="A174" t="inlineStr">
        <is>
          <t>Medical scientist</t>
        </is>
      </c>
      <c r="B174" t="inlineStr">
        <is>
          <t>WA</t>
        </is>
      </c>
      <c r="C174" s="44" t="inlineStr">
        <is>
          <t>Private Practice Loading</t>
        </is>
      </c>
      <c r="D174" s="78" t="n">
        <v>281686.4540769231</v>
      </c>
      <c r="E174" s="78" t="n">
        <v>281686.4540769231</v>
      </c>
      <c r="F174" s="78" t="n">
        <v>303494.654076923</v>
      </c>
      <c r="G174" s="78" t="n">
        <v>142.5538735207101</v>
      </c>
      <c r="H174" s="78" t="n">
        <v>142.5538735207101</v>
      </c>
      <c r="I174" s="78" t="n">
        <v>153.5904119822485</v>
      </c>
    </row>
    <row r="175">
      <c r="A175" t="inlineStr">
        <is>
          <t>Admin staff</t>
        </is>
      </c>
      <c r="B175" t="inlineStr">
        <is>
          <t>WA</t>
        </is>
      </c>
      <c r="C175" s="44" t="inlineStr">
        <is>
          <t>Private Practice Loading</t>
        </is>
      </c>
      <c r="D175" s="78" t="n">
        <v>163559.5432307692</v>
      </c>
      <c r="E175" s="78" t="n">
        <v>163559.5432307692</v>
      </c>
      <c r="F175" s="78" t="n">
        <v>176222.3432307692</v>
      </c>
      <c r="G175" s="78" t="n">
        <v>82.77304819370912</v>
      </c>
      <c r="H175" s="78" t="n">
        <v>82.77304819370912</v>
      </c>
      <c r="I175" s="78" t="n">
        <v>89.18134778885081</v>
      </c>
    </row>
    <row r="176">
      <c r="A176" t="inlineStr">
        <is>
          <t>Bioinformatics staff</t>
        </is>
      </c>
      <c r="B176" t="inlineStr">
        <is>
          <t>WA</t>
        </is>
      </c>
      <c r="C176" s="44" t="inlineStr">
        <is>
          <t>Private Practice Loading</t>
        </is>
      </c>
      <c r="D176" s="78" t="n">
        <v>224182.0248461539</v>
      </c>
      <c r="E176" s="78" t="n">
        <v>224182.0248461539</v>
      </c>
      <c r="F176" s="78" t="n">
        <v>241538.2248461539</v>
      </c>
      <c r="G176" s="78" t="n">
        <v>113.4524417237621</v>
      </c>
      <c r="H176" s="78" t="n">
        <v>113.4524417237621</v>
      </c>
      <c r="I176" s="78" t="n">
        <v>122.2359437480536</v>
      </c>
    </row>
    <row r="177">
      <c r="A177" t="inlineStr">
        <is>
          <t>Pathologists</t>
        </is>
      </c>
      <c r="B177" t="inlineStr">
        <is>
          <t>WA</t>
        </is>
      </c>
      <c r="C177" s="44" t="inlineStr">
        <is>
          <t>Private Practice Loading</t>
        </is>
      </c>
      <c r="D177" s="78" t="n">
        <v>804847.1298461538</v>
      </c>
      <c r="E177" s="78" t="n">
        <v>839060.7298461539</v>
      </c>
      <c r="F177" s="78" t="n">
        <v>873274.3298461539</v>
      </c>
      <c r="G177" s="78" t="n">
        <v>407.3113005294301</v>
      </c>
      <c r="H177" s="78" t="n">
        <v>424.6258754282155</v>
      </c>
      <c r="I177" s="78" t="n">
        <v>441.9404503270009</v>
      </c>
    </row>
    <row r="178">
      <c r="A178" t="inlineStr">
        <is>
          <t>Lab technician</t>
        </is>
      </c>
      <c r="B178" t="inlineStr">
        <is>
          <t>ALL</t>
        </is>
      </c>
      <c r="C178" s="44" t="inlineStr">
        <is>
          <t>Private Practice Loading</t>
        </is>
      </c>
      <c r="D178" s="44" t="n">
        <v>192266.0622381538</v>
      </c>
      <c r="E178" s="44" t="n">
        <v>192266.0622381538</v>
      </c>
      <c r="F178" s="44" t="n">
        <v>207939.8046381538</v>
      </c>
      <c r="G178" s="44" t="n">
        <v>97.3006387844908</v>
      </c>
      <c r="H178" s="44" t="n">
        <v>97.3006387844908</v>
      </c>
      <c r="I178" s="44" t="n">
        <v>105.2326946549361</v>
      </c>
    </row>
    <row r="179">
      <c r="A179" t="inlineStr">
        <is>
          <t>Medical scientist</t>
        </is>
      </c>
      <c r="B179" t="inlineStr">
        <is>
          <t>ALL</t>
        </is>
      </c>
      <c r="C179" s="44" t="inlineStr">
        <is>
          <t>Private Practice Loading</t>
        </is>
      </c>
      <c r="D179" s="44" t="n">
        <v>261015.0931033847</v>
      </c>
      <c r="E179" s="44" t="n">
        <v>261015.0931033847</v>
      </c>
      <c r="F179" s="44" t="n">
        <v>281909.5163033846</v>
      </c>
      <c r="G179" s="44" t="n">
        <v>132.0926584531299</v>
      </c>
      <c r="H179" s="44" t="n">
        <v>132.0926584531299</v>
      </c>
      <c r="I179" s="44" t="n">
        <v>142.6667592628465</v>
      </c>
    </row>
    <row r="180">
      <c r="A180" t="inlineStr">
        <is>
          <t>Admin staff</t>
        </is>
      </c>
      <c r="B180" t="inlineStr">
        <is>
          <t>ALL</t>
        </is>
      </c>
      <c r="C180" s="44" t="inlineStr">
        <is>
          <t>Private Practice Loading</t>
        </is>
      </c>
      <c r="D180" s="44" t="n">
        <v>160026.8339790769</v>
      </c>
      <c r="E180" s="44" t="n">
        <v>160026.8339790769</v>
      </c>
      <c r="F180" s="44" t="n">
        <v>173067.3971790769</v>
      </c>
      <c r="G180" s="44" t="n">
        <v>80.98523986795389</v>
      </c>
      <c r="H180" s="44" t="n">
        <v>80.98523986795389</v>
      </c>
      <c r="I180" s="44" t="n">
        <v>87.58471517159762</v>
      </c>
    </row>
    <row r="181">
      <c r="A181" t="inlineStr">
        <is>
          <t>Bioinformatics staff</t>
        </is>
      </c>
      <c r="B181" t="inlineStr">
        <is>
          <t>ALL</t>
        </is>
      </c>
      <c r="C181" s="44" t="inlineStr">
        <is>
          <t>Private Practice Loading</t>
        </is>
      </c>
      <c r="D181" s="44" t="n">
        <v>236555.5769615385</v>
      </c>
      <c r="E181" s="44" t="n">
        <v>236555.5769615385</v>
      </c>
      <c r="F181" s="44" t="n">
        <v>255554.2769615385</v>
      </c>
      <c r="G181" s="44" t="n">
        <v>119.7143608104952</v>
      </c>
      <c r="H181" s="44" t="n">
        <v>119.7143608104952</v>
      </c>
      <c r="I181" s="44" t="n">
        <v>129.3290875311429</v>
      </c>
    </row>
    <row r="182">
      <c r="A182" t="inlineStr">
        <is>
          <t>Pathologists</t>
        </is>
      </c>
      <c r="B182" t="inlineStr">
        <is>
          <t>ALL</t>
        </is>
      </c>
      <c r="C182" s="44" t="inlineStr">
        <is>
          <t>Private Practice Loading</t>
        </is>
      </c>
      <c r="D182" s="44" t="n">
        <v>733065.6760039999</v>
      </c>
      <c r="E182" s="44" t="n">
        <v>759694.9040039999</v>
      </c>
      <c r="F182" s="44" t="n">
        <v>786324.1320039999</v>
      </c>
      <c r="G182" s="44" t="n">
        <v>370.9846538481781</v>
      </c>
      <c r="H182" s="44" t="n">
        <v>384.4609838076923</v>
      </c>
      <c r="I182" s="44" t="n">
        <v>397.9373137672064</v>
      </c>
    </row>
    <row r="183">
      <c r="A183" t="inlineStr">
        <is>
          <t>Lab technician</t>
        </is>
      </c>
      <c r="B183" t="inlineStr">
        <is>
          <t>VIC</t>
        </is>
      </c>
      <c r="C183" s="44" t="inlineStr">
        <is>
          <t>Attraction and Retention Allowance</t>
        </is>
      </c>
      <c r="D183" s="78" t="n">
        <v>242777.2905384615</v>
      </c>
      <c r="E183" s="78" t="n">
        <v>242777.2905384615</v>
      </c>
      <c r="F183" s="78" t="n">
        <v>242777.2905384615</v>
      </c>
      <c r="G183" s="78" t="n">
        <v>122.8630012846465</v>
      </c>
      <c r="H183" s="78" t="n">
        <v>122.8630012846465</v>
      </c>
      <c r="I183" s="78" t="n">
        <v>122.8630012846465</v>
      </c>
    </row>
    <row r="184">
      <c r="A184" t="inlineStr">
        <is>
          <t>Medical scientist</t>
        </is>
      </c>
      <c r="B184" t="inlineStr">
        <is>
          <t>VIC</t>
        </is>
      </c>
      <c r="C184" s="44" t="inlineStr">
        <is>
          <t>Attraction and Retention Allowance</t>
        </is>
      </c>
      <c r="D184" s="78" t="n">
        <v>262742.4344</v>
      </c>
      <c r="E184" s="78" t="n">
        <v>262742.4344</v>
      </c>
      <c r="F184" s="78" t="n">
        <v>262742.4344</v>
      </c>
      <c r="G184" s="78" t="n">
        <v>132.9668190283401</v>
      </c>
      <c r="H184" s="78" t="n">
        <v>132.9668190283401</v>
      </c>
      <c r="I184" s="78" t="n">
        <v>132.9668190283401</v>
      </c>
    </row>
    <row r="185">
      <c r="A185" t="inlineStr">
        <is>
          <t>Admin staff</t>
        </is>
      </c>
      <c r="B185" t="inlineStr">
        <is>
          <t>VIC</t>
        </is>
      </c>
      <c r="C185" s="44" t="inlineStr">
        <is>
          <t>Attraction and Retention Allowance</t>
        </is>
      </c>
      <c r="D185" s="78" t="n">
        <v>198325.5966538462</v>
      </c>
      <c r="E185" s="78" t="n">
        <v>198325.5966538462</v>
      </c>
      <c r="F185" s="78" t="n">
        <v>198325.5966538462</v>
      </c>
      <c r="G185" s="78" t="n">
        <v>100.3672047843351</v>
      </c>
      <c r="H185" s="78" t="n">
        <v>100.3672047843351</v>
      </c>
      <c r="I185" s="78" t="n">
        <v>100.3672047843351</v>
      </c>
    </row>
    <row r="186">
      <c r="A186" t="inlineStr">
        <is>
          <t>Bioinformatics staff</t>
        </is>
      </c>
      <c r="B186" t="inlineStr">
        <is>
          <t>VIC</t>
        </is>
      </c>
      <c r="C186" s="44" t="inlineStr">
        <is>
          <t>Attraction and Retention Allowance</t>
        </is>
      </c>
      <c r="D186" s="78" t="n">
        <v>260395.8933076923</v>
      </c>
      <c r="E186" s="78" t="n">
        <v>260395.8933076923</v>
      </c>
      <c r="F186" s="78" t="n">
        <v>260395.8933076923</v>
      </c>
      <c r="G186" s="78" t="n">
        <v>131.7792982326378</v>
      </c>
      <c r="H186" s="78" t="n">
        <v>131.7792982326378</v>
      </c>
      <c r="I186" s="78" t="n">
        <v>131.7792982326378</v>
      </c>
    </row>
    <row r="187">
      <c r="A187" t="inlineStr">
        <is>
          <t>Pathologists</t>
        </is>
      </c>
      <c r="B187" t="inlineStr">
        <is>
          <t>VIC</t>
        </is>
      </c>
      <c r="C187" s="44" t="inlineStr">
        <is>
          <t>Attraction and Retention Allowance</t>
        </is>
      </c>
      <c r="D187" s="78" t="n">
        <v>786323.7339000001</v>
      </c>
      <c r="E187" s="78" t="n">
        <v>786323.7339000001</v>
      </c>
      <c r="F187" s="78" t="n">
        <v>786323.7339000001</v>
      </c>
      <c r="G187" s="78" t="n">
        <v>397.9371122975709</v>
      </c>
      <c r="H187" s="78" t="n">
        <v>397.9371122975709</v>
      </c>
      <c r="I187" s="78" t="n">
        <v>397.9371122975709</v>
      </c>
    </row>
    <row r="188">
      <c r="A188" t="inlineStr">
        <is>
          <t>Lab technician</t>
        </is>
      </c>
      <c r="B188" t="inlineStr">
        <is>
          <t>SA</t>
        </is>
      </c>
      <c r="C188" s="44" t="inlineStr">
        <is>
          <t>Attraction and Retention Allowance</t>
        </is>
      </c>
      <c r="D188" s="78" t="n">
        <v>183923.6891538462</v>
      </c>
      <c r="E188" s="78" t="n">
        <v>183923.6891538462</v>
      </c>
      <c r="F188" s="78" t="n">
        <v>183923.6891538462</v>
      </c>
      <c r="G188" s="78" t="n">
        <v>93.07879005761446</v>
      </c>
      <c r="H188" s="78" t="n">
        <v>93.07879005761446</v>
      </c>
      <c r="I188" s="78" t="n">
        <v>93.07879005761446</v>
      </c>
    </row>
    <row r="189">
      <c r="A189" t="inlineStr">
        <is>
          <t>Medical scientist</t>
        </is>
      </c>
      <c r="B189" t="inlineStr">
        <is>
          <t>SA</t>
        </is>
      </c>
      <c r="C189" s="44" t="inlineStr">
        <is>
          <t>Attraction and Retention Allowance</t>
        </is>
      </c>
      <c r="D189" s="78" t="n">
        <v>248832.1426153846</v>
      </c>
      <c r="E189" s="78" t="n">
        <v>248832.1426153846</v>
      </c>
      <c r="F189" s="78" t="n">
        <v>248832.1426153846</v>
      </c>
      <c r="G189" s="78" t="n">
        <v>125.9271976798505</v>
      </c>
      <c r="H189" s="78" t="n">
        <v>125.9271976798505</v>
      </c>
      <c r="I189" s="78" t="n">
        <v>125.9271976798505</v>
      </c>
    </row>
    <row r="190">
      <c r="A190" t="inlineStr">
        <is>
          <t>Admin staff</t>
        </is>
      </c>
      <c r="B190" t="inlineStr">
        <is>
          <t>SA</t>
        </is>
      </c>
      <c r="C190" s="44" t="inlineStr">
        <is>
          <t>Attraction and Retention Allowance</t>
        </is>
      </c>
      <c r="D190" s="78" t="n">
        <v>150064.7570769231</v>
      </c>
      <c r="E190" s="78" t="n">
        <v>150064.7570769231</v>
      </c>
      <c r="F190" s="78" t="n">
        <v>150064.7570769231</v>
      </c>
      <c r="G190" s="78" t="n">
        <v>75.94370297415135</v>
      </c>
      <c r="H190" s="78" t="n">
        <v>75.94370297415135</v>
      </c>
      <c r="I190" s="78" t="n">
        <v>75.94370297415135</v>
      </c>
    </row>
    <row r="191">
      <c r="A191" t="inlineStr">
        <is>
          <t>Bioinformatics staff</t>
        </is>
      </c>
      <c r="B191" t="inlineStr">
        <is>
          <t>SA</t>
        </is>
      </c>
      <c r="C191" s="44" t="inlineStr">
        <is>
          <t>Attraction and Retention Allowance</t>
        </is>
      </c>
      <c r="D191" s="78" t="n">
        <v>216872.1548076923</v>
      </c>
      <c r="E191" s="78" t="n">
        <v>216872.1548076923</v>
      </c>
      <c r="F191" s="78" t="n">
        <v>216872.1548076923</v>
      </c>
      <c r="G191" s="78" t="n">
        <v>109.7531147812208</v>
      </c>
      <c r="H191" s="78" t="n">
        <v>109.7531147812208</v>
      </c>
      <c r="I191" s="78" t="n">
        <v>109.7531147812208</v>
      </c>
    </row>
    <row r="192">
      <c r="A192" t="inlineStr">
        <is>
          <t>Pathologists</t>
        </is>
      </c>
      <c r="B192" t="inlineStr">
        <is>
          <t>SA</t>
        </is>
      </c>
      <c r="C192" s="44" t="inlineStr">
        <is>
          <t>Attraction and Retention Allowance</t>
        </is>
      </c>
      <c r="D192" s="78" t="n">
        <v>765381.2806442308</v>
      </c>
      <c r="E192" s="78" t="n">
        <v>842427.4306442309</v>
      </c>
      <c r="F192" s="78" t="n">
        <v>860404.865644231</v>
      </c>
      <c r="G192" s="78" t="n">
        <v>387.338704779469</v>
      </c>
      <c r="H192" s="78" t="n">
        <v>426.3296713786594</v>
      </c>
      <c r="I192" s="78" t="n">
        <v>435.4275635851371</v>
      </c>
    </row>
    <row r="193">
      <c r="A193" t="inlineStr">
        <is>
          <t>Lab technician</t>
        </is>
      </c>
      <c r="B193" t="inlineStr">
        <is>
          <t>NSW</t>
        </is>
      </c>
      <c r="C193" s="44" t="inlineStr">
        <is>
          <t>Attraction and Retention Allowance</t>
        </is>
      </c>
      <c r="D193" s="78" t="n">
        <v>183839.76996</v>
      </c>
      <c r="E193" s="78" t="n">
        <v>183839.76996</v>
      </c>
      <c r="F193" s="78" t="n">
        <v>183839.76996</v>
      </c>
      <c r="G193" s="78" t="n">
        <v>93.03632082995951</v>
      </c>
      <c r="H193" s="78" t="n">
        <v>93.03632082995951</v>
      </c>
      <c r="I193" s="78" t="n">
        <v>93.03632082995951</v>
      </c>
    </row>
    <row r="194">
      <c r="A194" t="inlineStr">
        <is>
          <t>Medical scientist</t>
        </is>
      </c>
      <c r="B194" t="inlineStr">
        <is>
          <t>NSW</t>
        </is>
      </c>
      <c r="C194" s="44" t="inlineStr">
        <is>
          <t>Attraction and Retention Allowance</t>
        </is>
      </c>
      <c r="D194" s="78" t="n">
        <v>263051.15888</v>
      </c>
      <c r="E194" s="78" t="n">
        <v>263051.15888</v>
      </c>
      <c r="F194" s="78" t="n">
        <v>263051.15888</v>
      </c>
      <c r="G194" s="78" t="n">
        <v>133.1230561133603</v>
      </c>
      <c r="H194" s="78" t="n">
        <v>133.1230561133603</v>
      </c>
      <c r="I194" s="78" t="n">
        <v>133.1230561133603</v>
      </c>
    </row>
    <row r="195">
      <c r="A195" t="inlineStr">
        <is>
          <t>Admin staff</t>
        </is>
      </c>
      <c r="B195" t="inlineStr">
        <is>
          <t>NSW</t>
        </is>
      </c>
      <c r="C195" s="44" t="inlineStr">
        <is>
          <t>Attraction and Retention Allowance</t>
        </is>
      </c>
      <c r="D195" s="78" t="n">
        <v>137204.75628</v>
      </c>
      <c r="E195" s="78" t="n">
        <v>137204.75628</v>
      </c>
      <c r="F195" s="78" t="n">
        <v>137204.75628</v>
      </c>
      <c r="G195" s="78" t="n">
        <v>69.43560540485831</v>
      </c>
      <c r="H195" s="78" t="n">
        <v>69.43560540485831</v>
      </c>
      <c r="I195" s="78" t="n">
        <v>69.43560540485831</v>
      </c>
    </row>
    <row r="196">
      <c r="A196" t="inlineStr">
        <is>
          <t>Bioinformatics staff</t>
        </is>
      </c>
      <c r="B196" t="inlineStr">
        <is>
          <t>NSW</t>
        </is>
      </c>
      <c r="C196" s="44" t="inlineStr">
        <is>
          <t>Attraction and Retention Allowance</t>
        </is>
      </c>
      <c r="D196" s="78" t="n">
        <v>231185.3645</v>
      </c>
      <c r="E196" s="78" t="n">
        <v>231185.3645</v>
      </c>
      <c r="F196" s="78" t="n">
        <v>231185.3645</v>
      </c>
      <c r="G196" s="78" t="n">
        <v>116.9966419534413</v>
      </c>
      <c r="H196" s="78" t="n">
        <v>116.9966419534413</v>
      </c>
      <c r="I196" s="78" t="n">
        <v>116.9966419534413</v>
      </c>
    </row>
    <row r="197">
      <c r="A197" t="inlineStr">
        <is>
          <t>Pathologists</t>
        </is>
      </c>
      <c r="B197" t="inlineStr">
        <is>
          <t>NSW</t>
        </is>
      </c>
      <c r="C197" s="44" t="inlineStr">
        <is>
          <t>Attraction and Retention Allowance</t>
        </is>
      </c>
      <c r="D197" s="78" t="n">
        <v>580898.6627500001</v>
      </c>
      <c r="E197" s="78" t="n">
        <v>617527.22875</v>
      </c>
      <c r="F197" s="78" t="n">
        <v>644051.3627500001</v>
      </c>
      <c r="G197" s="78" t="n">
        <v>293.977056047571</v>
      </c>
      <c r="H197" s="78" t="n">
        <v>312.5137797317814</v>
      </c>
      <c r="I197" s="78" t="n">
        <v>325.9369244686235</v>
      </c>
    </row>
    <row r="198">
      <c r="A198" t="inlineStr">
        <is>
          <t>Lab technician</t>
        </is>
      </c>
      <c r="B198" t="inlineStr">
        <is>
          <t>QLD</t>
        </is>
      </c>
      <c r="C198" s="44" t="inlineStr">
        <is>
          <t>Attraction and Retention Allowance</t>
        </is>
      </c>
      <c r="D198" s="78" t="n">
        <v>168044.7283076923</v>
      </c>
      <c r="E198" s="78" t="n">
        <v>168044.7283076923</v>
      </c>
      <c r="F198" s="78" t="n">
        <v>168044.7283076923</v>
      </c>
      <c r="G198" s="78" t="n">
        <v>85.04287869822485</v>
      </c>
      <c r="H198" s="78" t="n">
        <v>85.04287869822485</v>
      </c>
      <c r="I198" s="78" t="n">
        <v>85.04287869822485</v>
      </c>
    </row>
    <row r="199">
      <c r="A199" t="inlineStr">
        <is>
          <t>Medical scientist</t>
        </is>
      </c>
      <c r="B199" t="inlineStr">
        <is>
          <t>QLD</t>
        </is>
      </c>
      <c r="C199" s="44" t="inlineStr">
        <is>
          <t>Attraction and Retention Allowance</t>
        </is>
      </c>
      <c r="D199" s="78" t="n">
        <v>248808.6646538461</v>
      </c>
      <c r="E199" s="78" t="n">
        <v>248808.6646538461</v>
      </c>
      <c r="F199" s="78" t="n">
        <v>248808.6646538461</v>
      </c>
      <c r="G199" s="78" t="n">
        <v>125.9153161203675</v>
      </c>
      <c r="H199" s="78" t="n">
        <v>125.9153161203675</v>
      </c>
      <c r="I199" s="78" t="n">
        <v>125.9153161203675</v>
      </c>
    </row>
    <row r="200">
      <c r="A200" t="inlineStr">
        <is>
          <t>Admin staff</t>
        </is>
      </c>
      <c r="B200" t="inlineStr">
        <is>
          <t>QLD</t>
        </is>
      </c>
      <c r="C200" s="44" t="inlineStr">
        <is>
          <t>Attraction and Retention Allowance</t>
        </is>
      </c>
      <c r="D200" s="78" t="n">
        <v>152905.4121153846</v>
      </c>
      <c r="E200" s="78" t="n">
        <v>152905.4121153846</v>
      </c>
      <c r="F200" s="78" t="n">
        <v>152905.4121153846</v>
      </c>
      <c r="G200" s="78" t="n">
        <v>77.38128143491123</v>
      </c>
      <c r="H200" s="78" t="n">
        <v>77.38128143491123</v>
      </c>
      <c r="I200" s="78" t="n">
        <v>77.38128143491123</v>
      </c>
    </row>
    <row r="201">
      <c r="A201" t="inlineStr">
        <is>
          <t>Bioinformatics staff</t>
        </is>
      </c>
      <c r="B201" t="inlineStr">
        <is>
          <t>QLD</t>
        </is>
      </c>
      <c r="C201" s="44" t="inlineStr">
        <is>
          <t>Attraction and Retention Allowance</t>
        </is>
      </c>
      <c r="D201" s="78" t="n">
        <v>248808.6646538461</v>
      </c>
      <c r="E201" s="78" t="n">
        <v>248808.6646538461</v>
      </c>
      <c r="F201" s="78" t="n">
        <v>248808.6646538461</v>
      </c>
      <c r="G201" s="78" t="n">
        <v>125.9153161203675</v>
      </c>
      <c r="H201" s="78" t="n">
        <v>125.9153161203675</v>
      </c>
      <c r="I201" s="78" t="n">
        <v>125.9153161203675</v>
      </c>
    </row>
    <row r="202">
      <c r="A202" t="inlineStr">
        <is>
          <t>Pathologists</t>
        </is>
      </c>
      <c r="B202" t="inlineStr">
        <is>
          <t>QLD</t>
        </is>
      </c>
      <c r="C202" s="44" t="inlineStr">
        <is>
          <t>Attraction and Retention Allowance</t>
        </is>
      </c>
      <c r="D202" s="78" t="n">
        <v>556053.8987692308</v>
      </c>
      <c r="E202" s="78" t="n">
        <v>668927.8987692308</v>
      </c>
      <c r="F202" s="78" t="n">
        <v>691502.6987692307</v>
      </c>
      <c r="G202" s="78" t="n">
        <v>281.4037949236998</v>
      </c>
      <c r="H202" s="78" t="n">
        <v>338.5262645593273</v>
      </c>
      <c r="I202" s="78" t="n">
        <v>349.9507584864528</v>
      </c>
    </row>
    <row r="203">
      <c r="A203" t="inlineStr">
        <is>
          <t>Lab technician</t>
        </is>
      </c>
      <c r="B203" t="inlineStr">
        <is>
          <t>WA</t>
        </is>
      </c>
      <c r="C203" s="44" t="inlineStr">
        <is>
          <t>Attraction and Retention Allowance</t>
        </is>
      </c>
      <c r="D203" s="78" t="n">
        <v>184365.5033846154</v>
      </c>
      <c r="E203" s="78" t="n">
        <v>184365.5033846154</v>
      </c>
      <c r="F203" s="78" t="n">
        <v>184365.5033846154</v>
      </c>
      <c r="G203" s="78" t="n">
        <v>93.30238025537216</v>
      </c>
      <c r="H203" s="78" t="n">
        <v>93.30238025537216</v>
      </c>
      <c r="I203" s="78" t="n">
        <v>93.30238025537216</v>
      </c>
    </row>
    <row r="204">
      <c r="A204" t="inlineStr">
        <is>
          <t>Medical scientist</t>
        </is>
      </c>
      <c r="B204" t="inlineStr">
        <is>
          <t>WA</t>
        </is>
      </c>
      <c r="C204" s="44" t="inlineStr">
        <is>
          <t>Attraction and Retention Allowance</t>
        </is>
      </c>
      <c r="D204" s="78" t="n">
        <v>281686.4540769231</v>
      </c>
      <c r="E204" s="78" t="n">
        <v>281686.4540769231</v>
      </c>
      <c r="F204" s="78" t="n">
        <v>281686.4540769231</v>
      </c>
      <c r="G204" s="78" t="n">
        <v>142.5538735207101</v>
      </c>
      <c r="H204" s="78" t="n">
        <v>142.5538735207101</v>
      </c>
      <c r="I204" s="78" t="n">
        <v>142.5538735207101</v>
      </c>
    </row>
    <row r="205">
      <c r="A205" t="inlineStr">
        <is>
          <t>Admin staff</t>
        </is>
      </c>
      <c r="B205" t="inlineStr">
        <is>
          <t>WA</t>
        </is>
      </c>
      <c r="C205" s="44" t="inlineStr">
        <is>
          <t>Attraction and Retention Allowance</t>
        </is>
      </c>
      <c r="D205" s="78" t="n">
        <v>163559.5432307692</v>
      </c>
      <c r="E205" s="78" t="n">
        <v>163559.5432307692</v>
      </c>
      <c r="F205" s="78" t="n">
        <v>163559.5432307692</v>
      </c>
      <c r="G205" s="78" t="n">
        <v>82.77304819370912</v>
      </c>
      <c r="H205" s="78" t="n">
        <v>82.77304819370912</v>
      </c>
      <c r="I205" s="78" t="n">
        <v>82.77304819370912</v>
      </c>
    </row>
    <row r="206">
      <c r="A206" t="inlineStr">
        <is>
          <t>Bioinformatics staff</t>
        </is>
      </c>
      <c r="B206" t="inlineStr">
        <is>
          <t>WA</t>
        </is>
      </c>
      <c r="C206" s="44" t="inlineStr">
        <is>
          <t>Attraction and Retention Allowance</t>
        </is>
      </c>
      <c r="D206" s="78" t="n">
        <v>224182.0248461539</v>
      </c>
      <c r="E206" s="78" t="n">
        <v>224182.0248461539</v>
      </c>
      <c r="F206" s="78" t="n">
        <v>224182.0248461539</v>
      </c>
      <c r="G206" s="78" t="n">
        <v>113.4524417237621</v>
      </c>
      <c r="H206" s="78" t="n">
        <v>113.4524417237621</v>
      </c>
      <c r="I206" s="78" t="n">
        <v>113.4524417237621</v>
      </c>
    </row>
    <row r="207">
      <c r="A207" t="inlineStr">
        <is>
          <t>Pathologists</t>
        </is>
      </c>
      <c r="B207" t="inlineStr">
        <is>
          <t>WA</t>
        </is>
      </c>
      <c r="C207" s="44" t="inlineStr">
        <is>
          <t>Attraction and Retention Allowance</t>
        </is>
      </c>
      <c r="D207" s="78" t="n">
        <v>839060.7298461539</v>
      </c>
      <c r="E207" s="78" t="n">
        <v>839060.7298461539</v>
      </c>
      <c r="F207" s="78" t="n">
        <v>839060.7298461539</v>
      </c>
      <c r="G207" s="78" t="n">
        <v>424.6258754282155</v>
      </c>
      <c r="H207" s="78" t="n">
        <v>424.6258754282155</v>
      </c>
      <c r="I207" s="78" t="n">
        <v>424.6258754282155</v>
      </c>
    </row>
    <row r="208">
      <c r="A208" t="inlineStr">
        <is>
          <t>Lab technician</t>
        </is>
      </c>
      <c r="B208" t="inlineStr">
        <is>
          <t>ALL</t>
        </is>
      </c>
      <c r="C208" s="44" t="inlineStr">
        <is>
          <t>Attraction and Retention Allowance</t>
        </is>
      </c>
      <c r="D208" s="44" t="n">
        <v>192266.0622381538</v>
      </c>
      <c r="E208" s="44" t="n">
        <v>192266.0622381538</v>
      </c>
      <c r="F208" s="44" t="n">
        <v>192266.0622381538</v>
      </c>
      <c r="G208" s="44" t="n">
        <v>97.3006387844908</v>
      </c>
      <c r="H208" s="44" t="n">
        <v>97.3006387844908</v>
      </c>
      <c r="I208" s="44" t="n">
        <v>97.3006387844908</v>
      </c>
    </row>
    <row r="209">
      <c r="A209" t="inlineStr">
        <is>
          <t>Medical scientist</t>
        </is>
      </c>
      <c r="B209" t="inlineStr">
        <is>
          <t>ALL</t>
        </is>
      </c>
      <c r="C209" s="44" t="inlineStr">
        <is>
          <t>Attraction and Retention Allowance</t>
        </is>
      </c>
      <c r="D209" s="44" t="n">
        <v>261015.0931033847</v>
      </c>
      <c r="E209" s="44" t="n">
        <v>261015.0931033847</v>
      </c>
      <c r="F209" s="44" t="n">
        <v>261015.0931033847</v>
      </c>
      <c r="G209" s="44" t="n">
        <v>132.0926584531299</v>
      </c>
      <c r="H209" s="44" t="n">
        <v>132.0926584531299</v>
      </c>
      <c r="I209" s="44" t="n">
        <v>132.0926584531299</v>
      </c>
    </row>
    <row r="210">
      <c r="A210" t="inlineStr">
        <is>
          <t>Admin staff</t>
        </is>
      </c>
      <c r="B210" t="inlineStr">
        <is>
          <t>ALL</t>
        </is>
      </c>
      <c r="C210" s="44" t="inlineStr">
        <is>
          <t>Attraction and Retention Allowance</t>
        </is>
      </c>
      <c r="D210" s="44" t="n">
        <v>160026.8339790769</v>
      </c>
      <c r="E210" s="44" t="n">
        <v>160026.8339790769</v>
      </c>
      <c r="F210" s="44" t="n">
        <v>160026.8339790769</v>
      </c>
      <c r="G210" s="44" t="n">
        <v>80.98523986795389</v>
      </c>
      <c r="H210" s="44" t="n">
        <v>80.98523986795389</v>
      </c>
      <c r="I210" s="44" t="n">
        <v>80.98523986795389</v>
      </c>
    </row>
    <row r="211">
      <c r="A211" t="inlineStr">
        <is>
          <t>Bioinformatics staff</t>
        </is>
      </c>
      <c r="B211" t="inlineStr">
        <is>
          <t>ALL</t>
        </is>
      </c>
      <c r="C211" s="44" t="inlineStr">
        <is>
          <t>Attraction and Retention Allowance</t>
        </is>
      </c>
      <c r="D211" s="44" t="n">
        <v>236555.5769615385</v>
      </c>
      <c r="E211" s="44" t="n">
        <v>236555.5769615385</v>
      </c>
      <c r="F211" s="44" t="n">
        <v>236555.5769615385</v>
      </c>
      <c r="G211" s="44" t="n">
        <v>119.7143608104952</v>
      </c>
      <c r="H211" s="44" t="n">
        <v>119.7143608104952</v>
      </c>
      <c r="I211" s="44" t="n">
        <v>119.7143608104952</v>
      </c>
    </row>
    <row r="212">
      <c r="A212" t="inlineStr">
        <is>
          <t>Pathologists</t>
        </is>
      </c>
      <c r="B212" t="inlineStr">
        <is>
          <t>ALL</t>
        </is>
      </c>
      <c r="C212" s="44" t="inlineStr">
        <is>
          <t>Attraction and Retention Allowance</t>
        </is>
      </c>
      <c r="D212" s="44" t="n">
        <v>691843.6310599999</v>
      </c>
      <c r="E212" s="44" t="n">
        <v>759694.9040039999</v>
      </c>
      <c r="F212" s="44" t="n">
        <v>798360.5430599999</v>
      </c>
      <c r="G212" s="44" t="n">
        <v>350.1232950708501</v>
      </c>
      <c r="H212" s="44" t="n">
        <v>384.4609838076923</v>
      </c>
      <c r="I212" s="44" t="n">
        <v>404.0286149089068</v>
      </c>
    </row>
    <row r="213">
      <c r="A213" t="inlineStr">
        <is>
          <t>Lab technician</t>
        </is>
      </c>
      <c r="B213" t="inlineStr">
        <is>
          <t>VIC</t>
        </is>
      </c>
      <c r="C213" s="44" t="inlineStr">
        <is>
          <t>Sick Leave</t>
        </is>
      </c>
      <c r="D213" s="78" t="n">
        <v>239358.4065384615</v>
      </c>
      <c r="E213" s="78" t="n">
        <v>242777.2905384615</v>
      </c>
      <c r="F213" s="78" t="n">
        <v>246006.2365384615</v>
      </c>
      <c r="G213" s="78" t="n">
        <v>121.1327968312052</v>
      </c>
      <c r="H213" s="78" t="n">
        <v>122.8630012846465</v>
      </c>
      <c r="I213" s="78" t="n">
        <v>124.4970832684522</v>
      </c>
    </row>
    <row r="214">
      <c r="A214" t="inlineStr">
        <is>
          <t>Medical scientist</t>
        </is>
      </c>
      <c r="B214" t="inlineStr">
        <is>
          <t>VIC</t>
        </is>
      </c>
      <c r="C214" s="44" t="inlineStr">
        <is>
          <t>Sick Leave</t>
        </is>
      </c>
      <c r="D214" s="78" t="n">
        <v>259074.812</v>
      </c>
      <c r="E214" s="78" t="n">
        <v>262742.4344</v>
      </c>
      <c r="F214" s="78" t="n">
        <v>266206.3</v>
      </c>
      <c r="G214" s="78" t="n">
        <v>131.1107348178138</v>
      </c>
      <c r="H214" s="78" t="n">
        <v>132.9668190283401</v>
      </c>
      <c r="I214" s="78" t="n">
        <v>134.7197874493928</v>
      </c>
    </row>
    <row r="215">
      <c r="A215" t="inlineStr">
        <is>
          <t>Admin staff</t>
        </is>
      </c>
      <c r="B215" t="inlineStr">
        <is>
          <t>VIC</t>
        </is>
      </c>
      <c r="C215" s="44" t="inlineStr">
        <is>
          <t>Sick Leave</t>
        </is>
      </c>
      <c r="D215" s="78" t="n">
        <v>195532.6986538462</v>
      </c>
      <c r="E215" s="78" t="n">
        <v>198325.5966538462</v>
      </c>
      <c r="F215" s="78" t="n">
        <v>200963.3336538462</v>
      </c>
      <c r="G215" s="78" t="n">
        <v>98.95379486530676</v>
      </c>
      <c r="H215" s="78" t="n">
        <v>100.3672047843351</v>
      </c>
      <c r="I215" s="78" t="n">
        <v>101.7020919300841</v>
      </c>
    </row>
    <row r="216">
      <c r="A216" t="inlineStr">
        <is>
          <t>Bioinformatics staff</t>
        </is>
      </c>
      <c r="B216" t="inlineStr">
        <is>
          <t>VIC</t>
        </is>
      </c>
      <c r="C216" s="44" t="inlineStr">
        <is>
          <t>Sick Leave</t>
        </is>
      </c>
      <c r="D216" s="78" t="n">
        <v>256728.8973076923</v>
      </c>
      <c r="E216" s="78" t="n">
        <v>260395.8933076923</v>
      </c>
      <c r="F216" s="78" t="n">
        <v>263859.1673076923</v>
      </c>
      <c r="G216" s="78" t="n">
        <v>129.9235310261601</v>
      </c>
      <c r="H216" s="78" t="n">
        <v>131.7792982326378</v>
      </c>
      <c r="I216" s="78" t="n">
        <v>133.5319672609779</v>
      </c>
    </row>
    <row r="217">
      <c r="A217" t="inlineStr">
        <is>
          <t>Pathologists</t>
        </is>
      </c>
      <c r="B217" t="inlineStr">
        <is>
          <t>VIC</t>
        </is>
      </c>
      <c r="C217" s="44" t="inlineStr">
        <is>
          <t>Sick Leave</t>
        </is>
      </c>
      <c r="D217" s="78" t="n">
        <v>775658.8095</v>
      </c>
      <c r="E217" s="78" t="n">
        <v>786323.7339000001</v>
      </c>
      <c r="F217" s="78" t="n">
        <v>796396.1625000001</v>
      </c>
      <c r="G217" s="78" t="n">
        <v>392.5398833502024</v>
      </c>
      <c r="H217" s="78" t="n">
        <v>397.9371122975709</v>
      </c>
      <c r="I217" s="78" t="n">
        <v>403.0344951923078</v>
      </c>
    </row>
    <row r="218">
      <c r="A218" t="inlineStr">
        <is>
          <t>Lab technician</t>
        </is>
      </c>
      <c r="B218" t="inlineStr">
        <is>
          <t>SA</t>
        </is>
      </c>
      <c r="C218" s="44" t="inlineStr">
        <is>
          <t>Sick Leave</t>
        </is>
      </c>
      <c r="D218" s="78" t="n">
        <v>181127.4611538462</v>
      </c>
      <c r="E218" s="78" t="n">
        <v>183923.6891538462</v>
      </c>
      <c r="F218" s="78" t="n">
        <v>186564.5711538462</v>
      </c>
      <c r="G218" s="78" t="n">
        <v>91.66369491591405</v>
      </c>
      <c r="H218" s="78" t="n">
        <v>93.07879005761446</v>
      </c>
      <c r="I218" s="78" t="n">
        <v>94.41526880255373</v>
      </c>
    </row>
    <row r="219">
      <c r="A219" t="inlineStr">
        <is>
          <t>Medical scientist</t>
        </is>
      </c>
      <c r="B219" t="inlineStr">
        <is>
          <t>SA</t>
        </is>
      </c>
      <c r="C219" s="44" t="inlineStr">
        <is>
          <t>Sick Leave</t>
        </is>
      </c>
      <c r="D219" s="78" t="n">
        <v>245079.5746153846</v>
      </c>
      <c r="E219" s="78" t="n">
        <v>248832.1426153846</v>
      </c>
      <c r="F219" s="78" t="n">
        <v>252376.2346153846</v>
      </c>
      <c r="G219" s="78" t="n">
        <v>124.0281248053566</v>
      </c>
      <c r="H219" s="78" t="n">
        <v>125.9271976798505</v>
      </c>
      <c r="I219" s="78" t="n">
        <v>127.7207665057614</v>
      </c>
    </row>
    <row r="220">
      <c r="A220" t="inlineStr">
        <is>
          <t>Admin staff</t>
        </is>
      </c>
      <c r="B220" t="inlineStr">
        <is>
          <t>SA</t>
        </is>
      </c>
      <c r="C220" s="44" t="inlineStr">
        <is>
          <t>Sick Leave</t>
        </is>
      </c>
      <c r="D220" s="78" t="n">
        <v>147783.2930769231</v>
      </c>
      <c r="E220" s="78" t="n">
        <v>150064.7570769231</v>
      </c>
      <c r="F220" s="78" t="n">
        <v>152219.4730769231</v>
      </c>
      <c r="G220" s="78" t="n">
        <v>74.78911592961693</v>
      </c>
      <c r="H220" s="78" t="n">
        <v>75.94370297415135</v>
      </c>
      <c r="I220" s="78" t="n">
        <v>77.03414629398939</v>
      </c>
    </row>
    <row r="221">
      <c r="A221" t="inlineStr">
        <is>
          <t>Bioinformatics staff</t>
        </is>
      </c>
      <c r="B221" t="inlineStr">
        <is>
          <t>SA</t>
        </is>
      </c>
      <c r="C221" s="44" t="inlineStr">
        <is>
          <t>Sick Leave</t>
        </is>
      </c>
      <c r="D221" s="78" t="n">
        <v>213575.0048076923</v>
      </c>
      <c r="E221" s="78" t="n">
        <v>216872.1548076923</v>
      </c>
      <c r="F221" s="78" t="n">
        <v>219986.1298076923</v>
      </c>
      <c r="G221" s="78" t="n">
        <v>108.0845166030831</v>
      </c>
      <c r="H221" s="78" t="n">
        <v>109.7531147812208</v>
      </c>
      <c r="I221" s="78" t="n">
        <v>111.329013060573</v>
      </c>
    </row>
    <row r="222">
      <c r="A222" t="inlineStr">
        <is>
          <t>Pathologists</t>
        </is>
      </c>
      <c r="B222" t="inlineStr">
        <is>
          <t>SA</t>
        </is>
      </c>
      <c r="C222" s="44" t="inlineStr">
        <is>
          <t>Sick Leave</t>
        </is>
      </c>
      <c r="D222" s="78" t="n">
        <v>833181.8926442309</v>
      </c>
      <c r="E222" s="78" t="n">
        <v>842427.4306442309</v>
      </c>
      <c r="F222" s="78" t="n">
        <v>851159.3276442308</v>
      </c>
      <c r="G222" s="78" t="n">
        <v>421.6507553867565</v>
      </c>
      <c r="H222" s="78" t="n">
        <v>426.3296713786594</v>
      </c>
      <c r="I222" s="78" t="n">
        <v>430.7486475932342</v>
      </c>
    </row>
    <row r="223">
      <c r="A223" t="inlineStr">
        <is>
          <t>Lab technician</t>
        </is>
      </c>
      <c r="B223" t="inlineStr">
        <is>
          <t>NSW</t>
        </is>
      </c>
      <c r="C223" s="44" t="inlineStr">
        <is>
          <t>Sick Leave</t>
        </is>
      </c>
      <c r="D223" s="78" t="n">
        <v>181044.8178</v>
      </c>
      <c r="E223" s="78" t="n">
        <v>183839.76996</v>
      </c>
      <c r="F223" s="78" t="n">
        <v>186479.447</v>
      </c>
      <c r="G223" s="78" t="n">
        <v>91.62187135627528</v>
      </c>
      <c r="H223" s="78" t="n">
        <v>93.03632082995951</v>
      </c>
      <c r="I223" s="78" t="n">
        <v>94.37218977732793</v>
      </c>
    </row>
    <row r="224">
      <c r="A224" t="inlineStr">
        <is>
          <t>Medical scientist</t>
        </is>
      </c>
      <c r="B224" t="inlineStr">
        <is>
          <t>NSW</t>
        </is>
      </c>
      <c r="C224" s="44" t="inlineStr">
        <is>
          <t>Sick Leave</t>
        </is>
      </c>
      <c r="D224" s="78" t="n">
        <v>259346.7704</v>
      </c>
      <c r="E224" s="78" t="n">
        <v>263051.15888</v>
      </c>
      <c r="F224" s="78" t="n">
        <v>266549.748</v>
      </c>
      <c r="G224" s="78" t="n">
        <v>131.2483655870445</v>
      </c>
      <c r="H224" s="78" t="n">
        <v>133.1230561133603</v>
      </c>
      <c r="I224" s="78" t="n">
        <v>134.8935971659919</v>
      </c>
    </row>
    <row r="225">
      <c r="A225" t="inlineStr">
        <is>
          <t>Admin staff</t>
        </is>
      </c>
      <c r="B225" t="inlineStr">
        <is>
          <t>NSW</t>
        </is>
      </c>
      <c r="C225" s="44" t="inlineStr">
        <is>
          <t>Sick Leave</t>
        </is>
      </c>
      <c r="D225" s="78" t="n">
        <v>135118.8054</v>
      </c>
      <c r="E225" s="78" t="n">
        <v>137204.75628</v>
      </c>
      <c r="F225" s="78" t="n">
        <v>139174.821</v>
      </c>
      <c r="G225" s="78" t="n">
        <v>68.37996224696357</v>
      </c>
      <c r="H225" s="78" t="n">
        <v>69.43560540485831</v>
      </c>
      <c r="I225" s="78" t="n">
        <v>70.43260172064777</v>
      </c>
    </row>
    <row r="226">
      <c r="A226" t="inlineStr">
        <is>
          <t>Bioinformatics staff</t>
        </is>
      </c>
      <c r="B226" t="inlineStr">
        <is>
          <t>NSW</t>
        </is>
      </c>
      <c r="C226" s="44" t="inlineStr">
        <is>
          <t>Sick Leave</t>
        </is>
      </c>
      <c r="D226" s="78" t="n">
        <v>227929.7225</v>
      </c>
      <c r="E226" s="78" t="n">
        <v>231185.3645</v>
      </c>
      <c r="F226" s="78" t="n">
        <v>234260.1375</v>
      </c>
      <c r="G226" s="78" t="n">
        <v>115.3490498481781</v>
      </c>
      <c r="H226" s="78" t="n">
        <v>116.9966419534413</v>
      </c>
      <c r="I226" s="78" t="n">
        <v>118.5527011639676</v>
      </c>
    </row>
    <row r="227">
      <c r="A227" t="inlineStr">
        <is>
          <t>Pathologists</t>
        </is>
      </c>
      <c r="B227" t="inlineStr">
        <is>
          <t>NSW</t>
        </is>
      </c>
      <c r="C227" s="44" t="inlineStr">
        <is>
          <t>Sick Leave</t>
        </is>
      </c>
      <c r="D227" s="78" t="n">
        <v>609948.9047500001</v>
      </c>
      <c r="E227" s="78" t="n">
        <v>617527.22875</v>
      </c>
      <c r="F227" s="78" t="n">
        <v>624684.5347500001</v>
      </c>
      <c r="G227" s="78" t="n">
        <v>308.6785955212551</v>
      </c>
      <c r="H227" s="78" t="n">
        <v>312.5137797317814</v>
      </c>
      <c r="I227" s="78" t="n">
        <v>316.135898152834</v>
      </c>
    </row>
    <row r="228">
      <c r="A228" t="inlineStr">
        <is>
          <t>Lab technician</t>
        </is>
      </c>
      <c r="B228" t="inlineStr">
        <is>
          <t>QLD</t>
        </is>
      </c>
      <c r="C228" s="44" t="inlineStr">
        <is>
          <t>Sick Leave</t>
        </is>
      </c>
      <c r="D228" s="78" t="n">
        <v>165517.6723076923</v>
      </c>
      <c r="E228" s="78" t="n">
        <v>168044.7283076923</v>
      </c>
      <c r="F228" s="78" t="n">
        <v>170431.3923076923</v>
      </c>
      <c r="G228" s="78" t="n">
        <v>83.76400420429772</v>
      </c>
      <c r="H228" s="78" t="n">
        <v>85.04287869822485</v>
      </c>
      <c r="I228" s="78" t="n">
        <v>86.25070460915603</v>
      </c>
    </row>
    <row r="229">
      <c r="A229" t="inlineStr">
        <is>
          <t>Medical scientist</t>
        </is>
      </c>
      <c r="B229" t="inlineStr">
        <is>
          <t>QLD</t>
        </is>
      </c>
      <c r="C229" s="44" t="inlineStr">
        <is>
          <t>Sick Leave</t>
        </is>
      </c>
      <c r="D229" s="78" t="n">
        <v>245053.7386538461</v>
      </c>
      <c r="E229" s="78" t="n">
        <v>248808.6646538461</v>
      </c>
      <c r="F229" s="78" t="n">
        <v>252354.9836538461</v>
      </c>
      <c r="G229" s="78" t="n">
        <v>124.0150499260355</v>
      </c>
      <c r="H229" s="78" t="n">
        <v>125.9153161203675</v>
      </c>
      <c r="I229" s="78" t="n">
        <v>127.7100119705699</v>
      </c>
    </row>
    <row r="230">
      <c r="A230" t="inlineStr">
        <is>
          <t>Admin staff</t>
        </is>
      </c>
      <c r="B230" t="inlineStr">
        <is>
          <t>QLD</t>
        </is>
      </c>
      <c r="C230" s="44" t="inlineStr">
        <is>
          <t>Sick Leave</t>
        </is>
      </c>
      <c r="D230" s="78" t="n">
        <v>150608.5221153846</v>
      </c>
      <c r="E230" s="78" t="n">
        <v>152905.4121153846</v>
      </c>
      <c r="F230" s="78" t="n">
        <v>155074.6971153846</v>
      </c>
      <c r="G230" s="78" t="n">
        <v>76.21888771021487</v>
      </c>
      <c r="H230" s="78" t="n">
        <v>77.38128143491123</v>
      </c>
      <c r="I230" s="78" t="n">
        <v>78.4790977304578</v>
      </c>
    </row>
    <row r="231">
      <c r="A231" t="inlineStr">
        <is>
          <t>Bioinformatics staff</t>
        </is>
      </c>
      <c r="B231" t="inlineStr">
        <is>
          <t>QLD</t>
        </is>
      </c>
      <c r="C231" s="44" t="inlineStr">
        <is>
          <t>Sick Leave</t>
        </is>
      </c>
      <c r="D231" s="78" t="n">
        <v>245053.7386538461</v>
      </c>
      <c r="E231" s="78" t="n">
        <v>248808.6646538461</v>
      </c>
      <c r="F231" s="78" t="n">
        <v>252354.9836538461</v>
      </c>
      <c r="G231" s="78" t="n">
        <v>124.0150499260355</v>
      </c>
      <c r="H231" s="78" t="n">
        <v>125.9153161203675</v>
      </c>
      <c r="I231" s="78" t="n">
        <v>127.7100119705699</v>
      </c>
    </row>
    <row r="232">
      <c r="A232" t="inlineStr">
        <is>
          <t>Pathologists</t>
        </is>
      </c>
      <c r="B232" t="inlineStr">
        <is>
          <t>QLD</t>
        </is>
      </c>
      <c r="C232" s="44" t="inlineStr">
        <is>
          <t>Sick Leave</t>
        </is>
      </c>
      <c r="D232" s="78" t="n">
        <v>660800.9707692307</v>
      </c>
      <c r="E232" s="78" t="n">
        <v>668927.8987692308</v>
      </c>
      <c r="F232" s="78" t="n">
        <v>676603.3307692308</v>
      </c>
      <c r="G232" s="78" t="n">
        <v>334.4134467455621</v>
      </c>
      <c r="H232" s="78" t="n">
        <v>338.5262645593273</v>
      </c>
      <c r="I232" s="78" t="n">
        <v>342.41059249455</v>
      </c>
    </row>
    <row r="233">
      <c r="A233" t="inlineStr">
        <is>
          <t>Lab technician</t>
        </is>
      </c>
      <c r="B233" t="inlineStr">
        <is>
          <t>WA</t>
        </is>
      </c>
      <c r="C233" s="44" t="inlineStr">
        <is>
          <t>Sick Leave</t>
        </is>
      </c>
      <c r="D233" s="78" t="n">
        <v>181796.2553846154</v>
      </c>
      <c r="E233" s="78" t="n">
        <v>184365.5033846154</v>
      </c>
      <c r="F233" s="78" t="n">
        <v>186792.0153846154</v>
      </c>
      <c r="G233" s="78" t="n">
        <v>92.0021535347244</v>
      </c>
      <c r="H233" s="78" t="n">
        <v>93.30238025537216</v>
      </c>
      <c r="I233" s="78" t="n">
        <v>94.53037215820618</v>
      </c>
    </row>
    <row r="234">
      <c r="A234" t="inlineStr">
        <is>
          <t>Medical scientist</t>
        </is>
      </c>
      <c r="B234" t="inlineStr">
        <is>
          <t>WA</t>
        </is>
      </c>
      <c r="C234" s="44" t="inlineStr">
        <is>
          <t>Sick Leave</t>
        </is>
      </c>
      <c r="D234" s="78" t="n">
        <v>277760.9780769231</v>
      </c>
      <c r="E234" s="78" t="n">
        <v>281686.4540769231</v>
      </c>
      <c r="F234" s="78" t="n">
        <v>285393.8480769231</v>
      </c>
      <c r="G234" s="78" t="n">
        <v>140.5672965976331</v>
      </c>
      <c r="H234" s="78" t="n">
        <v>142.5538735207101</v>
      </c>
      <c r="I234" s="78" t="n">
        <v>144.4300850591716</v>
      </c>
    </row>
    <row r="235">
      <c r="A235" t="inlineStr">
        <is>
          <t>Admin staff</t>
        </is>
      </c>
      <c r="B235" t="inlineStr">
        <is>
          <t>WA</t>
        </is>
      </c>
      <c r="C235" s="44" t="inlineStr">
        <is>
          <t>Sick Leave</t>
        </is>
      </c>
      <c r="D235" s="78" t="n">
        <v>161280.2392307692</v>
      </c>
      <c r="E235" s="78" t="n">
        <v>163559.5432307692</v>
      </c>
      <c r="F235" s="78" t="n">
        <v>165712.2192307692</v>
      </c>
      <c r="G235" s="78" t="n">
        <v>81.61955426658362</v>
      </c>
      <c r="H235" s="78" t="n">
        <v>82.77304819370912</v>
      </c>
      <c r="I235" s="78" t="n">
        <v>83.8624591248832</v>
      </c>
    </row>
    <row r="236">
      <c r="A236" t="inlineStr">
        <is>
          <t>Bioinformatics staff</t>
        </is>
      </c>
      <c r="B236" t="inlineStr">
        <is>
          <t>WA</t>
        </is>
      </c>
      <c r="C236" s="44" t="inlineStr">
        <is>
          <t>Sick Leave</t>
        </is>
      </c>
      <c r="D236" s="78" t="n">
        <v>221057.9088461538</v>
      </c>
      <c r="E236" s="78" t="n">
        <v>224182.0248461539</v>
      </c>
      <c r="F236" s="78" t="n">
        <v>227132.5788461539</v>
      </c>
      <c r="G236" s="78" t="n">
        <v>111.8714113593896</v>
      </c>
      <c r="H236" s="78" t="n">
        <v>113.4524417237621</v>
      </c>
      <c r="I236" s="78" t="n">
        <v>114.9456370678916</v>
      </c>
    </row>
    <row r="237">
      <c r="A237" t="inlineStr">
        <is>
          <t>Pathologists</t>
        </is>
      </c>
      <c r="B237" t="inlineStr">
        <is>
          <t>WA</t>
        </is>
      </c>
      <c r="C237" s="44" t="inlineStr">
        <is>
          <t>Sick Leave</t>
        </is>
      </c>
      <c r="D237" s="78" t="n">
        <v>826743.8338461538</v>
      </c>
      <c r="E237" s="78" t="n">
        <v>839060.7298461539</v>
      </c>
      <c r="F237" s="78" t="n">
        <v>850693.3538461538</v>
      </c>
      <c r="G237" s="78" t="n">
        <v>418.3926284646527</v>
      </c>
      <c r="H237" s="78" t="n">
        <v>424.6258754282155</v>
      </c>
      <c r="I237" s="78" t="n">
        <v>430.5128308938025</v>
      </c>
    </row>
    <row r="238">
      <c r="A238" t="inlineStr">
        <is>
          <t>Lab technician</t>
        </is>
      </c>
      <c r="B238" t="inlineStr">
        <is>
          <t>ALL</t>
        </is>
      </c>
      <c r="C238" s="44" t="inlineStr">
        <is>
          <t>Sick Leave</t>
        </is>
      </c>
      <c r="D238" s="44" t="n">
        <v>189444.7886061538</v>
      </c>
      <c r="E238" s="44" t="n">
        <v>192266.0622381538</v>
      </c>
      <c r="F238" s="44" t="n">
        <v>194930.5984461538</v>
      </c>
      <c r="G238" s="44" t="n">
        <v>95.87286872781064</v>
      </c>
      <c r="H238" s="44" t="n">
        <v>97.3006387844908</v>
      </c>
      <c r="I238" s="44" t="n">
        <v>98.64908828246651</v>
      </c>
    </row>
    <row r="239">
      <c r="A239" t="inlineStr">
        <is>
          <t>Medical scientist</t>
        </is>
      </c>
      <c r="B239" t="inlineStr">
        <is>
          <t>ALL</t>
        </is>
      </c>
      <c r="C239" s="44" t="inlineStr">
        <is>
          <t>Sick Leave</t>
        </is>
      </c>
      <c r="D239" s="44" t="n">
        <v>257254.0969273846</v>
      </c>
      <c r="E239" s="44" t="n">
        <v>261015.0931033847</v>
      </c>
      <c r="F239" s="44" t="n">
        <v>264567.1450473847</v>
      </c>
      <c r="G239" s="44" t="n">
        <v>130.1893203073809</v>
      </c>
      <c r="H239" s="44" t="n">
        <v>132.0926584531299</v>
      </c>
      <c r="I239" s="44" t="n">
        <v>133.8902555907817</v>
      </c>
    </row>
    <row r="240">
      <c r="A240" t="inlineStr">
        <is>
          <t>Admin staff</t>
        </is>
      </c>
      <c r="B240" t="inlineStr">
        <is>
          <t>ALL</t>
        </is>
      </c>
      <c r="C240" s="44" t="inlineStr">
        <is>
          <t>Sick Leave</t>
        </is>
      </c>
      <c r="D240" s="44" t="n">
        <v>157679.5326030769</v>
      </c>
      <c r="E240" s="44" t="n">
        <v>160026.8339790769</v>
      </c>
      <c r="F240" s="44" t="n">
        <v>162243.7297230769</v>
      </c>
      <c r="G240" s="44" t="n">
        <v>79.79733431329802</v>
      </c>
      <c r="H240" s="44" t="n">
        <v>80.98523986795389</v>
      </c>
      <c r="I240" s="44" t="n">
        <v>82.10715066957334</v>
      </c>
    </row>
    <row r="241">
      <c r="A241" t="inlineStr">
        <is>
          <t>Bioinformatics staff</t>
        </is>
      </c>
      <c r="B241" t="inlineStr">
        <is>
          <t>ALL</t>
        </is>
      </c>
      <c r="C241" s="44" t="inlineStr">
        <is>
          <t>Sick Leave</t>
        </is>
      </c>
      <c r="D241" s="44" t="n">
        <v>233135.8109615385</v>
      </c>
      <c r="E241" s="44" t="n">
        <v>236555.5769615385</v>
      </c>
      <c r="F241" s="44" t="n">
        <v>239785.3559615385</v>
      </c>
      <c r="G241" s="44" t="n">
        <v>117.9837100007786</v>
      </c>
      <c r="H241" s="44" t="n">
        <v>119.7143608104952</v>
      </c>
      <c r="I241" s="44" t="n">
        <v>121.3488643530053</v>
      </c>
    </row>
    <row r="242">
      <c r="A242" t="inlineStr">
        <is>
          <t>Pathologists</t>
        </is>
      </c>
      <c r="B242" t="inlineStr">
        <is>
          <t>ALL</t>
        </is>
      </c>
      <c r="C242" s="44" t="inlineStr">
        <is>
          <t>Sick Leave</t>
        </is>
      </c>
      <c r="D242" s="44" t="n">
        <v>750108.3819239999</v>
      </c>
      <c r="E242" s="44" t="n">
        <v>759694.9040039999</v>
      </c>
      <c r="F242" s="44" t="n">
        <v>768748.8415239998</v>
      </c>
      <c r="G242" s="44" t="n">
        <v>379.6095050222671</v>
      </c>
      <c r="H242" s="44" t="n">
        <v>384.4609838076923</v>
      </c>
      <c r="I242" s="44" t="n">
        <v>389.042935993927</v>
      </c>
    </row>
    <row r="243">
      <c r="A243" t="inlineStr">
        <is>
          <t>Lab technician</t>
        </is>
      </c>
      <c r="B243" t="inlineStr">
        <is>
          <t>VIC</t>
        </is>
      </c>
      <c r="C243" s="44" t="inlineStr">
        <is>
          <t>Professional Development Allowance</t>
        </is>
      </c>
      <c r="D243" s="78" t="n">
        <v>242777.2905384615</v>
      </c>
      <c r="E243" s="78" t="n">
        <v>242777.2905384615</v>
      </c>
      <c r="F243" s="78" t="n">
        <v>244777.2905384615</v>
      </c>
      <c r="G243" s="78" t="n">
        <v>122.8630012846465</v>
      </c>
      <c r="H243" s="78" t="n">
        <v>122.8630012846465</v>
      </c>
      <c r="I243" s="78" t="n">
        <v>123.8751470336344</v>
      </c>
    </row>
    <row r="244">
      <c r="A244" t="inlineStr">
        <is>
          <t>Medical scientist</t>
        </is>
      </c>
      <c r="B244" t="inlineStr">
        <is>
          <t>VIC</t>
        </is>
      </c>
      <c r="C244" s="44" t="inlineStr">
        <is>
          <t>Professional Development Allowance</t>
        </is>
      </c>
      <c r="D244" s="78" t="n">
        <v>262742.4344</v>
      </c>
      <c r="E244" s="78" t="n">
        <v>262742.4344</v>
      </c>
      <c r="F244" s="78" t="n">
        <v>264742.4344</v>
      </c>
      <c r="G244" s="78" t="n">
        <v>132.9668190283401</v>
      </c>
      <c r="H244" s="78" t="n">
        <v>132.9668190283401</v>
      </c>
      <c r="I244" s="78" t="n">
        <v>133.9789647773279</v>
      </c>
    </row>
    <row r="245">
      <c r="A245" t="inlineStr">
        <is>
          <t>Admin staff</t>
        </is>
      </c>
      <c r="B245" t="inlineStr">
        <is>
          <t>VIC</t>
        </is>
      </c>
      <c r="C245" s="44" t="inlineStr">
        <is>
          <t>Professional Development Allowance</t>
        </is>
      </c>
      <c r="D245" s="78" t="n">
        <v>198325.5966538462</v>
      </c>
      <c r="E245" s="78" t="n">
        <v>198325.5966538462</v>
      </c>
      <c r="F245" s="78" t="n">
        <v>200325.5966538462</v>
      </c>
      <c r="G245" s="78" t="n">
        <v>100.3672047843351</v>
      </c>
      <c r="H245" s="78" t="n">
        <v>100.3672047843351</v>
      </c>
      <c r="I245" s="78" t="n">
        <v>101.3793505333229</v>
      </c>
    </row>
    <row r="246">
      <c r="A246" t="inlineStr">
        <is>
          <t>Bioinformatics staff</t>
        </is>
      </c>
      <c r="B246" t="inlineStr">
        <is>
          <t>VIC</t>
        </is>
      </c>
      <c r="C246" s="44" t="inlineStr">
        <is>
          <t>Professional Development Allowance</t>
        </is>
      </c>
      <c r="D246" s="78" t="n">
        <v>260395.8933076923</v>
      </c>
      <c r="E246" s="78" t="n">
        <v>260395.8933076923</v>
      </c>
      <c r="F246" s="78" t="n">
        <v>262395.8933076923</v>
      </c>
      <c r="G246" s="78" t="n">
        <v>131.7792982326378</v>
      </c>
      <c r="H246" s="78" t="n">
        <v>131.7792982326378</v>
      </c>
      <c r="I246" s="78" t="n">
        <v>132.7914439816257</v>
      </c>
    </row>
    <row r="247">
      <c r="A247" t="inlineStr">
        <is>
          <t>Pathologists</t>
        </is>
      </c>
      <c r="B247" t="inlineStr">
        <is>
          <t>VIC</t>
        </is>
      </c>
      <c r="C247" s="44" t="inlineStr">
        <is>
          <t>Professional Development Allowance</t>
        </is>
      </c>
      <c r="D247" s="78" t="n">
        <v>757323.5739000001</v>
      </c>
      <c r="E247" s="78" t="n">
        <v>786323.7339000001</v>
      </c>
      <c r="F247" s="78" t="n">
        <v>786323.5739000001</v>
      </c>
      <c r="G247" s="78" t="n">
        <v>383.2609179655871</v>
      </c>
      <c r="H247" s="78" t="n">
        <v>397.9371122975709</v>
      </c>
      <c r="I247" s="78" t="n">
        <v>397.937031325911</v>
      </c>
    </row>
    <row r="248">
      <c r="A248" t="inlineStr">
        <is>
          <t>Lab technician</t>
        </is>
      </c>
      <c r="B248" t="inlineStr">
        <is>
          <t>SA</t>
        </is>
      </c>
      <c r="C248" s="44" t="inlineStr">
        <is>
          <t>Professional Development Allowance</t>
        </is>
      </c>
      <c r="D248" s="78" t="n">
        <v>183923.6891538462</v>
      </c>
      <c r="E248" s="78" t="n">
        <v>183923.6891538462</v>
      </c>
      <c r="F248" s="78" t="n">
        <v>185923.6891538462</v>
      </c>
      <c r="G248" s="78" t="n">
        <v>93.07879005761446</v>
      </c>
      <c r="H248" s="78" t="n">
        <v>93.07879005761446</v>
      </c>
      <c r="I248" s="78" t="n">
        <v>94.09093580660232</v>
      </c>
    </row>
    <row r="249">
      <c r="A249" t="inlineStr">
        <is>
          <t>Medical scientist</t>
        </is>
      </c>
      <c r="B249" t="inlineStr">
        <is>
          <t>SA</t>
        </is>
      </c>
      <c r="C249" s="44" t="inlineStr">
        <is>
          <t>Professional Development Allowance</t>
        </is>
      </c>
      <c r="D249" s="78" t="n">
        <v>248832.1426153846</v>
      </c>
      <c r="E249" s="78" t="n">
        <v>248832.1426153846</v>
      </c>
      <c r="F249" s="78" t="n">
        <v>250832.1426153846</v>
      </c>
      <c r="G249" s="78" t="n">
        <v>125.9271976798505</v>
      </c>
      <c r="H249" s="78" t="n">
        <v>125.9271976798505</v>
      </c>
      <c r="I249" s="78" t="n">
        <v>126.9393434288384</v>
      </c>
    </row>
    <row r="250">
      <c r="A250" t="inlineStr">
        <is>
          <t>Admin staff</t>
        </is>
      </c>
      <c r="B250" t="inlineStr">
        <is>
          <t>SA</t>
        </is>
      </c>
      <c r="C250" s="44" t="inlineStr">
        <is>
          <t>Professional Development Allowance</t>
        </is>
      </c>
      <c r="D250" s="78" t="n">
        <v>150064.7570769231</v>
      </c>
      <c r="E250" s="78" t="n">
        <v>150064.7570769231</v>
      </c>
      <c r="F250" s="78" t="n">
        <v>152064.7570769231</v>
      </c>
      <c r="G250" s="78" t="n">
        <v>75.94370297415135</v>
      </c>
      <c r="H250" s="78" t="n">
        <v>75.94370297415135</v>
      </c>
      <c r="I250" s="78" t="n">
        <v>76.9558487231392</v>
      </c>
    </row>
    <row r="251">
      <c r="A251" t="inlineStr">
        <is>
          <t>Bioinformatics staff</t>
        </is>
      </c>
      <c r="B251" t="inlineStr">
        <is>
          <t>SA</t>
        </is>
      </c>
      <c r="C251" s="44" t="inlineStr">
        <is>
          <t>Professional Development Allowance</t>
        </is>
      </c>
      <c r="D251" s="78" t="n">
        <v>216872.1548076923</v>
      </c>
      <c r="E251" s="78" t="n">
        <v>216872.1548076923</v>
      </c>
      <c r="F251" s="78" t="n">
        <v>218872.1548076923</v>
      </c>
      <c r="G251" s="78" t="n">
        <v>109.7531147812208</v>
      </c>
      <c r="H251" s="78" t="n">
        <v>109.7531147812208</v>
      </c>
      <c r="I251" s="78" t="n">
        <v>110.7652605302086</v>
      </c>
    </row>
    <row r="252">
      <c r="A252" t="inlineStr">
        <is>
          <t>Pathologists</t>
        </is>
      </c>
      <c r="B252" t="inlineStr">
        <is>
          <t>SA</t>
        </is>
      </c>
      <c r="C252" s="44" t="inlineStr">
        <is>
          <t>Professional Development Allowance</t>
        </is>
      </c>
      <c r="D252" s="78" t="n">
        <v>816427.4306442309</v>
      </c>
      <c r="E252" s="78" t="n">
        <v>842427.4306442309</v>
      </c>
      <c r="F252" s="78" t="n">
        <v>842427.4306442309</v>
      </c>
      <c r="G252" s="78" t="n">
        <v>413.1717766418173</v>
      </c>
      <c r="H252" s="78" t="n">
        <v>426.3296713786594</v>
      </c>
      <c r="I252" s="78" t="n">
        <v>426.3296713786594</v>
      </c>
    </row>
    <row r="253">
      <c r="A253" t="inlineStr">
        <is>
          <t>Lab technician</t>
        </is>
      </c>
      <c r="B253" t="inlineStr">
        <is>
          <t>NSW</t>
        </is>
      </c>
      <c r="C253" s="44" t="inlineStr">
        <is>
          <t>Professional Development Allowance</t>
        </is>
      </c>
      <c r="D253" s="78" t="n">
        <v>183839.76996</v>
      </c>
      <c r="E253" s="78" t="n">
        <v>183839.76996</v>
      </c>
      <c r="F253" s="78" t="n">
        <v>185839.76996</v>
      </c>
      <c r="G253" s="78" t="n">
        <v>93.03632082995951</v>
      </c>
      <c r="H253" s="78" t="n">
        <v>93.03632082995951</v>
      </c>
      <c r="I253" s="78" t="n">
        <v>94.04846657894736</v>
      </c>
    </row>
    <row r="254">
      <c r="A254" t="inlineStr">
        <is>
          <t>Medical scientist</t>
        </is>
      </c>
      <c r="B254" t="inlineStr">
        <is>
          <t>NSW</t>
        </is>
      </c>
      <c r="C254" s="44" t="inlineStr">
        <is>
          <t>Professional Development Allowance</t>
        </is>
      </c>
      <c r="D254" s="78" t="n">
        <v>263051.15888</v>
      </c>
      <c r="E254" s="78" t="n">
        <v>263051.15888</v>
      </c>
      <c r="F254" s="78" t="n">
        <v>265051.15888</v>
      </c>
      <c r="G254" s="78" t="n">
        <v>133.1230561133603</v>
      </c>
      <c r="H254" s="78" t="n">
        <v>133.1230561133603</v>
      </c>
      <c r="I254" s="78" t="n">
        <v>134.1352018623482</v>
      </c>
    </row>
    <row r="255">
      <c r="A255" t="inlineStr">
        <is>
          <t>Admin staff</t>
        </is>
      </c>
      <c r="B255" t="inlineStr">
        <is>
          <t>NSW</t>
        </is>
      </c>
      <c r="C255" s="44" t="inlineStr">
        <is>
          <t>Professional Development Allowance</t>
        </is>
      </c>
      <c r="D255" s="78" t="n">
        <v>137204.75628</v>
      </c>
      <c r="E255" s="78" t="n">
        <v>137204.75628</v>
      </c>
      <c r="F255" s="78" t="n">
        <v>139204.75628</v>
      </c>
      <c r="G255" s="78" t="n">
        <v>69.43560540485831</v>
      </c>
      <c r="H255" s="78" t="n">
        <v>69.43560540485831</v>
      </c>
      <c r="I255" s="78" t="n">
        <v>70.44775115384616</v>
      </c>
    </row>
    <row r="256">
      <c r="A256" t="inlineStr">
        <is>
          <t>Bioinformatics staff</t>
        </is>
      </c>
      <c r="B256" t="inlineStr">
        <is>
          <t>NSW</t>
        </is>
      </c>
      <c r="C256" s="44" t="inlineStr">
        <is>
          <t>Professional Development Allowance</t>
        </is>
      </c>
      <c r="D256" s="78" t="n">
        <v>231185.3645</v>
      </c>
      <c r="E256" s="78" t="n">
        <v>231185.3645</v>
      </c>
      <c r="F256" s="78" t="n">
        <v>233185.3645</v>
      </c>
      <c r="G256" s="78" t="n">
        <v>116.9966419534413</v>
      </c>
      <c r="H256" s="78" t="n">
        <v>116.9966419534413</v>
      </c>
      <c r="I256" s="78" t="n">
        <v>118.0087877024292</v>
      </c>
    </row>
    <row r="257">
      <c r="A257" t="inlineStr">
        <is>
          <t>Pathologists</t>
        </is>
      </c>
      <c r="B257" t="inlineStr">
        <is>
          <t>NSW</t>
        </is>
      </c>
      <c r="C257" s="44" t="inlineStr">
        <is>
          <t>Professional Development Allowance</t>
        </is>
      </c>
      <c r="D257" s="78" t="n">
        <v>579527.22875</v>
      </c>
      <c r="E257" s="78" t="n">
        <v>617527.22875</v>
      </c>
      <c r="F257" s="78" t="n">
        <v>617527.22875</v>
      </c>
      <c r="G257" s="78" t="n">
        <v>293.2830105010121</v>
      </c>
      <c r="H257" s="78" t="n">
        <v>312.5137797317814</v>
      </c>
      <c r="I257" s="78" t="n">
        <v>312.5137797317814</v>
      </c>
    </row>
    <row r="258">
      <c r="A258" t="inlineStr">
        <is>
          <t>Lab technician</t>
        </is>
      </c>
      <c r="B258" t="inlineStr">
        <is>
          <t>QLD</t>
        </is>
      </c>
      <c r="C258" s="44" t="inlineStr">
        <is>
          <t>Professional Development Allowance</t>
        </is>
      </c>
      <c r="D258" s="78" t="n">
        <v>166218.7283076923</v>
      </c>
      <c r="E258" s="78" t="n">
        <v>168044.7283076923</v>
      </c>
      <c r="F258" s="78" t="n">
        <v>168218.7283076923</v>
      </c>
      <c r="G258" s="78" t="n">
        <v>84.11878962939895</v>
      </c>
      <c r="H258" s="78" t="n">
        <v>85.04287869822485</v>
      </c>
      <c r="I258" s="78" t="n">
        <v>85.13093537838679</v>
      </c>
    </row>
    <row r="259">
      <c r="A259" t="inlineStr">
        <is>
          <t>Medical scientist</t>
        </is>
      </c>
      <c r="B259" t="inlineStr">
        <is>
          <t>QLD</t>
        </is>
      </c>
      <c r="C259" s="44" t="inlineStr">
        <is>
          <t>Professional Development Allowance</t>
        </is>
      </c>
      <c r="D259" s="78" t="n">
        <v>246982.6646538461</v>
      </c>
      <c r="E259" s="78" t="n">
        <v>248808.6646538461</v>
      </c>
      <c r="F259" s="78" t="n">
        <v>248982.6646538461</v>
      </c>
      <c r="G259" s="78" t="n">
        <v>124.9912270515415</v>
      </c>
      <c r="H259" s="78" t="n">
        <v>125.9153161203675</v>
      </c>
      <c r="I259" s="78" t="n">
        <v>126.0033728005294</v>
      </c>
    </row>
    <row r="260">
      <c r="A260" t="inlineStr">
        <is>
          <t>Admin staff</t>
        </is>
      </c>
      <c r="B260" t="inlineStr">
        <is>
          <t>QLD</t>
        </is>
      </c>
      <c r="C260" s="44" t="inlineStr">
        <is>
          <t>Professional Development Allowance</t>
        </is>
      </c>
      <c r="D260" s="78" t="n">
        <v>151079.4121153846</v>
      </c>
      <c r="E260" s="78" t="n">
        <v>152905.4121153846</v>
      </c>
      <c r="F260" s="78" t="n">
        <v>153079.4121153846</v>
      </c>
      <c r="G260" s="78" t="n">
        <v>76.45719236608532</v>
      </c>
      <c r="H260" s="78" t="n">
        <v>77.38128143491123</v>
      </c>
      <c r="I260" s="78" t="n">
        <v>77.46933811507317</v>
      </c>
    </row>
    <row r="261">
      <c r="A261" t="inlineStr">
        <is>
          <t>Bioinformatics staff</t>
        </is>
      </c>
      <c r="B261" t="inlineStr">
        <is>
          <t>QLD</t>
        </is>
      </c>
      <c r="C261" s="44" t="inlineStr">
        <is>
          <t>Professional Development Allowance</t>
        </is>
      </c>
      <c r="D261" s="78" t="n">
        <v>246982.6646538461</v>
      </c>
      <c r="E261" s="78" t="n">
        <v>248808.6646538461</v>
      </c>
      <c r="F261" s="78" t="n">
        <v>248982.6646538461</v>
      </c>
      <c r="G261" s="78" t="n">
        <v>124.9912270515415</v>
      </c>
      <c r="H261" s="78" t="n">
        <v>125.9153161203675</v>
      </c>
      <c r="I261" s="78" t="n">
        <v>126.0033728005294</v>
      </c>
    </row>
    <row r="262">
      <c r="A262" t="inlineStr">
        <is>
          <t>Pathologists</t>
        </is>
      </c>
      <c r="B262" t="inlineStr">
        <is>
          <t>QLD</t>
        </is>
      </c>
      <c r="C262" s="44" t="inlineStr">
        <is>
          <t>Professional Development Allowance</t>
        </is>
      </c>
      <c r="D262" s="78" t="n">
        <v>647427.8987692308</v>
      </c>
      <c r="E262" s="78" t="n">
        <v>668927.8987692308</v>
      </c>
      <c r="F262" s="78" t="n">
        <v>668927.8987692308</v>
      </c>
      <c r="G262" s="78" t="n">
        <v>327.6456977577079</v>
      </c>
      <c r="H262" s="78" t="n">
        <v>338.5262645593273</v>
      </c>
      <c r="I262" s="78" t="n">
        <v>338.5262645593273</v>
      </c>
    </row>
    <row r="263">
      <c r="A263" t="inlineStr">
        <is>
          <t>Lab technician</t>
        </is>
      </c>
      <c r="B263" t="inlineStr">
        <is>
          <t>WA</t>
        </is>
      </c>
      <c r="C263" s="44" t="inlineStr">
        <is>
          <t>Professional Development Allowance</t>
        </is>
      </c>
      <c r="D263" s="78" t="n">
        <v>184365.5033846154</v>
      </c>
      <c r="E263" s="78" t="n">
        <v>184365.5033846154</v>
      </c>
      <c r="F263" s="78" t="n">
        <v>186365.5033846154</v>
      </c>
      <c r="G263" s="78" t="n">
        <v>93.30238025537216</v>
      </c>
      <c r="H263" s="78" t="n">
        <v>93.30238025537216</v>
      </c>
      <c r="I263" s="78" t="n">
        <v>94.31452600436002</v>
      </c>
    </row>
    <row r="264">
      <c r="A264" t="inlineStr">
        <is>
          <t>Medical scientist</t>
        </is>
      </c>
      <c r="B264" t="inlineStr">
        <is>
          <t>WA</t>
        </is>
      </c>
      <c r="C264" s="44" t="inlineStr">
        <is>
          <t>Professional Development Allowance</t>
        </is>
      </c>
      <c r="D264" s="78" t="n">
        <v>281686.4540769231</v>
      </c>
      <c r="E264" s="78" t="n">
        <v>281686.4540769231</v>
      </c>
      <c r="F264" s="78" t="n">
        <v>283686.4540769231</v>
      </c>
      <c r="G264" s="78" t="n">
        <v>142.5538735207101</v>
      </c>
      <c r="H264" s="78" t="n">
        <v>142.5538735207101</v>
      </c>
      <c r="I264" s="78" t="n">
        <v>143.5660192696979</v>
      </c>
    </row>
    <row r="265">
      <c r="A265" t="inlineStr">
        <is>
          <t>Admin staff</t>
        </is>
      </c>
      <c r="B265" t="inlineStr">
        <is>
          <t>WA</t>
        </is>
      </c>
      <c r="C265" s="44" t="inlineStr">
        <is>
          <t>Professional Development Allowance</t>
        </is>
      </c>
      <c r="D265" s="78" t="n">
        <v>163559.5432307692</v>
      </c>
      <c r="E265" s="78" t="n">
        <v>163559.5432307692</v>
      </c>
      <c r="F265" s="78" t="n">
        <v>165559.5432307692</v>
      </c>
      <c r="G265" s="78" t="n">
        <v>82.77304819370912</v>
      </c>
      <c r="H265" s="78" t="n">
        <v>82.77304819370912</v>
      </c>
      <c r="I265" s="78" t="n">
        <v>83.78519394269698</v>
      </c>
    </row>
    <row r="266">
      <c r="A266" t="inlineStr">
        <is>
          <t>Bioinformatics staff</t>
        </is>
      </c>
      <c r="B266" t="inlineStr">
        <is>
          <t>WA</t>
        </is>
      </c>
      <c r="C266" s="44" t="inlineStr">
        <is>
          <t>Professional Development Allowance</t>
        </is>
      </c>
      <c r="D266" s="78" t="n">
        <v>224182.0248461539</v>
      </c>
      <c r="E266" s="78" t="n">
        <v>224182.0248461539</v>
      </c>
      <c r="F266" s="78" t="n">
        <v>226182.0248461539</v>
      </c>
      <c r="G266" s="78" t="n">
        <v>113.4524417237621</v>
      </c>
      <c r="H266" s="78" t="n">
        <v>113.4524417237621</v>
      </c>
      <c r="I266" s="78" t="n">
        <v>114.4645874727499</v>
      </c>
    </row>
    <row r="267">
      <c r="A267" t="inlineStr">
        <is>
          <t>Pathologists</t>
        </is>
      </c>
      <c r="B267" t="inlineStr">
        <is>
          <t>WA</t>
        </is>
      </c>
      <c r="C267" s="44" t="inlineStr">
        <is>
          <t>Professional Development Allowance</t>
        </is>
      </c>
      <c r="D267" s="78" t="n">
        <v>810151.7298461539</v>
      </c>
      <c r="E267" s="78" t="n">
        <v>839060.7298461539</v>
      </c>
      <c r="F267" s="78" t="n">
        <v>839060.7298461539</v>
      </c>
      <c r="G267" s="78" t="n">
        <v>409.9958146994706</v>
      </c>
      <c r="H267" s="78" t="n">
        <v>424.6258754282155</v>
      </c>
      <c r="I267" s="78" t="n">
        <v>424.6258754282155</v>
      </c>
    </row>
    <row r="268">
      <c r="A268" t="inlineStr">
        <is>
          <t>Lab technician</t>
        </is>
      </c>
      <c r="B268" t="inlineStr">
        <is>
          <t>ALL</t>
        </is>
      </c>
      <c r="C268" s="44" t="inlineStr">
        <is>
          <t>Professional Development Allowance</t>
        </is>
      </c>
      <c r="D268" s="44" t="n">
        <v>191900.8622381538</v>
      </c>
      <c r="E268" s="44" t="n">
        <v>192266.0622381538</v>
      </c>
      <c r="F268" s="44" t="n">
        <v>193900.8622381538</v>
      </c>
      <c r="G268" s="44" t="n">
        <v>97.11582097072562</v>
      </c>
      <c r="H268" s="44" t="n">
        <v>97.3006387844908</v>
      </c>
      <c r="I268" s="44" t="n">
        <v>98.12796671971347</v>
      </c>
    </row>
    <row r="269">
      <c r="A269" t="inlineStr">
        <is>
          <t>Medical scientist</t>
        </is>
      </c>
      <c r="B269" t="inlineStr">
        <is>
          <t>ALL</t>
        </is>
      </c>
      <c r="C269" s="44" t="inlineStr">
        <is>
          <t>Professional Development Allowance</t>
        </is>
      </c>
      <c r="D269" s="44" t="n">
        <v>260649.8931033846</v>
      </c>
      <c r="E269" s="44" t="n">
        <v>261015.0931033847</v>
      </c>
      <c r="F269" s="44" t="n">
        <v>262649.8931033846</v>
      </c>
      <c r="G269" s="44" t="n">
        <v>131.9078406393647</v>
      </c>
      <c r="H269" s="44" t="n">
        <v>132.0926584531299</v>
      </c>
      <c r="I269" s="44" t="n">
        <v>132.9199863883526</v>
      </c>
    </row>
    <row r="270">
      <c r="A270" t="inlineStr">
        <is>
          <t>Admin staff</t>
        </is>
      </c>
      <c r="B270" t="inlineStr">
        <is>
          <t>ALL</t>
        </is>
      </c>
      <c r="C270" s="44" t="inlineStr">
        <is>
          <t>Professional Development Allowance</t>
        </is>
      </c>
      <c r="D270" s="44" t="n">
        <v>159661.6339790769</v>
      </c>
      <c r="E270" s="44" t="n">
        <v>160026.8339790769</v>
      </c>
      <c r="F270" s="44" t="n">
        <v>161661.6339790769</v>
      </c>
      <c r="G270" s="44" t="n">
        <v>80.80042205418873</v>
      </c>
      <c r="H270" s="44" t="n">
        <v>80.98523986795389</v>
      </c>
      <c r="I270" s="44" t="n">
        <v>81.81256780317658</v>
      </c>
    </row>
    <row r="271">
      <c r="A271" t="inlineStr">
        <is>
          <t>Bioinformatics staff</t>
        </is>
      </c>
      <c r="B271" t="inlineStr">
        <is>
          <t>ALL</t>
        </is>
      </c>
      <c r="C271" s="44" t="inlineStr">
        <is>
          <t>Professional Development Allowance</t>
        </is>
      </c>
      <c r="D271" s="44" t="n">
        <v>236190.3769615385</v>
      </c>
      <c r="E271" s="44" t="n">
        <v>236555.5769615385</v>
      </c>
      <c r="F271" s="44" t="n">
        <v>238190.3769615385</v>
      </c>
      <c r="G271" s="44" t="n">
        <v>119.52954299673</v>
      </c>
      <c r="H271" s="44" t="n">
        <v>119.7143608104952</v>
      </c>
      <c r="I271" s="44" t="n">
        <v>120.5416887457179</v>
      </c>
    </row>
    <row r="272">
      <c r="A272" t="inlineStr">
        <is>
          <t>Pathologists</t>
        </is>
      </c>
      <c r="B272" t="inlineStr">
        <is>
          <t>ALL</t>
        </is>
      </c>
      <c r="C272" s="44" t="inlineStr">
        <is>
          <t>Professional Development Allowance</t>
        </is>
      </c>
      <c r="D272" s="44" t="n">
        <v>730785.9040039999</v>
      </c>
      <c r="E272" s="44" t="n">
        <v>759694.9040039999</v>
      </c>
      <c r="F272" s="44" t="n">
        <v>759694.9040039999</v>
      </c>
      <c r="G272" s="44" t="n">
        <v>369.8309230789473</v>
      </c>
      <c r="H272" s="44" t="n">
        <v>384.4609838076923</v>
      </c>
      <c r="I272" s="44" t="n">
        <v>384.4609838076923</v>
      </c>
    </row>
    <row r="273">
      <c r="A273" t="inlineStr">
        <is>
          <t>Lab technician</t>
        </is>
      </c>
      <c r="B273" t="inlineStr">
        <is>
          <t>VIC</t>
        </is>
      </c>
      <c r="C273" s="44" t="inlineStr">
        <is>
          <t>Annual Leave</t>
        </is>
      </c>
      <c r="D273" s="78" t="n">
        <v>234193.554</v>
      </c>
      <c r="E273" s="78" t="n">
        <v>242777.2905384615</v>
      </c>
      <c r="F273" s="78" t="n">
        <v>244923.2246730769</v>
      </c>
      <c r="G273" s="78" t="n">
        <v>118.5190050607287</v>
      </c>
      <c r="H273" s="78" t="n">
        <v>122.8630012846465</v>
      </c>
      <c r="I273" s="78" t="n">
        <v>123.949000340626</v>
      </c>
    </row>
    <row r="274">
      <c r="A274" t="inlineStr">
        <is>
          <t>Medical scientist</t>
        </is>
      </c>
      <c r="B274" t="inlineStr">
        <is>
          <t>VIC</t>
        </is>
      </c>
      <c r="C274" s="44" t="inlineStr">
        <is>
          <t>Annual Leave</t>
        </is>
      </c>
      <c r="D274" s="78" t="n">
        <v>251232.1344</v>
      </c>
      <c r="E274" s="78" t="n">
        <v>262742.4344</v>
      </c>
      <c r="F274" s="78" t="n">
        <v>262742.4344</v>
      </c>
      <c r="G274" s="78" t="n">
        <v>127.1417684210527</v>
      </c>
      <c r="H274" s="78" t="n">
        <v>132.9668190283401</v>
      </c>
      <c r="I274" s="78" t="n">
        <v>132.9668190283401</v>
      </c>
    </row>
    <row r="275">
      <c r="A275" t="inlineStr">
        <is>
          <t>Admin staff</t>
        </is>
      </c>
      <c r="B275" t="inlineStr">
        <is>
          <t>VIC</t>
        </is>
      </c>
      <c r="C275" s="44" t="inlineStr">
        <is>
          <t>Annual Leave</t>
        </is>
      </c>
      <c r="D275" s="78" t="n">
        <v>191313.513</v>
      </c>
      <c r="E275" s="78" t="n">
        <v>198325.5966538462</v>
      </c>
      <c r="F275" s="78" t="n">
        <v>200078.6175673077</v>
      </c>
      <c r="G275" s="78" t="n">
        <v>96.8185794534413</v>
      </c>
      <c r="H275" s="78" t="n">
        <v>100.3672047843351</v>
      </c>
      <c r="I275" s="78" t="n">
        <v>101.2543611170586</v>
      </c>
    </row>
    <row r="276">
      <c r="A276" t="inlineStr">
        <is>
          <t>Bioinformatics staff</t>
        </is>
      </c>
      <c r="B276" t="inlineStr">
        <is>
          <t>VIC</t>
        </is>
      </c>
      <c r="C276" s="44" t="inlineStr">
        <is>
          <t>Annual Leave</t>
        </is>
      </c>
      <c r="D276" s="78" t="n">
        <v>251189.226</v>
      </c>
      <c r="E276" s="78" t="n">
        <v>260395.8933076923</v>
      </c>
      <c r="F276" s="78" t="n">
        <v>262697.5601346154</v>
      </c>
      <c r="G276" s="78" t="n">
        <v>127.1200536437247</v>
      </c>
      <c r="H276" s="78" t="n">
        <v>131.7792982326378</v>
      </c>
      <c r="I276" s="78" t="n">
        <v>132.9441093798661</v>
      </c>
    </row>
    <row r="277">
      <c r="A277" t="inlineStr">
        <is>
          <t>Pathologists</t>
        </is>
      </c>
      <c r="B277" t="inlineStr">
        <is>
          <t>VIC</t>
        </is>
      </c>
      <c r="C277" s="44" t="inlineStr">
        <is>
          <t>Annual Leave</t>
        </is>
      </c>
      <c r="D277" s="78" t="n">
        <v>759547.4814</v>
      </c>
      <c r="E277" s="78" t="n">
        <v>786323.7339000001</v>
      </c>
      <c r="F277" s="78" t="n">
        <v>793017.7970250002</v>
      </c>
      <c r="G277" s="78" t="n">
        <v>384.3863772267206</v>
      </c>
      <c r="H277" s="78" t="n">
        <v>397.9371122975709</v>
      </c>
      <c r="I277" s="78" t="n">
        <v>401.3247960652835</v>
      </c>
    </row>
    <row r="278">
      <c r="A278" t="inlineStr">
        <is>
          <t>Lab technician</t>
        </is>
      </c>
      <c r="B278" t="inlineStr">
        <is>
          <t>SA</t>
        </is>
      </c>
      <c r="C278" s="44" t="inlineStr">
        <is>
          <t>Annual Leave</t>
        </is>
      </c>
      <c r="D278" s="78" t="n">
        <v>177948.843</v>
      </c>
      <c r="E278" s="78" t="n">
        <v>183923.6891538462</v>
      </c>
      <c r="F278" s="78" t="n">
        <v>185417.4006923077</v>
      </c>
      <c r="G278" s="78" t="n">
        <v>90.05508248987853</v>
      </c>
      <c r="H278" s="78" t="n">
        <v>93.07879005761446</v>
      </c>
      <c r="I278" s="78" t="n">
        <v>93.83471694954844</v>
      </c>
    </row>
    <row r="279">
      <c r="A279" t="inlineStr">
        <is>
          <t>Medical scientist</t>
        </is>
      </c>
      <c r="B279" t="inlineStr">
        <is>
          <t>SA</t>
        </is>
      </c>
      <c r="C279" s="44" t="inlineStr">
        <is>
          <t>Annual Leave</t>
        </is>
      </c>
      <c r="D279" s="78" t="n">
        <v>238809.258</v>
      </c>
      <c r="E279" s="78" t="n">
        <v>248832.1426153846</v>
      </c>
      <c r="F279" s="78" t="n">
        <v>248832.1426153846</v>
      </c>
      <c r="G279" s="78" t="n">
        <v>120.8548876518219</v>
      </c>
      <c r="H279" s="78" t="n">
        <v>125.9271976798505</v>
      </c>
      <c r="I279" s="78" t="n">
        <v>125.9271976798505</v>
      </c>
    </row>
    <row r="280">
      <c r="A280" t="inlineStr">
        <is>
          <t>Admin staff</t>
        </is>
      </c>
      <c r="B280" t="inlineStr">
        <is>
          <t>SA</t>
        </is>
      </c>
      <c r="C280" s="44" t="inlineStr">
        <is>
          <t>Annual Leave</t>
        </is>
      </c>
      <c r="D280" s="78" t="n">
        <v>145189.834</v>
      </c>
      <c r="E280" s="78" t="n">
        <v>150064.7570769231</v>
      </c>
      <c r="F280" s="78" t="n">
        <v>151283.4878461538</v>
      </c>
      <c r="G280" s="78" t="n">
        <v>73.4766366396761</v>
      </c>
      <c r="H280" s="78" t="n">
        <v>75.94370297415135</v>
      </c>
      <c r="I280" s="78" t="n">
        <v>76.56046955777016</v>
      </c>
    </row>
    <row r="281">
      <c r="A281" t="inlineStr">
        <is>
          <t>Bioinformatics staff</t>
        </is>
      </c>
      <c r="B281" t="inlineStr">
        <is>
          <t>SA</t>
        </is>
      </c>
      <c r="C281" s="44" t="inlineStr">
        <is>
          <t>Annual Leave</t>
        </is>
      </c>
      <c r="D281" s="78" t="n">
        <v>209826.9625</v>
      </c>
      <c r="E281" s="78" t="n">
        <v>216872.1548076923</v>
      </c>
      <c r="F281" s="78" t="n">
        <v>218633.4528846154</v>
      </c>
      <c r="G281" s="78" t="n">
        <v>106.1877340587045</v>
      </c>
      <c r="H281" s="78" t="n">
        <v>109.7531147812208</v>
      </c>
      <c r="I281" s="78" t="n">
        <v>110.6444599618499</v>
      </c>
    </row>
    <row r="282">
      <c r="A282" t="inlineStr">
        <is>
          <t>Pathologists</t>
        </is>
      </c>
      <c r="B282" t="inlineStr">
        <is>
          <t>SA</t>
        </is>
      </c>
      <c r="C282" s="44" t="inlineStr">
        <is>
          <t>Annual Leave</t>
        </is>
      </c>
      <c r="D282" s="78" t="n">
        <v>813411.653</v>
      </c>
      <c r="E282" s="78" t="n">
        <v>842427.4306442309</v>
      </c>
      <c r="F282" s="78" t="n">
        <v>842427.4306442309</v>
      </c>
      <c r="G282" s="78" t="n">
        <v>411.6455733805668</v>
      </c>
      <c r="H282" s="78" t="n">
        <v>426.3296713786594</v>
      </c>
      <c r="I282" s="78" t="n">
        <v>426.3296713786594</v>
      </c>
    </row>
    <row r="283">
      <c r="A283" t="inlineStr">
        <is>
          <t>Lab technician</t>
        </is>
      </c>
      <c r="B283" t="inlineStr">
        <is>
          <t>NSW</t>
        </is>
      </c>
      <c r="C283" s="44" t="inlineStr">
        <is>
          <t>Annual Leave</t>
        </is>
      </c>
      <c r="D283" s="78" t="n">
        <v>177867.64996</v>
      </c>
      <c r="E283" s="78" t="n">
        <v>183839.76996</v>
      </c>
      <c r="F283" s="78" t="n">
        <v>185332.79996</v>
      </c>
      <c r="G283" s="78" t="n">
        <v>90.01399289473683</v>
      </c>
      <c r="H283" s="78" t="n">
        <v>93.03632082995951</v>
      </c>
      <c r="I283" s="78" t="n">
        <v>93.79190281376518</v>
      </c>
    </row>
    <row r="284">
      <c r="A284" t="inlineStr">
        <is>
          <t>Medical scientist</t>
        </is>
      </c>
      <c r="B284" t="inlineStr">
        <is>
          <t>NSW</t>
        </is>
      </c>
      <c r="C284" s="44" t="inlineStr">
        <is>
          <t>Annual Leave</t>
        </is>
      </c>
      <c r="D284" s="78" t="n">
        <v>253750.61088</v>
      </c>
      <c r="E284" s="78" t="n">
        <v>263051.15888</v>
      </c>
      <c r="F284" s="78" t="n">
        <v>265376.29588</v>
      </c>
      <c r="G284" s="78" t="n">
        <v>128.4163010526316</v>
      </c>
      <c r="H284" s="78" t="n">
        <v>133.1230561133603</v>
      </c>
      <c r="I284" s="78" t="n">
        <v>134.2997448785425</v>
      </c>
    </row>
    <row r="285">
      <c r="A285" t="inlineStr">
        <is>
          <t>Admin staff</t>
        </is>
      </c>
      <c r="B285" t="inlineStr">
        <is>
          <t>NSW</t>
        </is>
      </c>
      <c r="C285" s="44" t="inlineStr">
        <is>
          <t>Annual Leave</t>
        </is>
      </c>
      <c r="D285" s="78" t="n">
        <v>132747.59628</v>
      </c>
      <c r="E285" s="78" t="n">
        <v>137204.75628</v>
      </c>
      <c r="F285" s="78" t="n">
        <v>138319.04628</v>
      </c>
      <c r="G285" s="78" t="n">
        <v>67.17995763157894</v>
      </c>
      <c r="H285" s="78" t="n">
        <v>69.43560540485831</v>
      </c>
      <c r="I285" s="78" t="n">
        <v>69.99951734817814</v>
      </c>
    </row>
    <row r="286">
      <c r="A286" t="inlineStr">
        <is>
          <t>Bioinformatics staff</t>
        </is>
      </c>
      <c r="B286" t="inlineStr">
        <is>
          <t>NSW</t>
        </is>
      </c>
      <c r="C286" s="44" t="inlineStr">
        <is>
          <t>Annual Leave</t>
        </is>
      </c>
      <c r="D286" s="78" t="n">
        <v>223011.477</v>
      </c>
      <c r="E286" s="78" t="n">
        <v>231185.3645</v>
      </c>
      <c r="F286" s="78" t="n">
        <v>233228.836375</v>
      </c>
      <c r="G286" s="78" t="n">
        <v>112.8600592105263</v>
      </c>
      <c r="H286" s="78" t="n">
        <v>116.9966419534413</v>
      </c>
      <c r="I286" s="78" t="n">
        <v>118.03078763917</v>
      </c>
    </row>
    <row r="287">
      <c r="A287" t="inlineStr">
        <is>
          <t>Pathologists</t>
        </is>
      </c>
      <c r="B287" t="inlineStr">
        <is>
          <t>NSW</t>
        </is>
      </c>
      <c r="C287" s="44" t="inlineStr">
        <is>
          <t>Annual Leave</t>
        </is>
      </c>
      <c r="D287" s="78" t="n">
        <v>593743.76</v>
      </c>
      <c r="E287" s="78" t="n">
        <v>617527.22875</v>
      </c>
      <c r="F287" s="78" t="n">
        <v>617527.22875</v>
      </c>
      <c r="G287" s="78" t="n">
        <v>300.4776113360324</v>
      </c>
      <c r="H287" s="78" t="n">
        <v>312.5137797317814</v>
      </c>
      <c r="I287" s="78" t="n">
        <v>312.5137797317814</v>
      </c>
    </row>
    <row r="288">
      <c r="A288" t="inlineStr">
        <is>
          <t>Lab technician</t>
        </is>
      </c>
      <c r="B288" t="inlineStr">
        <is>
          <t>QLD</t>
        </is>
      </c>
      <c r="C288" s="44" t="inlineStr">
        <is>
          <t>Annual Leave</t>
        </is>
      </c>
      <c r="D288" s="78" t="n">
        <v>162645.036</v>
      </c>
      <c r="E288" s="78" t="n">
        <v>168044.7283076923</v>
      </c>
      <c r="F288" s="78" t="n">
        <v>169394.6513846154</v>
      </c>
      <c r="G288" s="78" t="n">
        <v>82.31024089068828</v>
      </c>
      <c r="H288" s="78" t="n">
        <v>85.04287869822485</v>
      </c>
      <c r="I288" s="78" t="n">
        <v>85.72603815010901</v>
      </c>
    </row>
    <row r="289">
      <c r="A289" t="inlineStr">
        <is>
          <t>Medical scientist</t>
        </is>
      </c>
      <c r="B289" t="inlineStr">
        <is>
          <t>QLD</t>
        </is>
      </c>
      <c r="C289" s="44" t="inlineStr">
        <is>
          <t>Annual Leave</t>
        </is>
      </c>
      <c r="D289" s="78" t="n">
        <v>240785.3185</v>
      </c>
      <c r="E289" s="78" t="n">
        <v>248808.6646538461</v>
      </c>
      <c r="F289" s="78" t="n">
        <v>250814.5011923077</v>
      </c>
      <c r="G289" s="78" t="n">
        <v>121.8549182692308</v>
      </c>
      <c r="H289" s="78" t="n">
        <v>125.9153161203675</v>
      </c>
      <c r="I289" s="78" t="n">
        <v>126.9304155831517</v>
      </c>
    </row>
    <row r="290">
      <c r="A290" t="inlineStr">
        <is>
          <t>Admin staff</t>
        </is>
      </c>
      <c r="B290" t="inlineStr">
        <is>
          <t>QLD</t>
        </is>
      </c>
      <c r="C290" s="44" t="inlineStr">
        <is>
          <t>Annual Leave</t>
        </is>
      </c>
      <c r="D290" s="78" t="n">
        <v>147997.5275</v>
      </c>
      <c r="E290" s="78" t="n">
        <v>152905.4121153846</v>
      </c>
      <c r="F290" s="78" t="n">
        <v>154132.3832692308</v>
      </c>
      <c r="G290" s="78" t="n">
        <v>74.89753415991902</v>
      </c>
      <c r="H290" s="78" t="n">
        <v>77.38128143491123</v>
      </c>
      <c r="I290" s="78" t="n">
        <v>78.00221825365931</v>
      </c>
    </row>
    <row r="291">
      <c r="A291" t="inlineStr">
        <is>
          <t>Bioinformatics staff</t>
        </is>
      </c>
      <c r="B291" t="inlineStr">
        <is>
          <t>QLD</t>
        </is>
      </c>
      <c r="C291" s="44" t="inlineStr">
        <is>
          <t>Annual Leave</t>
        </is>
      </c>
      <c r="D291" s="78" t="n">
        <v>240785.3185</v>
      </c>
      <c r="E291" s="78" t="n">
        <v>248808.6646538461</v>
      </c>
      <c r="F291" s="78" t="n">
        <v>250814.5011923077</v>
      </c>
      <c r="G291" s="78" t="n">
        <v>121.8549182692308</v>
      </c>
      <c r="H291" s="78" t="n">
        <v>125.9153161203675</v>
      </c>
      <c r="I291" s="78" t="n">
        <v>126.9304155831517</v>
      </c>
    </row>
    <row r="292">
      <c r="A292" t="inlineStr">
        <is>
          <t>Pathologists</t>
        </is>
      </c>
      <c r="B292" t="inlineStr">
        <is>
          <t>QLD</t>
        </is>
      </c>
      <c r="C292" s="44" t="inlineStr">
        <is>
          <t>Annual Leave</t>
        </is>
      </c>
      <c r="D292" s="78" t="n">
        <v>651562.6680000001</v>
      </c>
      <c r="E292" s="78" t="n">
        <v>668927.8987692308</v>
      </c>
      <c r="F292" s="78" t="n">
        <v>673269.2064615386</v>
      </c>
      <c r="G292" s="78" t="n">
        <v>329.7381923076923</v>
      </c>
      <c r="H292" s="78" t="n">
        <v>338.5262645593273</v>
      </c>
      <c r="I292" s="78" t="n">
        <v>340.7232826222361</v>
      </c>
    </row>
    <row r="293">
      <c r="A293" t="inlineStr">
        <is>
          <t>Lab technician</t>
        </is>
      </c>
      <c r="B293" t="inlineStr">
        <is>
          <t>WA</t>
        </is>
      </c>
      <c r="C293" s="44" t="inlineStr">
        <is>
          <t>Annual Leave</t>
        </is>
      </c>
      <c r="D293" s="78" t="n">
        <v>177777.688</v>
      </c>
      <c r="E293" s="78" t="n">
        <v>184365.5033846154</v>
      </c>
      <c r="F293" s="78" t="n">
        <v>186012.4572307692</v>
      </c>
      <c r="G293" s="78" t="n">
        <v>89.96846558704453</v>
      </c>
      <c r="H293" s="78" t="n">
        <v>93.30238025537216</v>
      </c>
      <c r="I293" s="78" t="n">
        <v>94.13585892245408</v>
      </c>
    </row>
    <row r="294">
      <c r="A294" t="inlineStr">
        <is>
          <t>Medical scientist</t>
        </is>
      </c>
      <c r="B294" t="inlineStr">
        <is>
          <t>WA</t>
        </is>
      </c>
      <c r="C294" s="44" t="inlineStr">
        <is>
          <t>Annual Leave</t>
        </is>
      </c>
      <c r="D294" s="78" t="n">
        <v>271621.131</v>
      </c>
      <c r="E294" s="78" t="n">
        <v>281686.4540769231</v>
      </c>
      <c r="F294" s="78" t="n">
        <v>284202.7848461538</v>
      </c>
      <c r="G294" s="78" t="n">
        <v>137.4600865384615</v>
      </c>
      <c r="H294" s="78" t="n">
        <v>142.5538735207101</v>
      </c>
      <c r="I294" s="78" t="n">
        <v>143.8273202662722</v>
      </c>
    </row>
    <row r="295">
      <c r="A295" t="inlineStr">
        <is>
          <t>Admin staff</t>
        </is>
      </c>
      <c r="B295" t="inlineStr">
        <is>
          <t>WA</t>
        </is>
      </c>
      <c r="C295" s="44" t="inlineStr">
        <is>
          <t>Annual Leave</t>
        </is>
      </c>
      <c r="D295" s="78" t="n">
        <v>157715.174</v>
      </c>
      <c r="E295" s="78" t="n">
        <v>163559.5432307692</v>
      </c>
      <c r="F295" s="78" t="n">
        <v>165020.6355384616</v>
      </c>
      <c r="G295" s="78" t="n">
        <v>79.81537145748989</v>
      </c>
      <c r="H295" s="78" t="n">
        <v>82.77304819370912</v>
      </c>
      <c r="I295" s="78" t="n">
        <v>83.51246737776395</v>
      </c>
    </row>
    <row r="296">
      <c r="A296" t="inlineStr">
        <is>
          <t>Bioinformatics staff</t>
        </is>
      </c>
      <c r="B296" t="inlineStr">
        <is>
          <t>WA</t>
        </is>
      </c>
      <c r="C296" s="44" t="inlineStr">
        <is>
          <t>Annual Leave</t>
        </is>
      </c>
      <c r="D296" s="78" t="n">
        <v>216171.471</v>
      </c>
      <c r="E296" s="78" t="n">
        <v>224182.0248461539</v>
      </c>
      <c r="F296" s="78" t="n">
        <v>226184.6633076923</v>
      </c>
      <c r="G296" s="78" t="n">
        <v>109.3985177125506</v>
      </c>
      <c r="H296" s="78" t="n">
        <v>113.4524417237621</v>
      </c>
      <c r="I296" s="78" t="n">
        <v>114.465922726565</v>
      </c>
    </row>
    <row r="297">
      <c r="A297" t="inlineStr">
        <is>
          <t>Pathologists</t>
        </is>
      </c>
      <c r="B297" t="inlineStr">
        <is>
          <t>WA</t>
        </is>
      </c>
      <c r="C297" s="44" t="inlineStr">
        <is>
          <t>Annual Leave</t>
        </is>
      </c>
      <c r="D297" s="78" t="n">
        <v>812742.576</v>
      </c>
      <c r="E297" s="78" t="n">
        <v>839060.7298461539</v>
      </c>
      <c r="F297" s="78" t="n">
        <v>845640.2683076924</v>
      </c>
      <c r="G297" s="78" t="n">
        <v>411.306971659919</v>
      </c>
      <c r="H297" s="78" t="n">
        <v>424.6258754282155</v>
      </c>
      <c r="I297" s="78" t="n">
        <v>427.9556013702897</v>
      </c>
    </row>
    <row r="298">
      <c r="A298" t="inlineStr">
        <is>
          <t>Lab technician</t>
        </is>
      </c>
      <c r="B298" t="inlineStr">
        <is>
          <t>ALL</t>
        </is>
      </c>
      <c r="C298" s="44" t="inlineStr">
        <is>
          <t>Annual Leave</t>
        </is>
      </c>
      <c r="D298" s="44" t="n">
        <v>185785.572592</v>
      </c>
      <c r="E298" s="44" t="n">
        <v>192266.0622381538</v>
      </c>
      <c r="F298" s="44" t="n">
        <v>193886.1846496923</v>
      </c>
      <c r="G298" s="44" t="n">
        <v>94.0210387611336</v>
      </c>
      <c r="H298" s="44" t="n">
        <v>97.3006387844908</v>
      </c>
      <c r="I298" s="44" t="n">
        <v>98.12053879033013</v>
      </c>
    </row>
    <row r="299">
      <c r="A299" t="inlineStr">
        <is>
          <t>Medical scientist</t>
        </is>
      </c>
      <c r="B299" t="inlineStr">
        <is>
          <t>ALL</t>
        </is>
      </c>
      <c r="C299" s="44" t="inlineStr">
        <is>
          <t>Annual Leave</t>
        </is>
      </c>
      <c r="D299" s="44" t="n">
        <v>251202.750516</v>
      </c>
      <c r="E299" s="44" t="n">
        <v>261015.0931033847</v>
      </c>
      <c r="F299" s="44" t="n">
        <v>262353.1398198462</v>
      </c>
      <c r="G299" s="44" t="n">
        <v>127.126898034413</v>
      </c>
      <c r="H299" s="44" t="n">
        <v>132.0926584531299</v>
      </c>
      <c r="I299" s="44" t="n">
        <v>132.7698076011367</v>
      </c>
    </row>
    <row r="300">
      <c r="A300" t="inlineStr">
        <is>
          <t>Admin staff</t>
        </is>
      </c>
      <c r="B300" t="inlineStr">
        <is>
          <t>ALL</t>
        </is>
      </c>
      <c r="C300" s="44" t="inlineStr">
        <is>
          <t>Annual Leave</t>
        </is>
      </c>
      <c r="D300" s="44" t="n">
        <v>154635.062656</v>
      </c>
      <c r="E300" s="44" t="n">
        <v>160026.8339790769</v>
      </c>
      <c r="F300" s="44" t="n">
        <v>161374.7768098461</v>
      </c>
      <c r="G300" s="44" t="n">
        <v>78.25661065587043</v>
      </c>
      <c r="H300" s="44" t="n">
        <v>80.98523986795389</v>
      </c>
      <c r="I300" s="44" t="n">
        <v>81.66739717097477</v>
      </c>
    </row>
    <row r="301">
      <c r="A301" t="inlineStr">
        <is>
          <t>Bioinformatics staff</t>
        </is>
      </c>
      <c r="B301" t="inlineStr">
        <is>
          <t>ALL</t>
        </is>
      </c>
      <c r="C301" s="44" t="inlineStr">
        <is>
          <t>Annual Leave</t>
        </is>
      </c>
      <c r="D301" s="44" t="n">
        <v>228444.5935</v>
      </c>
      <c r="E301" s="44" t="n">
        <v>236555.5769615385</v>
      </c>
      <c r="F301" s="44" t="n">
        <v>238583.3228269231</v>
      </c>
      <c r="G301" s="44" t="n">
        <v>115.6096120951417</v>
      </c>
      <c r="H301" s="44" t="n">
        <v>119.7143608104952</v>
      </c>
      <c r="I301" s="44" t="n">
        <v>120.7405479893335</v>
      </c>
    </row>
    <row r="302">
      <c r="A302" t="inlineStr">
        <is>
          <t>Pathologists</t>
        </is>
      </c>
      <c r="B302" t="inlineStr">
        <is>
          <t>ALL</t>
        </is>
      </c>
      <c r="C302" s="44" t="inlineStr">
        <is>
          <t>Annual Leave</t>
        </is>
      </c>
      <c r="D302" s="44" t="n">
        <v>734796.5758239999</v>
      </c>
      <c r="E302" s="44" t="n">
        <v>759694.9040039999</v>
      </c>
      <c r="F302" s="44" t="n">
        <v>763090.130574</v>
      </c>
      <c r="G302" s="44" t="n">
        <v>371.8606152955465</v>
      </c>
      <c r="H302" s="44" t="n">
        <v>384.4609838076923</v>
      </c>
      <c r="I302" s="44" t="n">
        <v>386.1792158775303</v>
      </c>
    </row>
    <row r="303">
      <c r="A303" t="inlineStr">
        <is>
          <t>Lab technician</t>
        </is>
      </c>
      <c r="B303" t="inlineStr">
        <is>
          <t>VIC</t>
        </is>
      </c>
      <c r="C303" s="44" t="inlineStr">
        <is>
          <t xml:space="preserve">Leave Loading (%)		</t>
        </is>
      </c>
      <c r="D303" s="78" t="n">
        <v>224879.2866923077</v>
      </c>
      <c r="E303" s="78" t="n">
        <v>242777.2905384615</v>
      </c>
      <c r="F303" s="78" t="n">
        <v>245334.1482307692</v>
      </c>
      <c r="G303" s="78" t="n">
        <v>113.8053070305201</v>
      </c>
      <c r="H303" s="78" t="n">
        <v>122.8630012846465</v>
      </c>
      <c r="I303" s="78" t="n">
        <v>124.1569576066646</v>
      </c>
    </row>
    <row r="304">
      <c r="A304" t="inlineStr">
        <is>
          <t>Medical scientist</t>
        </is>
      </c>
      <c r="B304" t="inlineStr">
        <is>
          <t>VIC</t>
        </is>
      </c>
      <c r="C304" s="44" t="inlineStr">
        <is>
          <t xml:space="preserve">Leave Loading (%)		</t>
        </is>
      </c>
      <c r="D304" s="78" t="n">
        <v>243199.4144</v>
      </c>
      <c r="E304" s="78" t="n">
        <v>262742.4344</v>
      </c>
      <c r="F304" s="78" t="n">
        <v>265534.2944</v>
      </c>
      <c r="G304" s="78" t="n">
        <v>123.0766267206478</v>
      </c>
      <c r="H304" s="78" t="n">
        <v>132.9668190283401</v>
      </c>
      <c r="I304" s="78" t="n">
        <v>134.3797036437247</v>
      </c>
    </row>
    <row r="305">
      <c r="A305" t="inlineStr">
        <is>
          <t>Admin staff</t>
        </is>
      </c>
      <c r="B305" t="inlineStr">
        <is>
          <t>VIC</t>
        </is>
      </c>
      <c r="C305" s="44" t="inlineStr">
        <is>
          <t xml:space="preserve">Leave Loading (%)		</t>
        </is>
      </c>
      <c r="D305" s="78" t="n">
        <v>183704.6562692308</v>
      </c>
      <c r="E305" s="78" t="n">
        <v>198325.5966538462</v>
      </c>
      <c r="F305" s="78" t="n">
        <v>200414.3024230769</v>
      </c>
      <c r="G305" s="78" t="n">
        <v>92.96794345608845</v>
      </c>
      <c r="H305" s="78" t="n">
        <v>100.3672047843351</v>
      </c>
      <c r="I305" s="78" t="n">
        <v>101.4242421169418</v>
      </c>
    </row>
    <row r="306">
      <c r="A306" t="inlineStr">
        <is>
          <t>Bioinformatics staff</t>
        </is>
      </c>
      <c r="B306" t="inlineStr">
        <is>
          <t>VIC</t>
        </is>
      </c>
      <c r="C306" s="44" t="inlineStr">
        <is>
          <t xml:space="preserve">Leave Loading (%)		</t>
        </is>
      </c>
      <c r="D306" s="78" t="n">
        <v>241199.0125384615</v>
      </c>
      <c r="E306" s="78" t="n">
        <v>260395.8933076923</v>
      </c>
      <c r="F306" s="78" t="n">
        <v>263138.3048461538</v>
      </c>
      <c r="G306" s="78" t="n">
        <v>122.064277600436</v>
      </c>
      <c r="H306" s="78" t="n">
        <v>131.7792982326378</v>
      </c>
      <c r="I306" s="78" t="n">
        <v>133.1671583229523</v>
      </c>
    </row>
    <row r="307">
      <c r="A307" t="inlineStr">
        <is>
          <t>Pathologists</t>
        </is>
      </c>
      <c r="B307" t="inlineStr">
        <is>
          <t>VIC</t>
        </is>
      </c>
      <c r="C307" s="44" t="inlineStr">
        <is>
          <t xml:space="preserve">Leave Loading (%)		</t>
        </is>
      </c>
      <c r="D307" s="78" t="n">
        <v>730492.3989</v>
      </c>
      <c r="E307" s="78" t="n">
        <v>786323.7339000001</v>
      </c>
      <c r="F307" s="78" t="n">
        <v>794299.6389</v>
      </c>
      <c r="G307" s="78" t="n">
        <v>369.6823881072875</v>
      </c>
      <c r="H307" s="78" t="n">
        <v>397.9371122975709</v>
      </c>
      <c r="I307" s="78" t="n">
        <v>401.9735014676114</v>
      </c>
    </row>
    <row r="308">
      <c r="A308" t="inlineStr">
        <is>
          <t>Lab technician</t>
        </is>
      </c>
      <c r="B308" t="inlineStr">
        <is>
          <t>SA</t>
        </is>
      </c>
      <c r="C308" s="44" t="inlineStr">
        <is>
          <t xml:space="preserve">Leave Loading (%)		</t>
        </is>
      </c>
      <c r="D308" s="78" t="n">
        <v>183923.6891538462</v>
      </c>
      <c r="E308" s="78" t="n">
        <v>183923.6891538462</v>
      </c>
      <c r="F308" s="78" t="n">
        <v>200653.2583846154</v>
      </c>
      <c r="G308" s="78" t="n">
        <v>93.07879005761446</v>
      </c>
      <c r="H308" s="78" t="n">
        <v>93.07879005761446</v>
      </c>
      <c r="I308" s="78" t="n">
        <v>101.545171247275</v>
      </c>
    </row>
    <row r="309">
      <c r="A309" t="inlineStr">
        <is>
          <t>Medical scientist</t>
        </is>
      </c>
      <c r="B309" t="inlineStr">
        <is>
          <t>SA</t>
        </is>
      </c>
      <c r="C309" s="44" t="inlineStr">
        <is>
          <t xml:space="preserve">Leave Loading (%)		</t>
        </is>
      </c>
      <c r="D309" s="78" t="n">
        <v>248832.1426153846</v>
      </c>
      <c r="E309" s="78" t="n">
        <v>248832.1426153846</v>
      </c>
      <c r="F309" s="78" t="n">
        <v>271684.3195384615</v>
      </c>
      <c r="G309" s="78" t="n">
        <v>125.9271976798505</v>
      </c>
      <c r="H309" s="78" t="n">
        <v>125.9271976798505</v>
      </c>
      <c r="I309" s="78" t="n">
        <v>137.4920645437558</v>
      </c>
    </row>
    <row r="310">
      <c r="A310" t="inlineStr">
        <is>
          <t>Admin staff</t>
        </is>
      </c>
      <c r="B310" t="inlineStr">
        <is>
          <t>SA</t>
        </is>
      </c>
      <c r="C310" s="44" t="inlineStr">
        <is>
          <t xml:space="preserve">Leave Loading (%)		</t>
        </is>
      </c>
      <c r="D310" s="78" t="n">
        <v>150064.7570769231</v>
      </c>
      <c r="E310" s="78" t="n">
        <v>150064.7570769231</v>
      </c>
      <c r="F310" s="78" t="n">
        <v>163714.5416923077</v>
      </c>
      <c r="G310" s="78" t="n">
        <v>75.94370297415135</v>
      </c>
      <c r="H310" s="78" t="n">
        <v>75.94370297415135</v>
      </c>
      <c r="I310" s="78" t="n">
        <v>82.85148871068202</v>
      </c>
    </row>
    <row r="311">
      <c r="A311" t="inlineStr">
        <is>
          <t>Bioinformatics staff</t>
        </is>
      </c>
      <c r="B311" t="inlineStr">
        <is>
          <t>SA</t>
        </is>
      </c>
      <c r="C311" s="44" t="inlineStr">
        <is>
          <t xml:space="preserve">Leave Loading (%)		</t>
        </is>
      </c>
      <c r="D311" s="78" t="n">
        <v>216872.1548076923</v>
      </c>
      <c r="E311" s="78" t="n">
        <v>216872.1548076923</v>
      </c>
      <c r="F311" s="78" t="n">
        <v>236598.6932692307</v>
      </c>
      <c r="G311" s="78" t="n">
        <v>109.7531147812208</v>
      </c>
      <c r="H311" s="78" t="n">
        <v>109.7531147812208</v>
      </c>
      <c r="I311" s="78" t="n">
        <v>119.7361808042666</v>
      </c>
    </row>
    <row r="312">
      <c r="A312" t="inlineStr">
        <is>
          <t>Pathologists</t>
        </is>
      </c>
      <c r="B312" t="inlineStr">
        <is>
          <t>SA</t>
        </is>
      </c>
      <c r="C312" s="44" t="inlineStr">
        <is>
          <t xml:space="preserve">Leave Loading (%)		</t>
        </is>
      </c>
      <c r="D312" s="78" t="n">
        <v>793162.3443461539</v>
      </c>
      <c r="E312" s="78" t="n">
        <v>842427.4306442309</v>
      </c>
      <c r="F312" s="78" t="n">
        <v>849465.3001153846</v>
      </c>
      <c r="G312" s="78" t="n">
        <v>401.3979475436001</v>
      </c>
      <c r="H312" s="78" t="n">
        <v>426.3296713786594</v>
      </c>
      <c r="I312" s="78" t="n">
        <v>429.8913462122392</v>
      </c>
    </row>
    <row r="313">
      <c r="A313" t="inlineStr">
        <is>
          <t>Lab technician</t>
        </is>
      </c>
      <c r="B313" t="inlineStr">
        <is>
          <t>NSW</t>
        </is>
      </c>
      <c r="C313" s="44" t="inlineStr">
        <is>
          <t xml:space="preserve">Leave Loading (%)		</t>
        </is>
      </c>
      <c r="D313" s="78" t="n">
        <v>183839.76996</v>
      </c>
      <c r="E313" s="78" t="n">
        <v>183839.76996</v>
      </c>
      <c r="F313" s="78" t="n">
        <v>200561.70596</v>
      </c>
      <c r="G313" s="78" t="n">
        <v>93.03632082995951</v>
      </c>
      <c r="H313" s="78" t="n">
        <v>93.03632082995951</v>
      </c>
      <c r="I313" s="78" t="n">
        <v>101.498839048583</v>
      </c>
    </row>
    <row r="314">
      <c r="A314" t="inlineStr">
        <is>
          <t>Medical scientist</t>
        </is>
      </c>
      <c r="B314" t="inlineStr">
        <is>
          <t>NSW</t>
        </is>
      </c>
      <c r="C314" s="44" t="inlineStr">
        <is>
          <t xml:space="preserve">Leave Loading (%)		</t>
        </is>
      </c>
      <c r="D314" s="78" t="n">
        <v>243658.52688</v>
      </c>
      <c r="E314" s="78" t="n">
        <v>263051.15888</v>
      </c>
      <c r="F314" s="78" t="n">
        <v>265821.53488</v>
      </c>
      <c r="G314" s="78" t="n">
        <v>123.3089710931174</v>
      </c>
      <c r="H314" s="78" t="n">
        <v>133.1230561133603</v>
      </c>
      <c r="I314" s="78" t="n">
        <v>134.5250682591093</v>
      </c>
    </row>
    <row r="315">
      <c r="A315" t="inlineStr">
        <is>
          <t>Admin staff</t>
        </is>
      </c>
      <c r="B315" t="inlineStr">
        <is>
          <t>NSW</t>
        </is>
      </c>
      <c r="C315" s="44" t="inlineStr">
        <is>
          <t xml:space="preserve">Leave Loading (%)		</t>
        </is>
      </c>
      <c r="D315" s="78" t="n">
        <v>137204.75628</v>
      </c>
      <c r="E315" s="78" t="n">
        <v>137204.75628</v>
      </c>
      <c r="F315" s="78" t="n">
        <v>149684.80428</v>
      </c>
      <c r="G315" s="78" t="n">
        <v>69.43560540485831</v>
      </c>
      <c r="H315" s="78" t="n">
        <v>69.43560540485831</v>
      </c>
      <c r="I315" s="78" t="n">
        <v>75.75141917004048</v>
      </c>
    </row>
    <row r="316">
      <c r="A316" t="inlineStr">
        <is>
          <t>Bioinformatics staff</t>
        </is>
      </c>
      <c r="B316" t="inlineStr">
        <is>
          <t>NSW</t>
        </is>
      </c>
      <c r="C316" s="44" t="inlineStr">
        <is>
          <t xml:space="preserve">Leave Loading (%)		</t>
        </is>
      </c>
      <c r="D316" s="78" t="n">
        <v>214141.9395</v>
      </c>
      <c r="E316" s="78" t="n">
        <v>231185.3645</v>
      </c>
      <c r="F316" s="78" t="n">
        <v>233620.1395</v>
      </c>
      <c r="G316" s="78" t="n">
        <v>108.3714268724696</v>
      </c>
      <c r="H316" s="78" t="n">
        <v>116.9966419534413</v>
      </c>
      <c r="I316" s="78" t="n">
        <v>118.2288155364372</v>
      </c>
    </row>
    <row r="317">
      <c r="A317" t="inlineStr">
        <is>
          <t>Pathologists</t>
        </is>
      </c>
      <c r="B317" t="inlineStr">
        <is>
          <t>NSW</t>
        </is>
      </c>
      <c r="C317" s="44" t="inlineStr">
        <is>
          <t xml:space="preserve">Leave Loading (%)		</t>
        </is>
      </c>
      <c r="D317" s="78" t="n">
        <v>577145.9350000001</v>
      </c>
      <c r="E317" s="78" t="n">
        <v>617527.22875</v>
      </c>
      <c r="F317" s="78" t="n">
        <v>623295.9850000001</v>
      </c>
      <c r="G317" s="78" t="n">
        <v>292.0779023279352</v>
      </c>
      <c r="H317" s="78" t="n">
        <v>312.5137797317814</v>
      </c>
      <c r="I317" s="78" t="n">
        <v>315.4331907894737</v>
      </c>
    </row>
    <row r="318">
      <c r="A318" t="inlineStr">
        <is>
          <t>Lab technician</t>
        </is>
      </c>
      <c r="B318" t="inlineStr">
        <is>
          <t>QLD</t>
        </is>
      </c>
      <c r="C318" s="44" t="inlineStr">
        <is>
          <t xml:space="preserve">Leave Loading (%)		</t>
        </is>
      </c>
      <c r="D318" s="78" t="n">
        <v>168044.7283076923</v>
      </c>
      <c r="E318" s="78" t="n">
        <v>168044.7283076923</v>
      </c>
      <c r="F318" s="78" t="n">
        <v>183163.8667692307</v>
      </c>
      <c r="G318" s="78" t="n">
        <v>85.04287869822485</v>
      </c>
      <c r="H318" s="78" t="n">
        <v>85.04287869822485</v>
      </c>
      <c r="I318" s="78" t="n">
        <v>92.69426455932729</v>
      </c>
    </row>
    <row r="319">
      <c r="A319" t="inlineStr">
        <is>
          <t>Medical scientist</t>
        </is>
      </c>
      <c r="B319" t="inlineStr">
        <is>
          <t>QLD</t>
        </is>
      </c>
      <c r="C319" s="44" t="inlineStr">
        <is>
          <t xml:space="preserve">Leave Loading (%)		</t>
        </is>
      </c>
      <c r="D319" s="78" t="n">
        <v>248808.6646538461</v>
      </c>
      <c r="E319" s="78" t="n">
        <v>248808.6646538461</v>
      </c>
      <c r="F319" s="78" t="n">
        <v>271274.0338846153</v>
      </c>
      <c r="G319" s="78" t="n">
        <v>125.9153161203675</v>
      </c>
      <c r="H319" s="78" t="n">
        <v>125.9153161203675</v>
      </c>
      <c r="I319" s="78" t="n">
        <v>137.2844301035503</v>
      </c>
    </row>
    <row r="320">
      <c r="A320" t="inlineStr">
        <is>
          <t>Admin staff</t>
        </is>
      </c>
      <c r="B320" t="inlineStr">
        <is>
          <t>QLD</t>
        </is>
      </c>
      <c r="C320" s="44" t="inlineStr">
        <is>
          <t xml:space="preserve">Leave Loading (%)		</t>
        </is>
      </c>
      <c r="D320" s="78" t="n">
        <v>152905.4121153846</v>
      </c>
      <c r="E320" s="78" t="n">
        <v>152905.4121153846</v>
      </c>
      <c r="F320" s="78" t="n">
        <v>166647.4890384615</v>
      </c>
      <c r="G320" s="78" t="n">
        <v>77.38128143491123</v>
      </c>
      <c r="H320" s="78" t="n">
        <v>77.38128143491123</v>
      </c>
      <c r="I320" s="78" t="n">
        <v>84.33577380488944</v>
      </c>
    </row>
    <row r="321">
      <c r="A321" t="inlineStr">
        <is>
          <t>Bioinformatics staff</t>
        </is>
      </c>
      <c r="B321" t="inlineStr">
        <is>
          <t>QLD</t>
        </is>
      </c>
      <c r="C321" s="44" t="inlineStr">
        <is>
          <t xml:space="preserve">Leave Loading (%)		</t>
        </is>
      </c>
      <c r="D321" s="78" t="n">
        <v>248808.6646538461</v>
      </c>
      <c r="E321" s="78" t="n">
        <v>248808.6646538461</v>
      </c>
      <c r="F321" s="78" t="n">
        <v>271274.0338846153</v>
      </c>
      <c r="G321" s="78" t="n">
        <v>125.9153161203675</v>
      </c>
      <c r="H321" s="78" t="n">
        <v>125.9153161203675</v>
      </c>
      <c r="I321" s="78" t="n">
        <v>137.2844301035503</v>
      </c>
    </row>
    <row r="322">
      <c r="A322" t="inlineStr">
        <is>
          <t>Pathologists</t>
        </is>
      </c>
      <c r="B322" t="inlineStr">
        <is>
          <t>QLD</t>
        </is>
      </c>
      <c r="C322" s="44" t="inlineStr">
        <is>
          <t xml:space="preserve">Leave Loading (%)		</t>
        </is>
      </c>
      <c r="D322" s="78" t="n">
        <v>668927.8987692308</v>
      </c>
      <c r="E322" s="78" t="n">
        <v>668927.8987692308</v>
      </c>
      <c r="F322" s="78" t="n">
        <v>717550.5449230769</v>
      </c>
      <c r="G322" s="78" t="n">
        <v>338.5262645593273</v>
      </c>
      <c r="H322" s="78" t="n">
        <v>338.5262645593273</v>
      </c>
      <c r="I322" s="78" t="n">
        <v>363.1328668639053</v>
      </c>
    </row>
    <row r="323">
      <c r="A323" t="inlineStr">
        <is>
          <t>Lab technician</t>
        </is>
      </c>
      <c r="B323" t="inlineStr">
        <is>
          <t>WA</t>
        </is>
      </c>
      <c r="C323" s="44" t="inlineStr">
        <is>
          <t xml:space="preserve">Leave Loading (%)		</t>
        </is>
      </c>
      <c r="D323" s="78" t="n">
        <v>168993.9341538462</v>
      </c>
      <c r="E323" s="78" t="n">
        <v>184365.5033846154</v>
      </c>
      <c r="F323" s="78" t="n">
        <v>184365.5033846154</v>
      </c>
      <c r="G323" s="78" t="n">
        <v>85.52324602927438</v>
      </c>
      <c r="H323" s="78" t="n">
        <v>93.30238025537216</v>
      </c>
      <c r="I323" s="78" t="n">
        <v>93.30238025537216</v>
      </c>
    </row>
    <row r="324">
      <c r="A324" t="inlineStr">
        <is>
          <t>Medical scientist</t>
        </is>
      </c>
      <c r="B324" t="inlineStr">
        <is>
          <t>WA</t>
        </is>
      </c>
      <c r="C324" s="44" t="inlineStr">
        <is>
          <t xml:space="preserve">Leave Loading (%)		</t>
        </is>
      </c>
      <c r="D324" s="78" t="n">
        <v>258200.7002307692</v>
      </c>
      <c r="E324" s="78" t="n">
        <v>281686.4540769231</v>
      </c>
      <c r="F324" s="78" t="n">
        <v>281686.4540769231</v>
      </c>
      <c r="G324" s="78" t="n">
        <v>130.6683705621301</v>
      </c>
      <c r="H324" s="78" t="n">
        <v>142.5538735207101</v>
      </c>
      <c r="I324" s="78" t="n">
        <v>142.5538735207101</v>
      </c>
    </row>
    <row r="325">
      <c r="A325" t="inlineStr">
        <is>
          <t>Admin staff</t>
        </is>
      </c>
      <c r="B325" t="inlineStr">
        <is>
          <t>WA</t>
        </is>
      </c>
      <c r="C325" s="44" t="inlineStr">
        <is>
          <t xml:space="preserve">Leave Loading (%)		</t>
        </is>
      </c>
      <c r="D325" s="78" t="n">
        <v>149922.6816923077</v>
      </c>
      <c r="E325" s="78" t="n">
        <v>163559.5432307692</v>
      </c>
      <c r="F325" s="78" t="n">
        <v>163559.5432307692</v>
      </c>
      <c r="G325" s="78" t="n">
        <v>75.87180247586423</v>
      </c>
      <c r="H325" s="78" t="n">
        <v>82.77304819370912</v>
      </c>
      <c r="I325" s="78" t="n">
        <v>82.77304819370912</v>
      </c>
    </row>
    <row r="326">
      <c r="A326" t="inlineStr">
        <is>
          <t>Bioinformatics staff</t>
        </is>
      </c>
      <c r="B326" t="inlineStr">
        <is>
          <t>WA</t>
        </is>
      </c>
      <c r="C326" s="44" t="inlineStr">
        <is>
          <t xml:space="preserve">Leave Loading (%)		</t>
        </is>
      </c>
      <c r="D326" s="78" t="n">
        <v>205490.7325384616</v>
      </c>
      <c r="E326" s="78" t="n">
        <v>224182.0248461539</v>
      </c>
      <c r="F326" s="78" t="n">
        <v>224182.0248461539</v>
      </c>
      <c r="G326" s="78" t="n">
        <v>103.993285697602</v>
      </c>
      <c r="H326" s="78" t="n">
        <v>113.4524417237621</v>
      </c>
      <c r="I326" s="78" t="n">
        <v>113.4524417237621</v>
      </c>
    </row>
    <row r="327">
      <c r="A327" t="inlineStr">
        <is>
          <t>Pathologists</t>
        </is>
      </c>
      <c r="B327" t="inlineStr">
        <is>
          <t>WA</t>
        </is>
      </c>
      <c r="C327" s="44" t="inlineStr">
        <is>
          <t xml:space="preserve">Leave Loading (%)		</t>
        </is>
      </c>
      <c r="D327" s="78" t="n">
        <v>839060.7298461539</v>
      </c>
      <c r="E327" s="78" t="n">
        <v>839060.7298461539</v>
      </c>
      <c r="F327" s="78" t="n">
        <v>912751.5606153845</v>
      </c>
      <c r="G327" s="78" t="n">
        <v>424.6258754282155</v>
      </c>
      <c r="H327" s="78" t="n">
        <v>424.6258754282155</v>
      </c>
      <c r="I327" s="78" t="n">
        <v>461.9188059794456</v>
      </c>
    </row>
    <row r="328">
      <c r="A328" t="inlineStr">
        <is>
          <t>Lab technician</t>
        </is>
      </c>
      <c r="B328" t="inlineStr">
        <is>
          <t>ALL</t>
        </is>
      </c>
      <c r="C328" s="44" t="inlineStr">
        <is>
          <t xml:space="preserve">Leave Loading (%)		</t>
        </is>
      </c>
      <c r="D328" s="44" t="n">
        <v>119254.1089230769</v>
      </c>
      <c r="E328" s="44" t="n">
        <v>192266.0622381538</v>
      </c>
      <c r="F328" s="44" t="n">
        <v>270490.2432307692</v>
      </c>
      <c r="G328" s="44" t="n">
        <v>60.35126969791342</v>
      </c>
      <c r="H328" s="44" t="n">
        <v>97.3006387844908</v>
      </c>
      <c r="I328" s="44" t="n">
        <v>136.8877749143569</v>
      </c>
    </row>
    <row r="329">
      <c r="A329" t="inlineStr">
        <is>
          <t>Medical scientist</t>
        </is>
      </c>
      <c r="B329" t="inlineStr">
        <is>
          <t>ALL</t>
        </is>
      </c>
      <c r="C329" s="44" t="inlineStr">
        <is>
          <t xml:space="preserve">Leave Loading (%)		</t>
        </is>
      </c>
      <c r="D329" s="44" t="n">
        <v>153064.472</v>
      </c>
      <c r="E329" s="44" t="n">
        <v>261015.0931033847</v>
      </c>
      <c r="F329" s="44" t="n">
        <v>356023.4704</v>
      </c>
      <c r="G329" s="44" t="n">
        <v>77.46177732793524</v>
      </c>
      <c r="H329" s="44" t="n">
        <v>132.0926584531299</v>
      </c>
      <c r="I329" s="44" t="n">
        <v>180.1738210526316</v>
      </c>
    </row>
    <row r="330">
      <c r="A330" t="inlineStr">
        <is>
          <t>Admin staff</t>
        </is>
      </c>
      <c r="B330" t="inlineStr">
        <is>
          <t>ALL</t>
        </is>
      </c>
      <c r="C330" s="44" t="inlineStr">
        <is>
          <t xml:space="preserve">Leave Loading (%)		</t>
        </is>
      </c>
      <c r="D330" s="44" t="n">
        <v>117177.6178461539</v>
      </c>
      <c r="E330" s="44" t="n">
        <v>160026.8339790769</v>
      </c>
      <c r="F330" s="44" t="n">
        <v>224322.5984615385</v>
      </c>
      <c r="G330" s="44" t="n">
        <v>59.30041388975397</v>
      </c>
      <c r="H330" s="44" t="n">
        <v>80.98523986795389</v>
      </c>
      <c r="I330" s="44" t="n">
        <v>113.5235822173778</v>
      </c>
    </row>
    <row r="331">
      <c r="A331" t="inlineStr">
        <is>
          <t>Bioinformatics staff</t>
        </is>
      </c>
      <c r="B331" t="inlineStr">
        <is>
          <t>ALL</t>
        </is>
      </c>
      <c r="C331" s="44" t="inlineStr">
        <is>
          <t xml:space="preserve">Leave Loading (%)		</t>
        </is>
      </c>
      <c r="D331" s="44" t="n">
        <v>164730.1413846154</v>
      </c>
      <c r="E331" s="44" t="n">
        <v>236555.5769615385</v>
      </c>
      <c r="F331" s="44" t="n">
        <v>347404.8190769231</v>
      </c>
      <c r="G331" s="44" t="n">
        <v>83.36545616630333</v>
      </c>
      <c r="H331" s="44" t="n">
        <v>119.7143608104952</v>
      </c>
      <c r="I331" s="44" t="n">
        <v>175.8121554033011</v>
      </c>
    </row>
    <row r="332">
      <c r="A332" t="inlineStr">
        <is>
          <t>Pathologists</t>
        </is>
      </c>
      <c r="B332" t="inlineStr">
        <is>
          <t>ALL</t>
        </is>
      </c>
      <c r="C332" s="44" t="inlineStr">
        <is>
          <t xml:space="preserve">Leave Loading (%)		</t>
        </is>
      </c>
      <c r="D332" s="44" t="n">
        <v>520352.7554</v>
      </c>
      <c r="E332" s="44" t="n">
        <v>759694.9040039999</v>
      </c>
      <c r="F332" s="44" t="n">
        <v>1089622.1145</v>
      </c>
      <c r="G332" s="44" t="n">
        <v>263.3364146761134</v>
      </c>
      <c r="H332" s="44" t="n">
        <v>384.4609838076923</v>
      </c>
      <c r="I332" s="44" t="n">
        <v>551.4281955971659</v>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331"/>
  <sheetViews>
    <sheetView tabSelected="1" workbookViewId="0">
      <selection activeCell="D2" sqref="D2:F331"/>
    </sheetView>
  </sheetViews>
  <sheetFormatPr baseColWidth="10" defaultColWidth="11" defaultRowHeight="16"/>
  <sheetData>
    <row r="1">
      <c r="A1" t="inlineStr">
        <is>
          <t>Personnel type</t>
        </is>
      </c>
      <c r="B1" t="inlineStr">
        <is>
          <t>Jurisdiction</t>
        </is>
      </c>
      <c r="C1" t="inlineStr">
        <is>
          <t>Variable</t>
        </is>
      </c>
      <c r="D1" s="44" t="inlineStr">
        <is>
          <t>LL</t>
        </is>
      </c>
      <c r="E1" s="44" t="inlineStr">
        <is>
          <t>MP</t>
        </is>
      </c>
      <c r="F1" s="44" t="inlineStr">
        <is>
          <t>UL</t>
        </is>
      </c>
    </row>
    <row r="2">
      <c r="A2" t="inlineStr">
        <is>
          <t>Lab technician</t>
        </is>
      </c>
      <c r="B2" t="inlineStr">
        <is>
          <t>VIC</t>
        </is>
      </c>
      <c r="C2" s="44" t="inlineStr">
        <is>
          <t>Base Case</t>
        </is>
      </c>
      <c r="D2" s="65" t="n">
        <v>103.0109152911865</v>
      </c>
      <c r="E2" s="65" t="n">
        <v>122.8630012846465</v>
      </c>
      <c r="F2" s="65" t="n">
        <v>142.7150872781065</v>
      </c>
    </row>
    <row r="3">
      <c r="A3" t="inlineStr">
        <is>
          <t>Medical scientist</t>
        </is>
      </c>
      <c r="B3" t="inlineStr">
        <is>
          <t>VIC</t>
        </is>
      </c>
      <c r="C3" s="44" t="inlineStr">
        <is>
          <t>Base Case</t>
        </is>
      </c>
      <c r="D3" s="65" t="n">
        <v>79.88053593117409</v>
      </c>
      <c r="E3" s="65" t="n">
        <v>132.9668190283401</v>
      </c>
      <c r="F3" s="65" t="n">
        <v>186.0531021255061</v>
      </c>
    </row>
    <row r="4">
      <c r="A4" t="inlineStr">
        <is>
          <t>Admin staff</t>
        </is>
      </c>
      <c r="B4" t="inlineStr">
        <is>
          <t>VIC</t>
        </is>
      </c>
      <c r="C4" s="44" t="inlineStr">
        <is>
          <t>Base Case</t>
        </is>
      </c>
      <c r="D4" s="65" t="n">
        <v>82.41106092338835</v>
      </c>
      <c r="E4" s="65" t="n">
        <v>100.3672047843351</v>
      </c>
      <c r="F4" s="65" t="n">
        <v>118.3233486452818</v>
      </c>
    </row>
    <row r="5">
      <c r="A5" t="inlineStr">
        <is>
          <t>Bioinformatics staff</t>
        </is>
      </c>
      <c r="B5" t="inlineStr">
        <is>
          <t>VIC</t>
        </is>
      </c>
      <c r="C5" s="44" t="inlineStr">
        <is>
          <t>Base Case</t>
        </is>
      </c>
      <c r="D5" s="65" t="n">
        <v>103.0109152911865</v>
      </c>
      <c r="E5" s="65" t="n">
        <v>131.7792982326378</v>
      </c>
      <c r="F5" s="65" t="n">
        <v>160.5476811740891</v>
      </c>
    </row>
    <row r="6">
      <c r="A6" t="inlineStr">
        <is>
          <t>Pathologists</t>
        </is>
      </c>
      <c r="B6" t="inlineStr">
        <is>
          <t>VIC</t>
        </is>
      </c>
      <c r="C6" s="44" t="inlineStr">
        <is>
          <t>Base Case</t>
        </is>
      </c>
      <c r="D6" s="65" t="n">
        <v>337.4197520242915</v>
      </c>
      <c r="E6" s="65" t="n">
        <v>397.9371122975709</v>
      </c>
      <c r="F6" s="65" t="n">
        <v>458.4544725708502</v>
      </c>
    </row>
    <row r="7">
      <c r="A7" t="inlineStr">
        <is>
          <t>Lab technician</t>
        </is>
      </c>
      <c r="B7" t="inlineStr">
        <is>
          <t>SA</t>
        </is>
      </c>
      <c r="C7" s="44" t="inlineStr">
        <is>
          <t>Base Case</t>
        </is>
      </c>
      <c r="D7" s="65" t="n">
        <v>65.14664481469947</v>
      </c>
      <c r="E7" s="65" t="n">
        <v>93.07879005761446</v>
      </c>
      <c r="F7" s="65" t="n">
        <v>121.0109353005294</v>
      </c>
    </row>
    <row r="8">
      <c r="A8" t="inlineStr">
        <is>
          <t>Medical scientist</t>
        </is>
      </c>
      <c r="B8" t="inlineStr">
        <is>
          <t>SA</t>
        </is>
      </c>
      <c r="C8" s="44" t="inlineStr">
        <is>
          <t>Base Case</t>
        </is>
      </c>
      <c r="D8" s="65" t="n">
        <v>80.1991878698225</v>
      </c>
      <c r="E8" s="65" t="n">
        <v>125.9271976798505</v>
      </c>
      <c r="F8" s="65" t="n">
        <v>171.6552074898786</v>
      </c>
    </row>
    <row r="9">
      <c r="A9" t="inlineStr">
        <is>
          <t>Admin staff</t>
        </is>
      </c>
      <c r="B9" t="inlineStr">
        <is>
          <t>SA</t>
        </is>
      </c>
      <c r="C9" s="44" t="inlineStr">
        <is>
          <t>Base Case</t>
        </is>
      </c>
      <c r="D9" s="65" t="n">
        <v>68.20481267517907</v>
      </c>
      <c r="E9" s="65" t="n">
        <v>75.94370297415135</v>
      </c>
      <c r="F9" s="65" t="n">
        <v>83.68259327312363</v>
      </c>
    </row>
    <row r="10">
      <c r="A10" t="inlineStr">
        <is>
          <t>Bioinformatics staff</t>
        </is>
      </c>
      <c r="B10" t="inlineStr">
        <is>
          <t>SA</t>
        </is>
      </c>
      <c r="C10" s="44" t="inlineStr">
        <is>
          <t>Base Case</t>
        </is>
      </c>
      <c r="D10" s="65" t="n">
        <v>79.55310798816568</v>
      </c>
      <c r="E10" s="65" t="n">
        <v>109.7531147812208</v>
      </c>
      <c r="F10" s="65" t="n">
        <v>139.9531215742759</v>
      </c>
    </row>
    <row r="11">
      <c r="A11" t="inlineStr">
        <is>
          <t>Pathologists</t>
        </is>
      </c>
      <c r="B11" t="inlineStr">
        <is>
          <t>SA</t>
        </is>
      </c>
      <c r="C11" s="44" t="inlineStr">
        <is>
          <t>Base Case</t>
        </is>
      </c>
      <c r="D11" s="65" t="n">
        <v>369.7024676308004</v>
      </c>
      <c r="E11" s="65" t="n">
        <v>426.3296713786594</v>
      </c>
      <c r="F11" s="65" t="n">
        <v>482.9568751265182</v>
      </c>
    </row>
    <row r="12">
      <c r="A12" t="inlineStr">
        <is>
          <t>Lab technician</t>
        </is>
      </c>
      <c r="B12" t="inlineStr">
        <is>
          <t>NSW</t>
        </is>
      </c>
      <c r="C12" s="44" t="inlineStr">
        <is>
          <t>Base Case</t>
        </is>
      </c>
      <c r="D12" s="65" t="n">
        <v>71.92192463562753</v>
      </c>
      <c r="E12" s="65" t="n">
        <v>93.03632082995951</v>
      </c>
      <c r="F12" s="65" t="n">
        <v>114.1507170242915</v>
      </c>
    </row>
    <row r="13">
      <c r="A13" t="inlineStr">
        <is>
          <t>Medical scientist</t>
        </is>
      </c>
      <c r="B13" t="inlineStr">
        <is>
          <t>NSW</t>
        </is>
      </c>
      <c r="C13" s="44" t="inlineStr">
        <is>
          <t>Base Case</t>
        </is>
      </c>
      <c r="D13" s="65" t="n">
        <v>86.96887734817814</v>
      </c>
      <c r="E13" s="65" t="n">
        <v>133.1230561133603</v>
      </c>
      <c r="F13" s="65" t="n">
        <v>179.2772348785425</v>
      </c>
    </row>
    <row r="14">
      <c r="A14" t="inlineStr">
        <is>
          <t>Admin staff</t>
        </is>
      </c>
      <c r="B14" t="inlineStr">
        <is>
          <t>NSW</t>
        </is>
      </c>
      <c r="C14" s="44" t="inlineStr">
        <is>
          <t>Base Case</t>
        </is>
      </c>
      <c r="D14" s="65" t="n">
        <v>57.73744226720648</v>
      </c>
      <c r="E14" s="65" t="n">
        <v>69.43560540485831</v>
      </c>
      <c r="F14" s="65" t="n">
        <v>81.13376854251011</v>
      </c>
    </row>
    <row r="15">
      <c r="A15" t="inlineStr">
        <is>
          <t>Bioinformatics staff</t>
        </is>
      </c>
      <c r="B15" t="inlineStr">
        <is>
          <t>NSW</t>
        </is>
      </c>
      <c r="C15" s="44" t="inlineStr">
        <is>
          <t>Base Case</t>
        </is>
      </c>
      <c r="D15" s="65" t="n">
        <v>85.52245009342886</v>
      </c>
      <c r="E15" s="65" t="n">
        <v>116.9966419534413</v>
      </c>
      <c r="F15" s="65" t="n">
        <v>148.4708338134538</v>
      </c>
    </row>
    <row r="16">
      <c r="A16" t="inlineStr">
        <is>
          <t>Pathologists</t>
        </is>
      </c>
      <c r="B16" t="inlineStr">
        <is>
          <t>NSW</t>
        </is>
      </c>
      <c r="C16" s="44" t="inlineStr">
        <is>
          <t>Base Case</t>
        </is>
      </c>
      <c r="D16" s="65" t="n">
        <v>268.7238310689816</v>
      </c>
      <c r="E16" s="65" t="n">
        <v>312.5137797317814</v>
      </c>
      <c r="F16" s="65" t="n">
        <v>356.3037283945811</v>
      </c>
    </row>
    <row r="17">
      <c r="A17" t="inlineStr">
        <is>
          <t>Lab technician</t>
        </is>
      </c>
      <c r="B17" t="inlineStr">
        <is>
          <t>QLD</t>
        </is>
      </c>
      <c r="C17" s="44" t="inlineStr">
        <is>
          <t>Base Case</t>
        </is>
      </c>
      <c r="D17" s="65" t="n">
        <v>59.10597228277796</v>
      </c>
      <c r="E17" s="65" t="n">
        <v>85.04287869822485</v>
      </c>
      <c r="F17" s="65" t="n">
        <v>110.9797851136718</v>
      </c>
    </row>
    <row r="18">
      <c r="A18" t="inlineStr">
        <is>
          <t>Medical scientist</t>
        </is>
      </c>
      <c r="B18" t="inlineStr">
        <is>
          <t>QLD</t>
        </is>
      </c>
      <c r="C18" s="44" t="inlineStr">
        <is>
          <t>Base Case</t>
        </is>
      </c>
      <c r="D18" s="65" t="n">
        <v>83.64681068981626</v>
      </c>
      <c r="E18" s="65" t="n">
        <v>125.9153161203675</v>
      </c>
      <c r="F18" s="65" t="n">
        <v>168.1838215509187</v>
      </c>
    </row>
    <row r="19">
      <c r="A19" t="inlineStr">
        <is>
          <t>Admin staff</t>
        </is>
      </c>
      <c r="B19" t="inlineStr">
        <is>
          <t>QLD</t>
        </is>
      </c>
      <c r="C19" s="44" t="inlineStr">
        <is>
          <t>Base Case</t>
        </is>
      </c>
      <c r="D19" s="65" t="n">
        <v>58.08977857365307</v>
      </c>
      <c r="E19" s="65" t="n">
        <v>77.38128143491123</v>
      </c>
      <c r="F19" s="65" t="n">
        <v>96.67278429616943</v>
      </c>
    </row>
    <row r="20">
      <c r="A20" t="inlineStr">
        <is>
          <t>Bioinformatics staff</t>
        </is>
      </c>
      <c r="B20" t="inlineStr">
        <is>
          <t>QLD</t>
        </is>
      </c>
      <c r="C20" s="44" t="inlineStr">
        <is>
          <t>Base Case</t>
        </is>
      </c>
      <c r="D20" s="65" t="n">
        <v>83.64681068981626</v>
      </c>
      <c r="E20" s="65" t="n">
        <v>125.9153161203675</v>
      </c>
      <c r="F20" s="65" t="n">
        <v>168.1838215509187</v>
      </c>
    </row>
    <row r="21">
      <c r="A21" t="inlineStr">
        <is>
          <t>Pathologists</t>
        </is>
      </c>
      <c r="B21" t="inlineStr">
        <is>
          <t>QLD</t>
        </is>
      </c>
      <c r="C21" s="44" t="inlineStr">
        <is>
          <t>Base Case</t>
        </is>
      </c>
      <c r="D21" s="65" t="n">
        <v>285.7802825443786</v>
      </c>
      <c r="E21" s="65" t="n">
        <v>338.5262645593273</v>
      </c>
      <c r="F21" s="65" t="n">
        <v>391.2722465742759</v>
      </c>
    </row>
    <row r="22">
      <c r="A22" t="inlineStr">
        <is>
          <t>Lab technician</t>
        </is>
      </c>
      <c r="B22" t="inlineStr">
        <is>
          <t>WA</t>
        </is>
      </c>
      <c r="C22" s="44" t="inlineStr">
        <is>
          <t>Base Case</t>
        </is>
      </c>
      <c r="D22" s="65" t="n">
        <v>75.27544211304888</v>
      </c>
      <c r="E22" s="65" t="n">
        <v>93.30238025537216</v>
      </c>
      <c r="F22" s="65" t="n">
        <v>111.3293183976954</v>
      </c>
    </row>
    <row r="23">
      <c r="A23" t="inlineStr">
        <is>
          <t>Medical scientist</t>
        </is>
      </c>
      <c r="B23" t="inlineStr">
        <is>
          <t>WA</t>
        </is>
      </c>
      <c r="C23" s="44" t="inlineStr">
        <is>
          <t>Base Case</t>
        </is>
      </c>
      <c r="D23" s="65" t="n">
        <v>101.7543459592027</v>
      </c>
      <c r="E23" s="65" t="n">
        <v>142.5538735207101</v>
      </c>
      <c r="F23" s="65" t="n">
        <v>183.3534010822173</v>
      </c>
    </row>
    <row r="24">
      <c r="A24" t="inlineStr">
        <is>
          <t>Admin staff</t>
        </is>
      </c>
      <c r="B24" t="inlineStr">
        <is>
          <t>WA</t>
        </is>
      </c>
      <c r="C24" s="44" t="inlineStr">
        <is>
          <t>Base Case</t>
        </is>
      </c>
      <c r="D24" s="65" t="n">
        <v>75.27544211304888</v>
      </c>
      <c r="E24" s="65" t="n">
        <v>82.77304819370912</v>
      </c>
      <c r="F24" s="65" t="n">
        <v>90.27065427436935</v>
      </c>
    </row>
    <row r="25">
      <c r="A25" t="inlineStr">
        <is>
          <t>Bioinformatics staff</t>
        </is>
      </c>
      <c r="B25" t="inlineStr">
        <is>
          <t>WA</t>
        </is>
      </c>
      <c r="C25" s="44" t="inlineStr">
        <is>
          <t>Base Case</t>
        </is>
      </c>
      <c r="D25" s="65" t="n">
        <v>104.4540070850203</v>
      </c>
      <c r="E25" s="65" t="n">
        <v>113.4524417237621</v>
      </c>
      <c r="F25" s="65" t="n">
        <v>122.4508763625039</v>
      </c>
    </row>
    <row r="26">
      <c r="A26" t="inlineStr">
        <is>
          <t>Pathologists</t>
        </is>
      </c>
      <c r="B26" t="inlineStr">
        <is>
          <t>WA</t>
        </is>
      </c>
      <c r="C26" s="44" t="inlineStr">
        <is>
          <t>Base Case</t>
        </is>
      </c>
      <c r="D26" s="65" t="n">
        <v>371.444671870134</v>
      </c>
      <c r="E26" s="65" t="n">
        <v>424.6258754282155</v>
      </c>
      <c r="F26" s="65" t="n">
        <v>477.807078986297</v>
      </c>
    </row>
    <row r="27">
      <c r="A27" t="inlineStr">
        <is>
          <t>Lab technician</t>
        </is>
      </c>
      <c r="B27" t="inlineStr">
        <is>
          <t>ALL</t>
        </is>
      </c>
      <c r="C27" s="44" t="inlineStr">
        <is>
          <t>Base Case</t>
        </is>
      </c>
      <c r="D27" s="44" t="n">
        <v>59.10597228277796</v>
      </c>
      <c r="E27" s="44" t="n">
        <v>97.46467422516351</v>
      </c>
      <c r="F27" s="44" t="n">
        <v>142.7150872781065</v>
      </c>
    </row>
    <row r="28">
      <c r="A28" t="inlineStr">
        <is>
          <t>Medical scientist</t>
        </is>
      </c>
      <c r="B28" t="inlineStr">
        <is>
          <t>ALL</t>
        </is>
      </c>
      <c r="C28" s="44" t="inlineStr">
        <is>
          <t>Base Case</t>
        </is>
      </c>
      <c r="D28" s="44" t="n">
        <v>79.88053593117409</v>
      </c>
      <c r="E28" s="44" t="n">
        <v>132.0972524925257</v>
      </c>
      <c r="F28" s="44" t="n">
        <v>186.0531021255061</v>
      </c>
    </row>
    <row r="29">
      <c r="A29" t="inlineStr">
        <is>
          <t>Admin staff</t>
        </is>
      </c>
      <c r="B29" t="inlineStr">
        <is>
          <t>ALL</t>
        </is>
      </c>
      <c r="C29" s="44" t="inlineStr">
        <is>
          <t>Base Case</t>
        </is>
      </c>
      <c r="D29" s="44" t="n">
        <v>57.73744226720648</v>
      </c>
      <c r="E29" s="44" t="n">
        <v>81.18016855839304</v>
      </c>
      <c r="F29" s="44" t="n">
        <v>118.3233486452818</v>
      </c>
    </row>
    <row r="30">
      <c r="A30" t="inlineStr">
        <is>
          <t>Bioinformatics staff</t>
        </is>
      </c>
      <c r="B30" t="inlineStr">
        <is>
          <t>ALL</t>
        </is>
      </c>
      <c r="C30" s="44" t="inlineStr">
        <is>
          <t>Base Case</t>
        </is>
      </c>
      <c r="D30" s="44" t="n">
        <v>79.55310798816568</v>
      </c>
      <c r="E30" s="44" t="n">
        <v>119.5793625622859</v>
      </c>
      <c r="F30" s="44" t="n">
        <v>168.1838215509187</v>
      </c>
    </row>
    <row r="31">
      <c r="A31" t="inlineStr">
        <is>
          <t>Pathologists</t>
        </is>
      </c>
      <c r="B31" t="inlineStr">
        <is>
          <t>ALL</t>
        </is>
      </c>
      <c r="C31" s="44" t="inlineStr">
        <is>
          <t>Base Case</t>
        </is>
      </c>
      <c r="D31" s="44" t="n">
        <v>268.7238310689816</v>
      </c>
      <c r="E31" s="44" t="n">
        <v>379.9865406791109</v>
      </c>
      <c r="F31" s="44" t="n">
        <v>482.9568751265182</v>
      </c>
    </row>
    <row r="32">
      <c r="A32" t="inlineStr">
        <is>
          <t>Lab technician</t>
        </is>
      </c>
      <c r="B32" t="inlineStr">
        <is>
          <t>VIC</t>
        </is>
      </c>
      <c r="C32" s="44" t="inlineStr">
        <is>
          <t>Superannuation Rate</t>
        </is>
      </c>
      <c r="D32" s="78" t="n">
        <v>122.6226951105574</v>
      </c>
      <c r="E32" s="78" t="n">
        <v>122.8630012846465</v>
      </c>
      <c r="F32" s="78" t="n">
        <v>123.7040728939583</v>
      </c>
    </row>
    <row r="33">
      <c r="A33" t="inlineStr">
        <is>
          <t>Medical scientist</t>
        </is>
      </c>
      <c r="B33" t="inlineStr">
        <is>
          <t>VIC</t>
        </is>
      </c>
      <c r="C33" s="44" t="inlineStr">
        <is>
          <t>Superannuation Rate</t>
        </is>
      </c>
      <c r="D33" s="78" t="n">
        <v>132.7090295546559</v>
      </c>
      <c r="E33" s="78" t="n">
        <v>132.9668190283401</v>
      </c>
      <c r="F33" s="78" t="n">
        <v>133.8690821862349</v>
      </c>
    </row>
    <row r="34">
      <c r="A34" t="inlineStr">
        <is>
          <t>Admin staff</t>
        </is>
      </c>
      <c r="B34" t="inlineStr">
        <is>
          <t>VIC</t>
        </is>
      </c>
      <c r="C34" s="44" t="inlineStr">
        <is>
          <t>Superannuation Rate</t>
        </is>
      </c>
      <c r="D34" s="78" t="n">
        <v>100.1708978511367</v>
      </c>
      <c r="E34" s="78" t="n">
        <v>100.3672047843351</v>
      </c>
      <c r="F34" s="78" t="n">
        <v>101.0542790505294</v>
      </c>
    </row>
    <row r="35">
      <c r="A35" t="inlineStr">
        <is>
          <t>Bioinformatics staff</t>
        </is>
      </c>
      <c r="B35" t="inlineStr">
        <is>
          <t>VIC</t>
        </is>
      </c>
      <c r="C35" s="44" t="inlineStr">
        <is>
          <t>Superannuation Rate</t>
        </is>
      </c>
      <c r="D35" s="78" t="n">
        <v>131.5215527872937</v>
      </c>
      <c r="E35" s="78" t="n">
        <v>131.7792982326378</v>
      </c>
      <c r="F35" s="78" t="n">
        <v>132.6814072913422</v>
      </c>
    </row>
    <row r="36">
      <c r="A36" t="inlineStr">
        <is>
          <t>Pathologists</t>
        </is>
      </c>
      <c r="B36" t="inlineStr">
        <is>
          <t>VIC</t>
        </is>
      </c>
      <c r="C36" s="44" t="inlineStr">
        <is>
          <t>Superannuation Rate</t>
        </is>
      </c>
      <c r="D36" s="78" t="n">
        <v>397.1874971659919</v>
      </c>
      <c r="E36" s="78" t="n">
        <v>397.9371122975709</v>
      </c>
      <c r="F36" s="78" t="n">
        <v>400.5607652580971</v>
      </c>
    </row>
    <row r="37">
      <c r="A37" t="inlineStr">
        <is>
          <t>Lab technician</t>
        </is>
      </c>
      <c r="B37" t="inlineStr">
        <is>
          <t>SA</t>
        </is>
      </c>
      <c r="C37" s="44" t="inlineStr">
        <is>
          <t>Superannuation Rate</t>
        </is>
      </c>
      <c r="D37" s="78" t="n">
        <v>92.8822490657116</v>
      </c>
      <c r="E37" s="78" t="n">
        <v>93.07879005761446</v>
      </c>
      <c r="F37" s="78" t="n">
        <v>93.76668352927436</v>
      </c>
    </row>
    <row r="38">
      <c r="A38" t="inlineStr">
        <is>
          <t>Medical scientist</t>
        </is>
      </c>
      <c r="B38" t="inlineStr">
        <is>
          <t>SA</t>
        </is>
      </c>
      <c r="C38" s="44" t="inlineStr">
        <is>
          <t>Superannuation Rate</t>
        </is>
      </c>
      <c r="D38" s="78" t="n">
        <v>125.663437558393</v>
      </c>
      <c r="E38" s="78" t="n">
        <v>125.9271976798505</v>
      </c>
      <c r="F38" s="78" t="n">
        <v>126.8503581049517</v>
      </c>
    </row>
    <row r="39">
      <c r="A39" t="inlineStr">
        <is>
          <t>Admin staff</t>
        </is>
      </c>
      <c r="B39" t="inlineStr">
        <is>
          <t>SA</t>
        </is>
      </c>
      <c r="C39" s="44" t="inlineStr">
        <is>
          <t>Superannuation Rate</t>
        </is>
      </c>
      <c r="D39" s="78" t="n">
        <v>75.78334366241046</v>
      </c>
      <c r="E39" s="78" t="n">
        <v>75.94370297415135</v>
      </c>
      <c r="F39" s="78" t="n">
        <v>76.50496056524447</v>
      </c>
    </row>
    <row r="40">
      <c r="A40" t="inlineStr">
        <is>
          <t>Bioinformatics staff</t>
        </is>
      </c>
      <c r="B40" t="inlineStr">
        <is>
          <t>SA</t>
        </is>
      </c>
      <c r="C40" s="44" t="inlineStr">
        <is>
          <t>Superannuation Rate</t>
        </is>
      </c>
      <c r="D40" s="78" t="n">
        <v>109.5213650342572</v>
      </c>
      <c r="E40" s="78" t="n">
        <v>109.7531147812208</v>
      </c>
      <c r="F40" s="78" t="n">
        <v>110.5642388955932</v>
      </c>
    </row>
    <row r="41">
      <c r="A41" t="inlineStr">
        <is>
          <t>Pathologists</t>
        </is>
      </c>
      <c r="B41" t="inlineStr">
        <is>
          <t>SA</t>
        </is>
      </c>
      <c r="C41" s="44" t="inlineStr">
        <is>
          <t>Superannuation Rate</t>
        </is>
      </c>
      <c r="D41" s="78" t="n">
        <v>425.6798219353395</v>
      </c>
      <c r="E41" s="78" t="n">
        <v>426.3296713786594</v>
      </c>
      <c r="F41" s="78" t="n">
        <v>428.6041444302787</v>
      </c>
    </row>
    <row r="42">
      <c r="A42" t="inlineStr">
        <is>
          <t>Lab technician</t>
        </is>
      </c>
      <c r="B42" t="inlineStr">
        <is>
          <t>NSW</t>
        </is>
      </c>
      <c r="C42" s="44" t="inlineStr">
        <is>
          <t>Superannuation Rate</t>
        </is>
      </c>
      <c r="D42" s="78" t="n">
        <v>92.83986951417005</v>
      </c>
      <c r="E42" s="78" t="n">
        <v>93.03632082995951</v>
      </c>
      <c r="F42" s="78" t="n">
        <v>93.72390043522266</v>
      </c>
    </row>
    <row r="43">
      <c r="A43" t="inlineStr">
        <is>
          <t>Medical scientist</t>
        </is>
      </c>
      <c r="B43" t="inlineStr">
        <is>
          <t>NSW</t>
        </is>
      </c>
      <c r="C43" s="44" t="inlineStr">
        <is>
          <t>Superannuation Rate</t>
        </is>
      </c>
      <c r="D43" s="78" t="n">
        <v>132.8626824291498</v>
      </c>
      <c r="E43" s="78" t="n">
        <v>133.1230561133603</v>
      </c>
      <c r="F43" s="78" t="n">
        <v>134.0343640080972</v>
      </c>
    </row>
    <row r="44">
      <c r="A44" t="inlineStr">
        <is>
          <t>Admin staff</t>
        </is>
      </c>
      <c r="B44" t="inlineStr">
        <is>
          <t>NSW</t>
        </is>
      </c>
      <c r="C44" s="44" t="inlineStr">
        <is>
          <t>Superannuation Rate</t>
        </is>
      </c>
      <c r="D44" s="78" t="n">
        <v>69.28898829959513</v>
      </c>
      <c r="E44" s="78" t="n">
        <v>69.43560540485831</v>
      </c>
      <c r="F44" s="78" t="n">
        <v>69.94876527327934</v>
      </c>
    </row>
    <row r="45">
      <c r="A45" t="inlineStr">
        <is>
          <t>Bioinformatics staff</t>
        </is>
      </c>
      <c r="B45" t="inlineStr">
        <is>
          <t>NSW</t>
        </is>
      </c>
      <c r="C45" s="44" t="inlineStr">
        <is>
          <t>Superannuation Rate</t>
        </is>
      </c>
      <c r="D45" s="78" t="n">
        <v>116.7678097165992</v>
      </c>
      <c r="E45" s="78" t="n">
        <v>116.9966419534413</v>
      </c>
      <c r="F45" s="78" t="n">
        <v>117.7975547823887</v>
      </c>
    </row>
    <row r="46">
      <c r="A46" t="inlineStr">
        <is>
          <t>Pathologists</t>
        </is>
      </c>
      <c r="B46" t="inlineStr">
        <is>
          <t>NSW</t>
        </is>
      </c>
      <c r="C46" s="44" t="inlineStr">
        <is>
          <t>Superannuation Rate</t>
        </is>
      </c>
      <c r="D46" s="78" t="n">
        <v>311.9811152580972</v>
      </c>
      <c r="E46" s="78" t="n">
        <v>312.5137797317814</v>
      </c>
      <c r="F46" s="78" t="n">
        <v>314.3781053896761</v>
      </c>
    </row>
    <row r="47">
      <c r="A47" t="inlineStr">
        <is>
          <t>Lab technician</t>
        </is>
      </c>
      <c r="B47" t="inlineStr">
        <is>
          <t>QLD</t>
        </is>
      </c>
      <c r="C47" s="44" t="inlineStr">
        <is>
          <t>Superannuation Rate</t>
        </is>
      </c>
      <c r="D47" s="78" t="n">
        <v>84.86525724073496</v>
      </c>
      <c r="E47" s="78" t="n">
        <v>85.04287869822485</v>
      </c>
      <c r="F47" s="78" t="n">
        <v>85.66455379943943</v>
      </c>
    </row>
    <row r="48">
      <c r="A48" t="inlineStr">
        <is>
          <t>Medical scientist</t>
        </is>
      </c>
      <c r="B48" t="inlineStr">
        <is>
          <t>QLD</t>
        </is>
      </c>
      <c r="C48" s="44" t="inlineStr">
        <is>
          <t>Superannuation Rate</t>
        </is>
      </c>
      <c r="D48" s="78" t="n">
        <v>125.6513902600436</v>
      </c>
      <c r="E48" s="78" t="n">
        <v>125.9153161203675</v>
      </c>
      <c r="F48" s="78" t="n">
        <v>126.8390566315011</v>
      </c>
    </row>
    <row r="49">
      <c r="A49" t="inlineStr">
        <is>
          <t>Admin staff</t>
        </is>
      </c>
      <c r="B49" t="inlineStr">
        <is>
          <t>QLD</t>
        </is>
      </c>
      <c r="C49" s="44" t="inlineStr">
        <is>
          <t>Superannuation Rate</t>
        </is>
      </c>
      <c r="D49" s="78" t="n">
        <v>77.21983786203673</v>
      </c>
      <c r="E49" s="78" t="n">
        <v>77.38128143491123</v>
      </c>
      <c r="F49" s="78" t="n">
        <v>77.94633393997196</v>
      </c>
    </row>
    <row r="50">
      <c r="A50" t="inlineStr">
        <is>
          <t>Bioinformatics staff</t>
        </is>
      </c>
      <c r="B50" t="inlineStr">
        <is>
          <t>QLD</t>
        </is>
      </c>
      <c r="C50" s="44" t="inlineStr">
        <is>
          <t>Superannuation Rate</t>
        </is>
      </c>
      <c r="D50" s="78" t="n">
        <v>125.6513902600436</v>
      </c>
      <c r="E50" s="78" t="n">
        <v>125.9153161203675</v>
      </c>
      <c r="F50" s="78" t="n">
        <v>126.8390566315011</v>
      </c>
    </row>
    <row r="51">
      <c r="A51" t="inlineStr">
        <is>
          <t>Pathologists</t>
        </is>
      </c>
      <c r="B51" t="inlineStr">
        <is>
          <t>QLD</t>
        </is>
      </c>
      <c r="C51" s="44" t="inlineStr">
        <is>
          <t>Superannuation Rate</t>
        </is>
      </c>
      <c r="D51" s="78" t="n">
        <v>337.955039862971</v>
      </c>
      <c r="E51" s="78" t="n">
        <v>338.5262645593273</v>
      </c>
      <c r="F51" s="78" t="n">
        <v>340.5255509965742</v>
      </c>
    </row>
    <row r="52">
      <c r="A52" t="inlineStr">
        <is>
          <t>Lab technician</t>
        </is>
      </c>
      <c r="B52" t="inlineStr">
        <is>
          <t>WA</t>
        </is>
      </c>
      <c r="C52" s="44" t="inlineStr">
        <is>
          <t>Superannuation Rate</t>
        </is>
      </c>
      <c r="D52" s="78" t="n">
        <v>93.12179321083775</v>
      </c>
      <c r="E52" s="78" t="n">
        <v>93.30238025537216</v>
      </c>
      <c r="F52" s="78" t="n">
        <v>93.9344349112426</v>
      </c>
    </row>
    <row r="53">
      <c r="A53" t="inlineStr">
        <is>
          <t>Medical scientist</t>
        </is>
      </c>
      <c r="B53" t="inlineStr">
        <is>
          <t>WA</t>
        </is>
      </c>
      <c r="C53" s="44" t="inlineStr">
        <is>
          <t>Superannuation Rate</t>
        </is>
      </c>
      <c r="D53" s="78" t="n">
        <v>142.2779600591716</v>
      </c>
      <c r="E53" s="78" t="n">
        <v>142.5538735207101</v>
      </c>
      <c r="F53" s="78" t="n">
        <v>143.5195706360947</v>
      </c>
    </row>
    <row r="54">
      <c r="A54" t="inlineStr">
        <is>
          <t>Admin staff</t>
        </is>
      </c>
      <c r="B54" t="inlineStr">
        <is>
          <t>WA</t>
        </is>
      </c>
      <c r="C54" s="44" t="inlineStr">
        <is>
          <t>Superannuation Rate</t>
        </is>
      </c>
      <c r="D54" s="78" t="n">
        <v>82.61284070383057</v>
      </c>
      <c r="E54" s="78" t="n">
        <v>82.77304819370912</v>
      </c>
      <c r="F54" s="78" t="n">
        <v>83.33377440828401</v>
      </c>
    </row>
    <row r="55">
      <c r="A55" t="inlineStr">
        <is>
          <t>Bioinformatics staff</t>
        </is>
      </c>
      <c r="B55" t="inlineStr">
        <is>
          <t>WA</t>
        </is>
      </c>
      <c r="C55" s="44" t="inlineStr">
        <is>
          <t>Superannuation Rate</t>
        </is>
      </c>
      <c r="D55" s="78" t="n">
        <v>113.2328541731548</v>
      </c>
      <c r="E55" s="78" t="n">
        <v>113.4524417237621</v>
      </c>
      <c r="F55" s="78" t="n">
        <v>114.2209981508876</v>
      </c>
    </row>
    <row r="56">
      <c r="A56" t="inlineStr">
        <is>
          <t>Pathologists</t>
        </is>
      </c>
      <c r="B56" t="inlineStr">
        <is>
          <t>WA</t>
        </is>
      </c>
      <c r="C56" s="44" t="inlineStr">
        <is>
          <t>Superannuation Rate</t>
        </is>
      </c>
      <c r="D56" s="78" t="n">
        <v>423.7601466832762</v>
      </c>
      <c r="E56" s="78" t="n">
        <v>424.6258754282155</v>
      </c>
      <c r="F56" s="78" t="n">
        <v>427.6559260355029</v>
      </c>
    </row>
    <row r="57">
      <c r="A57" t="inlineStr">
        <is>
          <t>Lab technician</t>
        </is>
      </c>
      <c r="B57" t="inlineStr">
        <is>
          <t>ALL</t>
        </is>
      </c>
      <c r="C57" s="44" t="inlineStr">
        <is>
          <t>Superannuation Rate</t>
        </is>
      </c>
      <c r="D57" s="44" t="n">
        <v>97.10233738772966</v>
      </c>
      <c r="E57" s="44" t="n">
        <v>97.3006387844908</v>
      </c>
      <c r="F57" s="44" t="n">
        <v>97.99469367315477</v>
      </c>
    </row>
    <row r="58">
      <c r="A58" t="inlineStr">
        <is>
          <t>Medical scientist</t>
        </is>
      </c>
      <c r="B58" t="inlineStr">
        <is>
          <t>ALL</t>
        </is>
      </c>
      <c r="C58" s="44" t="inlineStr">
        <is>
          <t>Superannuation Rate</t>
        </is>
      </c>
      <c r="D58" s="44" t="n">
        <v>131.828305932887</v>
      </c>
      <c r="E58" s="44" t="n">
        <v>132.0926584531299</v>
      </c>
      <c r="F58" s="44" t="n">
        <v>133.0178922739801</v>
      </c>
    </row>
    <row r="59">
      <c r="A59" t="inlineStr">
        <is>
          <t>Admin staff</t>
        </is>
      </c>
      <c r="B59" t="inlineStr">
        <is>
          <t>ALL</t>
        </is>
      </c>
      <c r="C59" s="44" t="inlineStr">
        <is>
          <t>Superannuation Rate</t>
        </is>
      </c>
      <c r="D59" s="44" t="n">
        <v>80.8202529853628</v>
      </c>
      <c r="E59" s="44" t="n">
        <v>80.98523986795389</v>
      </c>
      <c r="F59" s="44" t="n">
        <v>81.56269395702273</v>
      </c>
    </row>
    <row r="60">
      <c r="A60" t="inlineStr">
        <is>
          <t>Bioinformatics staff</t>
        </is>
      </c>
      <c r="B60" t="inlineStr">
        <is>
          <t>ALL</t>
        </is>
      </c>
      <c r="C60" s="44" t="inlineStr">
        <is>
          <t>Superannuation Rate</t>
        </is>
      </c>
      <c r="D60" s="44" t="n">
        <v>119.473992642479</v>
      </c>
      <c r="E60" s="44" t="n">
        <v>119.7143608104952</v>
      </c>
      <c r="F60" s="44" t="n">
        <v>120.5556493985519</v>
      </c>
    </row>
    <row r="61">
      <c r="A61" t="inlineStr">
        <is>
          <t>Pathologists</t>
        </is>
      </c>
      <c r="B61" t="inlineStr">
        <is>
          <t>ALL</t>
        </is>
      </c>
      <c r="C61" s="44" t="inlineStr">
        <is>
          <t>Superannuation Rate</t>
        </is>
      </c>
      <c r="D61" s="44" t="n">
        <v>383.7871673097166</v>
      </c>
      <c r="E61" s="44" t="n">
        <v>384.4609838076923</v>
      </c>
      <c r="F61" s="44" t="n">
        <v>386.8193415506072</v>
      </c>
    </row>
    <row r="62">
      <c r="A62" t="inlineStr">
        <is>
          <t>Lab technician</t>
        </is>
      </c>
      <c r="B62" t="inlineStr">
        <is>
          <t>VIC</t>
        </is>
      </c>
      <c r="C62" s="44" t="inlineStr">
        <is>
          <t>Hours worked per week</t>
        </is>
      </c>
      <c r="D62" s="78" t="n">
        <v>116.7198512204142</v>
      </c>
      <c r="E62" s="78" t="n">
        <v>122.8630012846465</v>
      </c>
      <c r="F62" s="78" t="n">
        <v>128.61691594536</v>
      </c>
    </row>
    <row r="63">
      <c r="A63" t="inlineStr">
        <is>
          <t>Medical scientist</t>
        </is>
      </c>
      <c r="B63" t="inlineStr">
        <is>
          <t>VIC</t>
        </is>
      </c>
      <c r="C63" s="44" t="inlineStr">
        <is>
          <t>Hours worked per week</t>
        </is>
      </c>
      <c r="D63" s="78" t="n">
        <v>126.3184780769231</v>
      </c>
      <c r="E63" s="78" t="n">
        <v>132.9668190283401</v>
      </c>
      <c r="F63" s="78" t="n">
        <v>139.1939152362789</v>
      </c>
    </row>
    <row r="64">
      <c r="A64" t="inlineStr">
        <is>
          <t>Admin staff</t>
        </is>
      </c>
      <c r="B64" t="inlineStr">
        <is>
          <t>VIC</t>
        </is>
      </c>
      <c r="C64" s="44" t="inlineStr">
        <is>
          <t>Hours worked per week</t>
        </is>
      </c>
      <c r="D64" s="78" t="n">
        <v>95.34884454511834</v>
      </c>
      <c r="E64" s="78" t="n">
        <v>100.3672047843351</v>
      </c>
      <c r="F64" s="78" t="n">
        <v>105.0675972948963</v>
      </c>
    </row>
    <row r="65">
      <c r="A65" t="inlineStr">
        <is>
          <t>Bioinformatics staff</t>
        </is>
      </c>
      <c r="B65" t="inlineStr">
        <is>
          <t>VIC</t>
        </is>
      </c>
      <c r="C65" s="44" t="inlineStr">
        <is>
          <t>Hours worked per week</t>
        </is>
      </c>
      <c r="D65" s="78" t="n">
        <v>125.1903333210059</v>
      </c>
      <c r="E65" s="78" t="n">
        <v>131.7792982326378</v>
      </c>
      <c r="F65" s="78" t="n">
        <v>137.9507805190148</v>
      </c>
    </row>
    <row r="66">
      <c r="A66" t="inlineStr">
        <is>
          <t>Pathologists</t>
        </is>
      </c>
      <c r="B66" t="inlineStr">
        <is>
          <t>VIC</t>
        </is>
      </c>
      <c r="C66" s="44" t="inlineStr">
        <is>
          <t>Hours worked per week</t>
        </is>
      </c>
      <c r="D66" s="78" t="n">
        <v>378.0402566826924</v>
      </c>
      <c r="E66" s="78" t="n">
        <v>397.9371122975709</v>
      </c>
      <c r="F66" s="78" t="n">
        <v>416.573285600763</v>
      </c>
    </row>
    <row r="67">
      <c r="A67" t="inlineStr">
        <is>
          <t>Lab technician</t>
        </is>
      </c>
      <c r="B67" t="inlineStr">
        <is>
          <t>SA</t>
        </is>
      </c>
      <c r="C67" s="44" t="inlineStr">
        <is>
          <t>Hours worked per week</t>
        </is>
      </c>
      <c r="D67" s="78" t="n">
        <v>88.42485055473374</v>
      </c>
      <c r="E67" s="78" t="n">
        <v>93.07879005761446</v>
      </c>
      <c r="F67" s="78" t="n">
        <v>97.43785185094627</v>
      </c>
    </row>
    <row r="68">
      <c r="A68" t="inlineStr">
        <is>
          <t>Medical scientist</t>
        </is>
      </c>
      <c r="B68" t="inlineStr">
        <is>
          <t>SA</t>
        </is>
      </c>
      <c r="C68" s="44" t="inlineStr">
        <is>
          <t>Hours worked per week</t>
        </is>
      </c>
      <c r="D68" s="78" t="n">
        <v>119.630837795858</v>
      </c>
      <c r="E68" s="78" t="n">
        <v>125.9271976798505</v>
      </c>
      <c r="F68" s="78" t="n">
        <v>131.8246146510832</v>
      </c>
    </row>
    <row r="69">
      <c r="A69" t="inlineStr">
        <is>
          <t>Admin staff</t>
        </is>
      </c>
      <c r="B69" t="inlineStr">
        <is>
          <t>SA</t>
        </is>
      </c>
      <c r="C69" s="44" t="inlineStr">
        <is>
          <t>Hours worked per week</t>
        </is>
      </c>
      <c r="D69" s="78" t="n">
        <v>72.14651782544378</v>
      </c>
      <c r="E69" s="78" t="n">
        <v>75.94370297415135</v>
      </c>
      <c r="F69" s="78" t="n">
        <v>79.50029512445596</v>
      </c>
    </row>
    <row r="70">
      <c r="A70" t="inlineStr">
        <is>
          <t>Bioinformatics staff</t>
        </is>
      </c>
      <c r="B70" t="inlineStr">
        <is>
          <t>SA</t>
        </is>
      </c>
      <c r="C70" s="44" t="inlineStr">
        <is>
          <t>Hours worked per week</t>
        </is>
      </c>
      <c r="D70" s="78" t="n">
        <v>104.2654590421597</v>
      </c>
      <c r="E70" s="78" t="n">
        <v>109.7531147812208</v>
      </c>
      <c r="F70" s="78" t="n">
        <v>114.8930678150521</v>
      </c>
    </row>
    <row r="71">
      <c r="A71" t="inlineStr">
        <is>
          <t>Pathologists</t>
        </is>
      </c>
      <c r="B71" t="inlineStr">
        <is>
          <t>SA</t>
        </is>
      </c>
      <c r="C71" s="44" t="inlineStr">
        <is>
          <t>Hours worked per week</t>
        </is>
      </c>
      <c r="D71" s="78" t="n">
        <v>405.0131878097264</v>
      </c>
      <c r="E71" s="78" t="n">
        <v>426.3296713786594</v>
      </c>
      <c r="F71" s="78" t="n">
        <v>446.2955237572743</v>
      </c>
    </row>
    <row r="72">
      <c r="A72" t="inlineStr">
        <is>
          <t>Lab technician</t>
        </is>
      </c>
      <c r="B72" t="inlineStr">
        <is>
          <t>NSW</t>
        </is>
      </c>
      <c r="C72" s="44" t="inlineStr">
        <is>
          <t>Hours worked per week</t>
        </is>
      </c>
      <c r="D72" s="78" t="n">
        <v>88.38450478846153</v>
      </c>
      <c r="E72" s="78" t="n">
        <v>93.03632082995951</v>
      </c>
      <c r="F72" s="78" t="n">
        <v>97.39339370629371</v>
      </c>
    </row>
    <row r="73">
      <c r="A73" t="inlineStr">
        <is>
          <t>Medical scientist</t>
        </is>
      </c>
      <c r="B73" t="inlineStr">
        <is>
          <t>NSW</t>
        </is>
      </c>
      <c r="C73" s="44" t="inlineStr">
        <is>
          <t>Hours worked per week</t>
        </is>
      </c>
      <c r="D73" s="78" t="n">
        <v>126.4669033076923</v>
      </c>
      <c r="E73" s="78" t="n">
        <v>133.1230561133603</v>
      </c>
      <c r="F73" s="78" t="n">
        <v>139.3574692095783</v>
      </c>
    </row>
    <row r="74">
      <c r="A74" t="inlineStr">
        <is>
          <t>Admin staff</t>
        </is>
      </c>
      <c r="B74" t="inlineStr">
        <is>
          <t>NSW</t>
        </is>
      </c>
      <c r="C74" s="44" t="inlineStr">
        <is>
          <t>Hours worked per week</t>
        </is>
      </c>
      <c r="D74" s="78" t="n">
        <v>65.96382513461539</v>
      </c>
      <c r="E74" s="78" t="n">
        <v>69.43560540485831</v>
      </c>
      <c r="F74" s="78" t="n">
        <v>72.68741061665608</v>
      </c>
    </row>
    <row r="75">
      <c r="A75" t="inlineStr">
        <is>
          <t>Bioinformatics staff</t>
        </is>
      </c>
      <c r="B75" t="inlineStr">
        <is>
          <t>NSW</t>
        </is>
      </c>
      <c r="C75" s="44" t="inlineStr">
        <is>
          <t>Hours worked per week</t>
        </is>
      </c>
      <c r="D75" s="78" t="n">
        <v>111.1468098557692</v>
      </c>
      <c r="E75" s="78" t="n">
        <v>116.9966419534413</v>
      </c>
      <c r="F75" s="78" t="n">
        <v>122.4758235325281</v>
      </c>
    </row>
    <row r="76">
      <c r="A76" t="inlineStr">
        <is>
          <t>Pathologists</t>
        </is>
      </c>
      <c r="B76" t="inlineStr">
        <is>
          <t>NSW</t>
        </is>
      </c>
      <c r="C76" s="44" t="inlineStr">
        <is>
          <t>Hours worked per week</t>
        </is>
      </c>
      <c r="D76" s="78" t="n">
        <v>296.8880907451923</v>
      </c>
      <c r="E76" s="78" t="n">
        <v>312.5137797317814</v>
      </c>
      <c r="F76" s="78" t="n">
        <v>327.1494112894682</v>
      </c>
    </row>
    <row r="77">
      <c r="A77" t="inlineStr">
        <is>
          <t>Lab technician</t>
        </is>
      </c>
      <c r="B77" t="inlineStr">
        <is>
          <t>QLD</t>
        </is>
      </c>
      <c r="C77" s="44" t="inlineStr">
        <is>
          <t>Hours worked per week</t>
        </is>
      </c>
      <c r="D77" s="78" t="n">
        <v>80.79073476331361</v>
      </c>
      <c r="E77" s="78" t="n">
        <v>85.04287869822485</v>
      </c>
      <c r="F77" s="78" t="n">
        <v>89.02560304497368</v>
      </c>
    </row>
    <row r="78">
      <c r="A78" t="inlineStr">
        <is>
          <t>Medical scientist</t>
        </is>
      </c>
      <c r="B78" t="inlineStr">
        <is>
          <t>QLD</t>
        </is>
      </c>
      <c r="C78" s="44" t="inlineStr">
        <is>
          <t>Hours worked per week</t>
        </is>
      </c>
      <c r="D78" s="78" t="n">
        <v>119.6195503143491</v>
      </c>
      <c r="E78" s="78" t="n">
        <v>125.9153161203675</v>
      </c>
      <c r="F78" s="78" t="n">
        <v>131.8121766549301</v>
      </c>
    </row>
    <row r="79">
      <c r="A79" t="inlineStr">
        <is>
          <t>Admin staff</t>
        </is>
      </c>
      <c r="B79" t="inlineStr">
        <is>
          <t>QLD</t>
        </is>
      </c>
      <c r="C79" s="44" t="inlineStr">
        <is>
          <t>Hours worked per week</t>
        </is>
      </c>
      <c r="D79" s="78" t="n">
        <v>73.51221736316566</v>
      </c>
      <c r="E79" s="78" t="n">
        <v>77.38128143491123</v>
      </c>
      <c r="F79" s="78" t="n">
        <v>81.00519819632581</v>
      </c>
    </row>
    <row r="80">
      <c r="A80" t="inlineStr">
        <is>
          <t>Bioinformatics staff</t>
        </is>
      </c>
      <c r="B80" t="inlineStr">
        <is>
          <t>QLD</t>
        </is>
      </c>
      <c r="C80" s="44" t="inlineStr">
        <is>
          <t>Hours worked per week</t>
        </is>
      </c>
      <c r="D80" s="78" t="n">
        <v>119.6195503143491</v>
      </c>
      <c r="E80" s="78" t="n">
        <v>125.9153161203675</v>
      </c>
      <c r="F80" s="78" t="n">
        <v>131.8121766549301</v>
      </c>
    </row>
    <row r="81">
      <c r="A81" t="inlineStr">
        <is>
          <t>Pathologists</t>
        </is>
      </c>
      <c r="B81" t="inlineStr">
        <is>
          <t>QLD</t>
        </is>
      </c>
      <c r="C81" s="44" t="inlineStr">
        <is>
          <t>Hours worked per week</t>
        </is>
      </c>
      <c r="D81" s="78" t="n">
        <v>321.599951331361</v>
      </c>
      <c r="E81" s="78" t="n">
        <v>338.5262645593273</v>
      </c>
      <c r="F81" s="78" t="n">
        <v>354.380111659902</v>
      </c>
    </row>
    <row r="82">
      <c r="A82" t="inlineStr">
        <is>
          <t>Lab technician</t>
        </is>
      </c>
      <c r="B82" t="inlineStr">
        <is>
          <t>WA</t>
        </is>
      </c>
      <c r="C82" s="44" t="inlineStr">
        <is>
          <t>Hours worked per week</t>
        </is>
      </c>
      <c r="D82" s="78" t="n">
        <v>88.63726124260356</v>
      </c>
      <c r="E82" s="78" t="n">
        <v>93.30238025537216</v>
      </c>
      <c r="F82" s="78" t="n">
        <v>97.67191321499014</v>
      </c>
    </row>
    <row r="83">
      <c r="A83" t="inlineStr">
        <is>
          <t>Medical scientist</t>
        </is>
      </c>
      <c r="B83" t="inlineStr">
        <is>
          <t>WA</t>
        </is>
      </c>
      <c r="C83" s="44" t="inlineStr">
        <is>
          <t>Hours worked per week</t>
        </is>
      </c>
      <c r="D83" s="78" t="n">
        <v>135.4261798446746</v>
      </c>
      <c r="E83" s="78" t="n">
        <v>142.5538735207101</v>
      </c>
      <c r="F83" s="78" t="n">
        <v>149.2299502420657</v>
      </c>
    </row>
    <row r="84">
      <c r="A84" t="inlineStr">
        <is>
          <t>Admin staff</t>
        </is>
      </c>
      <c r="B84" t="inlineStr">
        <is>
          <t>WA</t>
        </is>
      </c>
      <c r="C84" s="44" t="inlineStr">
        <is>
          <t>Hours worked per week</t>
        </is>
      </c>
      <c r="D84" s="78" t="n">
        <v>78.63439578402367</v>
      </c>
      <c r="E84" s="78" t="n">
        <v>82.77304819370912</v>
      </c>
      <c r="F84" s="78" t="n">
        <v>86.64947193831809</v>
      </c>
    </row>
    <row r="85">
      <c r="A85" t="inlineStr">
        <is>
          <t>Bioinformatics staff</t>
        </is>
      </c>
      <c r="B85" t="inlineStr">
        <is>
          <t>WA</t>
        </is>
      </c>
      <c r="C85" s="44" t="inlineStr">
        <is>
          <t>Hours worked per week</t>
        </is>
      </c>
      <c r="D85" s="78" t="n">
        <v>107.779819637574</v>
      </c>
      <c r="E85" s="78" t="n">
        <v>113.4524417237621</v>
      </c>
      <c r="F85" s="78" t="n">
        <v>118.7656414739107</v>
      </c>
    </row>
    <row r="86">
      <c r="A86" t="inlineStr">
        <is>
          <t>Pathologists</t>
        </is>
      </c>
      <c r="B86" t="inlineStr">
        <is>
          <t>WA</t>
        </is>
      </c>
      <c r="C86" s="44" t="inlineStr">
        <is>
          <t>Hours worked per week</t>
        </is>
      </c>
      <c r="D86" s="78" t="n">
        <v>403.3945816568047</v>
      </c>
      <c r="E86" s="78" t="n">
        <v>424.6258754282155</v>
      </c>
      <c r="F86" s="78" t="n">
        <v>444.5119357099777</v>
      </c>
    </row>
    <row r="87">
      <c r="A87" t="inlineStr">
        <is>
          <t>Lab technician</t>
        </is>
      </c>
      <c r="B87" t="inlineStr">
        <is>
          <t>ALL</t>
        </is>
      </c>
      <c r="C87" s="44" t="inlineStr">
        <is>
          <t>Hours worked per week</t>
        </is>
      </c>
      <c r="D87" s="44" t="n">
        <v>92.43560684526626</v>
      </c>
      <c r="E87" s="44" t="n">
        <v>97.3006387844908</v>
      </c>
      <c r="F87" s="44" t="n">
        <v>101.8574180113127</v>
      </c>
    </row>
    <row r="88">
      <c r="A88" t="inlineStr">
        <is>
          <t>Medical scientist</t>
        </is>
      </c>
      <c r="B88" t="inlineStr">
        <is>
          <t>ALL</t>
        </is>
      </c>
      <c r="C88" s="44" t="inlineStr">
        <is>
          <t>Hours worked per week</t>
        </is>
      </c>
      <c r="D88" s="44" t="n">
        <v>125.4880255304734</v>
      </c>
      <c r="E88" s="44" t="n">
        <v>132.0926584531299</v>
      </c>
      <c r="F88" s="44" t="n">
        <v>138.278816011541</v>
      </c>
    </row>
    <row r="89">
      <c r="A89" t="inlineStr">
        <is>
          <t>Admin staff</t>
        </is>
      </c>
      <c r="B89" t="inlineStr">
        <is>
          <t>ALL</t>
        </is>
      </c>
      <c r="C89" s="44" t="inlineStr">
        <is>
          <t>Hours worked per week</t>
        </is>
      </c>
      <c r="D89" s="44" t="n">
        <v>76.9359778745562</v>
      </c>
      <c r="E89" s="44" t="n">
        <v>80.98523986795389</v>
      </c>
      <c r="F89" s="44" t="n">
        <v>84.77793705185258</v>
      </c>
    </row>
    <row r="90">
      <c r="A90" t="inlineStr">
        <is>
          <t>Bioinformatics staff</t>
        </is>
      </c>
      <c r="B90" t="inlineStr">
        <is>
          <t>ALL</t>
        </is>
      </c>
      <c r="C90" s="44" t="inlineStr">
        <is>
          <t>Hours worked per week</t>
        </is>
      </c>
      <c r="D90" s="44" t="n">
        <v>113.7286427699704</v>
      </c>
      <c r="E90" s="44" t="n">
        <v>119.7143608104952</v>
      </c>
      <c r="F90" s="44" t="n">
        <v>125.3208184793062</v>
      </c>
    </row>
    <row r="91">
      <c r="A91" t="inlineStr">
        <is>
          <t>Pathologists</t>
        </is>
      </c>
      <c r="B91" t="inlineStr">
        <is>
          <t>ALL</t>
        </is>
      </c>
      <c r="C91" s="44" t="inlineStr">
        <is>
          <t>Hours worked per week</t>
        </is>
      </c>
      <c r="D91" s="44" t="n">
        <v>365.2379346173076</v>
      </c>
      <c r="E91" s="44" t="n">
        <v>384.4609838076923</v>
      </c>
      <c r="F91" s="44" t="n">
        <v>402.4660436554354</v>
      </c>
    </row>
    <row r="92">
      <c r="A92" t="inlineStr">
        <is>
          <t>Lab technician</t>
        </is>
      </c>
      <c r="B92" t="inlineStr">
        <is>
          <t>VIC</t>
        </is>
      </c>
      <c r="C92" s="44" t="inlineStr">
        <is>
          <t>Average Penalties</t>
        </is>
      </c>
      <c r="D92" s="78" t="n">
        <v>118.0568778028651</v>
      </c>
      <c r="E92" s="78" t="n">
        <v>122.8630012846465</v>
      </c>
      <c r="F92" s="78" t="n">
        <v>132.4752482482093</v>
      </c>
    </row>
    <row r="93">
      <c r="A93" t="inlineStr">
        <is>
          <t>Medical scientist</t>
        </is>
      </c>
      <c r="B93" t="inlineStr">
        <is>
          <t>VIC</t>
        </is>
      </c>
      <c r="C93" s="44" t="inlineStr">
        <is>
          <t>Average Penalties</t>
        </is>
      </c>
      <c r="D93" s="78" t="n">
        <v>127.8110295546559</v>
      </c>
      <c r="E93" s="78" t="n">
        <v>132.9668190283401</v>
      </c>
      <c r="F93" s="78" t="n">
        <v>143.2783979757085</v>
      </c>
    </row>
    <row r="94">
      <c r="A94" t="inlineStr">
        <is>
          <t>Admin staff</t>
        </is>
      </c>
      <c r="B94" t="inlineStr">
        <is>
          <t>VIC</t>
        </is>
      </c>
      <c r="C94" s="44" t="inlineStr">
        <is>
          <t>Average Penalties</t>
        </is>
      </c>
      <c r="D94" s="78" t="n">
        <v>96.44106612036749</v>
      </c>
      <c r="E94" s="78" t="n">
        <v>100.3672047843351</v>
      </c>
      <c r="F94" s="78" t="n">
        <v>108.2194821122703</v>
      </c>
    </row>
    <row r="95">
      <c r="A95" t="inlineStr">
        <is>
          <t>Bioinformatics staff</t>
        </is>
      </c>
      <c r="B95" t="inlineStr">
        <is>
          <t>VIC</t>
        </is>
      </c>
      <c r="C95" s="44" t="inlineStr">
        <is>
          <t>Average Penalties</t>
        </is>
      </c>
      <c r="D95" s="78" t="n">
        <v>126.6243893257552</v>
      </c>
      <c r="E95" s="78" t="n">
        <v>131.7792982326378</v>
      </c>
      <c r="F95" s="78" t="n">
        <v>142.089116046403</v>
      </c>
    </row>
    <row r="96">
      <c r="A96" t="inlineStr">
        <is>
          <t>Pathologists</t>
        </is>
      </c>
      <c r="B96" t="inlineStr">
        <is>
          <t>VIC</t>
        </is>
      </c>
      <c r="C96" s="44" t="inlineStr">
        <is>
          <t>Average Penalties</t>
        </is>
      </c>
      <c r="D96" s="78" t="n">
        <v>397.9371122975709</v>
      </c>
      <c r="E96" s="78" t="n">
        <v>397.9371122975709</v>
      </c>
      <c r="F96" s="78" t="n">
        <v>442.9140201923076</v>
      </c>
    </row>
    <row r="97">
      <c r="A97" t="inlineStr">
        <is>
          <t>Lab technician</t>
        </is>
      </c>
      <c r="B97" t="inlineStr">
        <is>
          <t>SA</t>
        </is>
      </c>
      <c r="C97" s="44" t="inlineStr">
        <is>
          <t>Average Penalties</t>
        </is>
      </c>
      <c r="D97" s="78" t="n">
        <v>89.14797021955776</v>
      </c>
      <c r="E97" s="78" t="n">
        <v>93.07879005761446</v>
      </c>
      <c r="F97" s="78" t="n">
        <v>100.9404297337278</v>
      </c>
    </row>
    <row r="98">
      <c r="A98" t="inlineStr">
        <is>
          <t>Medical scientist</t>
        </is>
      </c>
      <c r="B98" t="inlineStr">
        <is>
          <t>SA</t>
        </is>
      </c>
      <c r="C98" s="44" t="inlineStr">
        <is>
          <t>Average Penalties</t>
        </is>
      </c>
      <c r="D98" s="78" t="n">
        <v>120.6519952507007</v>
      </c>
      <c r="E98" s="78" t="n">
        <v>125.9271976798505</v>
      </c>
      <c r="F98" s="78" t="n">
        <v>136.4776025381501</v>
      </c>
    </row>
    <row r="99">
      <c r="A99" t="inlineStr">
        <is>
          <t>Admin staff</t>
        </is>
      </c>
      <c r="B99" t="inlineStr">
        <is>
          <t>SA</t>
        </is>
      </c>
      <c r="C99" s="44" t="inlineStr">
        <is>
          <t>Average Penalties</t>
        </is>
      </c>
      <c r="D99" s="78" t="n">
        <v>72.73651673933354</v>
      </c>
      <c r="E99" s="78" t="n">
        <v>75.94370297415135</v>
      </c>
      <c r="F99" s="78" t="n">
        <v>82.35807544378699</v>
      </c>
    </row>
    <row r="100">
      <c r="A100" t="inlineStr">
        <is>
          <t>Bioinformatics staff</t>
        </is>
      </c>
      <c r="B100" t="inlineStr">
        <is>
          <t>SA</t>
        </is>
      </c>
      <c r="C100" s="44" t="inlineStr">
        <is>
          <t>Average Penalties</t>
        </is>
      </c>
      <c r="D100" s="78" t="n">
        <v>105.1181198419495</v>
      </c>
      <c r="E100" s="78" t="n">
        <v>109.7531147812208</v>
      </c>
      <c r="F100" s="78" t="n">
        <v>119.0231046597633</v>
      </c>
    </row>
    <row r="101">
      <c r="A101" t="inlineStr">
        <is>
          <t>Pathologists</t>
        </is>
      </c>
      <c r="B101" t="inlineStr">
        <is>
          <t>SA</t>
        </is>
      </c>
      <c r="C101" s="44" t="inlineStr">
        <is>
          <t>Average Penalties</t>
        </is>
      </c>
      <c r="D101" s="78" t="n">
        <v>426.3296713786594</v>
      </c>
      <c r="E101" s="78" t="n">
        <v>426.3296713786594</v>
      </c>
      <c r="F101" s="78" t="n">
        <v>465.3206379778496</v>
      </c>
    </row>
    <row r="102">
      <c r="A102" t="inlineStr">
        <is>
          <t>Lab technician</t>
        </is>
      </c>
      <c r="B102" t="inlineStr">
        <is>
          <t>NSW</t>
        </is>
      </c>
      <c r="C102" s="44" t="inlineStr">
        <is>
          <t>Average Penalties</t>
        </is>
      </c>
      <c r="D102" s="78" t="n">
        <v>89.10729451417004</v>
      </c>
      <c r="E102" s="78" t="n">
        <v>93.03632082995951</v>
      </c>
      <c r="F102" s="78" t="n">
        <v>100.8943734615384</v>
      </c>
    </row>
    <row r="103">
      <c r="A103" t="inlineStr">
        <is>
          <t>Medical scientist</t>
        </is>
      </c>
      <c r="B103" t="inlineStr">
        <is>
          <t>NSW</t>
        </is>
      </c>
      <c r="C103" s="44" t="inlineStr">
        <is>
          <t>Average Penalties</t>
        </is>
      </c>
      <c r="D103" s="78" t="n">
        <v>127.9155824291498</v>
      </c>
      <c r="E103" s="78" t="n">
        <v>133.1230561133603</v>
      </c>
      <c r="F103" s="78" t="n">
        <v>143.5380034817814</v>
      </c>
    </row>
    <row r="104">
      <c r="A104" t="inlineStr">
        <is>
          <t>Admin staff</t>
        </is>
      </c>
      <c r="B104" t="inlineStr">
        <is>
          <t>NSW</t>
        </is>
      </c>
      <c r="C104" s="44" t="inlineStr">
        <is>
          <t>Average Penalties</t>
        </is>
      </c>
      <c r="D104" s="78" t="n">
        <v>66.50326329959515</v>
      </c>
      <c r="E104" s="78" t="n">
        <v>69.43560540485831</v>
      </c>
      <c r="F104" s="78" t="n">
        <v>75.30028961538463</v>
      </c>
    </row>
    <row r="105">
      <c r="A105" t="inlineStr">
        <is>
          <t>Bioinformatics staff</t>
        </is>
      </c>
      <c r="B105" t="inlineStr">
        <is>
          <t>NSW</t>
        </is>
      </c>
      <c r="C105" s="44" t="inlineStr">
        <is>
          <t>Average Penalties</t>
        </is>
      </c>
      <c r="D105" s="78" t="n">
        <v>112.4199972165992</v>
      </c>
      <c r="E105" s="78" t="n">
        <v>116.9966419534413</v>
      </c>
      <c r="F105" s="78" t="n">
        <v>126.1499314271255</v>
      </c>
    </row>
    <row r="106">
      <c r="A106" t="inlineStr">
        <is>
          <t>Pathologists</t>
        </is>
      </c>
      <c r="B106" t="inlineStr">
        <is>
          <t>NSW</t>
        </is>
      </c>
      <c r="C106" s="44" t="inlineStr">
        <is>
          <t>Average Penalties</t>
        </is>
      </c>
      <c r="D106" s="78" t="n">
        <v>312.5137797317814</v>
      </c>
      <c r="E106" s="78" t="n">
        <v>312.5137797317814</v>
      </c>
      <c r="F106" s="78" t="n">
        <v>344.4736481528341</v>
      </c>
    </row>
    <row r="107">
      <c r="A107" t="inlineStr">
        <is>
          <t>Lab technician</t>
        </is>
      </c>
      <c r="B107" t="inlineStr">
        <is>
          <t>QLD</t>
        </is>
      </c>
      <c r="C107" s="44" t="inlineStr">
        <is>
          <t>Average Penalties</t>
        </is>
      </c>
      <c r="D107" s="78" t="n">
        <v>81.49044954842728</v>
      </c>
      <c r="E107" s="78" t="n">
        <v>85.04287869822485</v>
      </c>
      <c r="F107" s="78" t="n">
        <v>92.14773699781999</v>
      </c>
    </row>
    <row r="108">
      <c r="A108" t="inlineStr">
        <is>
          <t>Medical scientist</t>
        </is>
      </c>
      <c r="B108" t="inlineStr">
        <is>
          <t>QLD</t>
        </is>
      </c>
      <c r="C108" s="44" t="inlineStr">
        <is>
          <t>Average Penalties</t>
        </is>
      </c>
      <c r="D108" s="78" t="n">
        <v>120.6367989138897</v>
      </c>
      <c r="E108" s="78" t="n">
        <v>125.9153161203675</v>
      </c>
      <c r="F108" s="78" t="n">
        <v>136.4723505333229</v>
      </c>
    </row>
    <row r="109">
      <c r="A109" t="inlineStr">
        <is>
          <t>Admin staff</t>
        </is>
      </c>
      <c r="B109" t="inlineStr">
        <is>
          <t>QLD</t>
        </is>
      </c>
      <c r="C109" s="44" t="inlineStr">
        <is>
          <t>Average Penalties</t>
        </is>
      </c>
      <c r="D109" s="78" t="n">
        <v>74.15240997742136</v>
      </c>
      <c r="E109" s="78" t="n">
        <v>77.38128143491123</v>
      </c>
      <c r="F109" s="78" t="n">
        <v>83.83902434989099</v>
      </c>
    </row>
    <row r="110">
      <c r="A110" t="inlineStr">
        <is>
          <t>Bioinformatics staff</t>
        </is>
      </c>
      <c r="B110" t="inlineStr">
        <is>
          <t>QLD</t>
        </is>
      </c>
      <c r="C110" s="44" t="inlineStr">
        <is>
          <t>Average Penalties</t>
        </is>
      </c>
      <c r="D110" s="78" t="n">
        <v>120.6367989138897</v>
      </c>
      <c r="E110" s="78" t="n">
        <v>125.9153161203675</v>
      </c>
      <c r="F110" s="78" t="n">
        <v>136.4723505333229</v>
      </c>
    </row>
    <row r="111">
      <c r="A111" t="inlineStr">
        <is>
          <t>Pathologists</t>
        </is>
      </c>
      <c r="B111" t="inlineStr">
        <is>
          <t>QLD</t>
        </is>
      </c>
      <c r="C111" s="44" t="inlineStr">
        <is>
          <t>Average Penalties</t>
        </is>
      </c>
      <c r="D111" s="78" t="n">
        <v>338.5262645593273</v>
      </c>
      <c r="E111" s="78" t="n">
        <v>338.5262645593273</v>
      </c>
      <c r="F111" s="78" t="n">
        <v>372.7997463407038</v>
      </c>
    </row>
    <row r="112">
      <c r="A112" t="inlineStr">
        <is>
          <t>Lab technician</t>
        </is>
      </c>
      <c r="B112" t="inlineStr">
        <is>
          <t>WA</t>
        </is>
      </c>
      <c r="C112" s="44" t="inlineStr">
        <is>
          <t>Average Penalties</t>
        </is>
      </c>
      <c r="D112" s="78" t="n">
        <v>89.69063936468389</v>
      </c>
      <c r="E112" s="78" t="n">
        <v>93.30238025537216</v>
      </c>
      <c r="F112" s="78" t="n">
        <v>100.5258620367487</v>
      </c>
    </row>
    <row r="113">
      <c r="A113" t="inlineStr">
        <is>
          <t>Medical scientist</t>
        </is>
      </c>
      <c r="B113" t="inlineStr">
        <is>
          <t>WA</t>
        </is>
      </c>
      <c r="C113" s="44" t="inlineStr">
        <is>
          <t>Average Penalties</t>
        </is>
      </c>
      <c r="D113" s="78" t="n">
        <v>137.0356042899408</v>
      </c>
      <c r="E113" s="78" t="n">
        <v>142.5538735207101</v>
      </c>
      <c r="F113" s="78" t="n">
        <v>153.5904119822485</v>
      </c>
    </row>
    <row r="114">
      <c r="A114" t="inlineStr">
        <is>
          <t>Admin staff</t>
        </is>
      </c>
      <c r="B114" t="inlineStr">
        <is>
          <t>WA</t>
        </is>
      </c>
      <c r="C114" s="44" t="inlineStr">
        <is>
          <t>Average Penalties</t>
        </is>
      </c>
      <c r="D114" s="78" t="n">
        <v>79.56889839613827</v>
      </c>
      <c r="E114" s="78" t="n">
        <v>82.77304819370912</v>
      </c>
      <c r="F114" s="78" t="n">
        <v>89.18134778885081</v>
      </c>
    </row>
    <row r="115">
      <c r="A115" t="inlineStr">
        <is>
          <t>Bioinformatics staff</t>
        </is>
      </c>
      <c r="B115" t="inlineStr">
        <is>
          <t>WA</t>
        </is>
      </c>
      <c r="C115" s="44" t="inlineStr">
        <is>
          <t>Average Penalties</t>
        </is>
      </c>
      <c r="D115" s="78" t="n">
        <v>109.0606907116163</v>
      </c>
      <c r="E115" s="78" t="n">
        <v>113.4524417237621</v>
      </c>
      <c r="F115" s="78" t="n">
        <v>122.2359437480536</v>
      </c>
    </row>
    <row r="116">
      <c r="A116" t="inlineStr">
        <is>
          <t>Pathologists</t>
        </is>
      </c>
      <c r="B116" t="inlineStr">
        <is>
          <t>WA</t>
        </is>
      </c>
      <c r="C116" s="44" t="inlineStr">
        <is>
          <t>Average Penalties</t>
        </is>
      </c>
      <c r="D116" s="78" t="n">
        <v>424.6258754282155</v>
      </c>
      <c r="E116" s="78" t="n">
        <v>424.6258754282155</v>
      </c>
      <c r="F116" s="78" t="n">
        <v>476.5696001245718</v>
      </c>
    </row>
    <row r="117">
      <c r="A117" t="inlineStr">
        <is>
          <t>Lab technician</t>
        </is>
      </c>
      <c r="B117" t="inlineStr">
        <is>
          <t>ALL</t>
        </is>
      </c>
      <c r="C117" s="44" t="inlineStr">
        <is>
          <t>Average Penalties</t>
        </is>
      </c>
      <c r="D117" s="44" t="n">
        <v>93.33461084926813</v>
      </c>
      <c r="E117" s="44" t="n">
        <v>97.3006387844908</v>
      </c>
      <c r="F117" s="44" t="n">
        <v>105.2326946549361</v>
      </c>
    </row>
    <row r="118">
      <c r="A118" t="inlineStr">
        <is>
          <t>Medical scientist</t>
        </is>
      </c>
      <c r="B118" t="inlineStr">
        <is>
          <t>ALL</t>
        </is>
      </c>
      <c r="C118" s="44" t="inlineStr">
        <is>
          <t>Average Penalties</t>
        </is>
      </c>
      <c r="D118" s="44" t="n">
        <v>126.8056080482716</v>
      </c>
      <c r="E118" s="44" t="n">
        <v>132.0926584531299</v>
      </c>
      <c r="F118" s="44" t="n">
        <v>142.6667592628465</v>
      </c>
    </row>
    <row r="119">
      <c r="A119" t="inlineStr">
        <is>
          <t>Admin staff</t>
        </is>
      </c>
      <c r="B119" t="inlineStr">
        <is>
          <t>ALL</t>
        </is>
      </c>
      <c r="C119" s="44" t="inlineStr">
        <is>
          <t>Average Penalties</t>
        </is>
      </c>
      <c r="D119" s="44" t="n">
        <v>77.68550221613202</v>
      </c>
      <c r="E119" s="44" t="n">
        <v>80.98523986795389</v>
      </c>
      <c r="F119" s="44" t="n">
        <v>87.58471517159762</v>
      </c>
    </row>
    <row r="120">
      <c r="A120" t="inlineStr">
        <is>
          <t>Bioinformatics staff</t>
        </is>
      </c>
      <c r="B120" t="inlineStr">
        <is>
          <t>ALL</t>
        </is>
      </c>
      <c r="C120" s="44" t="inlineStr">
        <is>
          <t>Average Penalties</t>
        </is>
      </c>
      <c r="D120" s="44" t="n">
        <v>114.9069974501713</v>
      </c>
      <c r="E120" s="44" t="n">
        <v>119.7143608104952</v>
      </c>
      <c r="F120" s="44" t="n">
        <v>129.3290875311429</v>
      </c>
    </row>
    <row r="121">
      <c r="A121" t="inlineStr">
        <is>
          <t>Pathologists</t>
        </is>
      </c>
      <c r="B121" t="inlineStr">
        <is>
          <t>ALL</t>
        </is>
      </c>
      <c r="C121" s="44" t="inlineStr">
        <is>
          <t>Average Penalties</t>
        </is>
      </c>
      <c r="D121" s="44" t="n">
        <v>384.4609838076923</v>
      </c>
      <c r="E121" s="44" t="n">
        <v>384.4609838076923</v>
      </c>
      <c r="F121" s="44" t="n">
        <v>424.8899736862348</v>
      </c>
    </row>
    <row r="122">
      <c r="A122" t="inlineStr">
        <is>
          <t>Lab technician</t>
        </is>
      </c>
      <c r="B122" t="inlineStr">
        <is>
          <t>VIC</t>
        </is>
      </c>
      <c r="C122" s="44" t="inlineStr">
        <is>
          <t>Public Holiday Penalty</t>
        </is>
      </c>
      <c r="D122" s="78" t="n">
        <v>122.5986644931485</v>
      </c>
      <c r="E122" s="78" t="n">
        <v>122.8630012846465</v>
      </c>
      <c r="F122" s="78" t="n">
        <v>123.1033074587356</v>
      </c>
    </row>
    <row r="123">
      <c r="A123" t="inlineStr">
        <is>
          <t>Medical scientist</t>
        </is>
      </c>
      <c r="B123" t="inlineStr">
        <is>
          <t>VIC</t>
        </is>
      </c>
      <c r="C123" s="44" t="inlineStr">
        <is>
          <t>Public Holiday Penalty</t>
        </is>
      </c>
      <c r="D123" s="78" t="n">
        <v>132.6832506072875</v>
      </c>
      <c r="E123" s="78" t="n">
        <v>132.9668190283401</v>
      </c>
      <c r="F123" s="78" t="n">
        <v>133.2246085020243</v>
      </c>
    </row>
    <row r="124">
      <c r="A124" t="inlineStr">
        <is>
          <t>Admin staff</t>
        </is>
      </c>
      <c r="B124" t="inlineStr">
        <is>
          <t>VIC</t>
        </is>
      </c>
      <c r="C124" s="44" t="inlineStr">
        <is>
          <t>Public Holiday Penalty</t>
        </is>
      </c>
      <c r="D124" s="78" t="n">
        <v>100.1512671578169</v>
      </c>
      <c r="E124" s="78" t="n">
        <v>100.3672047843351</v>
      </c>
      <c r="F124" s="78" t="n">
        <v>100.5635117175335</v>
      </c>
    </row>
    <row r="125">
      <c r="A125" t="inlineStr">
        <is>
          <t>Bioinformatics staff</t>
        </is>
      </c>
      <c r="B125" t="inlineStr">
        <is>
          <t>VIC</t>
        </is>
      </c>
      <c r="C125" s="44" t="inlineStr">
        <is>
          <t>Public Holiday Penalty</t>
        </is>
      </c>
      <c r="D125" s="78" t="n">
        <v>131.4957782427593</v>
      </c>
      <c r="E125" s="78" t="n">
        <v>131.7792982326378</v>
      </c>
      <c r="F125" s="78" t="n">
        <v>132.037043677982</v>
      </c>
    </row>
    <row r="126">
      <c r="A126" t="inlineStr">
        <is>
          <t>Pathologists</t>
        </is>
      </c>
      <c r="B126" t="inlineStr">
        <is>
          <t>VIC</t>
        </is>
      </c>
      <c r="C126" s="44" t="inlineStr">
        <is>
          <t>Public Holiday Penalty</t>
        </is>
      </c>
      <c r="D126" s="78" t="n">
        <v>397.112535652834</v>
      </c>
      <c r="E126" s="78" t="n">
        <v>397.9371122975709</v>
      </c>
      <c r="F126" s="78" t="n">
        <v>398.6867274291498</v>
      </c>
    </row>
    <row r="127">
      <c r="A127" t="inlineStr">
        <is>
          <t>Lab technician</t>
        </is>
      </c>
      <c r="B127" t="inlineStr">
        <is>
          <t>SA</t>
        </is>
      </c>
      <c r="C127" s="44" t="inlineStr">
        <is>
          <t>Public Holiday Penalty</t>
        </is>
      </c>
      <c r="D127" s="78" t="n">
        <v>92.86259496652133</v>
      </c>
      <c r="E127" s="78" t="n">
        <v>93.07879005761446</v>
      </c>
      <c r="F127" s="78" t="n">
        <v>93.27533104951729</v>
      </c>
    </row>
    <row r="128">
      <c r="A128" t="inlineStr">
        <is>
          <t>Medical scientist</t>
        </is>
      </c>
      <c r="B128" t="inlineStr">
        <is>
          <t>SA</t>
        </is>
      </c>
      <c r="C128" s="44" t="inlineStr">
        <is>
          <t>Public Holiday Penalty</t>
        </is>
      </c>
      <c r="D128" s="78" t="n">
        <v>125.6370615462473</v>
      </c>
      <c r="E128" s="78" t="n">
        <v>125.9271976798505</v>
      </c>
      <c r="F128" s="78" t="n">
        <v>126.190957801308</v>
      </c>
    </row>
    <row r="129">
      <c r="A129" t="inlineStr">
        <is>
          <t>Admin staff</t>
        </is>
      </c>
      <c r="B129" t="inlineStr">
        <is>
          <t>SA</t>
        </is>
      </c>
      <c r="C129" s="44" t="inlineStr">
        <is>
          <t>Public Holiday Penalty</t>
        </is>
      </c>
      <c r="D129" s="78" t="n">
        <v>75.76730773123637</v>
      </c>
      <c r="E129" s="78" t="n">
        <v>75.94370297415135</v>
      </c>
      <c r="F129" s="78" t="n">
        <v>76.10406228589225</v>
      </c>
    </row>
    <row r="130">
      <c r="A130" t="inlineStr">
        <is>
          <t>Bioinformatics staff</t>
        </is>
      </c>
      <c r="B130" t="inlineStr">
        <is>
          <t>SA</t>
        </is>
      </c>
      <c r="C130" s="44" t="inlineStr">
        <is>
          <t>Public Holiday Penalty</t>
        </is>
      </c>
      <c r="D130" s="78" t="n">
        <v>109.4981900595609</v>
      </c>
      <c r="E130" s="78" t="n">
        <v>109.7531147812208</v>
      </c>
      <c r="F130" s="78" t="n">
        <v>109.9848645281843</v>
      </c>
    </row>
    <row r="131">
      <c r="A131" t="inlineStr">
        <is>
          <t>Pathologists</t>
        </is>
      </c>
      <c r="B131" t="inlineStr">
        <is>
          <t>SA</t>
        </is>
      </c>
      <c r="C131" s="44" t="inlineStr">
        <is>
          <t>Public Holiday Penalty</t>
        </is>
      </c>
      <c r="D131" s="78" t="n">
        <v>425.6148369910075</v>
      </c>
      <c r="E131" s="78" t="n">
        <v>426.3296713786594</v>
      </c>
      <c r="F131" s="78" t="n">
        <v>426.9795208219792</v>
      </c>
    </row>
    <row r="132">
      <c r="A132" t="inlineStr">
        <is>
          <t>Lab technician</t>
        </is>
      </c>
      <c r="B132" t="inlineStr">
        <is>
          <t>NSW</t>
        </is>
      </c>
      <c r="C132" s="44" t="inlineStr">
        <is>
          <t>Public Holiday Penalty</t>
        </is>
      </c>
      <c r="D132" s="78" t="n">
        <v>92.82022438259108</v>
      </c>
      <c r="E132" s="78" t="n">
        <v>93.03632082995951</v>
      </c>
      <c r="F132" s="78" t="n">
        <v>93.23277214574897</v>
      </c>
    </row>
    <row r="133">
      <c r="A133" t="inlineStr">
        <is>
          <t>Medical scientist</t>
        </is>
      </c>
      <c r="B133" t="inlineStr">
        <is>
          <t>NSW</t>
        </is>
      </c>
      <c r="C133" s="44" t="inlineStr">
        <is>
          <t>Public Holiday Penalty</t>
        </is>
      </c>
      <c r="D133" s="78" t="n">
        <v>132.8366450607287</v>
      </c>
      <c r="E133" s="78" t="n">
        <v>133.1230561133603</v>
      </c>
      <c r="F133" s="78" t="n">
        <v>133.3834297975708</v>
      </c>
    </row>
    <row r="134">
      <c r="A134" t="inlineStr">
        <is>
          <t>Admin staff</t>
        </is>
      </c>
      <c r="B134" t="inlineStr">
        <is>
          <t>NSW</t>
        </is>
      </c>
      <c r="C134" s="44" t="inlineStr">
        <is>
          <t>Public Holiday Penalty</t>
        </is>
      </c>
      <c r="D134" s="78" t="n">
        <v>69.27432658906882</v>
      </c>
      <c r="E134" s="78" t="n">
        <v>69.43560540485831</v>
      </c>
      <c r="F134" s="78" t="n">
        <v>69.58222251012144</v>
      </c>
    </row>
    <row r="135">
      <c r="A135" t="inlineStr">
        <is>
          <t>Bioinformatics staff</t>
        </is>
      </c>
      <c r="B135" t="inlineStr">
        <is>
          <t>NSW</t>
        </is>
      </c>
      <c r="C135" s="44" t="inlineStr">
        <is>
          <t>Public Holiday Penalty</t>
        </is>
      </c>
      <c r="D135" s="78" t="n">
        <v>116.744926492915</v>
      </c>
      <c r="E135" s="78" t="n">
        <v>116.9966419534413</v>
      </c>
      <c r="F135" s="78" t="n">
        <v>117.2254741902834</v>
      </c>
    </row>
    <row r="136">
      <c r="A136" t="inlineStr">
        <is>
          <t>Pathologists</t>
        </is>
      </c>
      <c r="B136" t="inlineStr">
        <is>
          <t>NSW</t>
        </is>
      </c>
      <c r="C136" s="44" t="inlineStr">
        <is>
          <t>Public Holiday Penalty</t>
        </is>
      </c>
      <c r="D136" s="78" t="n">
        <v>311.9278488107288</v>
      </c>
      <c r="E136" s="78" t="n">
        <v>312.5137797317814</v>
      </c>
      <c r="F136" s="78" t="n">
        <v>313.0464442054656</v>
      </c>
    </row>
    <row r="137">
      <c r="A137" t="inlineStr">
        <is>
          <t>Lab technician</t>
        </is>
      </c>
      <c r="B137" t="inlineStr">
        <is>
          <t>QLD</t>
        </is>
      </c>
      <c r="C137" s="44" t="inlineStr">
        <is>
          <t>Public Holiday Penalty</t>
        </is>
      </c>
      <c r="D137" s="78" t="n">
        <v>84.84749509498597</v>
      </c>
      <c r="E137" s="78" t="n">
        <v>85.04287869822485</v>
      </c>
      <c r="F137" s="78" t="n">
        <v>85.22050015571473</v>
      </c>
    </row>
    <row r="138">
      <c r="A138" t="inlineStr">
        <is>
          <t>Medical scientist</t>
        </is>
      </c>
      <c r="B138" t="inlineStr">
        <is>
          <t>QLD</t>
        </is>
      </c>
      <c r="C138" s="44" t="inlineStr">
        <is>
          <t>Public Holiday Penalty</t>
        </is>
      </c>
      <c r="D138" s="78" t="n">
        <v>125.6249976740112</v>
      </c>
      <c r="E138" s="78" t="n">
        <v>125.9153161203675</v>
      </c>
      <c r="F138" s="78" t="n">
        <v>126.1792419806914</v>
      </c>
    </row>
    <row r="139">
      <c r="A139" t="inlineStr">
        <is>
          <t>Admin staff</t>
        </is>
      </c>
      <c r="B139" t="inlineStr">
        <is>
          <t>QLD</t>
        </is>
      </c>
      <c r="C139" s="44" t="inlineStr">
        <is>
          <t>Public Holiday Penalty</t>
        </is>
      </c>
      <c r="D139" s="78" t="n">
        <v>77.2036935047493</v>
      </c>
      <c r="E139" s="78" t="n">
        <v>77.38128143491123</v>
      </c>
      <c r="F139" s="78" t="n">
        <v>77.54272500778573</v>
      </c>
    </row>
    <row r="140">
      <c r="A140" t="inlineStr">
        <is>
          <t>Bioinformatics staff</t>
        </is>
      </c>
      <c r="B140" t="inlineStr">
        <is>
          <t>QLD</t>
        </is>
      </c>
      <c r="C140" s="44" t="inlineStr">
        <is>
          <t>Public Holiday Penalty</t>
        </is>
      </c>
      <c r="D140" s="78" t="n">
        <v>125.6249976740112</v>
      </c>
      <c r="E140" s="78" t="n">
        <v>125.9153161203675</v>
      </c>
      <c r="F140" s="78" t="n">
        <v>126.1792419806914</v>
      </c>
    </row>
    <row r="141">
      <c r="A141" t="inlineStr">
        <is>
          <t>Pathologists</t>
        </is>
      </c>
      <c r="B141" t="inlineStr">
        <is>
          <t>QLD</t>
        </is>
      </c>
      <c r="C141" s="44" t="inlineStr">
        <is>
          <t>Public Holiday Penalty</t>
        </is>
      </c>
      <c r="D141" s="78" t="n">
        <v>337.8979173933354</v>
      </c>
      <c r="E141" s="78" t="n">
        <v>338.5262645593273</v>
      </c>
      <c r="F141" s="78" t="n">
        <v>339.0974892556836</v>
      </c>
    </row>
    <row r="142">
      <c r="A142" t="inlineStr">
        <is>
          <t>Lab technician</t>
        </is>
      </c>
      <c r="B142" t="inlineStr">
        <is>
          <t>WA</t>
        </is>
      </c>
      <c r="C142" s="44" t="inlineStr">
        <is>
          <t>Public Holiday Penalty</t>
        </is>
      </c>
      <c r="D142" s="78" t="n">
        <v>93.1037345063843</v>
      </c>
      <c r="E142" s="78" t="n">
        <v>93.30238025537216</v>
      </c>
      <c r="F142" s="78" t="n">
        <v>93.48296729990658</v>
      </c>
    </row>
    <row r="143">
      <c r="A143" t="inlineStr">
        <is>
          <t>Medical scientist</t>
        </is>
      </c>
      <c r="B143" t="inlineStr">
        <is>
          <t>WA</t>
        </is>
      </c>
      <c r="C143" s="44" t="inlineStr">
        <is>
          <t>Public Holiday Penalty</t>
        </is>
      </c>
      <c r="D143" s="78" t="n">
        <v>142.2503687130177</v>
      </c>
      <c r="E143" s="78" t="n">
        <v>142.5538735207101</v>
      </c>
      <c r="F143" s="78" t="n">
        <v>142.8297869822485</v>
      </c>
    </row>
    <row r="144">
      <c r="A144" t="inlineStr">
        <is>
          <t>Admin staff</t>
        </is>
      </c>
      <c r="B144" t="inlineStr">
        <is>
          <t>WA</t>
        </is>
      </c>
      <c r="C144" s="44" t="inlineStr">
        <is>
          <t>Public Holiday Penalty</t>
        </is>
      </c>
      <c r="D144" s="78" t="n">
        <v>82.59681995484272</v>
      </c>
      <c r="E144" s="78" t="n">
        <v>82.77304819370912</v>
      </c>
      <c r="F144" s="78" t="n">
        <v>82.93325568358767</v>
      </c>
    </row>
    <row r="145">
      <c r="A145" t="inlineStr">
        <is>
          <t>Bioinformatics staff</t>
        </is>
      </c>
      <c r="B145" t="inlineStr">
        <is>
          <t>WA</t>
        </is>
      </c>
      <c r="C145" s="44" t="inlineStr">
        <is>
          <t>Public Holiday Penalty</t>
        </is>
      </c>
      <c r="D145" s="78" t="n">
        <v>113.2108954180941</v>
      </c>
      <c r="E145" s="78" t="n">
        <v>113.4524417237621</v>
      </c>
      <c r="F145" s="78" t="n">
        <v>113.6720292743694</v>
      </c>
    </row>
    <row r="146">
      <c r="A146" t="inlineStr">
        <is>
          <t>Pathologists</t>
        </is>
      </c>
      <c r="B146" t="inlineStr">
        <is>
          <t>WA</t>
        </is>
      </c>
      <c r="C146" s="44" t="inlineStr">
        <is>
          <t>Public Holiday Penalty</t>
        </is>
      </c>
      <c r="D146" s="78" t="n">
        <v>423.6735738087823</v>
      </c>
      <c r="E146" s="78" t="n">
        <v>424.6258754282155</v>
      </c>
      <c r="F146" s="78" t="n">
        <v>425.4916041731547</v>
      </c>
    </row>
    <row r="147">
      <c r="A147" t="inlineStr">
        <is>
          <t>Lab technician</t>
        </is>
      </c>
      <c r="B147" t="inlineStr">
        <is>
          <t>ALL</t>
        </is>
      </c>
      <c r="C147" s="44" t="inlineStr">
        <is>
          <t>Public Holiday Penalty</t>
        </is>
      </c>
      <c r="D147" s="44" t="n">
        <v>97.08250724805356</v>
      </c>
      <c r="E147" s="44" t="n">
        <v>97.3006387844908</v>
      </c>
      <c r="F147" s="44" t="n">
        <v>97.49894018125194</v>
      </c>
    </row>
    <row r="148">
      <c r="A148" t="inlineStr">
        <is>
          <t>Medical scientist</t>
        </is>
      </c>
      <c r="B148" t="inlineStr">
        <is>
          <t>ALL</t>
        </is>
      </c>
      <c r="C148" s="44" t="inlineStr">
        <is>
          <t>Public Holiday Penalty</t>
        </is>
      </c>
      <c r="D148" s="44" t="n">
        <v>131.8018706808627</v>
      </c>
      <c r="E148" s="44" t="n">
        <v>132.0926584531299</v>
      </c>
      <c r="F148" s="44" t="n">
        <v>132.3570109733728</v>
      </c>
    </row>
    <row r="149">
      <c r="A149" t="inlineStr">
        <is>
          <t>Admin staff</t>
        </is>
      </c>
      <c r="B149" t="inlineStr">
        <is>
          <t>ALL</t>
        </is>
      </c>
      <c r="C149" s="44" t="inlineStr">
        <is>
          <t>Public Holiday Penalty</t>
        </is>
      </c>
      <c r="D149" s="44" t="n">
        <v>80.80375429710369</v>
      </c>
      <c r="E149" s="44" t="n">
        <v>80.98523986795389</v>
      </c>
      <c r="F149" s="44" t="n">
        <v>81.150226750545</v>
      </c>
    </row>
    <row r="150">
      <c r="A150" t="inlineStr">
        <is>
          <t>Bioinformatics staff</t>
        </is>
      </c>
      <c r="B150" t="inlineStr">
        <is>
          <t>ALL</t>
        </is>
      </c>
      <c r="C150" s="44" t="inlineStr">
        <is>
          <t>Public Holiday Penalty</t>
        </is>
      </c>
      <c r="D150" s="44" t="n">
        <v>119.4499558256774</v>
      </c>
      <c r="E150" s="44" t="n">
        <v>119.7143608104952</v>
      </c>
      <c r="F150" s="44" t="n">
        <v>119.9547289785114</v>
      </c>
    </row>
    <row r="151">
      <c r="A151" t="inlineStr">
        <is>
          <t>Pathologists</t>
        </is>
      </c>
      <c r="B151" t="inlineStr">
        <is>
          <t>ALL</t>
        </is>
      </c>
      <c r="C151" s="44" t="inlineStr">
        <is>
          <t>Public Holiday Penalty</t>
        </is>
      </c>
      <c r="D151" s="44" t="n">
        <v>383.719785659919</v>
      </c>
      <c r="E151" s="44" t="n">
        <v>384.4609838076923</v>
      </c>
      <c r="F151" s="44" t="n">
        <v>385.134800305668</v>
      </c>
    </row>
    <row r="152">
      <c r="A152" t="inlineStr">
        <is>
          <t>Lab technician</t>
        </is>
      </c>
      <c r="B152" t="inlineStr">
        <is>
          <t>VIC</t>
        </is>
      </c>
      <c r="C152" s="44" t="inlineStr">
        <is>
          <t>Private Practice Loading</t>
        </is>
      </c>
      <c r="D152" s="78" t="n">
        <v>122.8630012846465</v>
      </c>
      <c r="E152" s="78" t="n">
        <v>122.8630012846465</v>
      </c>
      <c r="F152" s="78" t="n">
        <v>132.4752482482093</v>
      </c>
    </row>
    <row r="153">
      <c r="A153" t="inlineStr">
        <is>
          <t>Medical scientist</t>
        </is>
      </c>
      <c r="B153" t="inlineStr">
        <is>
          <t>VIC</t>
        </is>
      </c>
      <c r="C153" s="44" t="inlineStr">
        <is>
          <t>Private Practice Loading</t>
        </is>
      </c>
      <c r="D153" s="78" t="n">
        <v>132.9668190283401</v>
      </c>
      <c r="E153" s="78" t="n">
        <v>132.9668190283401</v>
      </c>
      <c r="F153" s="78" t="n">
        <v>143.2783979757085</v>
      </c>
    </row>
    <row r="154">
      <c r="A154" t="inlineStr">
        <is>
          <t>Admin staff</t>
        </is>
      </c>
      <c r="B154" t="inlineStr">
        <is>
          <t>VIC</t>
        </is>
      </c>
      <c r="C154" s="44" t="inlineStr">
        <is>
          <t>Private Practice Loading</t>
        </is>
      </c>
      <c r="D154" s="78" t="n">
        <v>100.3672047843351</v>
      </c>
      <c r="E154" s="78" t="n">
        <v>100.3672047843351</v>
      </c>
      <c r="F154" s="78" t="n">
        <v>108.2194821122703</v>
      </c>
    </row>
    <row r="155">
      <c r="A155" t="inlineStr">
        <is>
          <t>Bioinformatics staff</t>
        </is>
      </c>
      <c r="B155" t="inlineStr">
        <is>
          <t>VIC</t>
        </is>
      </c>
      <c r="C155" s="44" t="inlineStr">
        <is>
          <t>Private Practice Loading</t>
        </is>
      </c>
      <c r="D155" s="78" t="n">
        <v>131.7792982326378</v>
      </c>
      <c r="E155" s="78" t="n">
        <v>131.7792982326378</v>
      </c>
      <c r="F155" s="78" t="n">
        <v>142.089116046403</v>
      </c>
    </row>
    <row r="156">
      <c r="A156" t="inlineStr">
        <is>
          <t>Pathologists</t>
        </is>
      </c>
      <c r="B156" t="inlineStr">
        <is>
          <t>VIC</t>
        </is>
      </c>
      <c r="C156" s="44" t="inlineStr">
        <is>
          <t>Private Practice Loading</t>
        </is>
      </c>
      <c r="D156" s="78" t="n">
        <v>382.944809665992</v>
      </c>
      <c r="E156" s="78" t="n">
        <v>397.9371122975709</v>
      </c>
      <c r="F156" s="78" t="n">
        <v>412.9294149291499</v>
      </c>
    </row>
    <row r="157">
      <c r="A157" t="inlineStr">
        <is>
          <t>Lab technician</t>
        </is>
      </c>
      <c r="B157" t="inlineStr">
        <is>
          <t>SA</t>
        </is>
      </c>
      <c r="C157" s="44" t="inlineStr">
        <is>
          <t>Private Practice Loading</t>
        </is>
      </c>
      <c r="D157" s="78" t="n">
        <v>93.07879005761446</v>
      </c>
      <c r="E157" s="78" t="n">
        <v>93.07879005761446</v>
      </c>
      <c r="F157" s="78" t="n">
        <v>100.9404297337278</v>
      </c>
    </row>
    <row r="158">
      <c r="A158" t="inlineStr">
        <is>
          <t>Medical scientist</t>
        </is>
      </c>
      <c r="B158" t="inlineStr">
        <is>
          <t>SA</t>
        </is>
      </c>
      <c r="C158" s="44" t="inlineStr">
        <is>
          <t>Private Practice Loading</t>
        </is>
      </c>
      <c r="D158" s="78" t="n">
        <v>125.9271976798505</v>
      </c>
      <c r="E158" s="78" t="n">
        <v>125.9271976798505</v>
      </c>
      <c r="F158" s="78" t="n">
        <v>136.4776025381501</v>
      </c>
    </row>
    <row r="159">
      <c r="A159" t="inlineStr">
        <is>
          <t>Admin staff</t>
        </is>
      </c>
      <c r="B159" t="inlineStr">
        <is>
          <t>SA</t>
        </is>
      </c>
      <c r="C159" s="44" t="inlineStr">
        <is>
          <t>Private Practice Loading</t>
        </is>
      </c>
      <c r="D159" s="78" t="n">
        <v>75.94370297415135</v>
      </c>
      <c r="E159" s="78" t="n">
        <v>75.94370297415135</v>
      </c>
      <c r="F159" s="78" t="n">
        <v>82.35807544378699</v>
      </c>
    </row>
    <row r="160">
      <c r="A160" t="inlineStr">
        <is>
          <t>Bioinformatics staff</t>
        </is>
      </c>
      <c r="B160" t="inlineStr">
        <is>
          <t>SA</t>
        </is>
      </c>
      <c r="C160" s="44" t="inlineStr">
        <is>
          <t>Private Practice Loading</t>
        </is>
      </c>
      <c r="D160" s="78" t="n">
        <v>109.7531147812208</v>
      </c>
      <c r="E160" s="78" t="n">
        <v>109.7531147812208</v>
      </c>
      <c r="F160" s="78" t="n">
        <v>119.0231046597633</v>
      </c>
    </row>
    <row r="161">
      <c r="A161" t="inlineStr">
        <is>
          <t>Pathologists</t>
        </is>
      </c>
      <c r="B161" t="inlineStr">
        <is>
          <t>SA</t>
        </is>
      </c>
      <c r="C161" s="44" t="inlineStr">
        <is>
          <t>Private Practice Loading</t>
        </is>
      </c>
      <c r="D161" s="78" t="n">
        <v>413.3326825122626</v>
      </c>
      <c r="E161" s="78" t="n">
        <v>426.3296713786594</v>
      </c>
      <c r="F161" s="78" t="n">
        <v>439.3266602450561</v>
      </c>
    </row>
    <row r="162">
      <c r="A162" t="inlineStr">
        <is>
          <t>Lab technician</t>
        </is>
      </c>
      <c r="B162" t="inlineStr">
        <is>
          <t>NSW</t>
        </is>
      </c>
      <c r="C162" s="44" t="inlineStr">
        <is>
          <t>Private Practice Loading</t>
        </is>
      </c>
      <c r="D162" s="78" t="n">
        <v>93.03632082995951</v>
      </c>
      <c r="E162" s="78" t="n">
        <v>93.03632082995951</v>
      </c>
      <c r="F162" s="78" t="n">
        <v>100.8943734615384</v>
      </c>
    </row>
    <row r="163">
      <c r="A163" t="inlineStr">
        <is>
          <t>Medical scientist</t>
        </is>
      </c>
      <c r="B163" t="inlineStr">
        <is>
          <t>NSW</t>
        </is>
      </c>
      <c r="C163" s="44" t="inlineStr">
        <is>
          <t>Private Practice Loading</t>
        </is>
      </c>
      <c r="D163" s="78" t="n">
        <v>133.1230561133603</v>
      </c>
      <c r="E163" s="78" t="n">
        <v>133.1230561133603</v>
      </c>
      <c r="F163" s="78" t="n">
        <v>143.5380034817814</v>
      </c>
    </row>
    <row r="164">
      <c r="A164" t="inlineStr">
        <is>
          <t>Admin staff</t>
        </is>
      </c>
      <c r="B164" t="inlineStr">
        <is>
          <t>NSW</t>
        </is>
      </c>
      <c r="C164" s="44" t="inlineStr">
        <is>
          <t>Private Practice Loading</t>
        </is>
      </c>
      <c r="D164" s="78" t="n">
        <v>69.43560540485831</v>
      </c>
      <c r="E164" s="78" t="n">
        <v>69.43560540485831</v>
      </c>
      <c r="F164" s="78" t="n">
        <v>75.30028961538463</v>
      </c>
    </row>
    <row r="165">
      <c r="A165" t="inlineStr">
        <is>
          <t>Bioinformatics staff</t>
        </is>
      </c>
      <c r="B165" t="inlineStr">
        <is>
          <t>NSW</t>
        </is>
      </c>
      <c r="C165" s="44" t="inlineStr">
        <is>
          <t>Private Practice Loading</t>
        </is>
      </c>
      <c r="D165" s="78" t="n">
        <v>116.9966419534413</v>
      </c>
      <c r="E165" s="78" t="n">
        <v>116.9966419534413</v>
      </c>
      <c r="F165" s="78" t="n">
        <v>126.1499314271255</v>
      </c>
    </row>
    <row r="166">
      <c r="A166" t="inlineStr">
        <is>
          <t>Pathologists</t>
        </is>
      </c>
      <c r="B166" t="inlineStr">
        <is>
          <t>NSW</t>
        </is>
      </c>
      <c r="C166" s="44" t="inlineStr">
        <is>
          <t>Private Practice Loading</t>
        </is>
      </c>
      <c r="D166" s="78" t="n">
        <v>301.8604902580972</v>
      </c>
      <c r="E166" s="78" t="n">
        <v>312.5137797317814</v>
      </c>
      <c r="F166" s="78" t="n">
        <v>323.1670692054656</v>
      </c>
    </row>
    <row r="167">
      <c r="A167" t="inlineStr">
        <is>
          <t>Lab technician</t>
        </is>
      </c>
      <c r="B167" t="inlineStr">
        <is>
          <t>QLD</t>
        </is>
      </c>
      <c r="C167" s="44" t="inlineStr">
        <is>
          <t>Private Practice Loading</t>
        </is>
      </c>
      <c r="D167" s="78" t="n">
        <v>85.04287869822485</v>
      </c>
      <c r="E167" s="78" t="n">
        <v>85.04287869822485</v>
      </c>
      <c r="F167" s="78" t="n">
        <v>92.14773699781999</v>
      </c>
    </row>
    <row r="168">
      <c r="A168" t="inlineStr">
        <is>
          <t>Medical scientist</t>
        </is>
      </c>
      <c r="B168" t="inlineStr">
        <is>
          <t>QLD</t>
        </is>
      </c>
      <c r="C168" s="44" t="inlineStr">
        <is>
          <t>Private Practice Loading</t>
        </is>
      </c>
      <c r="D168" s="78" t="n">
        <v>125.9153161203675</v>
      </c>
      <c r="E168" s="78" t="n">
        <v>125.9153161203675</v>
      </c>
      <c r="F168" s="78" t="n">
        <v>136.4723505333229</v>
      </c>
    </row>
    <row r="169">
      <c r="A169" t="inlineStr">
        <is>
          <t>Admin staff</t>
        </is>
      </c>
      <c r="B169" t="inlineStr">
        <is>
          <t>QLD</t>
        </is>
      </c>
      <c r="C169" s="44" t="inlineStr">
        <is>
          <t>Private Practice Loading</t>
        </is>
      </c>
      <c r="D169" s="78" t="n">
        <v>77.38128143491123</v>
      </c>
      <c r="E169" s="78" t="n">
        <v>77.38128143491123</v>
      </c>
      <c r="F169" s="78" t="n">
        <v>83.83902434989099</v>
      </c>
    </row>
    <row r="170">
      <c r="A170" t="inlineStr">
        <is>
          <t>Bioinformatics staff</t>
        </is>
      </c>
      <c r="B170" t="inlineStr">
        <is>
          <t>QLD</t>
        </is>
      </c>
      <c r="C170" s="44" t="inlineStr">
        <is>
          <t>Private Practice Loading</t>
        </is>
      </c>
      <c r="D170" s="78" t="n">
        <v>125.9153161203675</v>
      </c>
      <c r="E170" s="78" t="n">
        <v>125.9153161203675</v>
      </c>
      <c r="F170" s="78" t="n">
        <v>136.4723505333229</v>
      </c>
    </row>
    <row r="171">
      <c r="A171" t="inlineStr">
        <is>
          <t>Pathologists</t>
        </is>
      </c>
      <c r="B171" t="inlineStr">
        <is>
          <t>QLD</t>
        </is>
      </c>
      <c r="C171" s="44" t="inlineStr">
        <is>
          <t>Private Practice Loading</t>
        </is>
      </c>
      <c r="D171" s="78" t="n">
        <v>327.1017706322018</v>
      </c>
      <c r="E171" s="78" t="n">
        <v>338.5262645593273</v>
      </c>
      <c r="F171" s="78" t="n">
        <v>349.9507584864528</v>
      </c>
    </row>
    <row r="172">
      <c r="A172" t="inlineStr">
        <is>
          <t>Lab technician</t>
        </is>
      </c>
      <c r="B172" t="inlineStr">
        <is>
          <t>WA</t>
        </is>
      </c>
      <c r="C172" s="44" t="inlineStr">
        <is>
          <t>Private Practice Loading</t>
        </is>
      </c>
      <c r="D172" s="78" t="n">
        <v>93.30238025537216</v>
      </c>
      <c r="E172" s="78" t="n">
        <v>93.30238025537216</v>
      </c>
      <c r="F172" s="78" t="n">
        <v>100.5258620367487</v>
      </c>
    </row>
    <row r="173">
      <c r="A173" t="inlineStr">
        <is>
          <t>Medical scientist</t>
        </is>
      </c>
      <c r="B173" t="inlineStr">
        <is>
          <t>WA</t>
        </is>
      </c>
      <c r="C173" s="44" t="inlineStr">
        <is>
          <t>Private Practice Loading</t>
        </is>
      </c>
      <c r="D173" s="78" t="n">
        <v>142.5538735207101</v>
      </c>
      <c r="E173" s="78" t="n">
        <v>142.5538735207101</v>
      </c>
      <c r="F173" s="78" t="n">
        <v>153.5904119822485</v>
      </c>
    </row>
    <row r="174">
      <c r="A174" t="inlineStr">
        <is>
          <t>Admin staff</t>
        </is>
      </c>
      <c r="B174" t="inlineStr">
        <is>
          <t>WA</t>
        </is>
      </c>
      <c r="C174" s="44" t="inlineStr">
        <is>
          <t>Private Practice Loading</t>
        </is>
      </c>
      <c r="D174" s="78" t="n">
        <v>82.77304819370912</v>
      </c>
      <c r="E174" s="78" t="n">
        <v>82.77304819370912</v>
      </c>
      <c r="F174" s="78" t="n">
        <v>89.18134778885081</v>
      </c>
    </row>
    <row r="175">
      <c r="A175" t="inlineStr">
        <is>
          <t>Bioinformatics staff</t>
        </is>
      </c>
      <c r="B175" t="inlineStr">
        <is>
          <t>WA</t>
        </is>
      </c>
      <c r="C175" s="44" t="inlineStr">
        <is>
          <t>Private Practice Loading</t>
        </is>
      </c>
      <c r="D175" s="78" t="n">
        <v>113.4524417237621</v>
      </c>
      <c r="E175" s="78" t="n">
        <v>113.4524417237621</v>
      </c>
      <c r="F175" s="78" t="n">
        <v>122.2359437480536</v>
      </c>
    </row>
    <row r="176">
      <c r="A176" t="inlineStr">
        <is>
          <t>Pathologists</t>
        </is>
      </c>
      <c r="B176" t="inlineStr">
        <is>
          <t>WA</t>
        </is>
      </c>
      <c r="C176" s="44" t="inlineStr">
        <is>
          <t>Private Practice Loading</t>
        </is>
      </c>
      <c r="D176" s="78" t="n">
        <v>407.3113005294301</v>
      </c>
      <c r="E176" s="78" t="n">
        <v>424.6258754282155</v>
      </c>
      <c r="F176" s="78" t="n">
        <v>441.9404503270009</v>
      </c>
    </row>
    <row r="177">
      <c r="A177" t="inlineStr">
        <is>
          <t>Lab technician</t>
        </is>
      </c>
      <c r="B177" t="inlineStr">
        <is>
          <t>ALL</t>
        </is>
      </c>
      <c r="C177" s="44" t="inlineStr">
        <is>
          <t>Private Practice Loading</t>
        </is>
      </c>
      <c r="D177" s="44" t="n">
        <v>97.3006387844908</v>
      </c>
      <c r="E177" s="44" t="n">
        <v>97.3006387844908</v>
      </c>
      <c r="F177" s="44" t="n">
        <v>105.2326946549361</v>
      </c>
    </row>
    <row r="178">
      <c r="A178" t="inlineStr">
        <is>
          <t>Medical scientist</t>
        </is>
      </c>
      <c r="B178" t="inlineStr">
        <is>
          <t>ALL</t>
        </is>
      </c>
      <c r="C178" s="44" t="inlineStr">
        <is>
          <t>Private Practice Loading</t>
        </is>
      </c>
      <c r="D178" s="44" t="n">
        <v>132.0926584531299</v>
      </c>
      <c r="E178" s="44" t="n">
        <v>132.0926584531299</v>
      </c>
      <c r="F178" s="44" t="n">
        <v>142.6667592628465</v>
      </c>
    </row>
    <row r="179">
      <c r="A179" t="inlineStr">
        <is>
          <t>Admin staff</t>
        </is>
      </c>
      <c r="B179" t="inlineStr">
        <is>
          <t>ALL</t>
        </is>
      </c>
      <c r="C179" s="44" t="inlineStr">
        <is>
          <t>Private Practice Loading</t>
        </is>
      </c>
      <c r="D179" s="44" t="n">
        <v>80.98523986795389</v>
      </c>
      <c r="E179" s="44" t="n">
        <v>80.98523986795389</v>
      </c>
      <c r="F179" s="44" t="n">
        <v>87.58471517159762</v>
      </c>
    </row>
    <row r="180">
      <c r="A180" t="inlineStr">
        <is>
          <t>Bioinformatics staff</t>
        </is>
      </c>
      <c r="B180" t="inlineStr">
        <is>
          <t>ALL</t>
        </is>
      </c>
      <c r="C180" s="44" t="inlineStr">
        <is>
          <t>Private Practice Loading</t>
        </is>
      </c>
      <c r="D180" s="44" t="n">
        <v>119.7143608104952</v>
      </c>
      <c r="E180" s="44" t="n">
        <v>119.7143608104952</v>
      </c>
      <c r="F180" s="44" t="n">
        <v>129.3290875311429</v>
      </c>
    </row>
    <row r="181">
      <c r="A181" t="inlineStr">
        <is>
          <t>Pathologists</t>
        </is>
      </c>
      <c r="B181" t="inlineStr">
        <is>
          <t>ALL</t>
        </is>
      </c>
      <c r="C181" s="44" t="inlineStr">
        <is>
          <t>Private Practice Loading</t>
        </is>
      </c>
      <c r="D181" s="44" t="n">
        <v>370.9846538481781</v>
      </c>
      <c r="E181" s="44" t="n">
        <v>384.4609838076923</v>
      </c>
      <c r="F181" s="44" t="n">
        <v>397.9373137672064</v>
      </c>
    </row>
    <row r="182">
      <c r="A182" t="inlineStr">
        <is>
          <t>Lab technician</t>
        </is>
      </c>
      <c r="B182" t="inlineStr">
        <is>
          <t>VIC</t>
        </is>
      </c>
      <c r="C182" s="44" t="inlineStr">
        <is>
          <t>Attraction and Retention Allowance</t>
        </is>
      </c>
      <c r="D182" s="78" t="n">
        <v>122.8630012846465</v>
      </c>
      <c r="E182" s="78" t="n">
        <v>122.8630012846465</v>
      </c>
      <c r="F182" s="78" t="n">
        <v>122.8630012846465</v>
      </c>
    </row>
    <row r="183">
      <c r="A183" t="inlineStr">
        <is>
          <t>Medical scientist</t>
        </is>
      </c>
      <c r="B183" t="inlineStr">
        <is>
          <t>VIC</t>
        </is>
      </c>
      <c r="C183" s="44" t="inlineStr">
        <is>
          <t>Attraction and Retention Allowance</t>
        </is>
      </c>
      <c r="D183" s="78" t="n">
        <v>132.9668190283401</v>
      </c>
      <c r="E183" s="78" t="n">
        <v>132.9668190283401</v>
      </c>
      <c r="F183" s="78" t="n">
        <v>132.9668190283401</v>
      </c>
    </row>
    <row r="184">
      <c r="A184" t="inlineStr">
        <is>
          <t>Admin staff</t>
        </is>
      </c>
      <c r="B184" t="inlineStr">
        <is>
          <t>VIC</t>
        </is>
      </c>
      <c r="C184" s="44" t="inlineStr">
        <is>
          <t>Attraction and Retention Allowance</t>
        </is>
      </c>
      <c r="D184" s="78" t="n">
        <v>100.3672047843351</v>
      </c>
      <c r="E184" s="78" t="n">
        <v>100.3672047843351</v>
      </c>
      <c r="F184" s="78" t="n">
        <v>100.3672047843351</v>
      </c>
    </row>
    <row r="185">
      <c r="A185" t="inlineStr">
        <is>
          <t>Bioinformatics staff</t>
        </is>
      </c>
      <c r="B185" t="inlineStr">
        <is>
          <t>VIC</t>
        </is>
      </c>
      <c r="C185" s="44" t="inlineStr">
        <is>
          <t>Attraction and Retention Allowance</t>
        </is>
      </c>
      <c r="D185" s="78" t="n">
        <v>131.7792982326378</v>
      </c>
      <c r="E185" s="78" t="n">
        <v>131.7792982326378</v>
      </c>
      <c r="F185" s="78" t="n">
        <v>131.7792982326378</v>
      </c>
    </row>
    <row r="186">
      <c r="A186" t="inlineStr">
        <is>
          <t>Pathologists</t>
        </is>
      </c>
      <c r="B186" t="inlineStr">
        <is>
          <t>VIC</t>
        </is>
      </c>
      <c r="C186" s="44" t="inlineStr">
        <is>
          <t>Attraction and Retention Allowance</t>
        </is>
      </c>
      <c r="D186" s="78" t="n">
        <v>397.9371122975709</v>
      </c>
      <c r="E186" s="78" t="n">
        <v>397.9371122975709</v>
      </c>
      <c r="F186" s="78" t="n">
        <v>397.9371122975709</v>
      </c>
    </row>
    <row r="187">
      <c r="A187" t="inlineStr">
        <is>
          <t>Lab technician</t>
        </is>
      </c>
      <c r="B187" t="inlineStr">
        <is>
          <t>SA</t>
        </is>
      </c>
      <c r="C187" s="44" t="inlineStr">
        <is>
          <t>Attraction and Retention Allowance</t>
        </is>
      </c>
      <c r="D187" s="78" t="n">
        <v>93.07879005761446</v>
      </c>
      <c r="E187" s="78" t="n">
        <v>93.07879005761446</v>
      </c>
      <c r="F187" s="78" t="n">
        <v>93.07879005761446</v>
      </c>
    </row>
    <row r="188">
      <c r="A188" t="inlineStr">
        <is>
          <t>Medical scientist</t>
        </is>
      </c>
      <c r="B188" t="inlineStr">
        <is>
          <t>SA</t>
        </is>
      </c>
      <c r="C188" s="44" t="inlineStr">
        <is>
          <t>Attraction and Retention Allowance</t>
        </is>
      </c>
      <c r="D188" s="78" t="n">
        <v>125.9271976798505</v>
      </c>
      <c r="E188" s="78" t="n">
        <v>125.9271976798505</v>
      </c>
      <c r="F188" s="78" t="n">
        <v>125.9271976798505</v>
      </c>
    </row>
    <row r="189">
      <c r="A189" t="inlineStr">
        <is>
          <t>Admin staff</t>
        </is>
      </c>
      <c r="B189" t="inlineStr">
        <is>
          <t>SA</t>
        </is>
      </c>
      <c r="C189" s="44" t="inlineStr">
        <is>
          <t>Attraction and Retention Allowance</t>
        </is>
      </c>
      <c r="D189" s="78" t="n">
        <v>75.94370297415135</v>
      </c>
      <c r="E189" s="78" t="n">
        <v>75.94370297415135</v>
      </c>
      <c r="F189" s="78" t="n">
        <v>75.94370297415135</v>
      </c>
    </row>
    <row r="190">
      <c r="A190" t="inlineStr">
        <is>
          <t>Bioinformatics staff</t>
        </is>
      </c>
      <c r="B190" t="inlineStr">
        <is>
          <t>SA</t>
        </is>
      </c>
      <c r="C190" s="44" t="inlineStr">
        <is>
          <t>Attraction and Retention Allowance</t>
        </is>
      </c>
      <c r="D190" s="78" t="n">
        <v>109.7531147812208</v>
      </c>
      <c r="E190" s="78" t="n">
        <v>109.7531147812208</v>
      </c>
      <c r="F190" s="78" t="n">
        <v>109.7531147812208</v>
      </c>
    </row>
    <row r="191">
      <c r="A191" t="inlineStr">
        <is>
          <t>Pathologists</t>
        </is>
      </c>
      <c r="B191" t="inlineStr">
        <is>
          <t>SA</t>
        </is>
      </c>
      <c r="C191" s="44" t="inlineStr">
        <is>
          <t>Attraction and Retention Allowance</t>
        </is>
      </c>
      <c r="D191" s="78" t="n">
        <v>387.338704779469</v>
      </c>
      <c r="E191" s="78" t="n">
        <v>426.3296713786594</v>
      </c>
      <c r="F191" s="78" t="n">
        <v>435.4275635851371</v>
      </c>
    </row>
    <row r="192">
      <c r="A192" t="inlineStr">
        <is>
          <t>Lab technician</t>
        </is>
      </c>
      <c r="B192" t="inlineStr">
        <is>
          <t>NSW</t>
        </is>
      </c>
      <c r="C192" s="44" t="inlineStr">
        <is>
          <t>Attraction and Retention Allowance</t>
        </is>
      </c>
      <c r="D192" s="78" t="n">
        <v>93.03632082995951</v>
      </c>
      <c r="E192" s="78" t="n">
        <v>93.03632082995951</v>
      </c>
      <c r="F192" s="78" t="n">
        <v>93.03632082995951</v>
      </c>
    </row>
    <row r="193">
      <c r="A193" t="inlineStr">
        <is>
          <t>Medical scientist</t>
        </is>
      </c>
      <c r="B193" t="inlineStr">
        <is>
          <t>NSW</t>
        </is>
      </c>
      <c r="C193" s="44" t="inlineStr">
        <is>
          <t>Attraction and Retention Allowance</t>
        </is>
      </c>
      <c r="D193" s="78" t="n">
        <v>133.1230561133603</v>
      </c>
      <c r="E193" s="78" t="n">
        <v>133.1230561133603</v>
      </c>
      <c r="F193" s="78" t="n">
        <v>133.1230561133603</v>
      </c>
    </row>
    <row r="194">
      <c r="A194" t="inlineStr">
        <is>
          <t>Admin staff</t>
        </is>
      </c>
      <c r="B194" t="inlineStr">
        <is>
          <t>NSW</t>
        </is>
      </c>
      <c r="C194" s="44" t="inlineStr">
        <is>
          <t>Attraction and Retention Allowance</t>
        </is>
      </c>
      <c r="D194" s="78" t="n">
        <v>69.43560540485831</v>
      </c>
      <c r="E194" s="78" t="n">
        <v>69.43560540485831</v>
      </c>
      <c r="F194" s="78" t="n">
        <v>69.43560540485831</v>
      </c>
    </row>
    <row r="195">
      <c r="A195" t="inlineStr">
        <is>
          <t>Bioinformatics staff</t>
        </is>
      </c>
      <c r="B195" t="inlineStr">
        <is>
          <t>NSW</t>
        </is>
      </c>
      <c r="C195" s="44" t="inlineStr">
        <is>
          <t>Attraction and Retention Allowance</t>
        </is>
      </c>
      <c r="D195" s="78" t="n">
        <v>116.9966419534413</v>
      </c>
      <c r="E195" s="78" t="n">
        <v>116.9966419534413</v>
      </c>
      <c r="F195" s="78" t="n">
        <v>116.9966419534413</v>
      </c>
    </row>
    <row r="196">
      <c r="A196" t="inlineStr">
        <is>
          <t>Pathologists</t>
        </is>
      </c>
      <c r="B196" t="inlineStr">
        <is>
          <t>NSW</t>
        </is>
      </c>
      <c r="C196" s="44" t="inlineStr">
        <is>
          <t>Attraction and Retention Allowance</t>
        </is>
      </c>
      <c r="D196" s="78" t="n">
        <v>293.977056047571</v>
      </c>
      <c r="E196" s="78" t="n">
        <v>312.5137797317814</v>
      </c>
      <c r="F196" s="78" t="n">
        <v>325.9369244686235</v>
      </c>
    </row>
    <row r="197">
      <c r="A197" t="inlineStr">
        <is>
          <t>Lab technician</t>
        </is>
      </c>
      <c r="B197" t="inlineStr">
        <is>
          <t>QLD</t>
        </is>
      </c>
      <c r="C197" s="44" t="inlineStr">
        <is>
          <t>Attraction and Retention Allowance</t>
        </is>
      </c>
      <c r="D197" s="78" t="n">
        <v>85.04287869822485</v>
      </c>
      <c r="E197" s="78" t="n">
        <v>85.04287869822485</v>
      </c>
      <c r="F197" s="78" t="n">
        <v>85.04287869822485</v>
      </c>
    </row>
    <row r="198">
      <c r="A198" t="inlineStr">
        <is>
          <t>Medical scientist</t>
        </is>
      </c>
      <c r="B198" t="inlineStr">
        <is>
          <t>QLD</t>
        </is>
      </c>
      <c r="C198" s="44" t="inlineStr">
        <is>
          <t>Attraction and Retention Allowance</t>
        </is>
      </c>
      <c r="D198" s="78" t="n">
        <v>125.9153161203675</v>
      </c>
      <c r="E198" s="78" t="n">
        <v>125.9153161203675</v>
      </c>
      <c r="F198" s="78" t="n">
        <v>125.9153161203675</v>
      </c>
    </row>
    <row r="199">
      <c r="A199" t="inlineStr">
        <is>
          <t>Admin staff</t>
        </is>
      </c>
      <c r="B199" t="inlineStr">
        <is>
          <t>QLD</t>
        </is>
      </c>
      <c r="C199" s="44" t="inlineStr">
        <is>
          <t>Attraction and Retention Allowance</t>
        </is>
      </c>
      <c r="D199" s="78" t="n">
        <v>77.38128143491123</v>
      </c>
      <c r="E199" s="78" t="n">
        <v>77.38128143491123</v>
      </c>
      <c r="F199" s="78" t="n">
        <v>77.38128143491123</v>
      </c>
    </row>
    <row r="200">
      <c r="A200" t="inlineStr">
        <is>
          <t>Bioinformatics staff</t>
        </is>
      </c>
      <c r="B200" t="inlineStr">
        <is>
          <t>QLD</t>
        </is>
      </c>
      <c r="C200" s="44" t="inlineStr">
        <is>
          <t>Attraction and Retention Allowance</t>
        </is>
      </c>
      <c r="D200" s="78" t="n">
        <v>125.9153161203675</v>
      </c>
      <c r="E200" s="78" t="n">
        <v>125.9153161203675</v>
      </c>
      <c r="F200" s="78" t="n">
        <v>125.9153161203675</v>
      </c>
    </row>
    <row r="201">
      <c r="A201" t="inlineStr">
        <is>
          <t>Pathologists</t>
        </is>
      </c>
      <c r="B201" t="inlineStr">
        <is>
          <t>QLD</t>
        </is>
      </c>
      <c r="C201" s="44" t="inlineStr">
        <is>
          <t>Attraction and Retention Allowance</t>
        </is>
      </c>
      <c r="D201" s="78" t="n">
        <v>281.4037949236998</v>
      </c>
      <c r="E201" s="78" t="n">
        <v>338.5262645593273</v>
      </c>
      <c r="F201" s="78" t="n">
        <v>349.9507584864528</v>
      </c>
    </row>
    <row r="202">
      <c r="A202" t="inlineStr">
        <is>
          <t>Lab technician</t>
        </is>
      </c>
      <c r="B202" t="inlineStr">
        <is>
          <t>WA</t>
        </is>
      </c>
      <c r="C202" s="44" t="inlineStr">
        <is>
          <t>Attraction and Retention Allowance</t>
        </is>
      </c>
      <c r="D202" s="78" t="n">
        <v>93.30238025537216</v>
      </c>
      <c r="E202" s="78" t="n">
        <v>93.30238025537216</v>
      </c>
      <c r="F202" s="78" t="n">
        <v>93.30238025537216</v>
      </c>
    </row>
    <row r="203">
      <c r="A203" t="inlineStr">
        <is>
          <t>Medical scientist</t>
        </is>
      </c>
      <c r="B203" t="inlineStr">
        <is>
          <t>WA</t>
        </is>
      </c>
      <c r="C203" s="44" t="inlineStr">
        <is>
          <t>Attraction and Retention Allowance</t>
        </is>
      </c>
      <c r="D203" s="78" t="n">
        <v>142.5538735207101</v>
      </c>
      <c r="E203" s="78" t="n">
        <v>142.5538735207101</v>
      </c>
      <c r="F203" s="78" t="n">
        <v>142.5538735207101</v>
      </c>
    </row>
    <row r="204">
      <c r="A204" t="inlineStr">
        <is>
          <t>Admin staff</t>
        </is>
      </c>
      <c r="B204" t="inlineStr">
        <is>
          <t>WA</t>
        </is>
      </c>
      <c r="C204" s="44" t="inlineStr">
        <is>
          <t>Attraction and Retention Allowance</t>
        </is>
      </c>
      <c r="D204" s="78" t="n">
        <v>82.77304819370912</v>
      </c>
      <c r="E204" s="78" t="n">
        <v>82.77304819370912</v>
      </c>
      <c r="F204" s="78" t="n">
        <v>82.77304819370912</v>
      </c>
    </row>
    <row r="205">
      <c r="A205" t="inlineStr">
        <is>
          <t>Bioinformatics staff</t>
        </is>
      </c>
      <c r="B205" t="inlineStr">
        <is>
          <t>WA</t>
        </is>
      </c>
      <c r="C205" s="44" t="inlineStr">
        <is>
          <t>Attraction and Retention Allowance</t>
        </is>
      </c>
      <c r="D205" s="78" t="n">
        <v>113.4524417237621</v>
      </c>
      <c r="E205" s="78" t="n">
        <v>113.4524417237621</v>
      </c>
      <c r="F205" s="78" t="n">
        <v>113.4524417237621</v>
      </c>
    </row>
    <row r="206">
      <c r="A206" t="inlineStr">
        <is>
          <t>Pathologists</t>
        </is>
      </c>
      <c r="B206" t="inlineStr">
        <is>
          <t>WA</t>
        </is>
      </c>
      <c r="C206" s="44" t="inlineStr">
        <is>
          <t>Attraction and Retention Allowance</t>
        </is>
      </c>
      <c r="D206" s="78" t="n">
        <v>424.6258754282155</v>
      </c>
      <c r="E206" s="78" t="n">
        <v>424.6258754282155</v>
      </c>
      <c r="F206" s="78" t="n">
        <v>424.6258754282155</v>
      </c>
    </row>
    <row r="207">
      <c r="A207" t="inlineStr">
        <is>
          <t>Lab technician</t>
        </is>
      </c>
      <c r="B207" t="inlineStr">
        <is>
          <t>ALL</t>
        </is>
      </c>
      <c r="C207" s="44" t="inlineStr">
        <is>
          <t>Attraction and Retention Allowance</t>
        </is>
      </c>
      <c r="D207" s="44" t="n">
        <v>97.3006387844908</v>
      </c>
      <c r="E207" s="44" t="n">
        <v>97.3006387844908</v>
      </c>
      <c r="F207" s="44" t="n">
        <v>97.3006387844908</v>
      </c>
    </row>
    <row r="208">
      <c r="A208" t="inlineStr">
        <is>
          <t>Medical scientist</t>
        </is>
      </c>
      <c r="B208" t="inlineStr">
        <is>
          <t>ALL</t>
        </is>
      </c>
      <c r="C208" s="44" t="inlineStr">
        <is>
          <t>Attraction and Retention Allowance</t>
        </is>
      </c>
      <c r="D208" s="44" t="n">
        <v>132.0926584531299</v>
      </c>
      <c r="E208" s="44" t="n">
        <v>132.0926584531299</v>
      </c>
      <c r="F208" s="44" t="n">
        <v>132.0926584531299</v>
      </c>
    </row>
    <row r="209">
      <c r="A209" t="inlineStr">
        <is>
          <t>Admin staff</t>
        </is>
      </c>
      <c r="B209" t="inlineStr">
        <is>
          <t>ALL</t>
        </is>
      </c>
      <c r="C209" s="44" t="inlineStr">
        <is>
          <t>Attraction and Retention Allowance</t>
        </is>
      </c>
      <c r="D209" s="44" t="n">
        <v>80.98523986795389</v>
      </c>
      <c r="E209" s="44" t="n">
        <v>80.98523986795389</v>
      </c>
      <c r="F209" s="44" t="n">
        <v>80.98523986795389</v>
      </c>
    </row>
    <row r="210">
      <c r="A210" t="inlineStr">
        <is>
          <t>Bioinformatics staff</t>
        </is>
      </c>
      <c r="B210" t="inlineStr">
        <is>
          <t>ALL</t>
        </is>
      </c>
      <c r="C210" s="44" t="inlineStr">
        <is>
          <t>Attraction and Retention Allowance</t>
        </is>
      </c>
      <c r="D210" s="44" t="n">
        <v>119.7143608104952</v>
      </c>
      <c r="E210" s="44" t="n">
        <v>119.7143608104952</v>
      </c>
      <c r="F210" s="44" t="n">
        <v>119.7143608104952</v>
      </c>
    </row>
    <row r="211">
      <c r="A211" t="inlineStr">
        <is>
          <t>Pathologists</t>
        </is>
      </c>
      <c r="B211" t="inlineStr">
        <is>
          <t>ALL</t>
        </is>
      </c>
      <c r="C211" s="44" t="inlineStr">
        <is>
          <t>Attraction and Retention Allowance</t>
        </is>
      </c>
      <c r="D211" s="44" t="n">
        <v>350.1232950708501</v>
      </c>
      <c r="E211" s="44" t="n">
        <v>384.4609838076923</v>
      </c>
      <c r="F211" s="44" t="n">
        <v>404.0286149089068</v>
      </c>
    </row>
    <row r="212">
      <c r="A212" t="inlineStr">
        <is>
          <t>Lab technician</t>
        </is>
      </c>
      <c r="B212" t="inlineStr">
        <is>
          <t>VIC</t>
        </is>
      </c>
      <c r="C212" s="44" t="inlineStr">
        <is>
          <t>Sick Leave</t>
        </is>
      </c>
      <c r="D212" s="78" t="n">
        <v>121.1327968312052</v>
      </c>
      <c r="E212" s="78" t="n">
        <v>122.8630012846465</v>
      </c>
      <c r="F212" s="78" t="n">
        <v>124.4970832684522</v>
      </c>
    </row>
    <row r="213">
      <c r="A213" t="inlineStr">
        <is>
          <t>Medical scientist</t>
        </is>
      </c>
      <c r="B213" t="inlineStr">
        <is>
          <t>VIC</t>
        </is>
      </c>
      <c r="C213" s="44" t="inlineStr">
        <is>
          <t>Sick Leave</t>
        </is>
      </c>
      <c r="D213" s="78" t="n">
        <v>131.1107348178138</v>
      </c>
      <c r="E213" s="78" t="n">
        <v>132.9668190283401</v>
      </c>
      <c r="F213" s="78" t="n">
        <v>134.7197874493928</v>
      </c>
    </row>
    <row r="214">
      <c r="A214" t="inlineStr">
        <is>
          <t>Admin staff</t>
        </is>
      </c>
      <c r="B214" t="inlineStr">
        <is>
          <t>VIC</t>
        </is>
      </c>
      <c r="C214" s="44" t="inlineStr">
        <is>
          <t>Sick Leave</t>
        </is>
      </c>
      <c r="D214" s="78" t="n">
        <v>98.95379486530676</v>
      </c>
      <c r="E214" s="78" t="n">
        <v>100.3672047843351</v>
      </c>
      <c r="F214" s="78" t="n">
        <v>101.7020919300841</v>
      </c>
    </row>
    <row r="215">
      <c r="A215" t="inlineStr">
        <is>
          <t>Bioinformatics staff</t>
        </is>
      </c>
      <c r="B215" t="inlineStr">
        <is>
          <t>VIC</t>
        </is>
      </c>
      <c r="C215" s="44" t="inlineStr">
        <is>
          <t>Sick Leave</t>
        </is>
      </c>
      <c r="D215" s="78" t="n">
        <v>129.9235310261601</v>
      </c>
      <c r="E215" s="78" t="n">
        <v>131.7792982326378</v>
      </c>
      <c r="F215" s="78" t="n">
        <v>133.5319672609779</v>
      </c>
    </row>
    <row r="216">
      <c r="A216" t="inlineStr">
        <is>
          <t>Pathologists</t>
        </is>
      </c>
      <c r="B216" t="inlineStr">
        <is>
          <t>VIC</t>
        </is>
      </c>
      <c r="C216" s="44" t="inlineStr">
        <is>
          <t>Sick Leave</t>
        </is>
      </c>
      <c r="D216" s="78" t="n">
        <v>392.5398833502024</v>
      </c>
      <c r="E216" s="78" t="n">
        <v>397.9371122975709</v>
      </c>
      <c r="F216" s="78" t="n">
        <v>403.0344951923078</v>
      </c>
    </row>
    <row r="217">
      <c r="A217" t="inlineStr">
        <is>
          <t>Lab technician</t>
        </is>
      </c>
      <c r="B217" t="inlineStr">
        <is>
          <t>SA</t>
        </is>
      </c>
      <c r="C217" s="44" t="inlineStr">
        <is>
          <t>Sick Leave</t>
        </is>
      </c>
      <c r="D217" s="78" t="n">
        <v>91.66369491591405</v>
      </c>
      <c r="E217" s="78" t="n">
        <v>93.07879005761446</v>
      </c>
      <c r="F217" s="78" t="n">
        <v>94.41526880255373</v>
      </c>
    </row>
    <row r="218">
      <c r="A218" t="inlineStr">
        <is>
          <t>Medical scientist</t>
        </is>
      </c>
      <c r="B218" t="inlineStr">
        <is>
          <t>SA</t>
        </is>
      </c>
      <c r="C218" s="44" t="inlineStr">
        <is>
          <t>Sick Leave</t>
        </is>
      </c>
      <c r="D218" s="78" t="n">
        <v>124.0281248053566</v>
      </c>
      <c r="E218" s="78" t="n">
        <v>125.9271976798505</v>
      </c>
      <c r="F218" s="78" t="n">
        <v>127.7207665057614</v>
      </c>
    </row>
    <row r="219">
      <c r="A219" t="inlineStr">
        <is>
          <t>Admin staff</t>
        </is>
      </c>
      <c r="B219" t="inlineStr">
        <is>
          <t>SA</t>
        </is>
      </c>
      <c r="C219" s="44" t="inlineStr">
        <is>
          <t>Sick Leave</t>
        </is>
      </c>
      <c r="D219" s="78" t="n">
        <v>74.78911592961693</v>
      </c>
      <c r="E219" s="78" t="n">
        <v>75.94370297415135</v>
      </c>
      <c r="F219" s="78" t="n">
        <v>77.03414629398939</v>
      </c>
    </row>
    <row r="220">
      <c r="A220" t="inlineStr">
        <is>
          <t>Bioinformatics staff</t>
        </is>
      </c>
      <c r="B220" t="inlineStr">
        <is>
          <t>SA</t>
        </is>
      </c>
      <c r="C220" s="44" t="inlineStr">
        <is>
          <t>Sick Leave</t>
        </is>
      </c>
      <c r="D220" s="78" t="n">
        <v>108.0845166030831</v>
      </c>
      <c r="E220" s="78" t="n">
        <v>109.7531147812208</v>
      </c>
      <c r="F220" s="78" t="n">
        <v>111.329013060573</v>
      </c>
    </row>
    <row r="221">
      <c r="A221" t="inlineStr">
        <is>
          <t>Pathologists</t>
        </is>
      </c>
      <c r="B221" t="inlineStr">
        <is>
          <t>SA</t>
        </is>
      </c>
      <c r="C221" s="44" t="inlineStr">
        <is>
          <t>Sick Leave</t>
        </is>
      </c>
      <c r="D221" s="78" t="n">
        <v>421.6507553867565</v>
      </c>
      <c r="E221" s="78" t="n">
        <v>426.3296713786594</v>
      </c>
      <c r="F221" s="78" t="n">
        <v>430.7486475932342</v>
      </c>
    </row>
    <row r="222">
      <c r="A222" t="inlineStr">
        <is>
          <t>Lab technician</t>
        </is>
      </c>
      <c r="B222" t="inlineStr">
        <is>
          <t>NSW</t>
        </is>
      </c>
      <c r="C222" s="44" t="inlineStr">
        <is>
          <t>Sick Leave</t>
        </is>
      </c>
      <c r="D222" s="78" t="n">
        <v>91.62187135627528</v>
      </c>
      <c r="E222" s="78" t="n">
        <v>93.03632082995951</v>
      </c>
      <c r="F222" s="78" t="n">
        <v>94.37218977732793</v>
      </c>
    </row>
    <row r="223">
      <c r="A223" t="inlineStr">
        <is>
          <t>Medical scientist</t>
        </is>
      </c>
      <c r="B223" t="inlineStr">
        <is>
          <t>NSW</t>
        </is>
      </c>
      <c r="C223" s="44" t="inlineStr">
        <is>
          <t>Sick Leave</t>
        </is>
      </c>
      <c r="D223" s="78" t="n">
        <v>131.2483655870445</v>
      </c>
      <c r="E223" s="78" t="n">
        <v>133.1230561133603</v>
      </c>
      <c r="F223" s="78" t="n">
        <v>134.8935971659919</v>
      </c>
    </row>
    <row r="224">
      <c r="A224" t="inlineStr">
        <is>
          <t>Admin staff</t>
        </is>
      </c>
      <c r="B224" t="inlineStr">
        <is>
          <t>NSW</t>
        </is>
      </c>
      <c r="C224" s="44" t="inlineStr">
        <is>
          <t>Sick Leave</t>
        </is>
      </c>
      <c r="D224" s="78" t="n">
        <v>68.37996224696357</v>
      </c>
      <c r="E224" s="78" t="n">
        <v>69.43560540485831</v>
      </c>
      <c r="F224" s="78" t="n">
        <v>70.43260172064777</v>
      </c>
    </row>
    <row r="225">
      <c r="A225" t="inlineStr">
        <is>
          <t>Bioinformatics staff</t>
        </is>
      </c>
      <c r="B225" t="inlineStr">
        <is>
          <t>NSW</t>
        </is>
      </c>
      <c r="C225" s="44" t="inlineStr">
        <is>
          <t>Sick Leave</t>
        </is>
      </c>
      <c r="D225" s="78" t="n">
        <v>115.3490498481781</v>
      </c>
      <c r="E225" s="78" t="n">
        <v>116.9966419534413</v>
      </c>
      <c r="F225" s="78" t="n">
        <v>118.5527011639676</v>
      </c>
    </row>
    <row r="226">
      <c r="A226" t="inlineStr">
        <is>
          <t>Pathologists</t>
        </is>
      </c>
      <c r="B226" t="inlineStr">
        <is>
          <t>NSW</t>
        </is>
      </c>
      <c r="C226" s="44" t="inlineStr">
        <is>
          <t>Sick Leave</t>
        </is>
      </c>
      <c r="D226" s="78" t="n">
        <v>308.6785955212551</v>
      </c>
      <c r="E226" s="78" t="n">
        <v>312.5137797317814</v>
      </c>
      <c r="F226" s="78" t="n">
        <v>316.135898152834</v>
      </c>
    </row>
    <row r="227">
      <c r="A227" t="inlineStr">
        <is>
          <t>Lab technician</t>
        </is>
      </c>
      <c r="B227" t="inlineStr">
        <is>
          <t>QLD</t>
        </is>
      </c>
      <c r="C227" s="44" t="inlineStr">
        <is>
          <t>Sick Leave</t>
        </is>
      </c>
      <c r="D227" s="78" t="n">
        <v>83.76400420429772</v>
      </c>
      <c r="E227" s="78" t="n">
        <v>85.04287869822485</v>
      </c>
      <c r="F227" s="78" t="n">
        <v>86.25070460915603</v>
      </c>
    </row>
    <row r="228">
      <c r="A228" t="inlineStr">
        <is>
          <t>Medical scientist</t>
        </is>
      </c>
      <c r="B228" t="inlineStr">
        <is>
          <t>QLD</t>
        </is>
      </c>
      <c r="C228" s="44" t="inlineStr">
        <is>
          <t>Sick Leave</t>
        </is>
      </c>
      <c r="D228" s="78" t="n">
        <v>124.0150499260355</v>
      </c>
      <c r="E228" s="78" t="n">
        <v>125.9153161203675</v>
      </c>
      <c r="F228" s="78" t="n">
        <v>127.7100119705699</v>
      </c>
    </row>
    <row r="229">
      <c r="A229" t="inlineStr">
        <is>
          <t>Admin staff</t>
        </is>
      </c>
      <c r="B229" t="inlineStr">
        <is>
          <t>QLD</t>
        </is>
      </c>
      <c r="C229" s="44" t="inlineStr">
        <is>
          <t>Sick Leave</t>
        </is>
      </c>
      <c r="D229" s="78" t="n">
        <v>76.21888771021487</v>
      </c>
      <c r="E229" s="78" t="n">
        <v>77.38128143491123</v>
      </c>
      <c r="F229" s="78" t="n">
        <v>78.4790977304578</v>
      </c>
    </row>
    <row r="230">
      <c r="A230" t="inlineStr">
        <is>
          <t>Bioinformatics staff</t>
        </is>
      </c>
      <c r="B230" t="inlineStr">
        <is>
          <t>QLD</t>
        </is>
      </c>
      <c r="C230" s="44" t="inlineStr">
        <is>
          <t>Sick Leave</t>
        </is>
      </c>
      <c r="D230" s="78" t="n">
        <v>124.0150499260355</v>
      </c>
      <c r="E230" s="78" t="n">
        <v>125.9153161203675</v>
      </c>
      <c r="F230" s="78" t="n">
        <v>127.7100119705699</v>
      </c>
    </row>
    <row r="231">
      <c r="A231" t="inlineStr">
        <is>
          <t>Pathologists</t>
        </is>
      </c>
      <c r="B231" t="inlineStr">
        <is>
          <t>QLD</t>
        </is>
      </c>
      <c r="C231" s="44" t="inlineStr">
        <is>
          <t>Sick Leave</t>
        </is>
      </c>
      <c r="D231" s="78" t="n">
        <v>334.4134467455621</v>
      </c>
      <c r="E231" s="78" t="n">
        <v>338.5262645593273</v>
      </c>
      <c r="F231" s="78" t="n">
        <v>342.41059249455</v>
      </c>
    </row>
    <row r="232">
      <c r="A232" t="inlineStr">
        <is>
          <t>Lab technician</t>
        </is>
      </c>
      <c r="B232" t="inlineStr">
        <is>
          <t>WA</t>
        </is>
      </c>
      <c r="C232" s="44" t="inlineStr">
        <is>
          <t>Sick Leave</t>
        </is>
      </c>
      <c r="D232" s="78" t="n">
        <v>92.0021535347244</v>
      </c>
      <c r="E232" s="78" t="n">
        <v>93.30238025537216</v>
      </c>
      <c r="F232" s="78" t="n">
        <v>94.53037215820618</v>
      </c>
    </row>
    <row r="233">
      <c r="A233" t="inlineStr">
        <is>
          <t>Medical scientist</t>
        </is>
      </c>
      <c r="B233" t="inlineStr">
        <is>
          <t>WA</t>
        </is>
      </c>
      <c r="C233" s="44" t="inlineStr">
        <is>
          <t>Sick Leave</t>
        </is>
      </c>
      <c r="D233" s="78" t="n">
        <v>140.5672965976331</v>
      </c>
      <c r="E233" s="78" t="n">
        <v>142.5538735207101</v>
      </c>
      <c r="F233" s="78" t="n">
        <v>144.4300850591716</v>
      </c>
    </row>
    <row r="234">
      <c r="A234" t="inlineStr">
        <is>
          <t>Admin staff</t>
        </is>
      </c>
      <c r="B234" t="inlineStr">
        <is>
          <t>WA</t>
        </is>
      </c>
      <c r="C234" s="44" t="inlineStr">
        <is>
          <t>Sick Leave</t>
        </is>
      </c>
      <c r="D234" s="78" t="n">
        <v>81.61955426658362</v>
      </c>
      <c r="E234" s="78" t="n">
        <v>82.77304819370912</v>
      </c>
      <c r="F234" s="78" t="n">
        <v>83.8624591248832</v>
      </c>
    </row>
    <row r="235">
      <c r="A235" t="inlineStr">
        <is>
          <t>Bioinformatics staff</t>
        </is>
      </c>
      <c r="B235" t="inlineStr">
        <is>
          <t>WA</t>
        </is>
      </c>
      <c r="C235" s="44" t="inlineStr">
        <is>
          <t>Sick Leave</t>
        </is>
      </c>
      <c r="D235" s="78" t="n">
        <v>111.8714113593896</v>
      </c>
      <c r="E235" s="78" t="n">
        <v>113.4524417237621</v>
      </c>
      <c r="F235" s="78" t="n">
        <v>114.9456370678916</v>
      </c>
    </row>
    <row r="236">
      <c r="A236" t="inlineStr">
        <is>
          <t>Pathologists</t>
        </is>
      </c>
      <c r="B236" t="inlineStr">
        <is>
          <t>WA</t>
        </is>
      </c>
      <c r="C236" s="44" t="inlineStr">
        <is>
          <t>Sick Leave</t>
        </is>
      </c>
      <c r="D236" s="78" t="n">
        <v>418.3926284646527</v>
      </c>
      <c r="E236" s="78" t="n">
        <v>424.6258754282155</v>
      </c>
      <c r="F236" s="78" t="n">
        <v>430.5128308938025</v>
      </c>
    </row>
    <row r="237">
      <c r="A237" t="inlineStr">
        <is>
          <t>Lab technician</t>
        </is>
      </c>
      <c r="B237" t="inlineStr">
        <is>
          <t>ALL</t>
        </is>
      </c>
      <c r="C237" s="44" t="inlineStr">
        <is>
          <t>Sick Leave</t>
        </is>
      </c>
      <c r="D237" s="44" t="n">
        <v>95.87286872781064</v>
      </c>
      <c r="E237" s="44" t="n">
        <v>97.3006387844908</v>
      </c>
      <c r="F237" s="44" t="n">
        <v>98.64908828246651</v>
      </c>
    </row>
    <row r="238">
      <c r="A238" t="inlineStr">
        <is>
          <t>Medical scientist</t>
        </is>
      </c>
      <c r="B238" t="inlineStr">
        <is>
          <t>ALL</t>
        </is>
      </c>
      <c r="C238" s="44" t="inlineStr">
        <is>
          <t>Sick Leave</t>
        </is>
      </c>
      <c r="D238" s="44" t="n">
        <v>130.1893203073809</v>
      </c>
      <c r="E238" s="44" t="n">
        <v>132.0926584531299</v>
      </c>
      <c r="F238" s="44" t="n">
        <v>133.8902555907817</v>
      </c>
    </row>
    <row r="239">
      <c r="A239" t="inlineStr">
        <is>
          <t>Admin staff</t>
        </is>
      </c>
      <c r="B239" t="inlineStr">
        <is>
          <t>ALL</t>
        </is>
      </c>
      <c r="C239" s="44" t="inlineStr">
        <is>
          <t>Sick Leave</t>
        </is>
      </c>
      <c r="D239" s="44" t="n">
        <v>79.79733431329802</v>
      </c>
      <c r="E239" s="44" t="n">
        <v>80.98523986795389</v>
      </c>
      <c r="F239" s="44" t="n">
        <v>82.10715066957334</v>
      </c>
    </row>
    <row r="240">
      <c r="A240" t="inlineStr">
        <is>
          <t>Bioinformatics staff</t>
        </is>
      </c>
      <c r="B240" t="inlineStr">
        <is>
          <t>ALL</t>
        </is>
      </c>
      <c r="C240" s="44" t="inlineStr">
        <is>
          <t>Sick Leave</t>
        </is>
      </c>
      <c r="D240" s="44" t="n">
        <v>117.9837100007786</v>
      </c>
      <c r="E240" s="44" t="n">
        <v>119.7143608104952</v>
      </c>
      <c r="F240" s="44" t="n">
        <v>121.3488643530053</v>
      </c>
    </row>
    <row r="241">
      <c r="A241" t="inlineStr">
        <is>
          <t>Pathologists</t>
        </is>
      </c>
      <c r="B241" t="inlineStr">
        <is>
          <t>ALL</t>
        </is>
      </c>
      <c r="C241" s="44" t="inlineStr">
        <is>
          <t>Sick Leave</t>
        </is>
      </c>
      <c r="D241" s="44" t="n">
        <v>379.6095050222671</v>
      </c>
      <c r="E241" s="44" t="n">
        <v>384.4609838076923</v>
      </c>
      <c r="F241" s="44" t="n">
        <v>389.042935993927</v>
      </c>
    </row>
    <row r="242">
      <c r="A242" t="inlineStr">
        <is>
          <t>Lab technician</t>
        </is>
      </c>
      <c r="B242" t="inlineStr">
        <is>
          <t>VIC</t>
        </is>
      </c>
      <c r="C242" s="44" t="inlineStr">
        <is>
          <t>Professional Development Allowance</t>
        </is>
      </c>
      <c r="D242" s="78" t="n">
        <v>122.8630012846465</v>
      </c>
      <c r="E242" s="78" t="n">
        <v>122.8630012846465</v>
      </c>
      <c r="F242" s="78" t="n">
        <v>123.8751470336344</v>
      </c>
    </row>
    <row r="243">
      <c r="A243" t="inlineStr">
        <is>
          <t>Medical scientist</t>
        </is>
      </c>
      <c r="B243" t="inlineStr">
        <is>
          <t>VIC</t>
        </is>
      </c>
      <c r="C243" s="44" t="inlineStr">
        <is>
          <t>Professional Development Allowance</t>
        </is>
      </c>
      <c r="D243" s="78" t="n">
        <v>132.9668190283401</v>
      </c>
      <c r="E243" s="78" t="n">
        <v>132.9668190283401</v>
      </c>
      <c r="F243" s="78" t="n">
        <v>133.9789647773279</v>
      </c>
    </row>
    <row r="244">
      <c r="A244" t="inlineStr">
        <is>
          <t>Admin staff</t>
        </is>
      </c>
      <c r="B244" t="inlineStr">
        <is>
          <t>VIC</t>
        </is>
      </c>
      <c r="C244" s="44" t="inlineStr">
        <is>
          <t>Professional Development Allowance</t>
        </is>
      </c>
      <c r="D244" s="78" t="n">
        <v>100.3672047843351</v>
      </c>
      <c r="E244" s="78" t="n">
        <v>100.3672047843351</v>
      </c>
      <c r="F244" s="78" t="n">
        <v>101.3793505333229</v>
      </c>
    </row>
    <row r="245">
      <c r="A245" t="inlineStr">
        <is>
          <t>Bioinformatics staff</t>
        </is>
      </c>
      <c r="B245" t="inlineStr">
        <is>
          <t>VIC</t>
        </is>
      </c>
      <c r="C245" s="44" t="inlineStr">
        <is>
          <t>Professional Development Allowance</t>
        </is>
      </c>
      <c r="D245" s="78" t="n">
        <v>131.7792982326378</v>
      </c>
      <c r="E245" s="78" t="n">
        <v>131.7792982326378</v>
      </c>
      <c r="F245" s="78" t="n">
        <v>132.7914439816257</v>
      </c>
    </row>
    <row r="246">
      <c r="A246" t="inlineStr">
        <is>
          <t>Pathologists</t>
        </is>
      </c>
      <c r="B246" t="inlineStr">
        <is>
          <t>VIC</t>
        </is>
      </c>
      <c r="C246" s="44" t="inlineStr">
        <is>
          <t>Professional Development Allowance</t>
        </is>
      </c>
      <c r="D246" s="78" t="n">
        <v>383.2609179655871</v>
      </c>
      <c r="E246" s="78" t="n">
        <v>397.9371122975709</v>
      </c>
      <c r="F246" s="78" t="n">
        <v>397.937031325911</v>
      </c>
    </row>
    <row r="247">
      <c r="A247" t="inlineStr">
        <is>
          <t>Lab technician</t>
        </is>
      </c>
      <c r="B247" t="inlineStr">
        <is>
          <t>SA</t>
        </is>
      </c>
      <c r="C247" s="44" t="inlineStr">
        <is>
          <t>Professional Development Allowance</t>
        </is>
      </c>
      <c r="D247" s="78" t="n">
        <v>93.07879005761446</v>
      </c>
      <c r="E247" s="78" t="n">
        <v>93.07879005761446</v>
      </c>
      <c r="F247" s="78" t="n">
        <v>94.09093580660232</v>
      </c>
    </row>
    <row r="248">
      <c r="A248" t="inlineStr">
        <is>
          <t>Medical scientist</t>
        </is>
      </c>
      <c r="B248" t="inlineStr">
        <is>
          <t>SA</t>
        </is>
      </c>
      <c r="C248" s="44" t="inlineStr">
        <is>
          <t>Professional Development Allowance</t>
        </is>
      </c>
      <c r="D248" s="78" t="n">
        <v>125.9271976798505</v>
      </c>
      <c r="E248" s="78" t="n">
        <v>125.9271976798505</v>
      </c>
      <c r="F248" s="78" t="n">
        <v>126.9393434288384</v>
      </c>
    </row>
    <row r="249">
      <c r="A249" t="inlineStr">
        <is>
          <t>Admin staff</t>
        </is>
      </c>
      <c r="B249" t="inlineStr">
        <is>
          <t>SA</t>
        </is>
      </c>
      <c r="C249" s="44" t="inlineStr">
        <is>
          <t>Professional Development Allowance</t>
        </is>
      </c>
      <c r="D249" s="78" t="n">
        <v>75.94370297415135</v>
      </c>
      <c r="E249" s="78" t="n">
        <v>75.94370297415135</v>
      </c>
      <c r="F249" s="78" t="n">
        <v>76.9558487231392</v>
      </c>
    </row>
    <row r="250">
      <c r="A250" t="inlineStr">
        <is>
          <t>Bioinformatics staff</t>
        </is>
      </c>
      <c r="B250" t="inlineStr">
        <is>
          <t>SA</t>
        </is>
      </c>
      <c r="C250" s="44" t="inlineStr">
        <is>
          <t>Professional Development Allowance</t>
        </is>
      </c>
      <c r="D250" s="78" t="n">
        <v>109.7531147812208</v>
      </c>
      <c r="E250" s="78" t="n">
        <v>109.7531147812208</v>
      </c>
      <c r="F250" s="78" t="n">
        <v>110.7652605302086</v>
      </c>
    </row>
    <row r="251">
      <c r="A251" t="inlineStr">
        <is>
          <t>Pathologists</t>
        </is>
      </c>
      <c r="B251" t="inlineStr">
        <is>
          <t>SA</t>
        </is>
      </c>
      <c r="C251" s="44" t="inlineStr">
        <is>
          <t>Professional Development Allowance</t>
        </is>
      </c>
      <c r="D251" s="78" t="n">
        <v>413.1717766418173</v>
      </c>
      <c r="E251" s="78" t="n">
        <v>426.3296713786594</v>
      </c>
      <c r="F251" s="78" t="n">
        <v>426.3296713786594</v>
      </c>
    </row>
    <row r="252">
      <c r="A252" t="inlineStr">
        <is>
          <t>Lab technician</t>
        </is>
      </c>
      <c r="B252" t="inlineStr">
        <is>
          <t>NSW</t>
        </is>
      </c>
      <c r="C252" s="44" t="inlineStr">
        <is>
          <t>Professional Development Allowance</t>
        </is>
      </c>
      <c r="D252" s="78" t="n">
        <v>93.03632082995951</v>
      </c>
      <c r="E252" s="78" t="n">
        <v>93.03632082995951</v>
      </c>
      <c r="F252" s="78" t="n">
        <v>94.04846657894736</v>
      </c>
    </row>
    <row r="253">
      <c r="A253" t="inlineStr">
        <is>
          <t>Medical scientist</t>
        </is>
      </c>
      <c r="B253" t="inlineStr">
        <is>
          <t>NSW</t>
        </is>
      </c>
      <c r="C253" s="44" t="inlineStr">
        <is>
          <t>Professional Development Allowance</t>
        </is>
      </c>
      <c r="D253" s="78" t="n">
        <v>133.1230561133603</v>
      </c>
      <c r="E253" s="78" t="n">
        <v>133.1230561133603</v>
      </c>
      <c r="F253" s="78" t="n">
        <v>134.1352018623482</v>
      </c>
    </row>
    <row r="254">
      <c r="A254" t="inlineStr">
        <is>
          <t>Admin staff</t>
        </is>
      </c>
      <c r="B254" t="inlineStr">
        <is>
          <t>NSW</t>
        </is>
      </c>
      <c r="C254" s="44" t="inlineStr">
        <is>
          <t>Professional Development Allowance</t>
        </is>
      </c>
      <c r="D254" s="78" t="n">
        <v>69.43560540485831</v>
      </c>
      <c r="E254" s="78" t="n">
        <v>69.43560540485831</v>
      </c>
      <c r="F254" s="78" t="n">
        <v>70.44775115384616</v>
      </c>
    </row>
    <row r="255">
      <c r="A255" t="inlineStr">
        <is>
          <t>Bioinformatics staff</t>
        </is>
      </c>
      <c r="B255" t="inlineStr">
        <is>
          <t>NSW</t>
        </is>
      </c>
      <c r="C255" s="44" t="inlineStr">
        <is>
          <t>Professional Development Allowance</t>
        </is>
      </c>
      <c r="D255" s="78" t="n">
        <v>116.9966419534413</v>
      </c>
      <c r="E255" s="78" t="n">
        <v>116.9966419534413</v>
      </c>
      <c r="F255" s="78" t="n">
        <v>118.0087877024292</v>
      </c>
    </row>
    <row r="256">
      <c r="A256" t="inlineStr">
        <is>
          <t>Pathologists</t>
        </is>
      </c>
      <c r="B256" t="inlineStr">
        <is>
          <t>NSW</t>
        </is>
      </c>
      <c r="C256" s="44" t="inlineStr">
        <is>
          <t>Professional Development Allowance</t>
        </is>
      </c>
      <c r="D256" s="78" t="n">
        <v>293.2830105010121</v>
      </c>
      <c r="E256" s="78" t="n">
        <v>312.5137797317814</v>
      </c>
      <c r="F256" s="78" t="n">
        <v>312.5137797317814</v>
      </c>
    </row>
    <row r="257">
      <c r="A257" t="inlineStr">
        <is>
          <t>Lab technician</t>
        </is>
      </c>
      <c r="B257" t="inlineStr">
        <is>
          <t>QLD</t>
        </is>
      </c>
      <c r="C257" s="44" t="inlineStr">
        <is>
          <t>Professional Development Allowance</t>
        </is>
      </c>
      <c r="D257" s="78" t="n">
        <v>84.11878962939895</v>
      </c>
      <c r="E257" s="78" t="n">
        <v>85.04287869822485</v>
      </c>
      <c r="F257" s="78" t="n">
        <v>85.13093537838679</v>
      </c>
    </row>
    <row r="258">
      <c r="A258" t="inlineStr">
        <is>
          <t>Medical scientist</t>
        </is>
      </c>
      <c r="B258" t="inlineStr">
        <is>
          <t>QLD</t>
        </is>
      </c>
      <c r="C258" s="44" t="inlineStr">
        <is>
          <t>Professional Development Allowance</t>
        </is>
      </c>
      <c r="D258" s="78" t="n">
        <v>124.9912270515415</v>
      </c>
      <c r="E258" s="78" t="n">
        <v>125.9153161203675</v>
      </c>
      <c r="F258" s="78" t="n">
        <v>126.0033728005294</v>
      </c>
    </row>
    <row r="259">
      <c r="A259" t="inlineStr">
        <is>
          <t>Admin staff</t>
        </is>
      </c>
      <c r="B259" t="inlineStr">
        <is>
          <t>QLD</t>
        </is>
      </c>
      <c r="C259" s="44" t="inlineStr">
        <is>
          <t>Professional Development Allowance</t>
        </is>
      </c>
      <c r="D259" s="78" t="n">
        <v>76.45719236608532</v>
      </c>
      <c r="E259" s="78" t="n">
        <v>77.38128143491123</v>
      </c>
      <c r="F259" s="78" t="n">
        <v>77.46933811507317</v>
      </c>
    </row>
    <row r="260">
      <c r="A260" t="inlineStr">
        <is>
          <t>Bioinformatics staff</t>
        </is>
      </c>
      <c r="B260" t="inlineStr">
        <is>
          <t>QLD</t>
        </is>
      </c>
      <c r="C260" s="44" t="inlineStr">
        <is>
          <t>Professional Development Allowance</t>
        </is>
      </c>
      <c r="D260" s="78" t="n">
        <v>124.9912270515415</v>
      </c>
      <c r="E260" s="78" t="n">
        <v>125.9153161203675</v>
      </c>
      <c r="F260" s="78" t="n">
        <v>126.0033728005294</v>
      </c>
    </row>
    <row r="261">
      <c r="A261" t="inlineStr">
        <is>
          <t>Pathologists</t>
        </is>
      </c>
      <c r="B261" t="inlineStr">
        <is>
          <t>QLD</t>
        </is>
      </c>
      <c r="C261" s="44" t="inlineStr">
        <is>
          <t>Professional Development Allowance</t>
        </is>
      </c>
      <c r="D261" s="78" t="n">
        <v>327.6456977577079</v>
      </c>
      <c r="E261" s="78" t="n">
        <v>338.5262645593273</v>
      </c>
      <c r="F261" s="78" t="n">
        <v>338.5262645593273</v>
      </c>
    </row>
    <row r="262">
      <c r="A262" t="inlineStr">
        <is>
          <t>Lab technician</t>
        </is>
      </c>
      <c r="B262" t="inlineStr">
        <is>
          <t>WA</t>
        </is>
      </c>
      <c r="C262" s="44" t="inlineStr">
        <is>
          <t>Professional Development Allowance</t>
        </is>
      </c>
      <c r="D262" s="78" t="n">
        <v>93.30238025537216</v>
      </c>
      <c r="E262" s="78" t="n">
        <v>93.30238025537216</v>
      </c>
      <c r="F262" s="78" t="n">
        <v>94.31452600436002</v>
      </c>
    </row>
    <row r="263">
      <c r="A263" t="inlineStr">
        <is>
          <t>Medical scientist</t>
        </is>
      </c>
      <c r="B263" t="inlineStr">
        <is>
          <t>WA</t>
        </is>
      </c>
      <c r="C263" s="44" t="inlineStr">
        <is>
          <t>Professional Development Allowance</t>
        </is>
      </c>
      <c r="D263" s="78" t="n">
        <v>142.5538735207101</v>
      </c>
      <c r="E263" s="78" t="n">
        <v>142.5538735207101</v>
      </c>
      <c r="F263" s="78" t="n">
        <v>143.5660192696979</v>
      </c>
    </row>
    <row r="264">
      <c r="A264" t="inlineStr">
        <is>
          <t>Admin staff</t>
        </is>
      </c>
      <c r="B264" t="inlineStr">
        <is>
          <t>WA</t>
        </is>
      </c>
      <c r="C264" s="44" t="inlineStr">
        <is>
          <t>Professional Development Allowance</t>
        </is>
      </c>
      <c r="D264" s="78" t="n">
        <v>82.77304819370912</v>
      </c>
      <c r="E264" s="78" t="n">
        <v>82.77304819370912</v>
      </c>
      <c r="F264" s="78" t="n">
        <v>83.78519394269698</v>
      </c>
    </row>
    <row r="265">
      <c r="A265" t="inlineStr">
        <is>
          <t>Bioinformatics staff</t>
        </is>
      </c>
      <c r="B265" t="inlineStr">
        <is>
          <t>WA</t>
        </is>
      </c>
      <c r="C265" s="44" t="inlineStr">
        <is>
          <t>Professional Development Allowance</t>
        </is>
      </c>
      <c r="D265" s="78" t="n">
        <v>113.4524417237621</v>
      </c>
      <c r="E265" s="78" t="n">
        <v>113.4524417237621</v>
      </c>
      <c r="F265" s="78" t="n">
        <v>114.4645874727499</v>
      </c>
    </row>
    <row r="266">
      <c r="A266" t="inlineStr">
        <is>
          <t>Pathologists</t>
        </is>
      </c>
      <c r="B266" t="inlineStr">
        <is>
          <t>WA</t>
        </is>
      </c>
      <c r="C266" s="44" t="inlineStr">
        <is>
          <t>Professional Development Allowance</t>
        </is>
      </c>
      <c r="D266" s="78" t="n">
        <v>409.9958146994706</v>
      </c>
      <c r="E266" s="78" t="n">
        <v>424.6258754282155</v>
      </c>
      <c r="F266" s="78" t="n">
        <v>424.6258754282155</v>
      </c>
    </row>
    <row r="267">
      <c r="A267" t="inlineStr">
        <is>
          <t>Lab technician</t>
        </is>
      </c>
      <c r="B267" t="inlineStr">
        <is>
          <t>ALL</t>
        </is>
      </c>
      <c r="C267" s="44" t="inlineStr">
        <is>
          <t>Professional Development Allowance</t>
        </is>
      </c>
      <c r="D267" s="44" t="n">
        <v>97.11582097072562</v>
      </c>
      <c r="E267" s="44" t="n">
        <v>97.3006387844908</v>
      </c>
      <c r="F267" s="44" t="n">
        <v>98.12796671971347</v>
      </c>
    </row>
    <row r="268">
      <c r="A268" t="inlineStr">
        <is>
          <t>Medical scientist</t>
        </is>
      </c>
      <c r="B268" t="inlineStr">
        <is>
          <t>ALL</t>
        </is>
      </c>
      <c r="C268" s="44" t="inlineStr">
        <is>
          <t>Professional Development Allowance</t>
        </is>
      </c>
      <c r="D268" s="44" t="n">
        <v>131.9078406393647</v>
      </c>
      <c r="E268" s="44" t="n">
        <v>132.0926584531299</v>
      </c>
      <c r="F268" s="44" t="n">
        <v>132.9199863883526</v>
      </c>
    </row>
    <row r="269">
      <c r="A269" t="inlineStr">
        <is>
          <t>Admin staff</t>
        </is>
      </c>
      <c r="B269" t="inlineStr">
        <is>
          <t>ALL</t>
        </is>
      </c>
      <c r="C269" s="44" t="inlineStr">
        <is>
          <t>Professional Development Allowance</t>
        </is>
      </c>
      <c r="D269" s="44" t="n">
        <v>80.80042205418873</v>
      </c>
      <c r="E269" s="44" t="n">
        <v>80.98523986795389</v>
      </c>
      <c r="F269" s="44" t="n">
        <v>81.81256780317658</v>
      </c>
    </row>
    <row r="270">
      <c r="A270" t="inlineStr">
        <is>
          <t>Bioinformatics staff</t>
        </is>
      </c>
      <c r="B270" t="inlineStr">
        <is>
          <t>ALL</t>
        </is>
      </c>
      <c r="C270" s="44" t="inlineStr">
        <is>
          <t>Professional Development Allowance</t>
        </is>
      </c>
      <c r="D270" s="44" t="n">
        <v>119.52954299673</v>
      </c>
      <c r="E270" s="44" t="n">
        <v>119.7143608104952</v>
      </c>
      <c r="F270" s="44" t="n">
        <v>120.5416887457179</v>
      </c>
    </row>
    <row r="271">
      <c r="A271" t="inlineStr">
        <is>
          <t>Pathologists</t>
        </is>
      </c>
      <c r="B271" t="inlineStr">
        <is>
          <t>ALL</t>
        </is>
      </c>
      <c r="C271" s="44" t="inlineStr">
        <is>
          <t>Professional Development Allowance</t>
        </is>
      </c>
      <c r="D271" s="44" t="n">
        <v>369.8309230789473</v>
      </c>
      <c r="E271" s="44" t="n">
        <v>384.4609838076923</v>
      </c>
      <c r="F271" s="44" t="n">
        <v>384.4609838076923</v>
      </c>
    </row>
    <row r="272">
      <c r="A272" t="inlineStr">
        <is>
          <t>Lab technician</t>
        </is>
      </c>
      <c r="B272" t="inlineStr">
        <is>
          <t>VIC</t>
        </is>
      </c>
      <c r="C272" s="44" t="inlineStr">
        <is>
          <t>Annual Leave</t>
        </is>
      </c>
      <c r="D272" s="78" t="n">
        <v>118.5190050607287</v>
      </c>
      <c r="E272" s="78" t="n">
        <v>122.8630012846465</v>
      </c>
      <c r="F272" s="78" t="n">
        <v>123.949000340626</v>
      </c>
    </row>
    <row r="273">
      <c r="A273" t="inlineStr">
        <is>
          <t>Medical scientist</t>
        </is>
      </c>
      <c r="B273" t="inlineStr">
        <is>
          <t>VIC</t>
        </is>
      </c>
      <c r="C273" s="44" t="inlineStr">
        <is>
          <t>Annual Leave</t>
        </is>
      </c>
      <c r="D273" s="78" t="n">
        <v>127.1417684210527</v>
      </c>
      <c r="E273" s="78" t="n">
        <v>132.9668190283401</v>
      </c>
      <c r="F273" s="78" t="n">
        <v>132.9668190283401</v>
      </c>
    </row>
    <row r="274">
      <c r="A274" t="inlineStr">
        <is>
          <t>Admin staff</t>
        </is>
      </c>
      <c r="B274" t="inlineStr">
        <is>
          <t>VIC</t>
        </is>
      </c>
      <c r="C274" s="44" t="inlineStr">
        <is>
          <t>Annual Leave</t>
        </is>
      </c>
      <c r="D274" s="78" t="n">
        <v>96.8185794534413</v>
      </c>
      <c r="E274" s="78" t="n">
        <v>100.3672047843351</v>
      </c>
      <c r="F274" s="78" t="n">
        <v>101.2543611170586</v>
      </c>
    </row>
    <row r="275">
      <c r="A275" t="inlineStr">
        <is>
          <t>Bioinformatics staff</t>
        </is>
      </c>
      <c r="B275" t="inlineStr">
        <is>
          <t>VIC</t>
        </is>
      </c>
      <c r="C275" s="44" t="inlineStr">
        <is>
          <t>Annual Leave</t>
        </is>
      </c>
      <c r="D275" s="78" t="n">
        <v>127.1200536437247</v>
      </c>
      <c r="E275" s="78" t="n">
        <v>131.7792982326378</v>
      </c>
      <c r="F275" s="78" t="n">
        <v>132.9441093798661</v>
      </c>
    </row>
    <row r="276">
      <c r="A276" t="inlineStr">
        <is>
          <t>Pathologists</t>
        </is>
      </c>
      <c r="B276" t="inlineStr">
        <is>
          <t>VIC</t>
        </is>
      </c>
      <c r="C276" s="44" t="inlineStr">
        <is>
          <t>Annual Leave</t>
        </is>
      </c>
      <c r="D276" s="78" t="n">
        <v>384.3863772267206</v>
      </c>
      <c r="E276" s="78" t="n">
        <v>397.9371122975709</v>
      </c>
      <c r="F276" s="78" t="n">
        <v>401.3247960652835</v>
      </c>
    </row>
    <row r="277">
      <c r="A277" t="inlineStr">
        <is>
          <t>Lab technician</t>
        </is>
      </c>
      <c r="B277" t="inlineStr">
        <is>
          <t>SA</t>
        </is>
      </c>
      <c r="C277" s="44" t="inlineStr">
        <is>
          <t>Annual Leave</t>
        </is>
      </c>
      <c r="D277" s="78" t="n">
        <v>90.05508248987853</v>
      </c>
      <c r="E277" s="78" t="n">
        <v>93.07879005761446</v>
      </c>
      <c r="F277" s="78" t="n">
        <v>93.83471694954844</v>
      </c>
    </row>
    <row r="278">
      <c r="A278" t="inlineStr">
        <is>
          <t>Medical scientist</t>
        </is>
      </c>
      <c r="B278" t="inlineStr">
        <is>
          <t>SA</t>
        </is>
      </c>
      <c r="C278" s="44" t="inlineStr">
        <is>
          <t>Annual Leave</t>
        </is>
      </c>
      <c r="D278" s="78" t="n">
        <v>120.8548876518219</v>
      </c>
      <c r="E278" s="78" t="n">
        <v>125.9271976798505</v>
      </c>
      <c r="F278" s="78" t="n">
        <v>125.9271976798505</v>
      </c>
    </row>
    <row r="279">
      <c r="A279" t="inlineStr">
        <is>
          <t>Admin staff</t>
        </is>
      </c>
      <c r="B279" t="inlineStr">
        <is>
          <t>SA</t>
        </is>
      </c>
      <c r="C279" s="44" t="inlineStr">
        <is>
          <t>Annual Leave</t>
        </is>
      </c>
      <c r="D279" s="78" t="n">
        <v>73.4766366396761</v>
      </c>
      <c r="E279" s="78" t="n">
        <v>75.94370297415135</v>
      </c>
      <c r="F279" s="78" t="n">
        <v>76.56046955777016</v>
      </c>
    </row>
    <row r="280">
      <c r="A280" t="inlineStr">
        <is>
          <t>Bioinformatics staff</t>
        </is>
      </c>
      <c r="B280" t="inlineStr">
        <is>
          <t>SA</t>
        </is>
      </c>
      <c r="C280" s="44" t="inlineStr">
        <is>
          <t>Annual Leave</t>
        </is>
      </c>
      <c r="D280" s="78" t="n">
        <v>106.1877340587045</v>
      </c>
      <c r="E280" s="78" t="n">
        <v>109.7531147812208</v>
      </c>
      <c r="F280" s="78" t="n">
        <v>110.6444599618499</v>
      </c>
    </row>
    <row r="281">
      <c r="A281" t="inlineStr">
        <is>
          <t>Pathologists</t>
        </is>
      </c>
      <c r="B281" t="inlineStr">
        <is>
          <t>SA</t>
        </is>
      </c>
      <c r="C281" s="44" t="inlineStr">
        <is>
          <t>Annual Leave</t>
        </is>
      </c>
      <c r="D281" s="78" t="n">
        <v>411.6455733805668</v>
      </c>
      <c r="E281" s="78" t="n">
        <v>426.3296713786594</v>
      </c>
      <c r="F281" s="78" t="n">
        <v>426.3296713786594</v>
      </c>
    </row>
    <row r="282">
      <c r="A282" t="inlineStr">
        <is>
          <t>Lab technician</t>
        </is>
      </c>
      <c r="B282" t="inlineStr">
        <is>
          <t>NSW</t>
        </is>
      </c>
      <c r="C282" s="44" t="inlineStr">
        <is>
          <t>Annual Leave</t>
        </is>
      </c>
      <c r="D282" s="78" t="n">
        <v>90.01399289473683</v>
      </c>
      <c r="E282" s="78" t="n">
        <v>93.03632082995951</v>
      </c>
      <c r="F282" s="78" t="n">
        <v>93.79190281376518</v>
      </c>
    </row>
    <row r="283">
      <c r="A283" t="inlineStr">
        <is>
          <t>Medical scientist</t>
        </is>
      </c>
      <c r="B283" t="inlineStr">
        <is>
          <t>NSW</t>
        </is>
      </c>
      <c r="C283" s="44" t="inlineStr">
        <is>
          <t>Annual Leave</t>
        </is>
      </c>
      <c r="D283" s="78" t="n">
        <v>128.4163010526316</v>
      </c>
      <c r="E283" s="78" t="n">
        <v>133.1230561133603</v>
      </c>
      <c r="F283" s="78" t="n">
        <v>134.2997448785425</v>
      </c>
    </row>
    <row r="284">
      <c r="A284" t="inlineStr">
        <is>
          <t>Admin staff</t>
        </is>
      </c>
      <c r="B284" t="inlineStr">
        <is>
          <t>NSW</t>
        </is>
      </c>
      <c r="C284" s="44" t="inlineStr">
        <is>
          <t>Annual Leave</t>
        </is>
      </c>
      <c r="D284" s="78" t="n">
        <v>67.17995763157894</v>
      </c>
      <c r="E284" s="78" t="n">
        <v>69.43560540485831</v>
      </c>
      <c r="F284" s="78" t="n">
        <v>69.99951734817814</v>
      </c>
    </row>
    <row r="285">
      <c r="A285" t="inlineStr">
        <is>
          <t>Bioinformatics staff</t>
        </is>
      </c>
      <c r="B285" t="inlineStr">
        <is>
          <t>NSW</t>
        </is>
      </c>
      <c r="C285" s="44" t="inlineStr">
        <is>
          <t>Annual Leave</t>
        </is>
      </c>
      <c r="D285" s="78" t="n">
        <v>112.8600592105263</v>
      </c>
      <c r="E285" s="78" t="n">
        <v>116.9966419534413</v>
      </c>
      <c r="F285" s="78" t="n">
        <v>118.03078763917</v>
      </c>
    </row>
    <row r="286">
      <c r="A286" t="inlineStr">
        <is>
          <t>Pathologists</t>
        </is>
      </c>
      <c r="B286" t="inlineStr">
        <is>
          <t>NSW</t>
        </is>
      </c>
      <c r="C286" s="44" t="inlineStr">
        <is>
          <t>Annual Leave</t>
        </is>
      </c>
      <c r="D286" s="78" t="n">
        <v>300.4776113360324</v>
      </c>
      <c r="E286" s="78" t="n">
        <v>312.5137797317814</v>
      </c>
      <c r="F286" s="78" t="n">
        <v>312.5137797317814</v>
      </c>
    </row>
    <row r="287">
      <c r="A287" t="inlineStr">
        <is>
          <t>Lab technician</t>
        </is>
      </c>
      <c r="B287" t="inlineStr">
        <is>
          <t>QLD</t>
        </is>
      </c>
      <c r="C287" s="44" t="inlineStr">
        <is>
          <t>Annual Leave</t>
        </is>
      </c>
      <c r="D287" s="78" t="n">
        <v>82.31024089068828</v>
      </c>
      <c r="E287" s="78" t="n">
        <v>85.04287869822485</v>
      </c>
      <c r="F287" s="78" t="n">
        <v>85.72603815010901</v>
      </c>
    </row>
    <row r="288">
      <c r="A288" t="inlineStr">
        <is>
          <t>Medical scientist</t>
        </is>
      </c>
      <c r="B288" t="inlineStr">
        <is>
          <t>QLD</t>
        </is>
      </c>
      <c r="C288" s="44" t="inlineStr">
        <is>
          <t>Annual Leave</t>
        </is>
      </c>
      <c r="D288" s="78" t="n">
        <v>121.8549182692308</v>
      </c>
      <c r="E288" s="78" t="n">
        <v>125.9153161203675</v>
      </c>
      <c r="F288" s="78" t="n">
        <v>126.9304155831517</v>
      </c>
    </row>
    <row r="289">
      <c r="A289" t="inlineStr">
        <is>
          <t>Admin staff</t>
        </is>
      </c>
      <c r="B289" t="inlineStr">
        <is>
          <t>QLD</t>
        </is>
      </c>
      <c r="C289" s="44" t="inlineStr">
        <is>
          <t>Annual Leave</t>
        </is>
      </c>
      <c r="D289" s="78" t="n">
        <v>74.89753415991902</v>
      </c>
      <c r="E289" s="78" t="n">
        <v>77.38128143491123</v>
      </c>
      <c r="F289" s="78" t="n">
        <v>78.00221825365931</v>
      </c>
    </row>
    <row r="290">
      <c r="A290" t="inlineStr">
        <is>
          <t>Bioinformatics staff</t>
        </is>
      </c>
      <c r="B290" t="inlineStr">
        <is>
          <t>QLD</t>
        </is>
      </c>
      <c r="C290" s="44" t="inlineStr">
        <is>
          <t>Annual Leave</t>
        </is>
      </c>
      <c r="D290" s="78" t="n">
        <v>121.8549182692308</v>
      </c>
      <c r="E290" s="78" t="n">
        <v>125.9153161203675</v>
      </c>
      <c r="F290" s="78" t="n">
        <v>126.9304155831517</v>
      </c>
    </row>
    <row r="291">
      <c r="A291" t="inlineStr">
        <is>
          <t>Pathologists</t>
        </is>
      </c>
      <c r="B291" t="inlineStr">
        <is>
          <t>QLD</t>
        </is>
      </c>
      <c r="C291" s="44" t="inlineStr">
        <is>
          <t>Annual Leave</t>
        </is>
      </c>
      <c r="D291" s="78" t="n">
        <v>329.7381923076923</v>
      </c>
      <c r="E291" s="78" t="n">
        <v>338.5262645593273</v>
      </c>
      <c r="F291" s="78" t="n">
        <v>340.7232826222361</v>
      </c>
    </row>
    <row r="292">
      <c r="A292" t="inlineStr">
        <is>
          <t>Lab technician</t>
        </is>
      </c>
      <c r="B292" t="inlineStr">
        <is>
          <t>WA</t>
        </is>
      </c>
      <c r="C292" s="44" t="inlineStr">
        <is>
          <t>Annual Leave</t>
        </is>
      </c>
      <c r="D292" s="78" t="n">
        <v>89.96846558704453</v>
      </c>
      <c r="E292" s="78" t="n">
        <v>93.30238025537216</v>
      </c>
      <c r="F292" s="78" t="n">
        <v>94.13585892245408</v>
      </c>
    </row>
    <row r="293">
      <c r="A293" t="inlineStr">
        <is>
          <t>Medical scientist</t>
        </is>
      </c>
      <c r="B293" t="inlineStr">
        <is>
          <t>WA</t>
        </is>
      </c>
      <c r="C293" s="44" t="inlineStr">
        <is>
          <t>Annual Leave</t>
        </is>
      </c>
      <c r="D293" s="78" t="n">
        <v>137.4600865384615</v>
      </c>
      <c r="E293" s="78" t="n">
        <v>142.5538735207101</v>
      </c>
      <c r="F293" s="78" t="n">
        <v>143.8273202662722</v>
      </c>
    </row>
    <row r="294">
      <c r="A294" t="inlineStr">
        <is>
          <t>Admin staff</t>
        </is>
      </c>
      <c r="B294" t="inlineStr">
        <is>
          <t>WA</t>
        </is>
      </c>
      <c r="C294" s="44" t="inlineStr">
        <is>
          <t>Annual Leave</t>
        </is>
      </c>
      <c r="D294" s="78" t="n">
        <v>79.81537145748989</v>
      </c>
      <c r="E294" s="78" t="n">
        <v>82.77304819370912</v>
      </c>
      <c r="F294" s="78" t="n">
        <v>83.51246737776395</v>
      </c>
    </row>
    <row r="295">
      <c r="A295" t="inlineStr">
        <is>
          <t>Bioinformatics staff</t>
        </is>
      </c>
      <c r="B295" t="inlineStr">
        <is>
          <t>WA</t>
        </is>
      </c>
      <c r="C295" s="44" t="inlineStr">
        <is>
          <t>Annual Leave</t>
        </is>
      </c>
      <c r="D295" s="78" t="n">
        <v>109.3985177125506</v>
      </c>
      <c r="E295" s="78" t="n">
        <v>113.4524417237621</v>
      </c>
      <c r="F295" s="78" t="n">
        <v>114.465922726565</v>
      </c>
    </row>
    <row r="296">
      <c r="A296" t="inlineStr">
        <is>
          <t>Pathologists</t>
        </is>
      </c>
      <c r="B296" t="inlineStr">
        <is>
          <t>WA</t>
        </is>
      </c>
      <c r="C296" s="44" t="inlineStr">
        <is>
          <t>Annual Leave</t>
        </is>
      </c>
      <c r="D296" s="78" t="n">
        <v>411.306971659919</v>
      </c>
      <c r="E296" s="78" t="n">
        <v>424.6258754282155</v>
      </c>
      <c r="F296" s="78" t="n">
        <v>427.9556013702897</v>
      </c>
    </row>
    <row r="297">
      <c r="A297" t="inlineStr">
        <is>
          <t>Lab technician</t>
        </is>
      </c>
      <c r="B297" t="inlineStr">
        <is>
          <t>ALL</t>
        </is>
      </c>
      <c r="C297" s="44" t="inlineStr">
        <is>
          <t>Annual Leave</t>
        </is>
      </c>
      <c r="D297" s="44" t="n">
        <v>94.0210387611336</v>
      </c>
      <c r="E297" s="44" t="n">
        <v>97.3006387844908</v>
      </c>
      <c r="F297" s="44" t="n">
        <v>98.12053879033013</v>
      </c>
    </row>
    <row r="298">
      <c r="A298" t="inlineStr">
        <is>
          <t>Medical scientist</t>
        </is>
      </c>
      <c r="B298" t="inlineStr">
        <is>
          <t>ALL</t>
        </is>
      </c>
      <c r="C298" s="44" t="inlineStr">
        <is>
          <t>Annual Leave</t>
        </is>
      </c>
      <c r="D298" s="44" t="n">
        <v>127.126898034413</v>
      </c>
      <c r="E298" s="44" t="n">
        <v>132.0926584531299</v>
      </c>
      <c r="F298" s="44" t="n">
        <v>132.7698076011367</v>
      </c>
    </row>
    <row r="299">
      <c r="A299" t="inlineStr">
        <is>
          <t>Admin staff</t>
        </is>
      </c>
      <c r="B299" t="inlineStr">
        <is>
          <t>ALL</t>
        </is>
      </c>
      <c r="C299" s="44" t="inlineStr">
        <is>
          <t>Annual Leave</t>
        </is>
      </c>
      <c r="D299" s="44" t="n">
        <v>78.25661065587043</v>
      </c>
      <c r="E299" s="44" t="n">
        <v>80.98523986795389</v>
      </c>
      <c r="F299" s="44" t="n">
        <v>81.66739717097477</v>
      </c>
    </row>
    <row r="300">
      <c r="A300" t="inlineStr">
        <is>
          <t>Bioinformatics staff</t>
        </is>
      </c>
      <c r="B300" t="inlineStr">
        <is>
          <t>ALL</t>
        </is>
      </c>
      <c r="C300" s="44" t="inlineStr">
        <is>
          <t>Annual Leave</t>
        </is>
      </c>
      <c r="D300" s="44" t="n">
        <v>115.6096120951417</v>
      </c>
      <c r="E300" s="44" t="n">
        <v>119.7143608104952</v>
      </c>
      <c r="F300" s="44" t="n">
        <v>120.7405479893335</v>
      </c>
    </row>
    <row r="301">
      <c r="A301" t="inlineStr">
        <is>
          <t>Pathologists</t>
        </is>
      </c>
      <c r="B301" t="inlineStr">
        <is>
          <t>ALL</t>
        </is>
      </c>
      <c r="C301" s="44" t="inlineStr">
        <is>
          <t>Annual Leave</t>
        </is>
      </c>
      <c r="D301" s="44" t="n">
        <v>371.8606152955465</v>
      </c>
      <c r="E301" s="44" t="n">
        <v>384.4609838076923</v>
      </c>
      <c r="F301" s="44" t="n">
        <v>386.1792158775303</v>
      </c>
    </row>
    <row r="302">
      <c r="A302" t="inlineStr">
        <is>
          <t>Lab technician</t>
        </is>
      </c>
      <c r="B302" t="inlineStr">
        <is>
          <t>VIC</t>
        </is>
      </c>
      <c r="C302" s="44" t="inlineStr">
        <is>
          <t xml:space="preserve">Leave Loading (%)		</t>
        </is>
      </c>
      <c r="D302" s="78" t="n">
        <v>113.8053070305201</v>
      </c>
      <c r="E302" s="78" t="n">
        <v>122.8630012846465</v>
      </c>
      <c r="F302" s="78" t="n">
        <v>124.1569576066646</v>
      </c>
    </row>
    <row r="303">
      <c r="A303" t="inlineStr">
        <is>
          <t>Medical scientist</t>
        </is>
      </c>
      <c r="B303" t="inlineStr">
        <is>
          <t>VIC</t>
        </is>
      </c>
      <c r="C303" s="44" t="inlineStr">
        <is>
          <t xml:space="preserve">Leave Loading (%)		</t>
        </is>
      </c>
      <c r="D303" s="78" t="n">
        <v>123.0766267206478</v>
      </c>
      <c r="E303" s="78" t="n">
        <v>132.9668190283401</v>
      </c>
      <c r="F303" s="78" t="n">
        <v>134.3797036437247</v>
      </c>
    </row>
    <row r="304">
      <c r="A304" t="inlineStr">
        <is>
          <t>Admin staff</t>
        </is>
      </c>
      <c r="B304" t="inlineStr">
        <is>
          <t>VIC</t>
        </is>
      </c>
      <c r="C304" s="44" t="inlineStr">
        <is>
          <t xml:space="preserve">Leave Loading (%)		</t>
        </is>
      </c>
      <c r="D304" s="78" t="n">
        <v>92.96794345608845</v>
      </c>
      <c r="E304" s="78" t="n">
        <v>100.3672047843351</v>
      </c>
      <c r="F304" s="78" t="n">
        <v>101.4242421169418</v>
      </c>
    </row>
    <row r="305">
      <c r="A305" t="inlineStr">
        <is>
          <t>Bioinformatics staff</t>
        </is>
      </c>
      <c r="B305" t="inlineStr">
        <is>
          <t>VIC</t>
        </is>
      </c>
      <c r="C305" s="44" t="inlineStr">
        <is>
          <t xml:space="preserve">Leave Loading (%)		</t>
        </is>
      </c>
      <c r="D305" s="78" t="n">
        <v>122.064277600436</v>
      </c>
      <c r="E305" s="78" t="n">
        <v>131.7792982326378</v>
      </c>
      <c r="F305" s="78" t="n">
        <v>133.1671583229523</v>
      </c>
    </row>
    <row r="306">
      <c r="A306" t="inlineStr">
        <is>
          <t>Pathologists</t>
        </is>
      </c>
      <c r="B306" t="inlineStr">
        <is>
          <t>VIC</t>
        </is>
      </c>
      <c r="C306" s="44" t="inlineStr">
        <is>
          <t xml:space="preserve">Leave Loading (%)		</t>
        </is>
      </c>
      <c r="D306" s="78" t="n">
        <v>369.6823881072875</v>
      </c>
      <c r="E306" s="78" t="n">
        <v>397.9371122975709</v>
      </c>
      <c r="F306" s="78" t="n">
        <v>401.9735014676114</v>
      </c>
    </row>
    <row r="307">
      <c r="A307" t="inlineStr">
        <is>
          <t>Lab technician</t>
        </is>
      </c>
      <c r="B307" t="inlineStr">
        <is>
          <t>SA</t>
        </is>
      </c>
      <c r="C307" s="44" t="inlineStr">
        <is>
          <t xml:space="preserve">Leave Loading (%)		</t>
        </is>
      </c>
      <c r="D307" s="78" t="n">
        <v>93.07879005761446</v>
      </c>
      <c r="E307" s="78" t="n">
        <v>93.07879005761446</v>
      </c>
      <c r="F307" s="78" t="n">
        <v>101.545171247275</v>
      </c>
    </row>
    <row r="308">
      <c r="A308" t="inlineStr">
        <is>
          <t>Medical scientist</t>
        </is>
      </c>
      <c r="B308" t="inlineStr">
        <is>
          <t>SA</t>
        </is>
      </c>
      <c r="C308" s="44" t="inlineStr">
        <is>
          <t xml:space="preserve">Leave Loading (%)		</t>
        </is>
      </c>
      <c r="D308" s="78" t="n">
        <v>125.9271976798505</v>
      </c>
      <c r="E308" s="78" t="n">
        <v>125.9271976798505</v>
      </c>
      <c r="F308" s="78" t="n">
        <v>137.4920645437558</v>
      </c>
    </row>
    <row r="309">
      <c r="A309" t="inlineStr">
        <is>
          <t>Admin staff</t>
        </is>
      </c>
      <c r="B309" t="inlineStr">
        <is>
          <t>SA</t>
        </is>
      </c>
      <c r="C309" s="44" t="inlineStr">
        <is>
          <t xml:space="preserve">Leave Loading (%)		</t>
        </is>
      </c>
      <c r="D309" s="78" t="n">
        <v>75.94370297415135</v>
      </c>
      <c r="E309" s="78" t="n">
        <v>75.94370297415135</v>
      </c>
      <c r="F309" s="78" t="n">
        <v>82.85148871068202</v>
      </c>
    </row>
    <row r="310">
      <c r="A310" t="inlineStr">
        <is>
          <t>Bioinformatics staff</t>
        </is>
      </c>
      <c r="B310" t="inlineStr">
        <is>
          <t>SA</t>
        </is>
      </c>
      <c r="C310" s="44" t="inlineStr">
        <is>
          <t xml:space="preserve">Leave Loading (%)		</t>
        </is>
      </c>
      <c r="D310" s="78" t="n">
        <v>109.7531147812208</v>
      </c>
      <c r="E310" s="78" t="n">
        <v>109.7531147812208</v>
      </c>
      <c r="F310" s="78" t="n">
        <v>119.7361808042666</v>
      </c>
    </row>
    <row r="311">
      <c r="A311" t="inlineStr">
        <is>
          <t>Pathologists</t>
        </is>
      </c>
      <c r="B311" t="inlineStr">
        <is>
          <t>SA</t>
        </is>
      </c>
      <c r="C311" s="44" t="inlineStr">
        <is>
          <t xml:space="preserve">Leave Loading (%)		</t>
        </is>
      </c>
      <c r="D311" s="78" t="n">
        <v>401.3979475436001</v>
      </c>
      <c r="E311" s="78" t="n">
        <v>426.3296713786594</v>
      </c>
      <c r="F311" s="78" t="n">
        <v>429.8913462122392</v>
      </c>
    </row>
    <row r="312">
      <c r="A312" t="inlineStr">
        <is>
          <t>Lab technician</t>
        </is>
      </c>
      <c r="B312" t="inlineStr">
        <is>
          <t>NSW</t>
        </is>
      </c>
      <c r="C312" s="44" t="inlineStr">
        <is>
          <t xml:space="preserve">Leave Loading (%)		</t>
        </is>
      </c>
      <c r="D312" s="78" t="n">
        <v>93.03632082995951</v>
      </c>
      <c r="E312" s="78" t="n">
        <v>93.03632082995951</v>
      </c>
      <c r="F312" s="78" t="n">
        <v>101.498839048583</v>
      </c>
    </row>
    <row r="313">
      <c r="A313" t="inlineStr">
        <is>
          <t>Medical scientist</t>
        </is>
      </c>
      <c r="B313" t="inlineStr">
        <is>
          <t>NSW</t>
        </is>
      </c>
      <c r="C313" s="44" t="inlineStr">
        <is>
          <t xml:space="preserve">Leave Loading (%)		</t>
        </is>
      </c>
      <c r="D313" s="78" t="n">
        <v>123.3089710931174</v>
      </c>
      <c r="E313" s="78" t="n">
        <v>133.1230561133603</v>
      </c>
      <c r="F313" s="78" t="n">
        <v>134.5250682591093</v>
      </c>
    </row>
    <row r="314">
      <c r="A314" t="inlineStr">
        <is>
          <t>Admin staff</t>
        </is>
      </c>
      <c r="B314" t="inlineStr">
        <is>
          <t>NSW</t>
        </is>
      </c>
      <c r="C314" s="44" t="inlineStr">
        <is>
          <t xml:space="preserve">Leave Loading (%)		</t>
        </is>
      </c>
      <c r="D314" s="78" t="n">
        <v>69.43560540485831</v>
      </c>
      <c r="E314" s="78" t="n">
        <v>69.43560540485831</v>
      </c>
      <c r="F314" s="78" t="n">
        <v>75.75141917004048</v>
      </c>
    </row>
    <row r="315">
      <c r="A315" t="inlineStr">
        <is>
          <t>Bioinformatics staff</t>
        </is>
      </c>
      <c r="B315" t="inlineStr">
        <is>
          <t>NSW</t>
        </is>
      </c>
      <c r="C315" s="44" t="inlineStr">
        <is>
          <t xml:space="preserve">Leave Loading (%)		</t>
        </is>
      </c>
      <c r="D315" s="78" t="n">
        <v>108.3714268724696</v>
      </c>
      <c r="E315" s="78" t="n">
        <v>116.9966419534413</v>
      </c>
      <c r="F315" s="78" t="n">
        <v>118.2288155364372</v>
      </c>
    </row>
    <row r="316">
      <c r="A316" t="inlineStr">
        <is>
          <t>Pathologists</t>
        </is>
      </c>
      <c r="B316" t="inlineStr">
        <is>
          <t>NSW</t>
        </is>
      </c>
      <c r="C316" s="44" t="inlineStr">
        <is>
          <t xml:space="preserve">Leave Loading (%)		</t>
        </is>
      </c>
      <c r="D316" s="78" t="n">
        <v>292.0779023279352</v>
      </c>
      <c r="E316" s="78" t="n">
        <v>312.5137797317814</v>
      </c>
      <c r="F316" s="78" t="n">
        <v>315.4331907894737</v>
      </c>
    </row>
    <row r="317">
      <c r="A317" t="inlineStr">
        <is>
          <t>Lab technician</t>
        </is>
      </c>
      <c r="B317" t="inlineStr">
        <is>
          <t>QLD</t>
        </is>
      </c>
      <c r="C317" s="44" t="inlineStr">
        <is>
          <t xml:space="preserve">Leave Loading (%)		</t>
        </is>
      </c>
      <c r="D317" s="78" t="n">
        <v>85.04287869822485</v>
      </c>
      <c r="E317" s="78" t="n">
        <v>85.04287869822485</v>
      </c>
      <c r="F317" s="78" t="n">
        <v>92.69426455932729</v>
      </c>
    </row>
    <row r="318">
      <c r="A318" t="inlineStr">
        <is>
          <t>Medical scientist</t>
        </is>
      </c>
      <c r="B318" t="inlineStr">
        <is>
          <t>QLD</t>
        </is>
      </c>
      <c r="C318" s="44" t="inlineStr">
        <is>
          <t xml:space="preserve">Leave Loading (%)		</t>
        </is>
      </c>
      <c r="D318" s="78" t="n">
        <v>125.9153161203675</v>
      </c>
      <c r="E318" s="78" t="n">
        <v>125.9153161203675</v>
      </c>
      <c r="F318" s="78" t="n">
        <v>137.2844301035503</v>
      </c>
    </row>
    <row r="319">
      <c r="A319" t="inlineStr">
        <is>
          <t>Admin staff</t>
        </is>
      </c>
      <c r="B319" t="inlineStr">
        <is>
          <t>QLD</t>
        </is>
      </c>
      <c r="C319" s="44" t="inlineStr">
        <is>
          <t xml:space="preserve">Leave Loading (%)		</t>
        </is>
      </c>
      <c r="D319" s="78" t="n">
        <v>77.38128143491123</v>
      </c>
      <c r="E319" s="78" t="n">
        <v>77.38128143491123</v>
      </c>
      <c r="F319" s="78" t="n">
        <v>84.33577380488944</v>
      </c>
    </row>
    <row r="320">
      <c r="A320" t="inlineStr">
        <is>
          <t>Bioinformatics staff</t>
        </is>
      </c>
      <c r="B320" t="inlineStr">
        <is>
          <t>QLD</t>
        </is>
      </c>
      <c r="C320" s="44" t="inlineStr">
        <is>
          <t xml:space="preserve">Leave Loading (%)		</t>
        </is>
      </c>
      <c r="D320" s="78" t="n">
        <v>125.9153161203675</v>
      </c>
      <c r="E320" s="78" t="n">
        <v>125.9153161203675</v>
      </c>
      <c r="F320" s="78" t="n">
        <v>137.2844301035503</v>
      </c>
    </row>
    <row r="321">
      <c r="A321" t="inlineStr">
        <is>
          <t>Pathologists</t>
        </is>
      </c>
      <c r="B321" t="inlineStr">
        <is>
          <t>QLD</t>
        </is>
      </c>
      <c r="C321" s="44" t="inlineStr">
        <is>
          <t xml:space="preserve">Leave Loading (%)		</t>
        </is>
      </c>
      <c r="D321" s="78" t="n">
        <v>338.5262645593273</v>
      </c>
      <c r="E321" s="78" t="n">
        <v>338.5262645593273</v>
      </c>
      <c r="F321" s="78" t="n">
        <v>363.1328668639053</v>
      </c>
    </row>
    <row r="322">
      <c r="A322" t="inlineStr">
        <is>
          <t>Lab technician</t>
        </is>
      </c>
      <c r="B322" t="inlineStr">
        <is>
          <t>WA</t>
        </is>
      </c>
      <c r="C322" s="44" t="inlineStr">
        <is>
          <t xml:space="preserve">Leave Loading (%)		</t>
        </is>
      </c>
      <c r="D322" s="78" t="n">
        <v>85.52324602927438</v>
      </c>
      <c r="E322" s="78" t="n">
        <v>93.30238025537216</v>
      </c>
      <c r="F322" s="78" t="n">
        <v>93.30238025537216</v>
      </c>
    </row>
    <row r="323">
      <c r="A323" t="inlineStr">
        <is>
          <t>Medical scientist</t>
        </is>
      </c>
      <c r="B323" t="inlineStr">
        <is>
          <t>WA</t>
        </is>
      </c>
      <c r="C323" s="44" t="inlineStr">
        <is>
          <t xml:space="preserve">Leave Loading (%)		</t>
        </is>
      </c>
      <c r="D323" s="78" t="n">
        <v>130.6683705621301</v>
      </c>
      <c r="E323" s="78" t="n">
        <v>142.5538735207101</v>
      </c>
      <c r="F323" s="78" t="n">
        <v>142.5538735207101</v>
      </c>
    </row>
    <row r="324">
      <c r="A324" t="inlineStr">
        <is>
          <t>Admin staff</t>
        </is>
      </c>
      <c r="B324" t="inlineStr">
        <is>
          <t>WA</t>
        </is>
      </c>
      <c r="C324" s="44" t="inlineStr">
        <is>
          <t xml:space="preserve">Leave Loading (%)		</t>
        </is>
      </c>
      <c r="D324" s="78" t="n">
        <v>75.87180247586423</v>
      </c>
      <c r="E324" s="78" t="n">
        <v>82.77304819370912</v>
      </c>
      <c r="F324" s="78" t="n">
        <v>82.77304819370912</v>
      </c>
    </row>
    <row r="325">
      <c r="A325" t="inlineStr">
        <is>
          <t>Bioinformatics staff</t>
        </is>
      </c>
      <c r="B325" t="inlineStr">
        <is>
          <t>WA</t>
        </is>
      </c>
      <c r="C325" s="44" t="inlineStr">
        <is>
          <t xml:space="preserve">Leave Loading (%)		</t>
        </is>
      </c>
      <c r="D325" s="78" t="n">
        <v>103.993285697602</v>
      </c>
      <c r="E325" s="78" t="n">
        <v>113.4524417237621</v>
      </c>
      <c r="F325" s="78" t="n">
        <v>113.4524417237621</v>
      </c>
    </row>
    <row r="326">
      <c r="A326" t="inlineStr">
        <is>
          <t>Pathologists</t>
        </is>
      </c>
      <c r="B326" t="inlineStr">
        <is>
          <t>WA</t>
        </is>
      </c>
      <c r="C326" s="44" t="inlineStr">
        <is>
          <t xml:space="preserve">Leave Loading (%)		</t>
        </is>
      </c>
      <c r="D326" s="78" t="n">
        <v>424.6258754282155</v>
      </c>
      <c r="E326" s="78" t="n">
        <v>424.6258754282155</v>
      </c>
      <c r="F326" s="78" t="n">
        <v>461.9188059794456</v>
      </c>
    </row>
    <row r="327">
      <c r="A327" t="inlineStr">
        <is>
          <t>Lab technician</t>
        </is>
      </c>
      <c r="B327" t="inlineStr">
        <is>
          <t>ALL</t>
        </is>
      </c>
      <c r="C327" s="44" t="inlineStr">
        <is>
          <t xml:space="preserve">Leave Loading (%)		</t>
        </is>
      </c>
      <c r="D327" s="44" t="n">
        <v>60.35126969791342</v>
      </c>
      <c r="E327" s="44" t="n">
        <v>97.3006387844908</v>
      </c>
      <c r="F327" s="44" t="n">
        <v>136.8877749143569</v>
      </c>
    </row>
    <row r="328">
      <c r="A328" t="inlineStr">
        <is>
          <t>Medical scientist</t>
        </is>
      </c>
      <c r="B328" t="inlineStr">
        <is>
          <t>ALL</t>
        </is>
      </c>
      <c r="C328" s="44" t="inlineStr">
        <is>
          <t xml:space="preserve">Leave Loading (%)		</t>
        </is>
      </c>
      <c r="D328" s="44" t="n">
        <v>77.46177732793524</v>
      </c>
      <c r="E328" s="44" t="n">
        <v>132.0926584531299</v>
      </c>
      <c r="F328" s="44" t="n">
        <v>180.1738210526316</v>
      </c>
    </row>
    <row r="329">
      <c r="A329" t="inlineStr">
        <is>
          <t>Admin staff</t>
        </is>
      </c>
      <c r="B329" t="inlineStr">
        <is>
          <t>ALL</t>
        </is>
      </c>
      <c r="C329" s="44" t="inlineStr">
        <is>
          <t xml:space="preserve">Leave Loading (%)		</t>
        </is>
      </c>
      <c r="D329" s="44" t="n">
        <v>59.30041388975397</v>
      </c>
      <c r="E329" s="44" t="n">
        <v>80.98523986795389</v>
      </c>
      <c r="F329" s="44" t="n">
        <v>113.5235822173778</v>
      </c>
    </row>
    <row r="330">
      <c r="A330" t="inlineStr">
        <is>
          <t>Bioinformatics staff</t>
        </is>
      </c>
      <c r="B330" t="inlineStr">
        <is>
          <t>ALL</t>
        </is>
      </c>
      <c r="C330" s="44" t="inlineStr">
        <is>
          <t xml:space="preserve">Leave Loading (%)		</t>
        </is>
      </c>
      <c r="D330" s="44" t="n">
        <v>83.36545616630333</v>
      </c>
      <c r="E330" s="44" t="n">
        <v>119.7143608104952</v>
      </c>
      <c r="F330" s="44" t="n">
        <v>175.8121554033011</v>
      </c>
    </row>
    <row r="331">
      <c r="A331" t="inlineStr">
        <is>
          <t>Pathologists</t>
        </is>
      </c>
      <c r="B331" t="inlineStr">
        <is>
          <t>ALL</t>
        </is>
      </c>
      <c r="C331" s="44" t="inlineStr">
        <is>
          <t xml:space="preserve">Leave Loading (%)		</t>
        </is>
      </c>
      <c r="D331" s="44" t="n">
        <v>263.3364146761134</v>
      </c>
      <c r="E331" s="44" t="n">
        <v>384.4609838076923</v>
      </c>
      <c r="F331" s="44" t="n">
        <v>551.4281955971659</v>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01"/>
  <sheetViews>
    <sheetView workbookViewId="0">
      <selection activeCell="F1" sqref="A1:F1048576"/>
    </sheetView>
  </sheetViews>
  <sheetFormatPr baseColWidth="10" defaultColWidth="11" defaultRowHeight="16"/>
  <cols>
    <col width="19.83203125" customWidth="1" min="10" max="10"/>
  </cols>
  <sheetData>
    <row r="1">
      <c r="A1" t="inlineStr">
        <is>
          <t>Personnel type</t>
        </is>
      </c>
      <c r="B1" t="inlineStr">
        <is>
          <t>Variable</t>
        </is>
      </c>
      <c r="C1" t="inlineStr">
        <is>
          <t>Jurisdiction</t>
        </is>
      </c>
      <c r="D1" s="44" t="inlineStr">
        <is>
          <t>LL</t>
        </is>
      </c>
      <c r="E1" s="44" t="inlineStr">
        <is>
          <t>MP</t>
        </is>
      </c>
      <c r="F1" s="44" t="inlineStr">
        <is>
          <t>UL</t>
        </is>
      </c>
      <c r="I1" t="inlineStr">
        <is>
          <t>Personnel type</t>
        </is>
      </c>
      <c r="J1" t="inlineStr">
        <is>
          <t>Variable</t>
        </is>
      </c>
      <c r="K1" t="inlineStr">
        <is>
          <t>Jurisdiction</t>
        </is>
      </c>
      <c r="L1" t="inlineStr">
        <is>
          <t>Mean (95% CI)</t>
        </is>
      </c>
      <c r="O1" t="inlineStr">
        <is>
          <t>Personnel type</t>
        </is>
      </c>
      <c r="P1" t="inlineStr">
        <is>
          <t>Variable</t>
        </is>
      </c>
      <c r="Q1" t="inlineStr">
        <is>
          <t>Jurisdiction</t>
        </is>
      </c>
      <c r="R1" t="inlineStr">
        <is>
          <t>Mean (95% CI)</t>
        </is>
      </c>
      <c r="V1" s="90" t="inlineStr">
        <is>
          <t>Jurisdiction</t>
        </is>
      </c>
      <c r="BD1" t="inlineStr">
        <is>
          <t>BI</t>
        </is>
      </c>
      <c r="BE1" t="inlineStr">
        <is>
          <t>LT</t>
        </is>
      </c>
      <c r="BF1" t="inlineStr">
        <is>
          <t>MS</t>
        </is>
      </c>
      <c r="BG1" t="inlineStr">
        <is>
          <t>PT</t>
        </is>
      </c>
    </row>
    <row r="2">
      <c r="A2" t="inlineStr">
        <is>
          <t>Admin staff</t>
        </is>
      </c>
      <c r="B2" s="44" t="inlineStr">
        <is>
          <t>Annual Leave</t>
        </is>
      </c>
      <c r="C2" t="inlineStr">
        <is>
          <t>ALL</t>
        </is>
      </c>
      <c r="D2" s="44" t="n">
        <v>59.30041388975397</v>
      </c>
      <c r="E2" s="44" t="n">
        <v>80.98523986795389</v>
      </c>
      <c r="F2" s="44" t="n">
        <v>113.5235822173778</v>
      </c>
      <c r="I2">
        <f>A2</f>
        <v/>
      </c>
      <c r="J2">
        <f>B2</f>
        <v/>
      </c>
      <c r="K2">
        <f>C2</f>
        <v/>
      </c>
      <c r="L2">
        <f>TEXT(E2, "0,0") &amp; " (" &amp; TEXT(D2, "0,0") &amp; " - " &amp; TEXT(F2, "0,0") &amp; ")"</f>
        <v/>
      </c>
      <c r="O2" t="inlineStr">
        <is>
          <t>Admin staff</t>
        </is>
      </c>
      <c r="P2" t="inlineStr">
        <is>
          <t>Annual Leave</t>
        </is>
      </c>
      <c r="Q2" t="inlineStr">
        <is>
          <t>ALL</t>
        </is>
      </c>
      <c r="R2" t="inlineStr">
        <is>
          <t>81 (59 - 114)</t>
        </is>
      </c>
      <c r="T2" s="91" t="inlineStr">
        <is>
          <t>Labour Type</t>
        </is>
      </c>
      <c r="U2" t="inlineStr">
        <is>
          <t>Variable</t>
        </is>
      </c>
      <c r="V2" t="inlineStr">
        <is>
          <t>NSW</t>
        </is>
      </c>
      <c r="W2" t="inlineStr">
        <is>
          <t>QLD</t>
        </is>
      </c>
      <c r="X2" t="inlineStr">
        <is>
          <t>SA</t>
        </is>
      </c>
      <c r="Y2" t="inlineStr">
        <is>
          <t>VIC</t>
        </is>
      </c>
      <c r="Z2" t="inlineStr">
        <is>
          <t>WA</t>
        </is>
      </c>
      <c r="AA2" t="inlineStr">
        <is>
          <t>ALL</t>
        </is>
      </c>
      <c r="BA2" t="inlineStr">
        <is>
          <t>Admin staff</t>
        </is>
      </c>
      <c r="BB2" t="inlineStr">
        <is>
          <t>NSW</t>
        </is>
      </c>
      <c r="BC2" s="44" t="n">
        <v>69.43560540485831</v>
      </c>
      <c r="BD2" s="81">
        <f>$BC9/$BC2</f>
        <v/>
      </c>
      <c r="BE2" s="81">
        <f>$BC16/$BC2</f>
        <v/>
      </c>
      <c r="BF2" s="81">
        <f>$BC23/$BC2</f>
        <v/>
      </c>
      <c r="BG2" s="81">
        <f>$BC30/$BC2</f>
        <v/>
      </c>
    </row>
    <row r="3">
      <c r="A3" t="inlineStr">
        <is>
          <t>Admin staff</t>
        </is>
      </c>
      <c r="B3" s="44" t="inlineStr">
        <is>
          <t>Annual Leave</t>
        </is>
      </c>
      <c r="C3" t="inlineStr">
        <is>
          <t>NSW</t>
        </is>
      </c>
      <c r="D3" s="44" t="n">
        <v>57.73744226720648</v>
      </c>
      <c r="E3" s="44" t="n">
        <v>69.43560540485831</v>
      </c>
      <c r="F3" s="44" t="n">
        <v>81.13376854251011</v>
      </c>
      <c r="I3">
        <f>A3</f>
        <v/>
      </c>
      <c r="J3">
        <f>B3</f>
        <v/>
      </c>
      <c r="K3">
        <f>C3</f>
        <v/>
      </c>
      <c r="L3">
        <f>TEXT(E3, "0,0") &amp; " (" &amp; TEXT(D3, "0,0") &amp; " - " &amp; TEXT(F3, "0,0") &amp; ")"</f>
        <v/>
      </c>
      <c r="O3" t="inlineStr">
        <is>
          <t>Admin staff</t>
        </is>
      </c>
      <c r="P3" t="inlineStr">
        <is>
          <t>Annual Leave</t>
        </is>
      </c>
      <c r="Q3" t="inlineStr">
        <is>
          <t>NSW</t>
        </is>
      </c>
      <c r="R3" t="inlineStr">
        <is>
          <t>69 (58 - 81)</t>
        </is>
      </c>
      <c r="V3" s="90" t="inlineStr">
        <is>
          <t>Mean (95% CI)</t>
        </is>
      </c>
      <c r="AH3" t="inlineStr">
        <is>
          <t>Admin staff</t>
        </is>
      </c>
      <c r="AI3" t="inlineStr">
        <is>
          <t>ALL</t>
        </is>
      </c>
      <c r="AJ3" s="44" t="inlineStr">
        <is>
          <t>Base Salary</t>
        </is>
      </c>
      <c r="AK3" s="44" t="n">
        <v>57.73744226720648</v>
      </c>
      <c r="AL3" s="44" t="n">
        <v>81.18016855839304</v>
      </c>
      <c r="AM3" s="44" t="n">
        <v>118.3233486452818</v>
      </c>
      <c r="AP3" s="44">
        <f>AH3</f>
        <v/>
      </c>
      <c r="AQ3" s="44">
        <f>AI3</f>
        <v/>
      </c>
      <c r="AR3" s="44">
        <f>AJ3</f>
        <v/>
      </c>
      <c r="AS3">
        <f>TEXT(AL3, "0,0") &amp; " (" &amp; TEXT(AK3, "0,0") &amp; " - " &amp; TEXT(AM3, "0,0") &amp; ")"</f>
        <v/>
      </c>
      <c r="BB3" t="inlineStr">
        <is>
          <t>QLD</t>
        </is>
      </c>
      <c r="BC3" s="44" t="n">
        <v>77.38128143491123</v>
      </c>
      <c r="BD3" s="81">
        <f>BC10/$BC3</f>
        <v/>
      </c>
      <c r="BE3" s="81">
        <f>BC17/$BC3</f>
        <v/>
      </c>
      <c r="BF3" s="81">
        <f>BC24/$BC3</f>
        <v/>
      </c>
      <c r="BG3" s="81">
        <f>BC31/$BC3</f>
        <v/>
      </c>
    </row>
    <row r="4">
      <c r="A4" t="inlineStr">
        <is>
          <t>Admin staff</t>
        </is>
      </c>
      <c r="B4" s="44" t="inlineStr">
        <is>
          <t>Annual Leave</t>
        </is>
      </c>
      <c r="C4" t="inlineStr">
        <is>
          <t>QLD</t>
        </is>
      </c>
      <c r="D4" s="44" t="n">
        <v>58.08977857365307</v>
      </c>
      <c r="E4" s="44" t="n">
        <v>77.38128143491123</v>
      </c>
      <c r="F4" s="44" t="n">
        <v>96.67278429616943</v>
      </c>
      <c r="I4">
        <f>A4</f>
        <v/>
      </c>
      <c r="J4">
        <f>B4</f>
        <v/>
      </c>
      <c r="K4">
        <f>C4</f>
        <v/>
      </c>
      <c r="L4">
        <f>TEXT(E4, "0,0") &amp; " (" &amp; TEXT(D4, "0,0") &amp; " - " &amp; TEXT(F4, "0,0") &amp; ")"</f>
        <v/>
      </c>
      <c r="O4" t="inlineStr">
        <is>
          <t>Admin staff</t>
        </is>
      </c>
      <c r="P4" t="inlineStr">
        <is>
          <t>Annual Leave</t>
        </is>
      </c>
      <c r="Q4" t="inlineStr">
        <is>
          <t>QLD</t>
        </is>
      </c>
      <c r="R4" t="inlineStr">
        <is>
          <t>77 (58 - 97)</t>
        </is>
      </c>
      <c r="T4" s="80" t="inlineStr">
        <is>
          <t>Admin staff</t>
        </is>
      </c>
      <c r="U4" t="inlineStr">
        <is>
          <t>Annual Leave</t>
        </is>
      </c>
      <c r="V4" t="inlineStr">
        <is>
          <t>69 (58 - 81)</t>
        </is>
      </c>
      <c r="W4" t="inlineStr">
        <is>
          <t>77 (58 - 97)</t>
        </is>
      </c>
      <c r="X4" t="inlineStr">
        <is>
          <t>76 (68 - 84)</t>
        </is>
      </c>
      <c r="Y4" t="inlineStr">
        <is>
          <t>100 (82 - 118)</t>
        </is>
      </c>
      <c r="Z4" t="inlineStr">
        <is>
          <t>83 (75 - 90)</t>
        </is>
      </c>
      <c r="AA4" t="inlineStr">
        <is>
          <t>81 (59 - 114)</t>
        </is>
      </c>
      <c r="AH4" t="inlineStr">
        <is>
          <t>Admin staff</t>
        </is>
      </c>
      <c r="AI4" t="inlineStr">
        <is>
          <t>NSW</t>
        </is>
      </c>
      <c r="AJ4" s="44" t="inlineStr">
        <is>
          <t>Base Salary</t>
        </is>
      </c>
      <c r="AK4" s="44" t="n">
        <v>57.73744226720648</v>
      </c>
      <c r="AL4" s="44" t="n">
        <v>69.43560540485831</v>
      </c>
      <c r="AM4" s="44" t="n">
        <v>81.13376854251011</v>
      </c>
      <c r="AP4" s="44">
        <f>AH4</f>
        <v/>
      </c>
      <c r="AQ4" s="44">
        <f>AI4</f>
        <v/>
      </c>
      <c r="AR4" s="44">
        <f>AJ4</f>
        <v/>
      </c>
      <c r="AS4">
        <f>TEXT(AL4, "0,0") &amp; " (" &amp; TEXT(AK4, "0,0") &amp; " - " &amp; TEXT(AM4, "0,0") &amp; ")"</f>
        <v/>
      </c>
      <c r="BB4" t="inlineStr">
        <is>
          <t>SA</t>
        </is>
      </c>
      <c r="BC4" s="44" t="n">
        <v>75.94370297415135</v>
      </c>
      <c r="BD4" s="81">
        <f>BC11/$BC4</f>
        <v/>
      </c>
      <c r="BE4" s="81">
        <f>BC18/$BC4</f>
        <v/>
      </c>
      <c r="BF4" s="81">
        <f>BC25/$BC4</f>
        <v/>
      </c>
      <c r="BG4" s="81">
        <f>BC32/$BC4</f>
        <v/>
      </c>
    </row>
    <row r="5">
      <c r="A5" t="inlineStr">
        <is>
          <t>Admin staff</t>
        </is>
      </c>
      <c r="B5" s="44" t="inlineStr">
        <is>
          <t>Annual Leave</t>
        </is>
      </c>
      <c r="C5" t="inlineStr">
        <is>
          <t>SA</t>
        </is>
      </c>
      <c r="D5" s="44" t="n">
        <v>68.20481267517907</v>
      </c>
      <c r="E5" s="44" t="n">
        <v>75.94370297415135</v>
      </c>
      <c r="F5" s="44" t="n">
        <v>83.68259327312363</v>
      </c>
      <c r="I5">
        <f>A5</f>
        <v/>
      </c>
      <c r="J5">
        <f>B5</f>
        <v/>
      </c>
      <c r="K5">
        <f>C5</f>
        <v/>
      </c>
      <c r="L5">
        <f>TEXT(E5, "0,0") &amp; " (" &amp; TEXT(D5, "0,0") &amp; " - " &amp; TEXT(F5, "0,0") &amp; ")"</f>
        <v/>
      </c>
      <c r="O5" t="inlineStr">
        <is>
          <t>Admin staff</t>
        </is>
      </c>
      <c r="P5" t="inlineStr">
        <is>
          <t>Annual Leave</t>
        </is>
      </c>
      <c r="Q5" t="inlineStr">
        <is>
          <t>SA</t>
        </is>
      </c>
      <c r="R5" t="inlineStr">
        <is>
          <t>76 (68 - 84)</t>
        </is>
      </c>
      <c r="T5" s="80" t="n"/>
      <c r="U5" t="inlineStr">
        <is>
          <t>Attraction and Retention Allowance</t>
        </is>
      </c>
      <c r="V5" t="inlineStr">
        <is>
          <t>69 (58 - 81)</t>
        </is>
      </c>
      <c r="W5" t="inlineStr">
        <is>
          <t>77 (58 - 97)</t>
        </is>
      </c>
      <c r="X5" t="inlineStr">
        <is>
          <t>76 (68 - 84)</t>
        </is>
      </c>
      <c r="Y5" t="inlineStr">
        <is>
          <t>100 (82 - 118)</t>
        </is>
      </c>
      <c r="Z5" t="inlineStr">
        <is>
          <t>83 (75 - 90)</t>
        </is>
      </c>
      <c r="AA5" t="inlineStr">
        <is>
          <t>81 (59 - 114)</t>
        </is>
      </c>
      <c r="AH5" t="inlineStr">
        <is>
          <t>Admin staff</t>
        </is>
      </c>
      <c r="AI5" t="inlineStr">
        <is>
          <t>QLD</t>
        </is>
      </c>
      <c r="AJ5" s="44" t="inlineStr">
        <is>
          <t>Base Salary</t>
        </is>
      </c>
      <c r="AK5" s="44" t="n">
        <v>58.08977857365307</v>
      </c>
      <c r="AL5" s="44" t="n">
        <v>77.38128143491123</v>
      </c>
      <c r="AM5" s="44" t="n">
        <v>96.67278429616943</v>
      </c>
      <c r="AP5" s="44">
        <f>AH5</f>
        <v/>
      </c>
      <c r="AQ5" s="44">
        <f>AI5</f>
        <v/>
      </c>
      <c r="AR5" s="44">
        <f>AJ5</f>
        <v/>
      </c>
      <c r="AS5">
        <f>TEXT(AL5, "0,0") &amp; " (" &amp; TEXT(AK5, "0,0") &amp; " - " &amp; TEXT(AM5, "0,0") &amp; ")"</f>
        <v/>
      </c>
      <c r="BB5" t="inlineStr">
        <is>
          <t>VIC</t>
        </is>
      </c>
      <c r="BC5" s="44" t="n">
        <v>100.3672047843351</v>
      </c>
      <c r="BD5" s="81">
        <f>BC12/$BC5</f>
        <v/>
      </c>
      <c r="BE5" s="81">
        <f>BC19/$BC5</f>
        <v/>
      </c>
      <c r="BF5" s="81">
        <f>BC26/$BC5</f>
        <v/>
      </c>
      <c r="BG5" s="81">
        <f>BC33/$BC5</f>
        <v/>
      </c>
    </row>
    <row r="6">
      <c r="A6" t="inlineStr">
        <is>
          <t>Admin staff</t>
        </is>
      </c>
      <c r="B6" s="44" t="inlineStr">
        <is>
          <t>Annual Leave</t>
        </is>
      </c>
      <c r="C6" t="inlineStr">
        <is>
          <t>VIC</t>
        </is>
      </c>
      <c r="D6" s="44" t="n">
        <v>82.41106092338835</v>
      </c>
      <c r="E6" s="44" t="n">
        <v>100.3672047843351</v>
      </c>
      <c r="F6" s="44" t="n">
        <v>118.3233486452818</v>
      </c>
      <c r="I6">
        <f>A6</f>
        <v/>
      </c>
      <c r="J6">
        <f>B6</f>
        <v/>
      </c>
      <c r="K6">
        <f>C6</f>
        <v/>
      </c>
      <c r="L6">
        <f>TEXT(E6, "0,0") &amp; " (" &amp; TEXT(D6, "0,0") &amp; " - " &amp; TEXT(F6, "0,0") &amp; ")"</f>
        <v/>
      </c>
      <c r="O6" t="inlineStr">
        <is>
          <t>Admin staff</t>
        </is>
      </c>
      <c r="P6" t="inlineStr">
        <is>
          <t>Annual Leave</t>
        </is>
      </c>
      <c r="Q6" t="inlineStr">
        <is>
          <t>VIC</t>
        </is>
      </c>
      <c r="R6" t="inlineStr">
        <is>
          <t>100 (82 - 118)</t>
        </is>
      </c>
      <c r="T6" s="80" t="n"/>
      <c r="U6" t="inlineStr">
        <is>
          <t>Average Penalties</t>
        </is>
      </c>
      <c r="V6" t="inlineStr">
        <is>
          <t>69 (55 - 88)</t>
        </is>
      </c>
      <c r="W6" t="inlineStr">
        <is>
          <t>77 (56 - 105)</t>
        </is>
      </c>
      <c r="X6" t="inlineStr">
        <is>
          <t>76 (65 - 91)</t>
        </is>
      </c>
      <c r="Y6" t="inlineStr">
        <is>
          <t>100 (79 - 128)</t>
        </is>
      </c>
      <c r="Z6" t="inlineStr">
        <is>
          <t>83 (72 - 97)</t>
        </is>
      </c>
      <c r="AA6" t="inlineStr">
        <is>
          <t>81 (57 - 123)</t>
        </is>
      </c>
      <c r="AH6" t="inlineStr">
        <is>
          <t>Admin staff</t>
        </is>
      </c>
      <c r="AI6" t="inlineStr">
        <is>
          <t>SA</t>
        </is>
      </c>
      <c r="AJ6" s="44" t="inlineStr">
        <is>
          <t>Base Salary</t>
        </is>
      </c>
      <c r="AK6" s="44" t="n">
        <v>68.20481267517907</v>
      </c>
      <c r="AL6" s="44" t="n">
        <v>75.94370297415135</v>
      </c>
      <c r="AM6" s="44" t="n">
        <v>83.68259327312363</v>
      </c>
      <c r="AP6" s="44">
        <f>AH6</f>
        <v/>
      </c>
      <c r="AQ6" s="44">
        <f>AI6</f>
        <v/>
      </c>
      <c r="AR6" s="44">
        <f>AJ6</f>
        <v/>
      </c>
      <c r="AS6">
        <f>TEXT(AL6, "0,0") &amp; " (" &amp; TEXT(AK6, "0,0") &amp; " - " &amp; TEXT(AM6, "0,0") &amp; ")"</f>
        <v/>
      </c>
      <c r="BB6" t="inlineStr">
        <is>
          <t>WA</t>
        </is>
      </c>
      <c r="BC6" s="44" t="n">
        <v>82.77304819370912</v>
      </c>
      <c r="BD6" s="81">
        <f>BC13/$BC6</f>
        <v/>
      </c>
      <c r="BE6" s="81">
        <f>BC20/$BC6</f>
        <v/>
      </c>
      <c r="BF6" s="81">
        <f>BC27/$BC6</f>
        <v/>
      </c>
      <c r="BG6" s="81">
        <f>BC34/$BC6</f>
        <v/>
      </c>
    </row>
    <row r="7">
      <c r="A7" t="inlineStr">
        <is>
          <t>Admin staff</t>
        </is>
      </c>
      <c r="B7" s="44" t="inlineStr">
        <is>
          <t>Annual Leave</t>
        </is>
      </c>
      <c r="C7" t="inlineStr">
        <is>
          <t>WA</t>
        </is>
      </c>
      <c r="D7" s="44" t="n">
        <v>75.27544211304888</v>
      </c>
      <c r="E7" s="44" t="n">
        <v>82.77304819370912</v>
      </c>
      <c r="F7" s="44" t="n">
        <v>90.27065427436935</v>
      </c>
      <c r="I7">
        <f>A7</f>
        <v/>
      </c>
      <c r="J7">
        <f>B7</f>
        <v/>
      </c>
      <c r="K7">
        <f>C7</f>
        <v/>
      </c>
      <c r="L7">
        <f>TEXT(E7, "0,0") &amp; " (" &amp; TEXT(D7, "0,0") &amp; " - " &amp; TEXT(F7, "0,0") &amp; ")"</f>
        <v/>
      </c>
      <c r="O7" t="inlineStr">
        <is>
          <t>Admin staff</t>
        </is>
      </c>
      <c r="P7" t="inlineStr">
        <is>
          <t>Annual Leave</t>
        </is>
      </c>
      <c r="Q7" t="inlineStr">
        <is>
          <t>WA</t>
        </is>
      </c>
      <c r="R7" t="inlineStr">
        <is>
          <t>83 (75 - 90)</t>
        </is>
      </c>
      <c r="U7" s="44" t="inlineStr">
        <is>
          <t>Base Salary</t>
        </is>
      </c>
      <c r="V7" t="inlineStr">
        <is>
          <t>69 (58 - 81)</t>
        </is>
      </c>
      <c r="W7" t="inlineStr">
        <is>
          <t>77 (58 - 97)</t>
        </is>
      </c>
      <c r="X7" t="inlineStr">
        <is>
          <t>76 (68 - 84)</t>
        </is>
      </c>
      <c r="Y7" t="inlineStr">
        <is>
          <t>100 (82 - 118)</t>
        </is>
      </c>
      <c r="Z7" t="inlineStr">
        <is>
          <t>83 (75 - 90)</t>
        </is>
      </c>
      <c r="AA7" t="inlineStr">
        <is>
          <t>81 (58 - 118)</t>
        </is>
      </c>
      <c r="AH7" t="inlineStr">
        <is>
          <t>Admin staff</t>
        </is>
      </c>
      <c r="AI7" t="inlineStr">
        <is>
          <t>VIC</t>
        </is>
      </c>
      <c r="AJ7" s="44" t="inlineStr">
        <is>
          <t>Base Salary</t>
        </is>
      </c>
      <c r="AK7" s="44" t="n">
        <v>82.41106092338835</v>
      </c>
      <c r="AL7" s="44" t="n">
        <v>100.3672047843351</v>
      </c>
      <c r="AM7" s="44" t="n">
        <v>118.3233486452818</v>
      </c>
      <c r="AP7" s="44">
        <f>AH7</f>
        <v/>
      </c>
      <c r="AQ7" s="44">
        <f>AI7</f>
        <v/>
      </c>
      <c r="AR7" s="44">
        <f>AJ7</f>
        <v/>
      </c>
      <c r="AS7">
        <f>TEXT(AL7, "0,0") &amp; " (" &amp; TEXT(AK7, "0,0") &amp; " - " &amp; TEXT(AM7, "0,0") &amp; ")"</f>
        <v/>
      </c>
      <c r="BB7" t="inlineStr">
        <is>
          <t>ALL</t>
        </is>
      </c>
      <c r="BC7" s="44" t="n">
        <v>81.18016855839304</v>
      </c>
      <c r="BD7" s="81">
        <f>BC14/$BC7</f>
        <v/>
      </c>
      <c r="BE7" s="81">
        <f>BC21/$BC7</f>
        <v/>
      </c>
      <c r="BF7" s="81">
        <f>BC28/$BC7</f>
        <v/>
      </c>
      <c r="BG7" s="81">
        <f>BC35/$BC7</f>
        <v/>
      </c>
    </row>
    <row r="8">
      <c r="A8" t="inlineStr">
        <is>
          <t>Admin staff</t>
        </is>
      </c>
      <c r="B8" s="44" t="inlineStr">
        <is>
          <t>Attraction and Retention Allowance</t>
        </is>
      </c>
      <c r="C8" t="inlineStr">
        <is>
          <t>ALL</t>
        </is>
      </c>
      <c r="D8" s="44" t="n">
        <v>59.30041388975397</v>
      </c>
      <c r="E8" s="44" t="n">
        <v>80.98523986795389</v>
      </c>
      <c r="F8" s="44" t="n">
        <v>113.5235822173778</v>
      </c>
      <c r="I8">
        <f>A8</f>
        <v/>
      </c>
      <c r="J8">
        <f>B8</f>
        <v/>
      </c>
      <c r="K8">
        <f>C8</f>
        <v/>
      </c>
      <c r="L8">
        <f>TEXT(E8, "0,0") &amp; " (" &amp; TEXT(D8, "0,0") &amp; " - " &amp; TEXT(F8, "0,0") &amp; ")"</f>
        <v/>
      </c>
      <c r="O8" t="inlineStr">
        <is>
          <t>Admin staff</t>
        </is>
      </c>
      <c r="P8" t="inlineStr">
        <is>
          <t>Attraction and Retention Allowance</t>
        </is>
      </c>
      <c r="Q8" t="inlineStr">
        <is>
          <t>ALL</t>
        </is>
      </c>
      <c r="R8" t="inlineStr">
        <is>
          <t>81 (59 - 114)</t>
        </is>
      </c>
      <c r="T8" s="80" t="n"/>
      <c r="U8" t="inlineStr">
        <is>
          <t>Hours worked</t>
        </is>
      </c>
      <c r="V8" t="inlineStr">
        <is>
          <t>69 (55 - 85)</t>
        </is>
      </c>
      <c r="W8" t="inlineStr">
        <is>
          <t>77 (55 - 101)</t>
        </is>
      </c>
      <c r="X8" t="inlineStr">
        <is>
          <t>76 (65 - 88)</t>
        </is>
      </c>
      <c r="Y8" t="inlineStr">
        <is>
          <t>100 (78 - 124)</t>
        </is>
      </c>
      <c r="Z8" t="inlineStr">
        <is>
          <t>83 (72 - 94)</t>
        </is>
      </c>
      <c r="AA8" t="inlineStr">
        <is>
          <t>81 (56 - 119)</t>
        </is>
      </c>
      <c r="AH8" t="inlineStr">
        <is>
          <t>Admin staff</t>
        </is>
      </c>
      <c r="AI8" t="inlineStr">
        <is>
          <t>WA</t>
        </is>
      </c>
      <c r="AJ8" s="44" t="inlineStr">
        <is>
          <t>Base Salary</t>
        </is>
      </c>
      <c r="AK8" s="44" t="n">
        <v>75.27544211304888</v>
      </c>
      <c r="AL8" s="44" t="n">
        <v>82.77304819370912</v>
      </c>
      <c r="AM8" s="44" t="n">
        <v>90.27065427436935</v>
      </c>
      <c r="AP8" s="44">
        <f>AH8</f>
        <v/>
      </c>
      <c r="AQ8" s="44">
        <f>AI8</f>
        <v/>
      </c>
      <c r="AR8" s="44">
        <f>AJ8</f>
        <v/>
      </c>
      <c r="AS8">
        <f>TEXT(AL8, "0,0") &amp; " (" &amp; TEXT(AK8, "0,0") &amp; " - " &amp; TEXT(AM8, "0,0") &amp; ")"</f>
        <v/>
      </c>
      <c r="BD8" t="inlineStr">
        <is>
          <t>AS</t>
        </is>
      </c>
      <c r="BE8" t="inlineStr">
        <is>
          <t>LT</t>
        </is>
      </c>
      <c r="BF8" t="inlineStr">
        <is>
          <t>MS</t>
        </is>
      </c>
      <c r="BG8" t="inlineStr">
        <is>
          <t>PT</t>
        </is>
      </c>
    </row>
    <row r="9">
      <c r="A9" t="inlineStr">
        <is>
          <t>Admin staff</t>
        </is>
      </c>
      <c r="B9" s="44" t="inlineStr">
        <is>
          <t>Attraction and Retention Allowance</t>
        </is>
      </c>
      <c r="C9" t="inlineStr">
        <is>
          <t>NSW</t>
        </is>
      </c>
      <c r="D9" s="44" t="n">
        <v>57.73744226720648</v>
      </c>
      <c r="E9" s="44" t="n">
        <v>69.43560540485831</v>
      </c>
      <c r="F9" s="44" t="n">
        <v>81.13376854251011</v>
      </c>
      <c r="I9">
        <f>A9</f>
        <v/>
      </c>
      <c r="J9">
        <f>B9</f>
        <v/>
      </c>
      <c r="K9">
        <f>C9</f>
        <v/>
      </c>
      <c r="L9">
        <f>TEXT(E9, "0,0") &amp; " (" &amp; TEXT(D9, "0,0") &amp; " - " &amp; TEXT(F9, "0,0") &amp; ")"</f>
        <v/>
      </c>
      <c r="O9" t="inlineStr">
        <is>
          <t>Admin staff</t>
        </is>
      </c>
      <c r="P9" t="inlineStr">
        <is>
          <t>Attraction and Retention Allowance</t>
        </is>
      </c>
      <c r="Q9" t="inlineStr">
        <is>
          <t>NSW</t>
        </is>
      </c>
      <c r="R9" t="inlineStr">
        <is>
          <t>69 (58 - 81)</t>
        </is>
      </c>
      <c r="T9" s="80" t="n"/>
      <c r="U9" t="inlineStr">
        <is>
          <t xml:space="preserve">Leave Loading (%)		</t>
        </is>
      </c>
      <c r="V9" t="inlineStr">
        <is>
          <t>69 (58 - 81)</t>
        </is>
      </c>
      <c r="W9" t="inlineStr">
        <is>
          <t>77 (58 - 97)</t>
        </is>
      </c>
      <c r="X9" t="inlineStr">
        <is>
          <t>76 (68 - 84)</t>
        </is>
      </c>
      <c r="Y9" t="inlineStr">
        <is>
          <t>100 (82 - 118)</t>
        </is>
      </c>
      <c r="Z9" t="inlineStr">
        <is>
          <t>83 (75 - 90)</t>
        </is>
      </c>
      <c r="AA9" t="inlineStr">
        <is>
          <t>81 (59 - 114)</t>
        </is>
      </c>
      <c r="AH9" t="inlineStr">
        <is>
          <t>Bioinformatics staff</t>
        </is>
      </c>
      <c r="AI9" t="inlineStr">
        <is>
          <t>ALL</t>
        </is>
      </c>
      <c r="AJ9" s="44" t="inlineStr">
        <is>
          <t>Base Salary</t>
        </is>
      </c>
      <c r="AK9" s="44" t="n">
        <v>79.55310798816568</v>
      </c>
      <c r="AL9" s="44" t="n">
        <v>119.5793625622859</v>
      </c>
      <c r="AM9" s="44" t="n">
        <v>168.1838215509187</v>
      </c>
      <c r="AP9" s="44">
        <f>AH9</f>
        <v/>
      </c>
      <c r="AQ9" s="44">
        <f>AI9</f>
        <v/>
      </c>
      <c r="AR9" s="44">
        <f>AJ9</f>
        <v/>
      </c>
      <c r="AS9">
        <f>TEXT(AL9, "0,0") &amp; " (" &amp; TEXT(AK9, "0,0") &amp; " - " &amp; TEXT(AM9, "0,0") &amp; ")"</f>
        <v/>
      </c>
      <c r="BA9" t="inlineStr">
        <is>
          <t>Bioinformatics staff</t>
        </is>
      </c>
      <c r="BB9" t="inlineStr">
        <is>
          <t>NSW</t>
        </is>
      </c>
      <c r="BC9" s="44" t="n">
        <v>116.9966419534413</v>
      </c>
      <c r="BD9" s="81">
        <f>$BC2/$BC9</f>
        <v/>
      </c>
      <c r="BE9" s="81">
        <f>$BC16/$BC9</f>
        <v/>
      </c>
      <c r="BF9" s="81">
        <f>$BC23/$BC9</f>
        <v/>
      </c>
      <c r="BG9" s="81">
        <f>$BC30/$BC9</f>
        <v/>
      </c>
    </row>
    <row r="10">
      <c r="A10" t="inlineStr">
        <is>
          <t>Admin staff</t>
        </is>
      </c>
      <c r="B10" s="44" t="inlineStr">
        <is>
          <t>Attraction and Retention Allowance</t>
        </is>
      </c>
      <c r="C10" t="inlineStr">
        <is>
          <t>QLD</t>
        </is>
      </c>
      <c r="D10" s="44" t="n">
        <v>58.08977857365307</v>
      </c>
      <c r="E10" s="44" t="n">
        <v>77.38128143491123</v>
      </c>
      <c r="F10" s="44" t="n">
        <v>96.67278429616943</v>
      </c>
      <c r="I10">
        <f>A10</f>
        <v/>
      </c>
      <c r="J10">
        <f>B10</f>
        <v/>
      </c>
      <c r="K10">
        <f>C10</f>
        <v/>
      </c>
      <c r="L10">
        <f>TEXT(E10, "0,0") &amp; " (" &amp; TEXT(D10, "0,0") &amp; " - " &amp; TEXT(F10, "0,0") &amp; ")"</f>
        <v/>
      </c>
      <c r="O10" t="inlineStr">
        <is>
          <t>Admin staff</t>
        </is>
      </c>
      <c r="P10" t="inlineStr">
        <is>
          <t>Attraction and Retention Allowance</t>
        </is>
      </c>
      <c r="Q10" t="inlineStr">
        <is>
          <t>QLD</t>
        </is>
      </c>
      <c r="R10" t="inlineStr">
        <is>
          <t>77 (58 - 97)</t>
        </is>
      </c>
      <c r="T10" s="80" t="n"/>
      <c r="U10" t="inlineStr">
        <is>
          <t>Private Practice Loading</t>
        </is>
      </c>
      <c r="V10" t="inlineStr">
        <is>
          <t>69 (58 - 81)</t>
        </is>
      </c>
      <c r="W10" t="inlineStr">
        <is>
          <t>77 (58 - 97)</t>
        </is>
      </c>
      <c r="X10" t="inlineStr">
        <is>
          <t>76 (68 - 84)</t>
        </is>
      </c>
      <c r="Y10" t="inlineStr">
        <is>
          <t>100 (82 - 118)</t>
        </is>
      </c>
      <c r="Z10" t="inlineStr">
        <is>
          <t>83 (75 - 90)</t>
        </is>
      </c>
      <c r="AA10" t="inlineStr">
        <is>
          <t>81 (59 - 114)</t>
        </is>
      </c>
      <c r="AH10" t="inlineStr">
        <is>
          <t>Bioinformatics staff</t>
        </is>
      </c>
      <c r="AI10" t="inlineStr">
        <is>
          <t>NSW</t>
        </is>
      </c>
      <c r="AJ10" s="44" t="inlineStr">
        <is>
          <t>Base Salary</t>
        </is>
      </c>
      <c r="AK10" s="44" t="n">
        <v>85.52245009342886</v>
      </c>
      <c r="AL10" s="44" t="n">
        <v>116.9966419534413</v>
      </c>
      <c r="AM10" s="44" t="n">
        <v>148.4708338134538</v>
      </c>
      <c r="AP10" s="44">
        <f>AH10</f>
        <v/>
      </c>
      <c r="AQ10" s="44">
        <f>AI10</f>
        <v/>
      </c>
      <c r="AR10" s="44">
        <f>AJ10</f>
        <v/>
      </c>
      <c r="AS10">
        <f>TEXT(AL10, "0,0") &amp; " (" &amp; TEXT(AK10, "0,0") &amp; " - " &amp; TEXT(AM10, "0,0") &amp; ")"</f>
        <v/>
      </c>
      <c r="BB10" t="inlineStr">
        <is>
          <t>QLD</t>
        </is>
      </c>
      <c r="BC10" s="44" t="n">
        <v>125.9153161203675</v>
      </c>
      <c r="BD10" s="81">
        <f>$BC3/$BC10</f>
        <v/>
      </c>
      <c r="BE10" s="81">
        <f>$BC17/$BC10</f>
        <v/>
      </c>
      <c r="BF10" s="81">
        <f>$BC24/$BC10</f>
        <v/>
      </c>
      <c r="BG10" s="81">
        <f>$BC31/$BC10</f>
        <v/>
      </c>
    </row>
    <row r="11">
      <c r="A11" t="inlineStr">
        <is>
          <t>Admin staff</t>
        </is>
      </c>
      <c r="B11" s="44" t="inlineStr">
        <is>
          <t>Attraction and Retention Allowance</t>
        </is>
      </c>
      <c r="C11" t="inlineStr">
        <is>
          <t>SA</t>
        </is>
      </c>
      <c r="D11" s="44" t="n">
        <v>68.20481267517907</v>
      </c>
      <c r="E11" s="44" t="n">
        <v>75.94370297415135</v>
      </c>
      <c r="F11" s="44" t="n">
        <v>83.68259327312363</v>
      </c>
      <c r="I11">
        <f>A11</f>
        <v/>
      </c>
      <c r="J11">
        <f>B11</f>
        <v/>
      </c>
      <c r="K11">
        <f>C11</f>
        <v/>
      </c>
      <c r="L11">
        <f>TEXT(E11, "0,0") &amp; " (" &amp; TEXT(D11, "0,0") &amp; " - " &amp; TEXT(F11, "0,0") &amp; ")"</f>
        <v/>
      </c>
      <c r="O11" t="inlineStr">
        <is>
          <t>Admin staff</t>
        </is>
      </c>
      <c r="P11" t="inlineStr">
        <is>
          <t>Attraction and Retention Allowance</t>
        </is>
      </c>
      <c r="Q11" t="inlineStr">
        <is>
          <t>SA</t>
        </is>
      </c>
      <c r="R11" t="inlineStr">
        <is>
          <t>76 (68 - 84)</t>
        </is>
      </c>
      <c r="T11" s="80" t="n"/>
      <c r="U11" t="inlineStr">
        <is>
          <t>Professional Development Allowance</t>
        </is>
      </c>
      <c r="V11" t="inlineStr">
        <is>
          <t>69 (58 - 81)</t>
        </is>
      </c>
      <c r="W11" t="inlineStr">
        <is>
          <t>77 (58 - 97)</t>
        </is>
      </c>
      <c r="X11" t="inlineStr">
        <is>
          <t>76 (68 - 84)</t>
        </is>
      </c>
      <c r="Y11" t="inlineStr">
        <is>
          <t>100 (82 - 118)</t>
        </is>
      </c>
      <c r="Z11" t="inlineStr">
        <is>
          <t>83 (75 - 90)</t>
        </is>
      </c>
      <c r="AA11" t="inlineStr">
        <is>
          <t>81 (59 - 114)</t>
        </is>
      </c>
      <c r="AH11" t="inlineStr">
        <is>
          <t>Bioinformatics staff</t>
        </is>
      </c>
      <c r="AI11" t="inlineStr">
        <is>
          <t>QLD</t>
        </is>
      </c>
      <c r="AJ11" s="44" t="inlineStr">
        <is>
          <t>Base Salary</t>
        </is>
      </c>
      <c r="AK11" s="44" t="n">
        <v>83.64681068981626</v>
      </c>
      <c r="AL11" s="44" t="n">
        <v>125.9153161203675</v>
      </c>
      <c r="AM11" s="44" t="n">
        <v>168.1838215509187</v>
      </c>
      <c r="AP11" s="44">
        <f>AH11</f>
        <v/>
      </c>
      <c r="AQ11" s="44">
        <f>AI11</f>
        <v/>
      </c>
      <c r="AR11" s="44">
        <f>AJ11</f>
        <v/>
      </c>
      <c r="AS11">
        <f>TEXT(AL11, "0,0") &amp; " (" &amp; TEXT(AK11, "0,0") &amp; " - " &amp; TEXT(AM11, "0,0") &amp; ")"</f>
        <v/>
      </c>
      <c r="BB11" t="inlineStr">
        <is>
          <t>SA</t>
        </is>
      </c>
      <c r="BC11" s="44" t="n">
        <v>109.7531147812208</v>
      </c>
      <c r="BD11" s="81">
        <f>$BC4/$BC11</f>
        <v/>
      </c>
      <c r="BE11" s="81">
        <f>$BC18/$BC11</f>
        <v/>
      </c>
      <c r="BF11" s="81">
        <f>$BC25/$BC11</f>
        <v/>
      </c>
      <c r="BG11" s="81">
        <f>$BC32/$BC11</f>
        <v/>
      </c>
    </row>
    <row r="12">
      <c r="A12" t="inlineStr">
        <is>
          <t>Admin staff</t>
        </is>
      </c>
      <c r="B12" s="44" t="inlineStr">
        <is>
          <t>Attraction and Retention Allowance</t>
        </is>
      </c>
      <c r="C12" t="inlineStr">
        <is>
          <t>VIC</t>
        </is>
      </c>
      <c r="D12" s="44" t="n">
        <v>82.41106092338835</v>
      </c>
      <c r="E12" s="44" t="n">
        <v>100.3672047843351</v>
      </c>
      <c r="F12" s="44" t="n">
        <v>118.3233486452818</v>
      </c>
      <c r="I12">
        <f>A12</f>
        <v/>
      </c>
      <c r="J12">
        <f>B12</f>
        <v/>
      </c>
      <c r="K12">
        <f>C12</f>
        <v/>
      </c>
      <c r="L12">
        <f>TEXT(E12, "0,0") &amp; " (" &amp; TEXT(D12, "0,0") &amp; " - " &amp; TEXT(F12, "0,0") &amp; ")"</f>
        <v/>
      </c>
      <c r="O12" t="inlineStr">
        <is>
          <t>Admin staff</t>
        </is>
      </c>
      <c r="P12" t="inlineStr">
        <is>
          <t>Attraction and Retention Allowance</t>
        </is>
      </c>
      <c r="Q12" t="inlineStr">
        <is>
          <t>VIC</t>
        </is>
      </c>
      <c r="R12" t="inlineStr">
        <is>
          <t>100 (82 - 118)</t>
        </is>
      </c>
      <c r="T12" s="80" t="n"/>
      <c r="U12" t="inlineStr">
        <is>
          <t>Public Holiday Penalty</t>
        </is>
      </c>
      <c r="V12" t="inlineStr">
        <is>
          <t>69 (58 - 81)</t>
        </is>
      </c>
      <c r="W12" t="inlineStr">
        <is>
          <t>77 (58 - 97)</t>
        </is>
      </c>
      <c r="X12" t="inlineStr">
        <is>
          <t>76 (68 - 84)</t>
        </is>
      </c>
      <c r="Y12" t="inlineStr">
        <is>
          <t>100 (82 - 119)</t>
        </is>
      </c>
      <c r="Z12" t="inlineStr">
        <is>
          <t>83 (75 - 90)</t>
        </is>
      </c>
      <c r="AA12" t="inlineStr">
        <is>
          <t>81 (59 - 114)</t>
        </is>
      </c>
      <c r="AH12" t="inlineStr">
        <is>
          <t>Bioinformatics staff</t>
        </is>
      </c>
      <c r="AI12" t="inlineStr">
        <is>
          <t>SA</t>
        </is>
      </c>
      <c r="AJ12" s="44" t="inlineStr">
        <is>
          <t>Base Salary</t>
        </is>
      </c>
      <c r="AK12" s="44" t="n">
        <v>79.55310798816568</v>
      </c>
      <c r="AL12" s="44" t="n">
        <v>109.7531147812208</v>
      </c>
      <c r="AM12" s="44" t="n">
        <v>139.9531215742759</v>
      </c>
      <c r="AP12" s="44">
        <f>AH12</f>
        <v/>
      </c>
      <c r="AQ12" s="44">
        <f>AI12</f>
        <v/>
      </c>
      <c r="AR12" s="44">
        <f>AJ12</f>
        <v/>
      </c>
      <c r="AS12">
        <f>TEXT(AL12, "0,0") &amp; " (" &amp; TEXT(AK12, "0,0") &amp; " - " &amp; TEXT(AM12, "0,0") &amp; ")"</f>
        <v/>
      </c>
      <c r="BB12" t="inlineStr">
        <is>
          <t>VIC</t>
        </is>
      </c>
      <c r="BC12" s="44" t="n">
        <v>131.7792982326378</v>
      </c>
      <c r="BD12" s="81">
        <f>$BC5/$BC12</f>
        <v/>
      </c>
      <c r="BE12" s="81">
        <f>$BC19/$BC12</f>
        <v/>
      </c>
      <c r="BF12" s="81">
        <f>$BC26/$BC12</f>
        <v/>
      </c>
      <c r="BG12" s="81">
        <f>$BC33/$BC12</f>
        <v/>
      </c>
    </row>
    <row r="13">
      <c r="A13" t="inlineStr">
        <is>
          <t>Admin staff</t>
        </is>
      </c>
      <c r="B13" s="44" t="inlineStr">
        <is>
          <t>Attraction and Retention Allowance</t>
        </is>
      </c>
      <c r="C13" t="inlineStr">
        <is>
          <t>WA</t>
        </is>
      </c>
      <c r="D13" s="44" t="n">
        <v>75.27544211304888</v>
      </c>
      <c r="E13" s="44" t="n">
        <v>82.77304819370912</v>
      </c>
      <c r="F13" s="44" t="n">
        <v>90.27065427436935</v>
      </c>
      <c r="I13">
        <f>A13</f>
        <v/>
      </c>
      <c r="J13">
        <f>B13</f>
        <v/>
      </c>
      <c r="K13">
        <f>C13</f>
        <v/>
      </c>
      <c r="L13">
        <f>TEXT(E13, "0,0") &amp; " (" &amp; TEXT(D13, "0,0") &amp; " - " &amp; TEXT(F13, "0,0") &amp; ")"</f>
        <v/>
      </c>
      <c r="O13" t="inlineStr">
        <is>
          <t>Admin staff</t>
        </is>
      </c>
      <c r="P13" t="inlineStr">
        <is>
          <t>Attraction and Retention Allowance</t>
        </is>
      </c>
      <c r="Q13" t="inlineStr">
        <is>
          <t>WA</t>
        </is>
      </c>
      <c r="R13" t="inlineStr">
        <is>
          <t>83 (75 - 90)</t>
        </is>
      </c>
      <c r="T13" s="80" t="n"/>
      <c r="U13" t="inlineStr">
        <is>
          <t>Sick Leave</t>
        </is>
      </c>
      <c r="V13" t="inlineStr">
        <is>
          <t>69 (58 - 81)</t>
        </is>
      </c>
      <c r="W13" t="inlineStr">
        <is>
          <t>77 (58 - 97)</t>
        </is>
      </c>
      <c r="X13" t="inlineStr">
        <is>
          <t>76 (68 - 84)</t>
        </is>
      </c>
      <c r="Y13" t="inlineStr">
        <is>
          <t>100 (82 - 118)</t>
        </is>
      </c>
      <c r="Z13" t="inlineStr">
        <is>
          <t>83 (75 - 90)</t>
        </is>
      </c>
      <c r="AA13" t="inlineStr">
        <is>
          <t>81 (59 - 114)</t>
        </is>
      </c>
      <c r="AH13" t="inlineStr">
        <is>
          <t>Bioinformatics staff</t>
        </is>
      </c>
      <c r="AI13" t="inlineStr">
        <is>
          <t>VIC</t>
        </is>
      </c>
      <c r="AJ13" s="44" t="inlineStr">
        <is>
          <t>Base Salary</t>
        </is>
      </c>
      <c r="AK13" s="44" t="n">
        <v>103.0109152911865</v>
      </c>
      <c r="AL13" s="44" t="n">
        <v>131.7792982326378</v>
      </c>
      <c r="AM13" s="44" t="n">
        <v>160.5476811740891</v>
      </c>
      <c r="AP13" s="44">
        <f>AH13</f>
        <v/>
      </c>
      <c r="AQ13" s="44">
        <f>AI13</f>
        <v/>
      </c>
      <c r="AR13" s="44">
        <f>AJ13</f>
        <v/>
      </c>
      <c r="AS13">
        <f>TEXT(AL13, "0,0") &amp; " (" &amp; TEXT(AK13, "0,0") &amp; " - " &amp; TEXT(AM13, "0,0") &amp; ")"</f>
        <v/>
      </c>
      <c r="BB13" t="inlineStr">
        <is>
          <t>WA</t>
        </is>
      </c>
      <c r="BC13" s="44" t="n">
        <v>113.4524417237621</v>
      </c>
      <c r="BD13" s="81">
        <f>$BC6/$BC13</f>
        <v/>
      </c>
      <c r="BE13" s="81">
        <f>$BC20/$BC13</f>
        <v/>
      </c>
      <c r="BF13" s="81">
        <f>$BC27/$BC13</f>
        <v/>
      </c>
      <c r="BG13" s="81">
        <f>$BC34/$BC13</f>
        <v/>
      </c>
    </row>
    <row r="14">
      <c r="A14" t="inlineStr">
        <is>
          <t>Admin staff</t>
        </is>
      </c>
      <c r="B14" s="44" t="inlineStr">
        <is>
          <t>Average Penalties</t>
        </is>
      </c>
      <c r="C14" t="inlineStr">
        <is>
          <t>ALL</t>
        </is>
      </c>
      <c r="D14" s="44" t="n">
        <v>56.88624384926813</v>
      </c>
      <c r="E14" s="44" t="n">
        <v>80.98523986795389</v>
      </c>
      <c r="F14" s="44" t="n">
        <v>122.7806672376207</v>
      </c>
      <c r="I14">
        <f>A14</f>
        <v/>
      </c>
      <c r="J14">
        <f>B14</f>
        <v/>
      </c>
      <c r="K14">
        <f>C14</f>
        <v/>
      </c>
      <c r="L14">
        <f>TEXT(E14, "0,0") &amp; " (" &amp; TEXT(D14, "0,0") &amp; " - " &amp; TEXT(F14, "0,0") &amp; ")"</f>
        <v/>
      </c>
      <c r="O14" t="inlineStr">
        <is>
          <t>Admin staff</t>
        </is>
      </c>
      <c r="P14" t="inlineStr">
        <is>
          <t>Average Penalties</t>
        </is>
      </c>
      <c r="Q14" t="inlineStr">
        <is>
          <t>ALL</t>
        </is>
      </c>
      <c r="R14" t="inlineStr">
        <is>
          <t>81 (57 - 123)</t>
        </is>
      </c>
      <c r="T14" s="80" t="n"/>
      <c r="U14" t="inlineStr">
        <is>
          <t>Superannuation</t>
        </is>
      </c>
      <c r="V14" t="inlineStr">
        <is>
          <t>69 (58 - 82)</t>
        </is>
      </c>
      <c r="W14" t="inlineStr">
        <is>
          <t>77 (58 - 97)</t>
        </is>
      </c>
      <c r="X14" t="inlineStr">
        <is>
          <t>76 (68 - 84)</t>
        </is>
      </c>
      <c r="Y14" t="inlineStr">
        <is>
          <t>100 (82 - 119)</t>
        </is>
      </c>
      <c r="Z14" t="inlineStr">
        <is>
          <t>83 (75 - 91)</t>
        </is>
      </c>
      <c r="AA14" t="inlineStr">
        <is>
          <t>81 (59 - 114)</t>
        </is>
      </c>
      <c r="AH14" t="inlineStr">
        <is>
          <t>Bioinformatics staff</t>
        </is>
      </c>
      <c r="AI14" t="inlineStr">
        <is>
          <t>WA</t>
        </is>
      </c>
      <c r="AJ14" s="44" t="inlineStr">
        <is>
          <t>Base Salary</t>
        </is>
      </c>
      <c r="AK14" s="44" t="n">
        <v>104.4540070850203</v>
      </c>
      <c r="AL14" s="44" t="n">
        <v>113.4524417237621</v>
      </c>
      <c r="AM14" s="44" t="n">
        <v>122.4508763625039</v>
      </c>
      <c r="AP14" s="44">
        <f>AH14</f>
        <v/>
      </c>
      <c r="AQ14" s="44">
        <f>AI14</f>
        <v/>
      </c>
      <c r="AR14" s="44">
        <f>AJ14</f>
        <v/>
      </c>
      <c r="AS14">
        <f>TEXT(AL14, "0,0") &amp; " (" &amp; TEXT(AK14, "0,0") &amp; " - " &amp; TEXT(AM14, "0,0") &amp; ")"</f>
        <v/>
      </c>
      <c r="BB14" t="inlineStr">
        <is>
          <t>ALL</t>
        </is>
      </c>
      <c r="BC14" s="44" t="n">
        <v>119.5793625622859</v>
      </c>
      <c r="BD14" s="81">
        <f>$BC7/$BC14</f>
        <v/>
      </c>
      <c r="BE14" s="81">
        <f>$BC21/$BC14</f>
        <v/>
      </c>
      <c r="BF14" s="81">
        <f>$BC28/$BC14</f>
        <v/>
      </c>
      <c r="BG14" s="81">
        <f>$BC35/$BC14</f>
        <v/>
      </c>
    </row>
    <row r="15">
      <c r="A15" t="inlineStr">
        <is>
          <t>Admin staff</t>
        </is>
      </c>
      <c r="B15" s="44" t="inlineStr">
        <is>
          <t>Average Penalties</t>
        </is>
      </c>
      <c r="C15" t="inlineStr">
        <is>
          <t>NSW</t>
        </is>
      </c>
      <c r="D15" s="44" t="n">
        <v>55.29912647773279</v>
      </c>
      <c r="E15" s="44" t="n">
        <v>69.43560540485831</v>
      </c>
      <c r="F15" s="44" t="n">
        <v>87.98650538461537</v>
      </c>
      <c r="I15">
        <f>A15</f>
        <v/>
      </c>
      <c r="J15">
        <f>B15</f>
        <v/>
      </c>
      <c r="K15">
        <f>C15</f>
        <v/>
      </c>
      <c r="L15">
        <f>TEXT(E15, "0,0") &amp; " (" &amp; TEXT(D15, "0,0") &amp; " - " &amp; TEXT(F15, "0,0") &amp; ")"</f>
        <v/>
      </c>
      <c r="O15" t="inlineStr">
        <is>
          <t>Admin staff</t>
        </is>
      </c>
      <c r="P15" t="inlineStr">
        <is>
          <t>Average Penalties</t>
        </is>
      </c>
      <c r="Q15" t="inlineStr">
        <is>
          <t>NSW</t>
        </is>
      </c>
      <c r="R15" t="inlineStr">
        <is>
          <t>69 (55 - 88)</t>
        </is>
      </c>
      <c r="T15" s="80" t="inlineStr">
        <is>
          <t>Bioinformatics staff</t>
        </is>
      </c>
      <c r="U15" t="inlineStr">
        <is>
          <t>Annual Leave</t>
        </is>
      </c>
      <c r="V15" t="inlineStr">
        <is>
          <t>117 (86 - 148)</t>
        </is>
      </c>
      <c r="W15" t="inlineStr">
        <is>
          <t>126 (84 - 168)</t>
        </is>
      </c>
      <c r="X15" t="inlineStr">
        <is>
          <t>110 (80 - 140)</t>
        </is>
      </c>
      <c r="Y15" t="inlineStr">
        <is>
          <t>132 (103 - 161)</t>
        </is>
      </c>
      <c r="Z15" t="inlineStr">
        <is>
          <t>113 (104 - 122)</t>
        </is>
      </c>
      <c r="AA15" t="inlineStr">
        <is>
          <t>120 (83 - 176)</t>
        </is>
      </c>
      <c r="AH15" t="inlineStr">
        <is>
          <t>Lab technician</t>
        </is>
      </c>
      <c r="AI15" t="inlineStr">
        <is>
          <t>ALL</t>
        </is>
      </c>
      <c r="AJ15" s="44" t="inlineStr">
        <is>
          <t>Base Salary</t>
        </is>
      </c>
      <c r="AK15" s="44" t="n">
        <v>59.10597228277796</v>
      </c>
      <c r="AL15" s="44" t="n">
        <v>97.46467422516351</v>
      </c>
      <c r="AM15" s="44" t="n">
        <v>142.7150872781065</v>
      </c>
      <c r="AP15" s="44">
        <f>AH15</f>
        <v/>
      </c>
      <c r="AQ15" s="44">
        <f>AI15</f>
        <v/>
      </c>
      <c r="AR15" s="44">
        <f>AJ15</f>
        <v/>
      </c>
      <c r="AS15">
        <f>TEXT(AL15, "0,0") &amp; " (" &amp; TEXT(AK15, "0,0") &amp; " - " &amp; TEXT(AM15, "0,0") &amp; ")"</f>
        <v/>
      </c>
      <c r="BD15" t="inlineStr">
        <is>
          <t>AS</t>
        </is>
      </c>
      <c r="BE15" t="inlineStr">
        <is>
          <t>BS</t>
        </is>
      </c>
      <c r="BF15" t="inlineStr">
        <is>
          <t>MS</t>
        </is>
      </c>
      <c r="BG15" t="inlineStr">
        <is>
          <t>PT</t>
        </is>
      </c>
    </row>
    <row r="16">
      <c r="A16" t="inlineStr">
        <is>
          <t>Admin staff</t>
        </is>
      </c>
      <c r="B16" s="44" t="inlineStr">
        <is>
          <t>Average Penalties</t>
        </is>
      </c>
      <c r="C16" t="inlineStr">
        <is>
          <t>QLD</t>
        </is>
      </c>
      <c r="D16" s="44" t="n">
        <v>55.67560853316724</v>
      </c>
      <c r="E16" s="44" t="n">
        <v>77.38128143491123</v>
      </c>
      <c r="F16" s="44" t="n">
        <v>104.7599300451573</v>
      </c>
      <c r="I16">
        <f>A16</f>
        <v/>
      </c>
      <c r="J16">
        <f>B16</f>
        <v/>
      </c>
      <c r="K16">
        <f>C16</f>
        <v/>
      </c>
      <c r="L16">
        <f>TEXT(E16, "0,0") &amp; " (" &amp; TEXT(D16, "0,0") &amp; " - " &amp; TEXT(F16, "0,0") &amp; ")"</f>
        <v/>
      </c>
      <c r="O16" t="inlineStr">
        <is>
          <t>Admin staff</t>
        </is>
      </c>
      <c r="P16" t="inlineStr">
        <is>
          <t>Average Penalties</t>
        </is>
      </c>
      <c r="Q16" t="inlineStr">
        <is>
          <t>QLD</t>
        </is>
      </c>
      <c r="R16" t="inlineStr">
        <is>
          <t>77 (56 - 105)</t>
        </is>
      </c>
      <c r="T16" s="80" t="n"/>
      <c r="U16" t="inlineStr">
        <is>
          <t>Attraction and Retention Allowance</t>
        </is>
      </c>
      <c r="V16" t="inlineStr">
        <is>
          <t>117 (86 - 148)</t>
        </is>
      </c>
      <c r="W16" t="inlineStr">
        <is>
          <t>126 (84 - 168)</t>
        </is>
      </c>
      <c r="X16" t="inlineStr">
        <is>
          <t>110 (80 - 140)</t>
        </is>
      </c>
      <c r="Y16" t="inlineStr">
        <is>
          <t>132 (103 - 161)</t>
        </is>
      </c>
      <c r="Z16" t="inlineStr">
        <is>
          <t>113 (104 - 122)</t>
        </is>
      </c>
      <c r="AA16" t="inlineStr">
        <is>
          <t>120 (83 - 176)</t>
        </is>
      </c>
      <c r="AH16" t="inlineStr">
        <is>
          <t>Lab technician</t>
        </is>
      </c>
      <c r="AI16" t="inlineStr">
        <is>
          <t>NSW</t>
        </is>
      </c>
      <c r="AJ16" s="44" t="inlineStr">
        <is>
          <t>Base Salary</t>
        </is>
      </c>
      <c r="AK16" s="44" t="n">
        <v>71.92192463562753</v>
      </c>
      <c r="AL16" s="44" t="n">
        <v>93.03632082995951</v>
      </c>
      <c r="AM16" s="44" t="n">
        <v>114.1507170242915</v>
      </c>
      <c r="AP16" s="44">
        <f>AH16</f>
        <v/>
      </c>
      <c r="AQ16" s="44">
        <f>AI16</f>
        <v/>
      </c>
      <c r="AR16" s="44">
        <f>AJ16</f>
        <v/>
      </c>
      <c r="AS16">
        <f>TEXT(AL16, "0,0") &amp; " (" &amp; TEXT(AK16, "0,0") &amp; " - " &amp; TEXT(AM16, "0,0") &amp; ")"</f>
        <v/>
      </c>
      <c r="BA16" t="inlineStr">
        <is>
          <t>Lab technician</t>
        </is>
      </c>
      <c r="BB16" t="inlineStr">
        <is>
          <t>NSW</t>
        </is>
      </c>
      <c r="BC16" s="44" t="n">
        <v>93.03632082995951</v>
      </c>
      <c r="BD16" s="81">
        <f>$BC2/$BC16</f>
        <v/>
      </c>
      <c r="BE16" s="81">
        <f>$BC9/$BC16</f>
        <v/>
      </c>
      <c r="BF16" s="81">
        <f>$BC23/$BC16</f>
        <v/>
      </c>
      <c r="BG16" s="81">
        <f>$BC30/$BC16</f>
        <v/>
      </c>
    </row>
    <row r="17">
      <c r="A17" t="inlineStr">
        <is>
          <t>Admin staff</t>
        </is>
      </c>
      <c r="B17" s="44" t="inlineStr">
        <is>
          <t>Average Penalties</t>
        </is>
      </c>
      <c r="C17" t="inlineStr">
        <is>
          <t>SA</t>
        </is>
      </c>
      <c r="D17" s="44" t="n">
        <v>65.32444830270943</v>
      </c>
      <c r="E17" s="44" t="n">
        <v>75.94370297415135</v>
      </c>
      <c r="F17" s="44" t="n">
        <v>90.75060946745562</v>
      </c>
      <c r="I17">
        <f>A17</f>
        <v/>
      </c>
      <c r="J17">
        <f>B17</f>
        <v/>
      </c>
      <c r="K17">
        <f>C17</f>
        <v/>
      </c>
      <c r="L17">
        <f>TEXT(E17, "0,0") &amp; " (" &amp; TEXT(D17, "0,0") &amp; " - " &amp; TEXT(F17, "0,0") &amp; ")"</f>
        <v/>
      </c>
      <c r="O17" t="inlineStr">
        <is>
          <t>Admin staff</t>
        </is>
      </c>
      <c r="P17" t="inlineStr">
        <is>
          <t>Average Penalties</t>
        </is>
      </c>
      <c r="Q17" t="inlineStr">
        <is>
          <t>SA</t>
        </is>
      </c>
      <c r="R17" t="inlineStr">
        <is>
          <t>76 (65 - 91)</t>
        </is>
      </c>
      <c r="T17" s="80" t="n"/>
      <c r="U17" t="inlineStr">
        <is>
          <t>Average Penalties</t>
        </is>
      </c>
      <c r="V17" t="inlineStr">
        <is>
          <t>117 (82 - 160)</t>
        </is>
      </c>
      <c r="W17" t="inlineStr">
        <is>
          <t>126 (80 - 182)</t>
        </is>
      </c>
      <c r="X17" t="inlineStr">
        <is>
          <t>110 (76 - 152)</t>
        </is>
      </c>
      <c r="Y17" t="inlineStr">
        <is>
          <t>132 (99 - 173)</t>
        </is>
      </c>
      <c r="Z17" t="inlineStr">
        <is>
          <t>113 (100 - 132)</t>
        </is>
      </c>
      <c r="AA17" t="inlineStr">
        <is>
          <t>120 (80 - 190)</t>
        </is>
      </c>
      <c r="AH17" t="inlineStr">
        <is>
          <t>Lab technician</t>
        </is>
      </c>
      <c r="AI17" t="inlineStr">
        <is>
          <t>QLD</t>
        </is>
      </c>
      <c r="AJ17" s="44" t="inlineStr">
        <is>
          <t>Base Salary</t>
        </is>
      </c>
      <c r="AK17" s="44" t="n">
        <v>59.10597228277796</v>
      </c>
      <c r="AL17" s="44" t="n">
        <v>85.04287869822485</v>
      </c>
      <c r="AM17" s="44" t="n">
        <v>110.9797851136718</v>
      </c>
      <c r="AP17" s="44">
        <f>AH17</f>
        <v/>
      </c>
      <c r="AQ17" s="44">
        <f>AI17</f>
        <v/>
      </c>
      <c r="AR17" s="44">
        <f>AJ17</f>
        <v/>
      </c>
      <c r="AS17">
        <f>TEXT(AL17, "0,0") &amp; " (" &amp; TEXT(AK17, "0,0") &amp; " - " &amp; TEXT(AM17, "0,0") &amp; ")"</f>
        <v/>
      </c>
      <c r="BB17" t="inlineStr">
        <is>
          <t>QLD</t>
        </is>
      </c>
      <c r="BC17" s="44" t="n">
        <v>85.04287869822485</v>
      </c>
      <c r="BD17" s="81">
        <f>$BC3/$BC17</f>
        <v/>
      </c>
      <c r="BE17" s="81">
        <f>$BC10/$BC17</f>
        <v/>
      </c>
      <c r="BF17" s="81">
        <f>$BC24/$BC17</f>
        <v/>
      </c>
      <c r="BG17" s="81">
        <f>$BC31/$BC17</f>
        <v/>
      </c>
    </row>
    <row r="18">
      <c r="A18" t="inlineStr">
        <is>
          <t>Admin staff</t>
        </is>
      </c>
      <c r="B18" s="44" t="inlineStr">
        <is>
          <t>Average Penalties</t>
        </is>
      </c>
      <c r="C18" t="inlineStr">
        <is>
          <t>VIC</t>
        </is>
      </c>
      <c r="D18" s="44" t="n">
        <v>79.1873261055746</v>
      </c>
      <c r="E18" s="44" t="n">
        <v>100.3672047843351</v>
      </c>
      <c r="F18" s="44" t="n">
        <v>127.5804336655248</v>
      </c>
      <c r="I18">
        <f>A18</f>
        <v/>
      </c>
      <c r="J18">
        <f>B18</f>
        <v/>
      </c>
      <c r="K18">
        <f>C18</f>
        <v/>
      </c>
      <c r="L18">
        <f>TEXT(E18, "0,0") &amp; " (" &amp; TEXT(D18, "0,0") &amp; " - " &amp; TEXT(F18, "0,0") &amp; ")"</f>
        <v/>
      </c>
      <c r="O18" t="inlineStr">
        <is>
          <t>Admin staff</t>
        </is>
      </c>
      <c r="P18" t="inlineStr">
        <is>
          <t>Average Penalties</t>
        </is>
      </c>
      <c r="Q18" t="inlineStr">
        <is>
          <t>VIC</t>
        </is>
      </c>
      <c r="R18" t="inlineStr">
        <is>
          <t>100 (79 - 128)</t>
        </is>
      </c>
      <c r="U18" s="44" t="inlineStr">
        <is>
          <t>Base Salary</t>
        </is>
      </c>
      <c r="V18" t="inlineStr">
        <is>
          <t>117 (86 - 148)</t>
        </is>
      </c>
      <c r="W18" t="inlineStr">
        <is>
          <t>126 (84 - 168)</t>
        </is>
      </c>
      <c r="X18" t="inlineStr">
        <is>
          <t>110 (80 - 140)</t>
        </is>
      </c>
      <c r="Y18" t="inlineStr">
        <is>
          <t>132 (103 - 161)</t>
        </is>
      </c>
      <c r="Z18" t="inlineStr">
        <is>
          <t>113 (104 - 122)</t>
        </is>
      </c>
      <c r="AA18" t="inlineStr">
        <is>
          <t>120 (80 - 168)</t>
        </is>
      </c>
      <c r="AH18" t="inlineStr">
        <is>
          <t>Lab technician</t>
        </is>
      </c>
      <c r="AI18" t="inlineStr">
        <is>
          <t>SA</t>
        </is>
      </c>
      <c r="AJ18" s="44" t="inlineStr">
        <is>
          <t>Base Salary</t>
        </is>
      </c>
      <c r="AK18" s="44" t="n">
        <v>65.14664481469947</v>
      </c>
      <c r="AL18" s="44" t="n">
        <v>93.07879005761446</v>
      </c>
      <c r="AM18" s="44" t="n">
        <v>121.0109353005294</v>
      </c>
      <c r="AP18" s="44">
        <f>AH18</f>
        <v/>
      </c>
      <c r="AQ18" s="44">
        <f>AI18</f>
        <v/>
      </c>
      <c r="AR18" s="44">
        <f>AJ18</f>
        <v/>
      </c>
      <c r="AS18">
        <f>TEXT(AL18, "0,0") &amp; " (" &amp; TEXT(AK18, "0,0") &amp; " - " &amp; TEXT(AM18, "0,0") &amp; ")"</f>
        <v/>
      </c>
      <c r="BB18" t="inlineStr">
        <is>
          <t>SA</t>
        </is>
      </c>
      <c r="BC18" s="44" t="n">
        <v>93.07879005761446</v>
      </c>
      <c r="BD18" s="81">
        <f>$BC4/$BC18</f>
        <v/>
      </c>
      <c r="BE18" s="81">
        <f>$BC11/$BC18</f>
        <v/>
      </c>
      <c r="BF18" s="81">
        <f>$BC25/$BC18</f>
        <v/>
      </c>
      <c r="BG18" s="81">
        <f>$BC32/$BC18</f>
        <v/>
      </c>
    </row>
    <row r="19">
      <c r="A19" t="inlineStr">
        <is>
          <t>Admin staff</t>
        </is>
      </c>
      <c r="B19" s="44" t="inlineStr">
        <is>
          <t>Average Penalties</t>
        </is>
      </c>
      <c r="C19" t="inlineStr">
        <is>
          <t>WA</t>
        </is>
      </c>
      <c r="D19" s="44" t="n">
        <v>72.36152510900031</v>
      </c>
      <c r="E19" s="44" t="n">
        <v>82.77304819370912</v>
      </c>
      <c r="F19" s="44" t="n">
        <v>97.25941945655559</v>
      </c>
      <c r="I19">
        <f>A19</f>
        <v/>
      </c>
      <c r="J19">
        <f>B19</f>
        <v/>
      </c>
      <c r="K19">
        <f>C19</f>
        <v/>
      </c>
      <c r="L19">
        <f>TEXT(E19, "0,0") &amp; " (" &amp; TEXT(D19, "0,0") &amp; " - " &amp; TEXT(F19, "0,0") &amp; ")"</f>
        <v/>
      </c>
      <c r="O19" t="inlineStr">
        <is>
          <t>Admin staff</t>
        </is>
      </c>
      <c r="P19" t="inlineStr">
        <is>
          <t>Average Penalties</t>
        </is>
      </c>
      <c r="Q19" t="inlineStr">
        <is>
          <t>WA</t>
        </is>
      </c>
      <c r="R19" t="inlineStr">
        <is>
          <t>83 (72 - 97)</t>
        </is>
      </c>
      <c r="T19" s="80" t="n"/>
      <c r="U19" t="inlineStr">
        <is>
          <t>Hours worked</t>
        </is>
      </c>
      <c r="V19" t="inlineStr">
        <is>
          <t>117 (81 - 155)</t>
        </is>
      </c>
      <c r="W19" t="inlineStr">
        <is>
          <t>126 (79 - 176)</t>
        </is>
      </c>
      <c r="X19" t="inlineStr">
        <is>
          <t>110 (76 - 147)</t>
        </is>
      </c>
      <c r="Y19" t="inlineStr">
        <is>
          <t>132 (98 - 168)</t>
        </is>
      </c>
      <c r="Z19" t="inlineStr">
        <is>
          <t>113 (99 - 128)</t>
        </is>
      </c>
      <c r="AA19" t="inlineStr">
        <is>
          <t>120 (79 - 184)</t>
        </is>
      </c>
      <c r="AH19" t="inlineStr">
        <is>
          <t>Lab technician</t>
        </is>
      </c>
      <c r="AI19" t="inlineStr">
        <is>
          <t>VIC</t>
        </is>
      </c>
      <c r="AJ19" s="44" t="inlineStr">
        <is>
          <t>Base Salary</t>
        </is>
      </c>
      <c r="AK19" s="44" t="n">
        <v>103.0109152911865</v>
      </c>
      <c r="AL19" s="44" t="n">
        <v>122.8630012846465</v>
      </c>
      <c r="AM19" s="44" t="n">
        <v>142.7150872781065</v>
      </c>
      <c r="AP19" s="44">
        <f>AH19</f>
        <v/>
      </c>
      <c r="AQ19" s="44">
        <f>AI19</f>
        <v/>
      </c>
      <c r="AR19" s="44">
        <f>AJ19</f>
        <v/>
      </c>
      <c r="AS19">
        <f>TEXT(AL19, "0,0") &amp; " (" &amp; TEXT(AK19, "0,0") &amp; " - " &amp; TEXT(AM19, "0,0") &amp; ")"</f>
        <v/>
      </c>
      <c r="BB19" t="inlineStr">
        <is>
          <t>VIC</t>
        </is>
      </c>
      <c r="BC19" s="44" t="n">
        <v>122.8630012846465</v>
      </c>
      <c r="BD19" s="81">
        <f>$BC5/$BC19</f>
        <v/>
      </c>
      <c r="BE19" s="81">
        <f>$BC12/$BC19</f>
        <v/>
      </c>
      <c r="BF19" s="81">
        <f>$BC26/$BC19</f>
        <v/>
      </c>
      <c r="BG19" s="81">
        <f>$BC33/$BC19</f>
        <v/>
      </c>
    </row>
    <row r="20">
      <c r="A20" t="inlineStr">
        <is>
          <t>Admin staff</t>
        </is>
      </c>
      <c r="B20" s="44" t="inlineStr">
        <is>
          <t>Hours worked</t>
        </is>
      </c>
      <c r="C20" t="inlineStr">
        <is>
          <t>ALL</t>
        </is>
      </c>
      <c r="D20" s="44" t="n">
        <v>56.33539319526627</v>
      </c>
      <c r="E20" s="44" t="n">
        <v>80.98523986795389</v>
      </c>
      <c r="F20" s="44" t="n">
        <v>118.8401136159878</v>
      </c>
      <c r="I20">
        <f>A20</f>
        <v/>
      </c>
      <c r="J20">
        <f>B20</f>
        <v/>
      </c>
      <c r="K20">
        <f>C20</f>
        <v/>
      </c>
      <c r="L20">
        <f>TEXT(E20, "0,0") &amp; " (" &amp; TEXT(D20, "0,0") &amp; " - " &amp; TEXT(F20, "0,0") &amp; ")"</f>
        <v/>
      </c>
      <c r="O20" t="inlineStr">
        <is>
          <t>Admin staff</t>
        </is>
      </c>
      <c r="P20" t="inlineStr">
        <is>
          <t>Hours worked</t>
        </is>
      </c>
      <c r="Q20" t="inlineStr">
        <is>
          <t>ALL</t>
        </is>
      </c>
      <c r="R20" t="inlineStr">
        <is>
          <t>81 (56 - 119)</t>
        </is>
      </c>
      <c r="T20" s="80" t="n"/>
      <c r="U20" t="inlineStr">
        <is>
          <t xml:space="preserve">Leave Loading (%)		</t>
        </is>
      </c>
      <c r="V20" t="inlineStr">
        <is>
          <t>117 (86 - 148)</t>
        </is>
      </c>
      <c r="W20" t="inlineStr">
        <is>
          <t>126 (84 - 168)</t>
        </is>
      </c>
      <c r="X20" t="inlineStr">
        <is>
          <t>110 (80 - 140)</t>
        </is>
      </c>
      <c r="Y20" t="inlineStr">
        <is>
          <t>132 (103 - 161)</t>
        </is>
      </c>
      <c r="Z20" t="inlineStr">
        <is>
          <t>113 (104 - 122)</t>
        </is>
      </c>
      <c r="AA20" t="inlineStr">
        <is>
          <t>120 (83 - 176)</t>
        </is>
      </c>
      <c r="AH20" t="inlineStr">
        <is>
          <t>Lab technician</t>
        </is>
      </c>
      <c r="AI20" t="inlineStr">
        <is>
          <t>WA</t>
        </is>
      </c>
      <c r="AJ20" s="44" t="inlineStr">
        <is>
          <t>Base Salary</t>
        </is>
      </c>
      <c r="AK20" s="44" t="n">
        <v>75.27544211304888</v>
      </c>
      <c r="AL20" s="44" t="n">
        <v>93.30238025537216</v>
      </c>
      <c r="AM20" s="44" t="n">
        <v>111.3293183976954</v>
      </c>
      <c r="AP20" s="44">
        <f>AH20</f>
        <v/>
      </c>
      <c r="AQ20" s="44">
        <f>AI20</f>
        <v/>
      </c>
      <c r="AR20" s="44">
        <f>AJ20</f>
        <v/>
      </c>
      <c r="AS20">
        <f>TEXT(AL20, "0,0") &amp; " (" &amp; TEXT(AK20, "0,0") &amp; " - " &amp; TEXT(AM20, "0,0") &amp; ")"</f>
        <v/>
      </c>
      <c r="BB20" t="inlineStr">
        <is>
          <t>WA</t>
        </is>
      </c>
      <c r="BC20" s="44" t="n">
        <v>93.30238025537216</v>
      </c>
      <c r="BD20" s="81">
        <f>$BC6/$BC20</f>
        <v/>
      </c>
      <c r="BE20" s="81">
        <f>$BC13/$BC20</f>
        <v/>
      </c>
      <c r="BF20" s="81">
        <f>$BC27/$BC20</f>
        <v/>
      </c>
      <c r="BG20" s="81">
        <f>$BC34/$BC20</f>
        <v/>
      </c>
    </row>
    <row r="21">
      <c r="A21" t="inlineStr">
        <is>
          <t>Admin staff</t>
        </is>
      </c>
      <c r="B21" s="44" t="inlineStr">
        <is>
          <t>Hours worked</t>
        </is>
      </c>
      <c r="C21" t="inlineStr">
        <is>
          <t>NSW</t>
        </is>
      </c>
      <c r="D21" s="44" t="n">
        <v>54.85057015384615</v>
      </c>
      <c r="E21" s="44" t="n">
        <v>69.43560540485831</v>
      </c>
      <c r="F21" s="44" t="n">
        <v>84.93342161474888</v>
      </c>
      <c r="I21">
        <f>A21</f>
        <v/>
      </c>
      <c r="J21">
        <f>B21</f>
        <v/>
      </c>
      <c r="K21">
        <f>C21</f>
        <v/>
      </c>
      <c r="L21">
        <f>TEXT(E21, "0,0") &amp; " (" &amp; TEXT(D21, "0,0") &amp; " - " &amp; TEXT(F21, "0,0") &amp; ")"</f>
        <v/>
      </c>
      <c r="O21" t="inlineStr">
        <is>
          <t>Admin staff</t>
        </is>
      </c>
      <c r="P21" t="inlineStr">
        <is>
          <t>Hours worked</t>
        </is>
      </c>
      <c r="Q21" t="inlineStr">
        <is>
          <t>NSW</t>
        </is>
      </c>
      <c r="R21" t="inlineStr">
        <is>
          <t>69 (55 - 85)</t>
        </is>
      </c>
      <c r="T21" s="80" t="n"/>
      <c r="U21" t="inlineStr">
        <is>
          <t>Private Practice Loading</t>
        </is>
      </c>
      <c r="V21" t="inlineStr">
        <is>
          <t>117 (86 - 148)</t>
        </is>
      </c>
      <c r="W21" t="inlineStr">
        <is>
          <t>126 (84 - 168)</t>
        </is>
      </c>
      <c r="X21" t="inlineStr">
        <is>
          <t>110 (80 - 140)</t>
        </is>
      </c>
      <c r="Y21" t="inlineStr">
        <is>
          <t>132 (103 - 161)</t>
        </is>
      </c>
      <c r="Z21" t="inlineStr">
        <is>
          <t>113 (104 - 122)</t>
        </is>
      </c>
      <c r="AA21" t="inlineStr">
        <is>
          <t>120 (83 - 176)</t>
        </is>
      </c>
      <c r="AH21" t="inlineStr">
        <is>
          <t>Medical scientist</t>
        </is>
      </c>
      <c r="AI21" t="inlineStr">
        <is>
          <t>ALL</t>
        </is>
      </c>
      <c r="AJ21" s="44" t="inlineStr">
        <is>
          <t>Base Salary</t>
        </is>
      </c>
      <c r="AK21" s="44" t="n">
        <v>79.88053593117409</v>
      </c>
      <c r="AL21" s="44" t="n">
        <v>132.0972524925257</v>
      </c>
      <c r="AM21" s="44" t="n">
        <v>186.0531021255061</v>
      </c>
      <c r="AP21" s="44">
        <f>AH21</f>
        <v/>
      </c>
      <c r="AQ21" s="44">
        <f>AI21</f>
        <v/>
      </c>
      <c r="AR21" s="44">
        <f>AJ21</f>
        <v/>
      </c>
      <c r="AS21">
        <f>TEXT(AL21, "0,0") &amp; " (" &amp; TEXT(AK21, "0,0") &amp; " - " &amp; TEXT(AM21, "0,0") &amp; ")"</f>
        <v/>
      </c>
      <c r="BB21" t="inlineStr">
        <is>
          <t>ALL</t>
        </is>
      </c>
      <c r="BC21" s="44" t="n">
        <v>97.46467422516351</v>
      </c>
      <c r="BD21" s="81">
        <f>$BC7/$BC21</f>
        <v/>
      </c>
      <c r="BE21" s="81">
        <f>$BC14/$BC21</f>
        <v/>
      </c>
      <c r="BF21" s="81">
        <f>$BC28/$BC21</f>
        <v/>
      </c>
      <c r="BG21" s="81">
        <f>$BC35/$BC21</f>
        <v/>
      </c>
    </row>
    <row r="22">
      <c r="A22" t="inlineStr">
        <is>
          <t>Admin staff</t>
        </is>
      </c>
      <c r="B22" s="44" t="inlineStr">
        <is>
          <t>Hours worked</t>
        </is>
      </c>
      <c r="C22" t="inlineStr">
        <is>
          <t>QLD</t>
        </is>
      </c>
      <c r="D22" s="44" t="n">
        <v>55.18528964497042</v>
      </c>
      <c r="E22" s="44" t="n">
        <v>77.38128143491123</v>
      </c>
      <c r="F22" s="44" t="n">
        <v>101.2001598692683</v>
      </c>
      <c r="I22">
        <f>A22</f>
        <v/>
      </c>
      <c r="J22">
        <f>B22</f>
        <v/>
      </c>
      <c r="K22">
        <f>C22</f>
        <v/>
      </c>
      <c r="L22">
        <f>TEXT(E22, "0,0") &amp; " (" &amp; TEXT(D22, "0,0") &amp; " - " &amp; TEXT(F22, "0,0") &amp; ")"</f>
        <v/>
      </c>
      <c r="O22" t="inlineStr">
        <is>
          <t>Admin staff</t>
        </is>
      </c>
      <c r="P22" t="inlineStr">
        <is>
          <t>Hours worked</t>
        </is>
      </c>
      <c r="Q22" t="inlineStr">
        <is>
          <t>QLD</t>
        </is>
      </c>
      <c r="R22" t="inlineStr">
        <is>
          <t>77 (55 - 101)</t>
        </is>
      </c>
      <c r="T22" s="80" t="n"/>
      <c r="U22" t="inlineStr">
        <is>
          <t>Professional Development Allowance</t>
        </is>
      </c>
      <c r="V22" t="inlineStr">
        <is>
          <t>117 (86 - 148)</t>
        </is>
      </c>
      <c r="W22" t="inlineStr">
        <is>
          <t>126 (84 - 168)</t>
        </is>
      </c>
      <c r="X22" t="inlineStr">
        <is>
          <t>110 (80 - 140)</t>
        </is>
      </c>
      <c r="Y22" t="inlineStr">
        <is>
          <t>132 (103 - 161)</t>
        </is>
      </c>
      <c r="Z22" t="inlineStr">
        <is>
          <t>113 (104 - 122)</t>
        </is>
      </c>
      <c r="AA22" t="inlineStr">
        <is>
          <t>120 (83 - 176)</t>
        </is>
      </c>
      <c r="AH22" t="inlineStr">
        <is>
          <t>Medical scientist</t>
        </is>
      </c>
      <c r="AI22" t="inlineStr">
        <is>
          <t>NSW</t>
        </is>
      </c>
      <c r="AJ22" s="44" t="inlineStr">
        <is>
          <t>Base Salary</t>
        </is>
      </c>
      <c r="AK22" s="44" t="n">
        <v>86.96887734817814</v>
      </c>
      <c r="AL22" s="44" t="n">
        <v>133.1230561133603</v>
      </c>
      <c r="AM22" s="44" t="n">
        <v>179.2772348785425</v>
      </c>
      <c r="AP22" s="44">
        <f>AH22</f>
        <v/>
      </c>
      <c r="AQ22" s="44">
        <f>AI22</f>
        <v/>
      </c>
      <c r="AR22" s="44">
        <f>AJ22</f>
        <v/>
      </c>
      <c r="AS22">
        <f>TEXT(AL22, "0,0") &amp; " (" &amp; TEXT(AK22, "0,0") &amp; " - " &amp; TEXT(AM22, "0,0") &amp; ")"</f>
        <v/>
      </c>
      <c r="BD22" t="inlineStr">
        <is>
          <t>AS</t>
        </is>
      </c>
      <c r="BE22" t="inlineStr">
        <is>
          <t>BS</t>
        </is>
      </c>
      <c r="BF22" t="inlineStr">
        <is>
          <t>LT</t>
        </is>
      </c>
      <c r="BG22" t="inlineStr">
        <is>
          <t>PT</t>
        </is>
      </c>
    </row>
    <row r="23">
      <c r="A23" t="inlineStr">
        <is>
          <t>Admin staff</t>
        </is>
      </c>
      <c r="B23" s="44" t="inlineStr">
        <is>
          <t>Hours worked</t>
        </is>
      </c>
      <c r="C23" t="inlineStr">
        <is>
          <t>SA</t>
        </is>
      </c>
      <c r="D23" s="44" t="n">
        <v>64.79457204142012</v>
      </c>
      <c r="E23" s="44" t="n">
        <v>75.94370297415135</v>
      </c>
      <c r="F23" s="44" t="n">
        <v>87.6016127928016</v>
      </c>
      <c r="I23">
        <f>A23</f>
        <v/>
      </c>
      <c r="J23">
        <f>B23</f>
        <v/>
      </c>
      <c r="K23">
        <f>C23</f>
        <v/>
      </c>
      <c r="L23">
        <f>TEXT(E23, "0,0") &amp; " (" &amp; TEXT(D23, "0,0") &amp; " - " &amp; TEXT(F23, "0,0") &amp; ")"</f>
        <v/>
      </c>
      <c r="O23" t="inlineStr">
        <is>
          <t>Admin staff</t>
        </is>
      </c>
      <c r="P23" t="inlineStr">
        <is>
          <t>Hours worked</t>
        </is>
      </c>
      <c r="Q23" t="inlineStr">
        <is>
          <t>SA</t>
        </is>
      </c>
      <c r="R23" t="inlineStr">
        <is>
          <t>76 (65 - 88)</t>
        </is>
      </c>
      <c r="T23" s="80" t="n"/>
      <c r="U23" t="inlineStr">
        <is>
          <t>Public Holiday Penalty</t>
        </is>
      </c>
      <c r="V23" t="inlineStr">
        <is>
          <t>117 (85 - 149)</t>
        </is>
      </c>
      <c r="W23" t="inlineStr">
        <is>
          <t>126 (83 - 169)</t>
        </is>
      </c>
      <c r="X23" t="inlineStr">
        <is>
          <t>110 (79 - 140)</t>
        </is>
      </c>
      <c r="Y23" t="inlineStr">
        <is>
          <t>132 (103 - 161)</t>
        </is>
      </c>
      <c r="Z23" t="inlineStr">
        <is>
          <t>113 (104 - 123)</t>
        </is>
      </c>
      <c r="AA23" t="inlineStr">
        <is>
          <t>120 (83 - 176)</t>
        </is>
      </c>
      <c r="AH23" t="inlineStr">
        <is>
          <t>Medical scientist</t>
        </is>
      </c>
      <c r="AI23" t="inlineStr">
        <is>
          <t>QLD</t>
        </is>
      </c>
      <c r="AJ23" s="44" t="inlineStr">
        <is>
          <t>Base Salary</t>
        </is>
      </c>
      <c r="AK23" s="44" t="n">
        <v>83.64681068981626</v>
      </c>
      <c r="AL23" s="44" t="n">
        <v>125.9153161203675</v>
      </c>
      <c r="AM23" s="44" t="n">
        <v>168.1838215509187</v>
      </c>
      <c r="AP23" s="44">
        <f>AH23</f>
        <v/>
      </c>
      <c r="AQ23" s="44">
        <f>AI23</f>
        <v/>
      </c>
      <c r="AR23" s="44">
        <f>AJ23</f>
        <v/>
      </c>
      <c r="AS23">
        <f>TEXT(AL23, "0,0") &amp; " (" &amp; TEXT(AK23, "0,0") &amp; " - " &amp; TEXT(AM23, "0,0") &amp; ")"</f>
        <v/>
      </c>
      <c r="BA23" t="inlineStr">
        <is>
          <t>Medical scientist</t>
        </is>
      </c>
      <c r="BB23" t="inlineStr">
        <is>
          <t>NSW</t>
        </is>
      </c>
      <c r="BC23" s="44" t="n">
        <v>133.1230561133603</v>
      </c>
      <c r="BD23" s="81">
        <f>$BC2/$BC23</f>
        <v/>
      </c>
      <c r="BE23" s="81">
        <f>$BC9/$BC23</f>
        <v/>
      </c>
      <c r="BF23" s="81">
        <f>$BC16/$BC23</f>
        <v/>
      </c>
      <c r="BG23" s="81">
        <f>$BC30/$BC23</f>
        <v/>
      </c>
    </row>
    <row r="24">
      <c r="A24" t="inlineStr">
        <is>
          <t>Admin staff</t>
        </is>
      </c>
      <c r="B24" s="44" t="inlineStr">
        <is>
          <t>Hours worked</t>
        </is>
      </c>
      <c r="C24" t="inlineStr">
        <is>
          <t>VIC</t>
        </is>
      </c>
      <c r="D24" s="44" t="n">
        <v>78.29050787721893</v>
      </c>
      <c r="E24" s="44" t="n">
        <v>100.3672047843351</v>
      </c>
      <c r="F24" s="44" t="n">
        <v>123.8646624936835</v>
      </c>
      <c r="I24">
        <f>A24</f>
        <v/>
      </c>
      <c r="J24">
        <f>B24</f>
        <v/>
      </c>
      <c r="K24">
        <f>C24</f>
        <v/>
      </c>
      <c r="L24">
        <f>TEXT(E24, "0,0") &amp; " (" &amp; TEXT(D24, "0,0") &amp; " - " &amp; TEXT(F24, "0,0") &amp; ")"</f>
        <v/>
      </c>
      <c r="O24" t="inlineStr">
        <is>
          <t>Admin staff</t>
        </is>
      </c>
      <c r="P24" t="inlineStr">
        <is>
          <t>Hours worked</t>
        </is>
      </c>
      <c r="Q24" t="inlineStr">
        <is>
          <t>VIC</t>
        </is>
      </c>
      <c r="R24" t="inlineStr">
        <is>
          <t>100 (78 - 124)</t>
        </is>
      </c>
      <c r="T24" s="80" t="n"/>
      <c r="U24" t="inlineStr">
        <is>
          <t>Sick Leave</t>
        </is>
      </c>
      <c r="V24" t="inlineStr">
        <is>
          <t>117 (86 - 148)</t>
        </is>
      </c>
      <c r="W24" t="inlineStr">
        <is>
          <t>126 (84 - 168)</t>
        </is>
      </c>
      <c r="X24" t="inlineStr">
        <is>
          <t>110 (80 - 140)</t>
        </is>
      </c>
      <c r="Y24" t="inlineStr">
        <is>
          <t>132 (103 - 161)</t>
        </is>
      </c>
      <c r="Z24" t="inlineStr">
        <is>
          <t>113 (104 - 122)</t>
        </is>
      </c>
      <c r="AA24" t="inlineStr">
        <is>
          <t>120 (83 - 176)</t>
        </is>
      </c>
      <c r="AH24" t="inlineStr">
        <is>
          <t>Medical scientist</t>
        </is>
      </c>
      <c r="AI24" t="inlineStr">
        <is>
          <t>SA</t>
        </is>
      </c>
      <c r="AJ24" s="44" t="inlineStr">
        <is>
          <t>Base Salary</t>
        </is>
      </c>
      <c r="AK24" s="44" t="n">
        <v>80.1991878698225</v>
      </c>
      <c r="AL24" s="44" t="n">
        <v>125.9271976798505</v>
      </c>
      <c r="AM24" s="44" t="n">
        <v>171.6552074898786</v>
      </c>
      <c r="AP24" s="44">
        <f>AH24</f>
        <v/>
      </c>
      <c r="AQ24" s="44">
        <f>AI24</f>
        <v/>
      </c>
      <c r="AR24" s="44">
        <f>AJ24</f>
        <v/>
      </c>
      <c r="AS24">
        <f>TEXT(AL24, "0,0") &amp; " (" &amp; TEXT(AK24, "0,0") &amp; " - " &amp; TEXT(AM24, "0,0") &amp; ")"</f>
        <v/>
      </c>
      <c r="BB24" t="inlineStr">
        <is>
          <t>QLD</t>
        </is>
      </c>
      <c r="BC24" s="44" t="n">
        <v>125.9153161203675</v>
      </c>
      <c r="BD24" s="81">
        <f>$BC3/$BC24</f>
        <v/>
      </c>
      <c r="BE24" s="81">
        <f>$BC10/$BC24</f>
        <v/>
      </c>
      <c r="BF24" s="81">
        <f>$BC17/$BC24</f>
        <v/>
      </c>
      <c r="BG24" s="81">
        <f>$BC31/$BC24</f>
        <v/>
      </c>
    </row>
    <row r="25">
      <c r="A25" t="inlineStr">
        <is>
          <t>Admin staff</t>
        </is>
      </c>
      <c r="B25" s="44" t="inlineStr">
        <is>
          <t>Hours worked</t>
        </is>
      </c>
      <c r="C25" t="inlineStr">
        <is>
          <t>WA</t>
        </is>
      </c>
      <c r="D25" s="44" t="n">
        <v>71.51167000739643</v>
      </c>
      <c r="E25" s="44" t="n">
        <v>82.77304819370912</v>
      </c>
      <c r="F25" s="44" t="n">
        <v>94.4982055764748</v>
      </c>
      <c r="I25">
        <f>A25</f>
        <v/>
      </c>
      <c r="J25">
        <f>B25</f>
        <v/>
      </c>
      <c r="K25">
        <f>C25</f>
        <v/>
      </c>
      <c r="L25">
        <f>TEXT(E25, "0,0") &amp; " (" &amp; TEXT(D25, "0,0") &amp; " - " &amp; TEXT(F25, "0,0") &amp; ")"</f>
        <v/>
      </c>
      <c r="O25" t="inlineStr">
        <is>
          <t>Admin staff</t>
        </is>
      </c>
      <c r="P25" t="inlineStr">
        <is>
          <t>Hours worked</t>
        </is>
      </c>
      <c r="Q25" t="inlineStr">
        <is>
          <t>WA</t>
        </is>
      </c>
      <c r="R25" t="inlineStr">
        <is>
          <t>83 (72 - 94)</t>
        </is>
      </c>
      <c r="T25" s="80" t="n"/>
      <c r="U25" t="inlineStr">
        <is>
          <t>Superannuation</t>
        </is>
      </c>
      <c r="V25" t="inlineStr">
        <is>
          <t>117 (85 - 149)</t>
        </is>
      </c>
      <c r="W25" t="inlineStr">
        <is>
          <t>126 (83 - 169)</t>
        </is>
      </c>
      <c r="X25" t="inlineStr">
        <is>
          <t>110 (79 - 141)</t>
        </is>
      </c>
      <c r="Y25" t="inlineStr">
        <is>
          <t>132 (103 - 162)</t>
        </is>
      </c>
      <c r="Z25" t="inlineStr">
        <is>
          <t>113 (104 - 123)</t>
        </is>
      </c>
      <c r="AA25" t="inlineStr">
        <is>
          <t>120 (83 - 177)</t>
        </is>
      </c>
      <c r="AH25" t="inlineStr">
        <is>
          <t>Medical scientist</t>
        </is>
      </c>
      <c r="AI25" t="inlineStr">
        <is>
          <t>VIC</t>
        </is>
      </c>
      <c r="AJ25" s="44" t="inlineStr">
        <is>
          <t>Base Salary</t>
        </is>
      </c>
      <c r="AK25" s="44" t="n">
        <v>79.88053593117409</v>
      </c>
      <c r="AL25" s="44" t="n">
        <v>132.9668190283401</v>
      </c>
      <c r="AM25" s="44" t="n">
        <v>186.0531021255061</v>
      </c>
      <c r="AP25" s="44">
        <f>AH25</f>
        <v/>
      </c>
      <c r="AQ25" s="44">
        <f>AI25</f>
        <v/>
      </c>
      <c r="AR25" s="44">
        <f>AJ25</f>
        <v/>
      </c>
      <c r="AS25">
        <f>TEXT(AL25, "0,0") &amp; " (" &amp; TEXT(AK25, "0,0") &amp; " - " &amp; TEXT(AM25, "0,0") &amp; ")"</f>
        <v/>
      </c>
      <c r="BB25" t="inlineStr">
        <is>
          <t>SA</t>
        </is>
      </c>
      <c r="BC25" s="44" t="n">
        <v>125.9271976798505</v>
      </c>
      <c r="BD25" s="81">
        <f>$BC4/$BC25</f>
        <v/>
      </c>
      <c r="BE25" s="81">
        <f>$BC11/$BC25</f>
        <v/>
      </c>
      <c r="BF25" s="81">
        <f>$BC18/$BC25</f>
        <v/>
      </c>
      <c r="BG25" s="81">
        <f>$BC32/$BC25</f>
        <v/>
      </c>
    </row>
    <row r="26">
      <c r="A26" t="inlineStr">
        <is>
          <t>Admin staff</t>
        </is>
      </c>
      <c r="B26" s="44" t="inlineStr">
        <is>
          <t xml:space="preserve">Leave Loading (%)		</t>
        </is>
      </c>
      <c r="C26" t="inlineStr">
        <is>
          <t>ALL</t>
        </is>
      </c>
      <c r="D26" s="44" t="n">
        <v>59.30041388975397</v>
      </c>
      <c r="E26" s="44" t="n">
        <v>80.98523986795389</v>
      </c>
      <c r="F26" s="44" t="n">
        <v>113.5235822173778</v>
      </c>
      <c r="I26">
        <f>A26</f>
        <v/>
      </c>
      <c r="J26">
        <f>B26</f>
        <v/>
      </c>
      <c r="K26">
        <f>C26</f>
        <v/>
      </c>
      <c r="L26">
        <f>TEXT(E26, "0,0") &amp; " (" &amp; TEXT(D26, "0,0") &amp; " - " &amp; TEXT(F26, "0,0") &amp; ")"</f>
        <v/>
      </c>
      <c r="O26" t="inlineStr">
        <is>
          <t>Admin staff</t>
        </is>
      </c>
      <c r="P26" t="inlineStr">
        <is>
          <t xml:space="preserve">Leave Loading (%)		</t>
        </is>
      </c>
      <c r="Q26" t="inlineStr">
        <is>
          <t>ALL</t>
        </is>
      </c>
      <c r="R26" t="inlineStr">
        <is>
          <t>81 (59 - 114)</t>
        </is>
      </c>
      <c r="T26" s="80" t="inlineStr">
        <is>
          <t>Lab technician</t>
        </is>
      </c>
      <c r="U26" t="inlineStr">
        <is>
          <t>Annual Leave</t>
        </is>
      </c>
      <c r="V26" t="inlineStr">
        <is>
          <t>93 (72 - 114)</t>
        </is>
      </c>
      <c r="W26" t="inlineStr">
        <is>
          <t>85 (59 - 111)</t>
        </is>
      </c>
      <c r="X26" t="inlineStr">
        <is>
          <t>93 (65 - 121)</t>
        </is>
      </c>
      <c r="Y26" t="inlineStr">
        <is>
          <t>123 (103 - 143)</t>
        </is>
      </c>
      <c r="Z26" t="inlineStr">
        <is>
          <t>93 (75 - 111)</t>
        </is>
      </c>
      <c r="AA26" t="inlineStr">
        <is>
          <t>97 (60 - 137)</t>
        </is>
      </c>
      <c r="AH26" t="inlineStr">
        <is>
          <t>Medical scientist</t>
        </is>
      </c>
      <c r="AI26" t="inlineStr">
        <is>
          <t>WA</t>
        </is>
      </c>
      <c r="AJ26" s="44" t="inlineStr">
        <is>
          <t>Base Salary</t>
        </is>
      </c>
      <c r="AK26" s="44" t="n">
        <v>101.7543459592027</v>
      </c>
      <c r="AL26" s="44" t="n">
        <v>142.5538735207101</v>
      </c>
      <c r="AM26" s="44" t="n">
        <v>183.3534010822173</v>
      </c>
      <c r="AP26" s="44">
        <f>AH26</f>
        <v/>
      </c>
      <c r="AQ26" s="44">
        <f>AI26</f>
        <v/>
      </c>
      <c r="AR26" s="44">
        <f>AJ26</f>
        <v/>
      </c>
      <c r="AS26">
        <f>TEXT(AL26, "0,0") &amp; " (" &amp; TEXT(AK26, "0,0") &amp; " - " &amp; TEXT(AM26, "0,0") &amp; ")"</f>
        <v/>
      </c>
      <c r="BB26" t="inlineStr">
        <is>
          <t>VIC</t>
        </is>
      </c>
      <c r="BC26" s="44" t="n">
        <v>132.9668190283401</v>
      </c>
      <c r="BD26" s="81">
        <f>$BC5/$BC26</f>
        <v/>
      </c>
      <c r="BE26" s="81">
        <f>$BC12/$BC26</f>
        <v/>
      </c>
      <c r="BF26" s="81">
        <f>$BC19/$BC26</f>
        <v/>
      </c>
      <c r="BG26" s="81">
        <f>$BC33/$BC26</f>
        <v/>
      </c>
    </row>
    <row r="27">
      <c r="A27" t="inlineStr">
        <is>
          <t>Admin staff</t>
        </is>
      </c>
      <c r="B27" s="44" t="inlineStr">
        <is>
          <t xml:space="preserve">Leave Loading (%)		</t>
        </is>
      </c>
      <c r="C27" t="inlineStr">
        <is>
          <t>NSW</t>
        </is>
      </c>
      <c r="D27" s="44" t="n">
        <v>57.73744226720648</v>
      </c>
      <c r="E27" s="44" t="n">
        <v>69.43560540485831</v>
      </c>
      <c r="F27" s="44" t="n">
        <v>81.13376854251011</v>
      </c>
      <c r="I27">
        <f>A27</f>
        <v/>
      </c>
      <c r="J27">
        <f>B27</f>
        <v/>
      </c>
      <c r="K27">
        <f>C27</f>
        <v/>
      </c>
      <c r="L27">
        <f>TEXT(E27, "0,0") &amp; " (" &amp; TEXT(D27, "0,0") &amp; " - " &amp; TEXT(F27, "0,0") &amp; ")"</f>
        <v/>
      </c>
      <c r="O27" t="inlineStr">
        <is>
          <t>Admin staff</t>
        </is>
      </c>
      <c r="P27" t="inlineStr">
        <is>
          <t xml:space="preserve">Leave Loading (%)		</t>
        </is>
      </c>
      <c r="Q27" t="inlineStr">
        <is>
          <t>NSW</t>
        </is>
      </c>
      <c r="R27" t="inlineStr">
        <is>
          <t>69 (58 - 81)</t>
        </is>
      </c>
      <c r="T27" s="80" t="n"/>
      <c r="U27" t="inlineStr">
        <is>
          <t>Attraction and Retention Allowance</t>
        </is>
      </c>
      <c r="V27" t="inlineStr">
        <is>
          <t>93 (72 - 114)</t>
        </is>
      </c>
      <c r="W27" t="inlineStr">
        <is>
          <t>85 (59 - 111)</t>
        </is>
      </c>
      <c r="X27" t="inlineStr">
        <is>
          <t>93 (65 - 121)</t>
        </is>
      </c>
      <c r="Y27" t="inlineStr">
        <is>
          <t>123 (103 - 143)</t>
        </is>
      </c>
      <c r="Z27" t="inlineStr">
        <is>
          <t>93 (75 - 111)</t>
        </is>
      </c>
      <c r="AA27" t="inlineStr">
        <is>
          <t>97 (60 - 137)</t>
        </is>
      </c>
      <c r="AH27" t="inlineStr">
        <is>
          <t>Pathologists</t>
        </is>
      </c>
      <c r="AI27" t="inlineStr">
        <is>
          <t>ALL</t>
        </is>
      </c>
      <c r="AJ27" s="44" t="inlineStr">
        <is>
          <t>Base Salary</t>
        </is>
      </c>
      <c r="AK27" s="44" t="n">
        <v>268.7238310689816</v>
      </c>
      <c r="AL27" s="44" t="n">
        <v>379.9865406791109</v>
      </c>
      <c r="AM27" s="44" t="n">
        <v>482.9568751265182</v>
      </c>
      <c r="AP27" s="44">
        <f>AH27</f>
        <v/>
      </c>
      <c r="AQ27" s="44">
        <f>AI27</f>
        <v/>
      </c>
      <c r="AR27" s="44">
        <f>AJ27</f>
        <v/>
      </c>
      <c r="AS27">
        <f>TEXT(AL27, "0,0") &amp; " (" &amp; TEXT(AK27, "0,0") &amp; " - " &amp; TEXT(AM27, "0,0") &amp; ")"</f>
        <v/>
      </c>
      <c r="BB27" t="inlineStr">
        <is>
          <t>WA</t>
        </is>
      </c>
      <c r="BC27" s="44" t="n">
        <v>142.5538735207101</v>
      </c>
      <c r="BD27" s="81">
        <f>$BC6/$BC27</f>
        <v/>
      </c>
      <c r="BE27" s="81">
        <f>$BC13/$BC27</f>
        <v/>
      </c>
      <c r="BF27" s="81">
        <f>$BC20/$BC27</f>
        <v/>
      </c>
      <c r="BG27" s="81">
        <f>$BC34/$BC27</f>
        <v/>
      </c>
    </row>
    <row r="28">
      <c r="A28" t="inlineStr">
        <is>
          <t>Admin staff</t>
        </is>
      </c>
      <c r="B28" s="44" t="inlineStr">
        <is>
          <t xml:space="preserve">Leave Loading (%)		</t>
        </is>
      </c>
      <c r="C28" t="inlineStr">
        <is>
          <t>QLD</t>
        </is>
      </c>
      <c r="D28" s="44" t="n">
        <v>58.08977857365307</v>
      </c>
      <c r="E28" s="44" t="n">
        <v>77.38128143491123</v>
      </c>
      <c r="F28" s="44" t="n">
        <v>96.67278429616943</v>
      </c>
      <c r="I28">
        <f>A28</f>
        <v/>
      </c>
      <c r="J28">
        <f>B28</f>
        <v/>
      </c>
      <c r="K28">
        <f>C28</f>
        <v/>
      </c>
      <c r="L28">
        <f>TEXT(E28, "0,0") &amp; " (" &amp; TEXT(D28, "0,0") &amp; " - " &amp; TEXT(F28, "0,0") &amp; ")"</f>
        <v/>
      </c>
      <c r="O28" t="inlineStr">
        <is>
          <t>Admin staff</t>
        </is>
      </c>
      <c r="P28" t="inlineStr">
        <is>
          <t xml:space="preserve">Leave Loading (%)		</t>
        </is>
      </c>
      <c r="Q28" t="inlineStr">
        <is>
          <t>QLD</t>
        </is>
      </c>
      <c r="R28" t="inlineStr">
        <is>
          <t>77 (58 - 97)</t>
        </is>
      </c>
      <c r="T28" s="80" t="n"/>
      <c r="U28" t="inlineStr">
        <is>
          <t>Average Penalties</t>
        </is>
      </c>
      <c r="V28" t="inlineStr">
        <is>
          <t>93 (69 - 124)</t>
        </is>
      </c>
      <c r="W28" t="inlineStr">
        <is>
          <t>85 (57 - 120)</t>
        </is>
      </c>
      <c r="X28" t="inlineStr">
        <is>
          <t>93 (62 - 131)</t>
        </is>
      </c>
      <c r="Y28" t="inlineStr">
        <is>
          <t>123 (99 - 154)</t>
        </is>
      </c>
      <c r="Z28" t="inlineStr">
        <is>
          <t>93 (72 - 120)</t>
        </is>
      </c>
      <c r="AA28" t="inlineStr">
        <is>
          <t>97 (58 - 148)</t>
        </is>
      </c>
      <c r="AH28" t="inlineStr">
        <is>
          <t>Pathologists</t>
        </is>
      </c>
      <c r="AI28" t="inlineStr">
        <is>
          <t>NSW</t>
        </is>
      </c>
      <c r="AJ28" s="44" t="inlineStr">
        <is>
          <t>Base Salary</t>
        </is>
      </c>
      <c r="AK28" s="44" t="n">
        <v>268.7238310689816</v>
      </c>
      <c r="AL28" s="44" t="n">
        <v>312.5137797317814</v>
      </c>
      <c r="AM28" s="44" t="n">
        <v>356.3037283945811</v>
      </c>
      <c r="AP28" s="44">
        <f>AH28</f>
        <v/>
      </c>
      <c r="AQ28" s="44">
        <f>AI28</f>
        <v/>
      </c>
      <c r="AR28" s="44">
        <f>AJ28</f>
        <v/>
      </c>
      <c r="AS28">
        <f>TEXT(AL28, "0,0") &amp; " (" &amp; TEXT(AK28, "0,0") &amp; " - " &amp; TEXT(AM28, "0,0") &amp; ")"</f>
        <v/>
      </c>
      <c r="BB28" t="inlineStr">
        <is>
          <t>ALL</t>
        </is>
      </c>
      <c r="BC28" s="44" t="n">
        <v>132.0972524925257</v>
      </c>
      <c r="BD28" s="81">
        <f>$BC7/$BC28</f>
        <v/>
      </c>
      <c r="BE28" s="81">
        <f>$BC14/$BC28</f>
        <v/>
      </c>
      <c r="BF28" s="81">
        <f>$BC21/$BC28</f>
        <v/>
      </c>
      <c r="BG28" s="81">
        <f>$BC35/$BC28</f>
        <v/>
      </c>
    </row>
    <row r="29">
      <c r="A29" t="inlineStr">
        <is>
          <t>Admin staff</t>
        </is>
      </c>
      <c r="B29" s="44" t="inlineStr">
        <is>
          <t xml:space="preserve">Leave Loading (%)		</t>
        </is>
      </c>
      <c r="C29" t="inlineStr">
        <is>
          <t>SA</t>
        </is>
      </c>
      <c r="D29" s="44" t="n">
        <v>68.20481267517907</v>
      </c>
      <c r="E29" s="44" t="n">
        <v>75.94370297415135</v>
      </c>
      <c r="F29" s="44" t="n">
        <v>83.68259327312363</v>
      </c>
      <c r="I29">
        <f>A29</f>
        <v/>
      </c>
      <c r="J29">
        <f>B29</f>
        <v/>
      </c>
      <c r="K29">
        <f>C29</f>
        <v/>
      </c>
      <c r="L29">
        <f>TEXT(E29, "0,0") &amp; " (" &amp; TEXT(D29, "0,0") &amp; " - " &amp; TEXT(F29, "0,0") &amp; ")"</f>
        <v/>
      </c>
      <c r="O29" t="inlineStr">
        <is>
          <t>Admin staff</t>
        </is>
      </c>
      <c r="P29" t="inlineStr">
        <is>
          <t xml:space="preserve">Leave Loading (%)		</t>
        </is>
      </c>
      <c r="Q29" t="inlineStr">
        <is>
          <t>SA</t>
        </is>
      </c>
      <c r="R29" t="inlineStr">
        <is>
          <t>76 (68 - 84)</t>
        </is>
      </c>
      <c r="U29" s="44" t="inlineStr">
        <is>
          <t>Base Salary</t>
        </is>
      </c>
      <c r="V29" t="inlineStr">
        <is>
          <t>93 (72 - 114)</t>
        </is>
      </c>
      <c r="W29" t="inlineStr">
        <is>
          <t>85 (59 - 111)</t>
        </is>
      </c>
      <c r="X29" t="inlineStr">
        <is>
          <t>93 (65 - 121)</t>
        </is>
      </c>
      <c r="Y29" t="inlineStr">
        <is>
          <t>123 (103 - 143)</t>
        </is>
      </c>
      <c r="Z29" t="inlineStr">
        <is>
          <t>93 (75 - 111)</t>
        </is>
      </c>
      <c r="AA29" t="inlineStr">
        <is>
          <t>97 (59 - 143)</t>
        </is>
      </c>
      <c r="AH29" t="inlineStr">
        <is>
          <t>Pathologists</t>
        </is>
      </c>
      <c r="AI29" t="inlineStr">
        <is>
          <t>QLD</t>
        </is>
      </c>
      <c r="AJ29" s="44" t="inlineStr">
        <is>
          <t>Base Salary</t>
        </is>
      </c>
      <c r="AK29" s="44" t="n">
        <v>285.7802825443786</v>
      </c>
      <c r="AL29" s="44" t="n">
        <v>338.5262645593273</v>
      </c>
      <c r="AM29" s="44" t="n">
        <v>391.2722465742759</v>
      </c>
      <c r="AP29" s="44">
        <f>AH29</f>
        <v/>
      </c>
      <c r="AQ29" s="44">
        <f>AI29</f>
        <v/>
      </c>
      <c r="AR29" s="44">
        <f>AJ29</f>
        <v/>
      </c>
      <c r="AS29">
        <f>TEXT(AL29, "0,0") &amp; " (" &amp; TEXT(AK29, "0,0") &amp; " - " &amp; TEXT(AM29, "0,0") &amp; ")"</f>
        <v/>
      </c>
      <c r="BD29" t="inlineStr">
        <is>
          <t>AS</t>
        </is>
      </c>
      <c r="BE29" t="inlineStr">
        <is>
          <t>BS</t>
        </is>
      </c>
      <c r="BF29" t="inlineStr">
        <is>
          <t>LT</t>
        </is>
      </c>
      <c r="BG29" t="inlineStr">
        <is>
          <t>MS</t>
        </is>
      </c>
    </row>
    <row r="30">
      <c r="A30" t="inlineStr">
        <is>
          <t>Admin staff</t>
        </is>
      </c>
      <c r="B30" s="44" t="inlineStr">
        <is>
          <t xml:space="preserve">Leave Loading (%)		</t>
        </is>
      </c>
      <c r="C30" t="inlineStr">
        <is>
          <t>VIC</t>
        </is>
      </c>
      <c r="D30" s="44" t="n">
        <v>82.41106092338835</v>
      </c>
      <c r="E30" s="44" t="n">
        <v>100.3672047843351</v>
      </c>
      <c r="F30" s="44" t="n">
        <v>118.3233486452818</v>
      </c>
      <c r="I30">
        <f>A30</f>
        <v/>
      </c>
      <c r="J30">
        <f>B30</f>
        <v/>
      </c>
      <c r="K30">
        <f>C30</f>
        <v/>
      </c>
      <c r="L30">
        <f>TEXT(E30, "0,0") &amp; " (" &amp; TEXT(D30, "0,0") &amp; " - " &amp; TEXT(F30, "0,0") &amp; ")"</f>
        <v/>
      </c>
      <c r="O30" t="inlineStr">
        <is>
          <t>Admin staff</t>
        </is>
      </c>
      <c r="P30" t="inlineStr">
        <is>
          <t xml:space="preserve">Leave Loading (%)		</t>
        </is>
      </c>
      <c r="Q30" t="inlineStr">
        <is>
          <t>VIC</t>
        </is>
      </c>
      <c r="R30" t="inlineStr">
        <is>
          <t>100 (82 - 118)</t>
        </is>
      </c>
      <c r="T30" s="80" t="n"/>
      <c r="U30" t="inlineStr">
        <is>
          <t>Hours worked</t>
        </is>
      </c>
      <c r="V30" t="inlineStr">
        <is>
          <t>93 (68 - 119)</t>
        </is>
      </c>
      <c r="W30" t="inlineStr">
        <is>
          <t>85 (56 - 116)</t>
        </is>
      </c>
      <c r="X30" t="inlineStr">
        <is>
          <t>93 (62 - 127)</t>
        </is>
      </c>
      <c r="Y30" t="inlineStr">
        <is>
          <t>123 (98 - 149)</t>
        </is>
      </c>
      <c r="Z30" t="inlineStr">
        <is>
          <t>93 (72 - 117)</t>
        </is>
      </c>
      <c r="AA30" t="inlineStr">
        <is>
          <t>97 (57 - 143)</t>
        </is>
      </c>
      <c r="AH30" t="inlineStr">
        <is>
          <t>Pathologists</t>
        </is>
      </c>
      <c r="AI30" t="inlineStr">
        <is>
          <t>SA</t>
        </is>
      </c>
      <c r="AJ30" s="44" t="inlineStr">
        <is>
          <t>Base Salary</t>
        </is>
      </c>
      <c r="AK30" s="44" t="n">
        <v>369.7024676308004</v>
      </c>
      <c r="AL30" s="44" t="n">
        <v>426.3296713786594</v>
      </c>
      <c r="AM30" s="44" t="n">
        <v>482.9568751265182</v>
      </c>
      <c r="AP30" s="44">
        <f>AH30</f>
        <v/>
      </c>
      <c r="AQ30" s="44">
        <f>AI30</f>
        <v/>
      </c>
      <c r="AR30" s="44">
        <f>AJ30</f>
        <v/>
      </c>
      <c r="AS30">
        <f>TEXT(AL30, "0,0") &amp; " (" &amp; TEXT(AK30, "0,0") &amp; " - " &amp; TEXT(AM30, "0,0") &amp; ")"</f>
        <v/>
      </c>
      <c r="BA30" t="inlineStr">
        <is>
          <t>Pathologists</t>
        </is>
      </c>
      <c r="BB30" t="inlineStr">
        <is>
          <t>NSW</t>
        </is>
      </c>
      <c r="BC30" s="44" t="n">
        <v>312.5137797317814</v>
      </c>
      <c r="BD30" s="81">
        <f>$BC2/$BC30</f>
        <v/>
      </c>
      <c r="BE30" s="81">
        <f>$BC9/$BC30</f>
        <v/>
      </c>
      <c r="BF30" s="81">
        <f>$BC16/$BC30</f>
        <v/>
      </c>
      <c r="BG30" s="81">
        <f>$BC23/$BC30</f>
        <v/>
      </c>
    </row>
    <row r="31">
      <c r="A31" t="inlineStr">
        <is>
          <t>Admin staff</t>
        </is>
      </c>
      <c r="B31" s="44" t="inlineStr">
        <is>
          <t xml:space="preserve">Leave Loading (%)		</t>
        </is>
      </c>
      <c r="C31" t="inlineStr">
        <is>
          <t>WA</t>
        </is>
      </c>
      <c r="D31" s="44" t="n">
        <v>75.27544211304888</v>
      </c>
      <c r="E31" s="44" t="n">
        <v>82.77304819370912</v>
      </c>
      <c r="F31" s="44" t="n">
        <v>90.27065427436935</v>
      </c>
      <c r="I31">
        <f>A31</f>
        <v/>
      </c>
      <c r="J31">
        <f>B31</f>
        <v/>
      </c>
      <c r="K31">
        <f>C31</f>
        <v/>
      </c>
      <c r="L31">
        <f>TEXT(E31, "0,0") &amp; " (" &amp; TEXT(D31, "0,0") &amp; " - " &amp; TEXT(F31, "0,0") &amp; ")"</f>
        <v/>
      </c>
      <c r="O31" t="inlineStr">
        <is>
          <t>Admin staff</t>
        </is>
      </c>
      <c r="P31" t="inlineStr">
        <is>
          <t xml:space="preserve">Leave Loading (%)		</t>
        </is>
      </c>
      <c r="Q31" t="inlineStr">
        <is>
          <t>WA</t>
        </is>
      </c>
      <c r="R31" t="inlineStr">
        <is>
          <t>83 (75 - 90)</t>
        </is>
      </c>
      <c r="T31" s="80" t="n"/>
      <c r="U31" t="inlineStr">
        <is>
          <t xml:space="preserve">Leave Loading (%)		</t>
        </is>
      </c>
      <c r="V31" t="inlineStr">
        <is>
          <t>93 (72 - 114)</t>
        </is>
      </c>
      <c r="W31" t="inlineStr">
        <is>
          <t>85 (59 - 111)</t>
        </is>
      </c>
      <c r="X31" t="inlineStr">
        <is>
          <t>93 (65 - 121)</t>
        </is>
      </c>
      <c r="Y31" t="inlineStr">
        <is>
          <t>123 (103 - 143)</t>
        </is>
      </c>
      <c r="Z31" t="inlineStr">
        <is>
          <t>93 (75 - 111)</t>
        </is>
      </c>
      <c r="AA31" t="inlineStr">
        <is>
          <t>97 (60 - 137)</t>
        </is>
      </c>
      <c r="AH31" t="inlineStr">
        <is>
          <t>Pathologists</t>
        </is>
      </c>
      <c r="AI31" t="inlineStr">
        <is>
          <t>VIC</t>
        </is>
      </c>
      <c r="AJ31" s="44" t="inlineStr">
        <is>
          <t>Base Salary</t>
        </is>
      </c>
      <c r="AK31" s="44" t="n">
        <v>337.4197520242915</v>
      </c>
      <c r="AL31" s="44" t="n">
        <v>397.9371122975709</v>
      </c>
      <c r="AM31" s="44" t="n">
        <v>458.4544725708502</v>
      </c>
      <c r="AP31" s="44">
        <f>AH31</f>
        <v/>
      </c>
      <c r="AQ31" s="44">
        <f>AI31</f>
        <v/>
      </c>
      <c r="AR31" s="44">
        <f>AJ31</f>
        <v/>
      </c>
      <c r="AS31">
        <f>TEXT(AL31, "0,0") &amp; " (" &amp; TEXT(AK31, "0,0") &amp; " - " &amp; TEXT(AM31, "0,0") &amp; ")"</f>
        <v/>
      </c>
      <c r="BB31" t="inlineStr">
        <is>
          <t>QLD</t>
        </is>
      </c>
      <c r="BC31" s="44" t="n">
        <v>338.5262645593273</v>
      </c>
      <c r="BD31" s="81">
        <f>$BC3/$BC31</f>
        <v/>
      </c>
      <c r="BE31" s="81">
        <f>$BC10/$BC31</f>
        <v/>
      </c>
      <c r="BF31" s="81">
        <f>$BC17/$BC31</f>
        <v/>
      </c>
      <c r="BG31" s="81">
        <f>$BC24/$BC31</f>
        <v/>
      </c>
    </row>
    <row r="32">
      <c r="A32" t="inlineStr">
        <is>
          <t>Admin staff</t>
        </is>
      </c>
      <c r="B32" s="44" t="inlineStr">
        <is>
          <t>Private Practice Loading</t>
        </is>
      </c>
      <c r="C32" t="inlineStr">
        <is>
          <t>ALL</t>
        </is>
      </c>
      <c r="D32" s="44" t="n">
        <v>59.30041388975397</v>
      </c>
      <c r="E32" s="44" t="n">
        <v>80.98523986795389</v>
      </c>
      <c r="F32" s="44" t="n">
        <v>113.5235822173778</v>
      </c>
      <c r="I32">
        <f>A32</f>
        <v/>
      </c>
      <c r="J32">
        <f>B32</f>
        <v/>
      </c>
      <c r="K32">
        <f>C32</f>
        <v/>
      </c>
      <c r="L32">
        <f>TEXT(E32, "0,0") &amp; " (" &amp; TEXT(D32, "0,0") &amp; " - " &amp; TEXT(F32, "0,0") &amp; ")"</f>
        <v/>
      </c>
      <c r="O32" t="inlineStr">
        <is>
          <t>Admin staff</t>
        </is>
      </c>
      <c r="P32" t="inlineStr">
        <is>
          <t>Private Practice Loading</t>
        </is>
      </c>
      <c r="Q32" t="inlineStr">
        <is>
          <t>ALL</t>
        </is>
      </c>
      <c r="R32" t="inlineStr">
        <is>
          <t>81 (59 - 114)</t>
        </is>
      </c>
      <c r="T32" s="80" t="n"/>
      <c r="U32" t="inlineStr">
        <is>
          <t>Private Practice Loading</t>
        </is>
      </c>
      <c r="V32" t="inlineStr">
        <is>
          <t>93 (72 - 114)</t>
        </is>
      </c>
      <c r="W32" t="inlineStr">
        <is>
          <t>85 (59 - 111)</t>
        </is>
      </c>
      <c r="X32" t="inlineStr">
        <is>
          <t>93 (65 - 121)</t>
        </is>
      </c>
      <c r="Y32" t="inlineStr">
        <is>
          <t>123 (103 - 143)</t>
        </is>
      </c>
      <c r="Z32" t="inlineStr">
        <is>
          <t>93 (75 - 111)</t>
        </is>
      </c>
      <c r="AA32" t="inlineStr">
        <is>
          <t>97 (60 - 137)</t>
        </is>
      </c>
      <c r="AH32" t="inlineStr">
        <is>
          <t>Pathologists</t>
        </is>
      </c>
      <c r="AI32" t="inlineStr">
        <is>
          <t>WA</t>
        </is>
      </c>
      <c r="AJ32" s="44" t="inlineStr">
        <is>
          <t>Base Salary</t>
        </is>
      </c>
      <c r="AK32" s="44" t="n">
        <v>371.444671870134</v>
      </c>
      <c r="AL32" s="44" t="n">
        <v>424.6258754282155</v>
      </c>
      <c r="AM32" s="44" t="n">
        <v>477.807078986297</v>
      </c>
      <c r="AP32" s="44">
        <f>AH32</f>
        <v/>
      </c>
      <c r="AQ32" s="44">
        <f>AI32</f>
        <v/>
      </c>
      <c r="AR32" s="44">
        <f>AJ32</f>
        <v/>
      </c>
      <c r="AS32">
        <f>TEXT(AL32, "0,0") &amp; " (" &amp; TEXT(AK32, "0,0") &amp; " - " &amp; TEXT(AM32, "0,0") &amp; ")"</f>
        <v/>
      </c>
      <c r="BB32" t="inlineStr">
        <is>
          <t>SA</t>
        </is>
      </c>
      <c r="BC32" s="44" t="n">
        <v>426.3296713786594</v>
      </c>
      <c r="BD32" s="81">
        <f>$BC4/$BC32</f>
        <v/>
      </c>
      <c r="BE32" s="81">
        <f>$BC11/$BC32</f>
        <v/>
      </c>
      <c r="BF32" s="81">
        <f>$BC18/$BC32</f>
        <v/>
      </c>
      <c r="BG32" s="81">
        <f>$BC25/$BC32</f>
        <v/>
      </c>
    </row>
    <row r="33">
      <c r="A33" t="inlineStr">
        <is>
          <t>Admin staff</t>
        </is>
      </c>
      <c r="B33" s="44" t="inlineStr">
        <is>
          <t>Private Practice Loading</t>
        </is>
      </c>
      <c r="C33" t="inlineStr">
        <is>
          <t>NSW</t>
        </is>
      </c>
      <c r="D33" s="44" t="n">
        <v>57.73744226720648</v>
      </c>
      <c r="E33" s="44" t="n">
        <v>69.43560540485831</v>
      </c>
      <c r="F33" s="44" t="n">
        <v>81.13376854251011</v>
      </c>
      <c r="I33">
        <f>A33</f>
        <v/>
      </c>
      <c r="J33">
        <f>B33</f>
        <v/>
      </c>
      <c r="K33">
        <f>C33</f>
        <v/>
      </c>
      <c r="L33">
        <f>TEXT(E33, "0,0") &amp; " (" &amp; TEXT(D33, "0,0") &amp; " - " &amp; TEXT(F33, "0,0") &amp; ")"</f>
        <v/>
      </c>
      <c r="O33" t="inlineStr">
        <is>
          <t>Admin staff</t>
        </is>
      </c>
      <c r="P33" t="inlineStr">
        <is>
          <t>Private Practice Loading</t>
        </is>
      </c>
      <c r="Q33" t="inlineStr">
        <is>
          <t>NSW</t>
        </is>
      </c>
      <c r="R33" t="inlineStr">
        <is>
          <t>69 (58 - 81)</t>
        </is>
      </c>
      <c r="T33" s="80" t="n"/>
      <c r="U33" t="inlineStr">
        <is>
          <t>Professional Development Allowance</t>
        </is>
      </c>
      <c r="V33" t="inlineStr">
        <is>
          <t>93 (72 - 114)</t>
        </is>
      </c>
      <c r="W33" t="inlineStr">
        <is>
          <t>85 (59 - 111)</t>
        </is>
      </c>
      <c r="X33" t="inlineStr">
        <is>
          <t>93 (65 - 121)</t>
        </is>
      </c>
      <c r="Y33" t="inlineStr">
        <is>
          <t>123 (103 - 143)</t>
        </is>
      </c>
      <c r="Z33" t="inlineStr">
        <is>
          <t>93 (75 - 111)</t>
        </is>
      </c>
      <c r="AA33" t="inlineStr">
        <is>
          <t>97 (60 - 137)</t>
        </is>
      </c>
      <c r="BB33" t="inlineStr">
        <is>
          <t>VIC</t>
        </is>
      </c>
      <c r="BC33" s="44" t="n">
        <v>397.9371122975709</v>
      </c>
      <c r="BD33" s="81">
        <f>$BC5/$BC33</f>
        <v/>
      </c>
      <c r="BE33" s="81">
        <f>$BC12/$BC33</f>
        <v/>
      </c>
      <c r="BF33" s="81">
        <f>$BC19/$BC33</f>
        <v/>
      </c>
      <c r="BG33" s="81">
        <f>$BC26/$BC33</f>
        <v/>
      </c>
    </row>
    <row r="34">
      <c r="A34" t="inlineStr">
        <is>
          <t>Admin staff</t>
        </is>
      </c>
      <c r="B34" s="44" t="inlineStr">
        <is>
          <t>Private Practice Loading</t>
        </is>
      </c>
      <c r="C34" t="inlineStr">
        <is>
          <t>QLD</t>
        </is>
      </c>
      <c r="D34" s="44" t="n">
        <v>58.08977857365307</v>
      </c>
      <c r="E34" s="44" t="n">
        <v>77.38128143491123</v>
      </c>
      <c r="F34" s="44" t="n">
        <v>96.67278429616943</v>
      </c>
      <c r="I34">
        <f>A34</f>
        <v/>
      </c>
      <c r="J34">
        <f>B34</f>
        <v/>
      </c>
      <c r="K34">
        <f>C34</f>
        <v/>
      </c>
      <c r="L34">
        <f>TEXT(E34, "0,0") &amp; " (" &amp; TEXT(D34, "0,0") &amp; " - " &amp; TEXT(F34, "0,0") &amp; ")"</f>
        <v/>
      </c>
      <c r="O34" t="inlineStr">
        <is>
          <t>Admin staff</t>
        </is>
      </c>
      <c r="P34" t="inlineStr">
        <is>
          <t>Private Practice Loading</t>
        </is>
      </c>
      <c r="Q34" t="inlineStr">
        <is>
          <t>QLD</t>
        </is>
      </c>
      <c r="R34" t="inlineStr">
        <is>
          <t>77 (58 - 97)</t>
        </is>
      </c>
      <c r="T34" s="80" t="n"/>
      <c r="U34" t="inlineStr">
        <is>
          <t>Public Holiday Penalty</t>
        </is>
      </c>
      <c r="V34" t="inlineStr">
        <is>
          <t>93 (72 - 114)</t>
        </is>
      </c>
      <c r="W34" t="inlineStr">
        <is>
          <t>85 (59 - 111)</t>
        </is>
      </c>
      <c r="X34" t="inlineStr">
        <is>
          <t>93 (65 - 121)</t>
        </is>
      </c>
      <c r="Y34" t="inlineStr">
        <is>
          <t>123 (103 - 143)</t>
        </is>
      </c>
      <c r="Z34" t="inlineStr">
        <is>
          <t>93 (75 - 112)</t>
        </is>
      </c>
      <c r="AA34" t="inlineStr">
        <is>
          <t>97 (60 - 137)</t>
        </is>
      </c>
      <c r="BB34" t="inlineStr">
        <is>
          <t>WA</t>
        </is>
      </c>
      <c r="BC34" s="44" t="n">
        <v>424.6258754282155</v>
      </c>
      <c r="BD34" s="81">
        <f>$BC6/$BC34</f>
        <v/>
      </c>
      <c r="BE34" s="81">
        <f>$BC13/$BC34</f>
        <v/>
      </c>
      <c r="BF34" s="81">
        <f>$BC20/$BC34</f>
        <v/>
      </c>
      <c r="BG34" s="81">
        <f>$BC27/$BC34</f>
        <v/>
      </c>
    </row>
    <row r="35">
      <c r="A35" t="inlineStr">
        <is>
          <t>Admin staff</t>
        </is>
      </c>
      <c r="B35" s="44" t="inlineStr">
        <is>
          <t>Private Practice Loading</t>
        </is>
      </c>
      <c r="C35" t="inlineStr">
        <is>
          <t>SA</t>
        </is>
      </c>
      <c r="D35" s="44" t="n">
        <v>68.20481267517907</v>
      </c>
      <c r="E35" s="44" t="n">
        <v>75.94370297415135</v>
      </c>
      <c r="F35" s="44" t="n">
        <v>83.68259327312363</v>
      </c>
      <c r="I35">
        <f>A35</f>
        <v/>
      </c>
      <c r="J35">
        <f>B35</f>
        <v/>
      </c>
      <c r="K35">
        <f>C35</f>
        <v/>
      </c>
      <c r="L35">
        <f>TEXT(E35, "0,0") &amp; " (" &amp; TEXT(D35, "0,0") &amp; " - " &amp; TEXT(F35, "0,0") &amp; ")"</f>
        <v/>
      </c>
      <c r="O35" t="inlineStr">
        <is>
          <t>Admin staff</t>
        </is>
      </c>
      <c r="P35" t="inlineStr">
        <is>
          <t>Private Practice Loading</t>
        </is>
      </c>
      <c r="Q35" t="inlineStr">
        <is>
          <t>SA</t>
        </is>
      </c>
      <c r="R35" t="inlineStr">
        <is>
          <t>76 (68 - 84)</t>
        </is>
      </c>
      <c r="T35" s="80" t="n"/>
      <c r="U35" t="inlineStr">
        <is>
          <t>Sick Leave</t>
        </is>
      </c>
      <c r="V35" t="inlineStr">
        <is>
          <t>93 (72 - 114)</t>
        </is>
      </c>
      <c r="W35" t="inlineStr">
        <is>
          <t>85 (59 - 111)</t>
        </is>
      </c>
      <c r="X35" t="inlineStr">
        <is>
          <t>93 (65 - 121)</t>
        </is>
      </c>
      <c r="Y35" t="inlineStr">
        <is>
          <t>123 (103 - 143)</t>
        </is>
      </c>
      <c r="Z35" t="inlineStr">
        <is>
          <t>93 (75 - 111)</t>
        </is>
      </c>
      <c r="AA35" t="inlineStr">
        <is>
          <t>97 (60 - 137)</t>
        </is>
      </c>
      <c r="AH35" s="44" t="inlineStr">
        <is>
          <t>Admin staff</t>
        </is>
      </c>
      <c r="AI35" s="44" t="inlineStr">
        <is>
          <t>ALL</t>
        </is>
      </c>
      <c r="AJ35" s="44" t="inlineStr">
        <is>
          <t>Base Salary</t>
        </is>
      </c>
      <c r="AK35" t="inlineStr">
        <is>
          <t>81 (58 - 118)</t>
        </is>
      </c>
      <c r="AO35" s="44" t="inlineStr">
        <is>
          <t>Admin staff</t>
        </is>
      </c>
      <c r="AP35" s="44" t="inlineStr">
        <is>
          <t>Admin staff</t>
        </is>
      </c>
      <c r="AQ35" s="44" t="inlineStr">
        <is>
          <t>Admin staff</t>
        </is>
      </c>
      <c r="AR35" s="44" t="inlineStr">
        <is>
          <t>Admin staff</t>
        </is>
      </c>
      <c r="AS35" s="44" t="inlineStr">
        <is>
          <t>Admin staff</t>
        </is>
      </c>
      <c r="AT35" s="44" t="inlineStr">
        <is>
          <t>Admin staff</t>
        </is>
      </c>
      <c r="BB35" t="inlineStr">
        <is>
          <t>ALL</t>
        </is>
      </c>
      <c r="BC35" s="44" t="n">
        <v>379.9865406791109</v>
      </c>
      <c r="BD35" s="81">
        <f>$BC7/$BC35</f>
        <v/>
      </c>
      <c r="BE35" s="81">
        <f>$BC14/$BC35</f>
        <v/>
      </c>
      <c r="BF35" s="81">
        <f>$BC21/$BC35</f>
        <v/>
      </c>
      <c r="BG35" s="81">
        <f>$BC28/$BC35</f>
        <v/>
      </c>
    </row>
    <row r="36">
      <c r="A36" t="inlineStr">
        <is>
          <t>Admin staff</t>
        </is>
      </c>
      <c r="B36" s="44" t="inlineStr">
        <is>
          <t>Private Practice Loading</t>
        </is>
      </c>
      <c r="C36" t="inlineStr">
        <is>
          <t>VIC</t>
        </is>
      </c>
      <c r="D36" s="44" t="n">
        <v>82.41106092338835</v>
      </c>
      <c r="E36" s="44" t="n">
        <v>100.3672047843351</v>
      </c>
      <c r="F36" s="44" t="n">
        <v>118.3233486452818</v>
      </c>
      <c r="I36">
        <f>A36</f>
        <v/>
      </c>
      <c r="J36">
        <f>B36</f>
        <v/>
      </c>
      <c r="K36">
        <f>C36</f>
        <v/>
      </c>
      <c r="L36">
        <f>TEXT(E36, "0,0") &amp; " (" &amp; TEXT(D36, "0,0") &amp; " - " &amp; TEXT(F36, "0,0") &amp; ")"</f>
        <v/>
      </c>
      <c r="O36" t="inlineStr">
        <is>
          <t>Admin staff</t>
        </is>
      </c>
      <c r="P36" t="inlineStr">
        <is>
          <t>Private Practice Loading</t>
        </is>
      </c>
      <c r="Q36" t="inlineStr">
        <is>
          <t>VIC</t>
        </is>
      </c>
      <c r="R36" t="inlineStr">
        <is>
          <t>100 (82 - 118)</t>
        </is>
      </c>
      <c r="T36" s="80" t="n"/>
      <c r="U36" t="inlineStr">
        <is>
          <t>Superannuation</t>
        </is>
      </c>
      <c r="V36" t="inlineStr">
        <is>
          <t>93 (72 - 115)</t>
        </is>
      </c>
      <c r="W36" t="inlineStr">
        <is>
          <t>85 (59 - 112)</t>
        </is>
      </c>
      <c r="X36" t="inlineStr">
        <is>
          <t>93 (65 - 122)</t>
        </is>
      </c>
      <c r="Y36" t="inlineStr">
        <is>
          <t>123 (103 - 144)</t>
        </is>
      </c>
      <c r="Z36" t="inlineStr">
        <is>
          <t>93 (75 - 112)</t>
        </is>
      </c>
      <c r="AA36" t="inlineStr">
        <is>
          <t>97 (60 - 138)</t>
        </is>
      </c>
      <c r="AH36" s="44" t="inlineStr">
        <is>
          <t>Admin staff</t>
        </is>
      </c>
      <c r="AI36" s="44" t="inlineStr">
        <is>
          <t>NSW</t>
        </is>
      </c>
      <c r="AJ36" s="44" t="inlineStr">
        <is>
          <t>Base Salary</t>
        </is>
      </c>
      <c r="AK36" t="inlineStr">
        <is>
          <t>69 (58 - 81)</t>
        </is>
      </c>
      <c r="AO36" s="44" t="inlineStr">
        <is>
          <t>NSW</t>
        </is>
      </c>
      <c r="AP36" s="44" t="inlineStr">
        <is>
          <t>QLD</t>
        </is>
      </c>
      <c r="AQ36" s="44" t="inlineStr">
        <is>
          <t>SA</t>
        </is>
      </c>
      <c r="AR36" s="44" t="inlineStr">
        <is>
          <t>VIC</t>
        </is>
      </c>
      <c r="AS36" s="44" t="inlineStr">
        <is>
          <t>WA</t>
        </is>
      </c>
      <c r="AT36" s="44" t="inlineStr">
        <is>
          <t>ALL</t>
        </is>
      </c>
    </row>
    <row r="37">
      <c r="A37" t="inlineStr">
        <is>
          <t>Admin staff</t>
        </is>
      </c>
      <c r="B37" s="44" t="inlineStr">
        <is>
          <t>Private Practice Loading</t>
        </is>
      </c>
      <c r="C37" t="inlineStr">
        <is>
          <t>WA</t>
        </is>
      </c>
      <c r="D37" s="44" t="n">
        <v>75.27544211304888</v>
      </c>
      <c r="E37" s="44" t="n">
        <v>82.77304819370912</v>
      </c>
      <c r="F37" s="44" t="n">
        <v>90.27065427436935</v>
      </c>
      <c r="I37">
        <f>A37</f>
        <v/>
      </c>
      <c r="J37">
        <f>B37</f>
        <v/>
      </c>
      <c r="K37">
        <f>C37</f>
        <v/>
      </c>
      <c r="L37">
        <f>TEXT(E37, "0,0") &amp; " (" &amp; TEXT(D37, "0,0") &amp; " - " &amp; TEXT(F37, "0,0") &amp; ")"</f>
        <v/>
      </c>
      <c r="O37" t="inlineStr">
        <is>
          <t>Admin staff</t>
        </is>
      </c>
      <c r="P37" t="inlineStr">
        <is>
          <t>Private Practice Loading</t>
        </is>
      </c>
      <c r="Q37" t="inlineStr">
        <is>
          <t>WA</t>
        </is>
      </c>
      <c r="R37" t="inlineStr">
        <is>
          <t>83 (75 - 90)</t>
        </is>
      </c>
      <c r="T37" s="80" t="inlineStr">
        <is>
          <t>Medical scientist</t>
        </is>
      </c>
      <c r="U37" t="inlineStr">
        <is>
          <t>Annual Leave</t>
        </is>
      </c>
      <c r="V37" t="inlineStr">
        <is>
          <t>133 (87 - 179)</t>
        </is>
      </c>
      <c r="W37" t="inlineStr">
        <is>
          <t>126 (84 - 168)</t>
        </is>
      </c>
      <c r="X37" t="inlineStr">
        <is>
          <t>126 (80 - 172)</t>
        </is>
      </c>
      <c r="Y37" t="inlineStr">
        <is>
          <t>133 (80 - 186)</t>
        </is>
      </c>
      <c r="Z37" t="inlineStr">
        <is>
          <t>143 (102 - 183)</t>
        </is>
      </c>
      <c r="AA37" t="inlineStr">
        <is>
          <t>132 (77 - 180)</t>
        </is>
      </c>
      <c r="AH37" s="44" t="inlineStr">
        <is>
          <t>Admin staff</t>
        </is>
      </c>
      <c r="AI37" s="44" t="inlineStr">
        <is>
          <t>QLD</t>
        </is>
      </c>
      <c r="AJ37" s="44" t="inlineStr">
        <is>
          <t>Base Salary</t>
        </is>
      </c>
      <c r="AK37" t="inlineStr">
        <is>
          <t>77 (58 - 97)</t>
        </is>
      </c>
      <c r="AM37" s="44" t="inlineStr">
        <is>
          <t>Admin staff</t>
        </is>
      </c>
      <c r="AN37" s="44" t="inlineStr">
        <is>
          <t>Base Salary</t>
        </is>
      </c>
      <c r="AO37" t="inlineStr">
        <is>
          <t>69 (58 - 81)</t>
        </is>
      </c>
      <c r="AP37" t="inlineStr">
        <is>
          <t>77 (58 - 97)</t>
        </is>
      </c>
      <c r="AQ37" t="inlineStr">
        <is>
          <t>76 (68 - 84)</t>
        </is>
      </c>
      <c r="AR37" t="inlineStr">
        <is>
          <t>100 (82 - 118)</t>
        </is>
      </c>
      <c r="AS37" t="inlineStr">
        <is>
          <t>83 (75 - 90)</t>
        </is>
      </c>
      <c r="AT37" t="inlineStr">
        <is>
          <t>81 (58 - 118)</t>
        </is>
      </c>
    </row>
    <row r="38">
      <c r="A38" t="inlineStr">
        <is>
          <t>Admin staff</t>
        </is>
      </c>
      <c r="B38" s="44" t="inlineStr">
        <is>
          <t>Professional Development Allowance</t>
        </is>
      </c>
      <c r="C38" t="inlineStr">
        <is>
          <t>ALL</t>
        </is>
      </c>
      <c r="D38" s="44" t="n">
        <v>59.30041388975397</v>
      </c>
      <c r="E38" s="44" t="n">
        <v>80.98523986795389</v>
      </c>
      <c r="F38" s="44" t="n">
        <v>113.5235822173778</v>
      </c>
      <c r="I38">
        <f>A38</f>
        <v/>
      </c>
      <c r="J38">
        <f>B38</f>
        <v/>
      </c>
      <c r="K38">
        <f>C38</f>
        <v/>
      </c>
      <c r="L38">
        <f>TEXT(E38, "0,0") &amp; " (" &amp; TEXT(D38, "0,0") &amp; " - " &amp; TEXT(F38, "0,0") &amp; ")"</f>
        <v/>
      </c>
      <c r="O38" t="inlineStr">
        <is>
          <t>Admin staff</t>
        </is>
      </c>
      <c r="P38" t="inlineStr">
        <is>
          <t>Professional Development Allowance</t>
        </is>
      </c>
      <c r="Q38" t="inlineStr">
        <is>
          <t>ALL</t>
        </is>
      </c>
      <c r="R38" t="inlineStr">
        <is>
          <t>81 (59 - 114)</t>
        </is>
      </c>
      <c r="T38" s="80" t="n"/>
      <c r="U38" t="inlineStr">
        <is>
          <t>Attraction and Retention Allowance</t>
        </is>
      </c>
      <c r="V38" t="inlineStr">
        <is>
          <t>133 (87 - 179)</t>
        </is>
      </c>
      <c r="W38" t="inlineStr">
        <is>
          <t>126 (84 - 168)</t>
        </is>
      </c>
      <c r="X38" t="inlineStr">
        <is>
          <t>126 (80 - 172)</t>
        </is>
      </c>
      <c r="Y38" t="inlineStr">
        <is>
          <t>133 (80 - 186)</t>
        </is>
      </c>
      <c r="Z38" t="inlineStr">
        <is>
          <t>143 (102 - 183)</t>
        </is>
      </c>
      <c r="AA38" t="inlineStr">
        <is>
          <t>132 (77 - 180)</t>
        </is>
      </c>
      <c r="AH38" s="44" t="inlineStr">
        <is>
          <t>Admin staff</t>
        </is>
      </c>
      <c r="AI38" s="44" t="inlineStr">
        <is>
          <t>SA</t>
        </is>
      </c>
      <c r="AJ38" s="44" t="inlineStr">
        <is>
          <t>Base Salary</t>
        </is>
      </c>
      <c r="AK38" t="inlineStr">
        <is>
          <t>76 (68 - 84)</t>
        </is>
      </c>
      <c r="AM38" s="44" t="inlineStr">
        <is>
          <t>Bioinformatics staff</t>
        </is>
      </c>
      <c r="AN38" s="44" t="inlineStr">
        <is>
          <t>Base Salary</t>
        </is>
      </c>
      <c r="AO38" t="inlineStr">
        <is>
          <t>117 (86 - 148)</t>
        </is>
      </c>
      <c r="AP38" t="inlineStr">
        <is>
          <t>126 (84 - 168)</t>
        </is>
      </c>
      <c r="AQ38" t="inlineStr">
        <is>
          <t>110 (80 - 140)</t>
        </is>
      </c>
      <c r="AR38" t="inlineStr">
        <is>
          <t>132 (103 - 161)</t>
        </is>
      </c>
      <c r="AS38" t="inlineStr">
        <is>
          <t>113 (104 - 122)</t>
        </is>
      </c>
      <c r="AT38" t="inlineStr">
        <is>
          <t>120 (80 - 168)</t>
        </is>
      </c>
    </row>
    <row r="39">
      <c r="A39" t="inlineStr">
        <is>
          <t>Admin staff</t>
        </is>
      </c>
      <c r="B39" s="44" t="inlineStr">
        <is>
          <t>Professional Development Allowance</t>
        </is>
      </c>
      <c r="C39" t="inlineStr">
        <is>
          <t>NSW</t>
        </is>
      </c>
      <c r="D39" s="44" t="n">
        <v>57.73744226720648</v>
      </c>
      <c r="E39" s="44" t="n">
        <v>69.43560540485831</v>
      </c>
      <c r="F39" s="44" t="n">
        <v>81.13376854251011</v>
      </c>
      <c r="I39">
        <f>A39</f>
        <v/>
      </c>
      <c r="J39">
        <f>B39</f>
        <v/>
      </c>
      <c r="K39">
        <f>C39</f>
        <v/>
      </c>
      <c r="L39">
        <f>TEXT(E39, "0,0") &amp; " (" &amp; TEXT(D39, "0,0") &amp; " - " &amp; TEXT(F39, "0,0") &amp; ")"</f>
        <v/>
      </c>
      <c r="O39" t="inlineStr">
        <is>
          <t>Admin staff</t>
        </is>
      </c>
      <c r="P39" t="inlineStr">
        <is>
          <t>Professional Development Allowance</t>
        </is>
      </c>
      <c r="Q39" t="inlineStr">
        <is>
          <t>NSW</t>
        </is>
      </c>
      <c r="R39" t="inlineStr">
        <is>
          <t>69 (58 - 81)</t>
        </is>
      </c>
      <c r="T39" s="80" t="n"/>
      <c r="U39" t="inlineStr">
        <is>
          <t>Average Penalties</t>
        </is>
      </c>
      <c r="V39" t="inlineStr">
        <is>
          <t>133 (84 - 193)</t>
        </is>
      </c>
      <c r="W39" t="inlineStr">
        <is>
          <t>126 (80 - 182)</t>
        </is>
      </c>
      <c r="X39" t="inlineStr">
        <is>
          <t>126 (77 - 186)</t>
        </is>
      </c>
      <c r="Y39" t="inlineStr">
        <is>
          <t>133 (77 - 200)</t>
        </is>
      </c>
      <c r="Z39" t="inlineStr">
        <is>
          <t>143 (98 - 198)</t>
        </is>
      </c>
      <c r="AA39" t="inlineStr">
        <is>
          <t>132 (74 - 195)</t>
        </is>
      </c>
      <c r="AH39" s="44" t="inlineStr">
        <is>
          <t>Admin staff</t>
        </is>
      </c>
      <c r="AI39" s="44" t="inlineStr">
        <is>
          <t>VIC</t>
        </is>
      </c>
      <c r="AJ39" s="44" t="inlineStr">
        <is>
          <t>Base Salary</t>
        </is>
      </c>
      <c r="AK39" t="inlineStr">
        <is>
          <t>100 (82 - 118)</t>
        </is>
      </c>
      <c r="AM39" s="44" t="inlineStr">
        <is>
          <t>Lab technician</t>
        </is>
      </c>
      <c r="AN39" s="44" t="inlineStr">
        <is>
          <t>Base Salary</t>
        </is>
      </c>
      <c r="AO39" t="inlineStr">
        <is>
          <t>93 (72 - 114)</t>
        </is>
      </c>
      <c r="AP39" t="inlineStr">
        <is>
          <t>85 (59 - 111)</t>
        </is>
      </c>
      <c r="AQ39" t="inlineStr">
        <is>
          <t>93 (65 - 121)</t>
        </is>
      </c>
      <c r="AR39" t="inlineStr">
        <is>
          <t>123 (103 - 143)</t>
        </is>
      </c>
      <c r="AS39" t="inlineStr">
        <is>
          <t>93 (75 - 111)</t>
        </is>
      </c>
      <c r="AT39" t="inlineStr">
        <is>
          <t>97 (59 - 143)</t>
        </is>
      </c>
    </row>
    <row r="40">
      <c r="A40" t="inlineStr">
        <is>
          <t>Admin staff</t>
        </is>
      </c>
      <c r="B40" s="44" t="inlineStr">
        <is>
          <t>Professional Development Allowance</t>
        </is>
      </c>
      <c r="C40" t="inlineStr">
        <is>
          <t>QLD</t>
        </is>
      </c>
      <c r="D40" s="44" t="n">
        <v>58.08977857365307</v>
      </c>
      <c r="E40" s="44" t="n">
        <v>77.38128143491123</v>
      </c>
      <c r="F40" s="44" t="n">
        <v>96.67278429616943</v>
      </c>
      <c r="I40">
        <f>A40</f>
        <v/>
      </c>
      <c r="J40">
        <f>B40</f>
        <v/>
      </c>
      <c r="K40">
        <f>C40</f>
        <v/>
      </c>
      <c r="L40">
        <f>TEXT(E40, "0,0") &amp; " (" &amp; TEXT(D40, "0,0") &amp; " - " &amp; TEXT(F40, "0,0") &amp; ")"</f>
        <v/>
      </c>
      <c r="O40" t="inlineStr">
        <is>
          <t>Admin staff</t>
        </is>
      </c>
      <c r="P40" t="inlineStr">
        <is>
          <t>Professional Development Allowance</t>
        </is>
      </c>
      <c r="Q40" t="inlineStr">
        <is>
          <t>QLD</t>
        </is>
      </c>
      <c r="R40" t="inlineStr">
        <is>
          <t>77 (58 - 97)</t>
        </is>
      </c>
      <c r="U40" s="44" t="inlineStr">
        <is>
          <t>Base Salary</t>
        </is>
      </c>
      <c r="V40" t="inlineStr">
        <is>
          <t>133 (87 - 179)</t>
        </is>
      </c>
      <c r="W40" t="inlineStr">
        <is>
          <t>126 (84 - 168)</t>
        </is>
      </c>
      <c r="X40" t="inlineStr">
        <is>
          <t>126 (80 - 172)</t>
        </is>
      </c>
      <c r="Y40" t="inlineStr">
        <is>
          <t>133 (80 - 186)</t>
        </is>
      </c>
      <c r="Z40" t="inlineStr">
        <is>
          <t>143 (102 - 183)</t>
        </is>
      </c>
      <c r="AA40" t="inlineStr">
        <is>
          <t>132 (80 - 186)</t>
        </is>
      </c>
      <c r="AH40" s="44" t="inlineStr">
        <is>
          <t>Admin staff</t>
        </is>
      </c>
      <c r="AI40" s="44" t="inlineStr">
        <is>
          <t>WA</t>
        </is>
      </c>
      <c r="AJ40" s="44" t="inlineStr">
        <is>
          <t>Base Salary</t>
        </is>
      </c>
      <c r="AK40" t="inlineStr">
        <is>
          <t>83 (75 - 90)</t>
        </is>
      </c>
      <c r="AM40" s="44" t="inlineStr">
        <is>
          <t>Medical scientist</t>
        </is>
      </c>
      <c r="AN40" s="44" t="inlineStr">
        <is>
          <t>Base Salary</t>
        </is>
      </c>
      <c r="AO40" t="inlineStr">
        <is>
          <t>133 (87 - 179)</t>
        </is>
      </c>
      <c r="AP40" t="inlineStr">
        <is>
          <t>126 (84 - 168)</t>
        </is>
      </c>
      <c r="AQ40" t="inlineStr">
        <is>
          <t>126 (80 - 172)</t>
        </is>
      </c>
      <c r="AR40" t="inlineStr">
        <is>
          <t>133 (80 - 186)</t>
        </is>
      </c>
      <c r="AS40" t="inlineStr">
        <is>
          <t>143 (102 - 183)</t>
        </is>
      </c>
      <c r="AT40" t="inlineStr">
        <is>
          <t>132 (80 - 186)</t>
        </is>
      </c>
    </row>
    <row r="41">
      <c r="A41" t="inlineStr">
        <is>
          <t>Admin staff</t>
        </is>
      </c>
      <c r="B41" s="44" t="inlineStr">
        <is>
          <t>Professional Development Allowance</t>
        </is>
      </c>
      <c r="C41" t="inlineStr">
        <is>
          <t>SA</t>
        </is>
      </c>
      <c r="D41" s="44" t="n">
        <v>68.20481267517907</v>
      </c>
      <c r="E41" s="44" t="n">
        <v>75.94370297415135</v>
      </c>
      <c r="F41" s="44" t="n">
        <v>83.68259327312363</v>
      </c>
      <c r="I41">
        <f>A41</f>
        <v/>
      </c>
      <c r="J41">
        <f>B41</f>
        <v/>
      </c>
      <c r="K41">
        <f>C41</f>
        <v/>
      </c>
      <c r="L41">
        <f>TEXT(E41, "0,0") &amp; " (" &amp; TEXT(D41, "0,0") &amp; " - " &amp; TEXT(F41, "0,0") &amp; ")"</f>
        <v/>
      </c>
      <c r="O41" t="inlineStr">
        <is>
          <t>Admin staff</t>
        </is>
      </c>
      <c r="P41" t="inlineStr">
        <is>
          <t>Professional Development Allowance</t>
        </is>
      </c>
      <c r="Q41" t="inlineStr">
        <is>
          <t>SA</t>
        </is>
      </c>
      <c r="R41" t="inlineStr">
        <is>
          <t>76 (68 - 84)</t>
        </is>
      </c>
      <c r="T41" s="80" t="n"/>
      <c r="U41" t="inlineStr">
        <is>
          <t>Hours worked</t>
        </is>
      </c>
      <c r="V41" t="inlineStr">
        <is>
          <t>133 (83 - 188)</t>
        </is>
      </c>
      <c r="W41" t="inlineStr">
        <is>
          <t>126 (79 - 176)</t>
        </is>
      </c>
      <c r="X41" t="inlineStr">
        <is>
          <t>126 (76 - 180)</t>
        </is>
      </c>
      <c r="Y41" t="inlineStr">
        <is>
          <t>133 (76 - 195)</t>
        </is>
      </c>
      <c r="Z41" t="inlineStr">
        <is>
          <t>143 (97 - 192)</t>
        </is>
      </c>
      <c r="AA41" t="inlineStr">
        <is>
          <t>132 (74 - 189)</t>
        </is>
      </c>
      <c r="AH41" s="44" t="inlineStr">
        <is>
          <t>Bioinformatics staff</t>
        </is>
      </c>
      <c r="AI41" s="44" t="inlineStr">
        <is>
          <t>ALL</t>
        </is>
      </c>
      <c r="AJ41" s="44" t="inlineStr">
        <is>
          <t>Base Salary</t>
        </is>
      </c>
      <c r="AK41" t="inlineStr">
        <is>
          <t>120 (80 - 168)</t>
        </is>
      </c>
      <c r="AM41" s="44" t="inlineStr">
        <is>
          <t>Pathologists</t>
        </is>
      </c>
      <c r="AN41" s="44" t="inlineStr">
        <is>
          <t>Base Salary</t>
        </is>
      </c>
      <c r="AO41" t="inlineStr">
        <is>
          <t>313 (269 - 356)</t>
        </is>
      </c>
      <c r="AP41" t="inlineStr">
        <is>
          <t>339 (286 - 391)</t>
        </is>
      </c>
      <c r="AQ41" t="inlineStr">
        <is>
          <t>426 (370 - 483)</t>
        </is>
      </c>
      <c r="AR41" t="inlineStr">
        <is>
          <t>398 (337 - 458)</t>
        </is>
      </c>
      <c r="AS41" t="inlineStr">
        <is>
          <t>425 (371 - 478)</t>
        </is>
      </c>
      <c r="AT41" t="inlineStr">
        <is>
          <t>380 (269 - 483)</t>
        </is>
      </c>
    </row>
    <row r="42">
      <c r="A42" t="inlineStr">
        <is>
          <t>Admin staff</t>
        </is>
      </c>
      <c r="B42" s="44" t="inlineStr">
        <is>
          <t>Professional Development Allowance</t>
        </is>
      </c>
      <c r="C42" t="inlineStr">
        <is>
          <t>VIC</t>
        </is>
      </c>
      <c r="D42" s="44" t="n">
        <v>82.41106092338835</v>
      </c>
      <c r="E42" s="44" t="n">
        <v>100.3672047843351</v>
      </c>
      <c r="F42" s="44" t="n">
        <v>118.3233486452818</v>
      </c>
      <c r="I42">
        <f>A42</f>
        <v/>
      </c>
      <c r="J42">
        <f>B42</f>
        <v/>
      </c>
      <c r="K42">
        <f>C42</f>
        <v/>
      </c>
      <c r="L42">
        <f>TEXT(E42, "0,0") &amp; " (" &amp; TEXT(D42, "0,0") &amp; " - " &amp; TEXT(F42, "0,0") &amp; ")"</f>
        <v/>
      </c>
      <c r="O42" t="inlineStr">
        <is>
          <t>Admin staff</t>
        </is>
      </c>
      <c r="P42" t="inlineStr">
        <is>
          <t>Professional Development Allowance</t>
        </is>
      </c>
      <c r="Q42" t="inlineStr">
        <is>
          <t>VIC</t>
        </is>
      </c>
      <c r="R42" t="inlineStr">
        <is>
          <t>100 (82 - 118)</t>
        </is>
      </c>
      <c r="T42" s="80" t="n"/>
      <c r="U42" t="inlineStr">
        <is>
          <t xml:space="preserve">Leave Loading (%)		</t>
        </is>
      </c>
      <c r="V42" t="inlineStr">
        <is>
          <t>133 (87 - 179)</t>
        </is>
      </c>
      <c r="W42" t="inlineStr">
        <is>
          <t>126 (84 - 168)</t>
        </is>
      </c>
      <c r="X42" t="inlineStr">
        <is>
          <t>126 (80 - 172)</t>
        </is>
      </c>
      <c r="Y42" t="inlineStr">
        <is>
          <t>133 (80 - 186)</t>
        </is>
      </c>
      <c r="Z42" t="inlineStr">
        <is>
          <t>143 (102 - 183)</t>
        </is>
      </c>
      <c r="AA42" t="inlineStr">
        <is>
          <t>132 (77 - 180)</t>
        </is>
      </c>
      <c r="AH42" s="44" t="inlineStr">
        <is>
          <t>Bioinformatics staff</t>
        </is>
      </c>
      <c r="AI42" s="44" t="inlineStr">
        <is>
          <t>NSW</t>
        </is>
      </c>
      <c r="AJ42" s="44" t="inlineStr">
        <is>
          <t>Base Salary</t>
        </is>
      </c>
      <c r="AK42" t="inlineStr">
        <is>
          <t>117 (86 - 148)</t>
        </is>
      </c>
    </row>
    <row r="43">
      <c r="A43" t="inlineStr">
        <is>
          <t>Admin staff</t>
        </is>
      </c>
      <c r="B43" s="44" t="inlineStr">
        <is>
          <t>Professional Development Allowance</t>
        </is>
      </c>
      <c r="C43" t="inlineStr">
        <is>
          <t>WA</t>
        </is>
      </c>
      <c r="D43" s="44" t="n">
        <v>75.27544211304888</v>
      </c>
      <c r="E43" s="44" t="n">
        <v>82.77304819370912</v>
      </c>
      <c r="F43" s="44" t="n">
        <v>90.27065427436935</v>
      </c>
      <c r="I43">
        <f>A43</f>
        <v/>
      </c>
      <c r="J43">
        <f>B43</f>
        <v/>
      </c>
      <c r="K43">
        <f>C43</f>
        <v/>
      </c>
      <c r="L43">
        <f>TEXT(E43, "0,0") &amp; " (" &amp; TEXT(D43, "0,0") &amp; " - " &amp; TEXT(F43, "0,0") &amp; ")"</f>
        <v/>
      </c>
      <c r="O43" t="inlineStr">
        <is>
          <t>Admin staff</t>
        </is>
      </c>
      <c r="P43" t="inlineStr">
        <is>
          <t>Professional Development Allowance</t>
        </is>
      </c>
      <c r="Q43" t="inlineStr">
        <is>
          <t>WA</t>
        </is>
      </c>
      <c r="R43" t="inlineStr">
        <is>
          <t>83 (75 - 90)</t>
        </is>
      </c>
      <c r="T43" s="80" t="n"/>
      <c r="U43" t="inlineStr">
        <is>
          <t>Private Practice Loading</t>
        </is>
      </c>
      <c r="V43" t="inlineStr">
        <is>
          <t>133 (87 - 179)</t>
        </is>
      </c>
      <c r="W43" t="inlineStr">
        <is>
          <t>126 (84 - 168)</t>
        </is>
      </c>
      <c r="X43" t="inlineStr">
        <is>
          <t>126 (80 - 172)</t>
        </is>
      </c>
      <c r="Y43" t="inlineStr">
        <is>
          <t>133 (80 - 186)</t>
        </is>
      </c>
      <c r="Z43" t="inlineStr">
        <is>
          <t>143 (102 - 183)</t>
        </is>
      </c>
      <c r="AA43" t="inlineStr">
        <is>
          <t>132 (77 - 180)</t>
        </is>
      </c>
      <c r="AH43" s="44" t="inlineStr">
        <is>
          <t>Bioinformatics staff</t>
        </is>
      </c>
      <c r="AI43" s="44" t="inlineStr">
        <is>
          <t>QLD</t>
        </is>
      </c>
      <c r="AJ43" s="44" t="inlineStr">
        <is>
          <t>Base Salary</t>
        </is>
      </c>
      <c r="AK43" t="inlineStr">
        <is>
          <t>126 (84 - 168)</t>
        </is>
      </c>
    </row>
    <row r="44">
      <c r="A44" t="inlineStr">
        <is>
          <t>Admin staff</t>
        </is>
      </c>
      <c r="B44" s="44" t="inlineStr">
        <is>
          <t>Public Holiday Penalty</t>
        </is>
      </c>
      <c r="C44" t="inlineStr">
        <is>
          <t>ALL</t>
        </is>
      </c>
      <c r="D44" s="44" t="n">
        <v>59.16763453752725</v>
      </c>
      <c r="E44" s="44" t="n">
        <v>80.98523986795389</v>
      </c>
      <c r="F44" s="44" t="n">
        <v>113.7550093428838</v>
      </c>
      <c r="I44">
        <f>A44</f>
        <v/>
      </c>
      <c r="J44">
        <f>B44</f>
        <v/>
      </c>
      <c r="K44">
        <f>C44</f>
        <v/>
      </c>
      <c r="L44">
        <f>TEXT(E44, "0,0") &amp; " (" &amp; TEXT(D44, "0,0") &amp; " - " &amp; TEXT(F44, "0,0") &amp; ")"</f>
        <v/>
      </c>
      <c r="O44" t="inlineStr">
        <is>
          <t>Admin staff</t>
        </is>
      </c>
      <c r="P44" t="inlineStr">
        <is>
          <t>Public Holiday Penalty</t>
        </is>
      </c>
      <c r="Q44" t="inlineStr">
        <is>
          <t>ALL</t>
        </is>
      </c>
      <c r="R44" t="inlineStr">
        <is>
          <t>81 (59 - 114)</t>
        </is>
      </c>
      <c r="T44" s="80" t="n"/>
      <c r="U44" t="inlineStr">
        <is>
          <t>Professional Development Allowance</t>
        </is>
      </c>
      <c r="V44" t="inlineStr">
        <is>
          <t>133 (87 - 179)</t>
        </is>
      </c>
      <c r="W44" t="inlineStr">
        <is>
          <t>126 (84 - 168)</t>
        </is>
      </c>
      <c r="X44" t="inlineStr">
        <is>
          <t>126 (80 - 172)</t>
        </is>
      </c>
      <c r="Y44" t="inlineStr">
        <is>
          <t>133 (80 - 186)</t>
        </is>
      </c>
      <c r="Z44" t="inlineStr">
        <is>
          <t>143 (102 - 183)</t>
        </is>
      </c>
      <c r="AA44" t="inlineStr">
        <is>
          <t>132 (77 - 180)</t>
        </is>
      </c>
      <c r="AH44" s="44" t="inlineStr">
        <is>
          <t>Bioinformatics staff</t>
        </is>
      </c>
      <c r="AI44" s="44" t="inlineStr">
        <is>
          <t>SA</t>
        </is>
      </c>
      <c r="AJ44" s="44" t="inlineStr">
        <is>
          <t>Base Salary</t>
        </is>
      </c>
      <c r="AK44" t="inlineStr">
        <is>
          <t>110 (80 - 140)</t>
        </is>
      </c>
    </row>
    <row r="45">
      <c r="A45" t="inlineStr">
        <is>
          <t>Admin staff</t>
        </is>
      </c>
      <c r="B45" s="44" t="inlineStr">
        <is>
          <t>Public Holiday Penalty</t>
        </is>
      </c>
      <c r="C45" t="inlineStr">
        <is>
          <t>NSW</t>
        </is>
      </c>
      <c r="D45" s="44" t="n">
        <v>57.60333489878541</v>
      </c>
      <c r="E45" s="44" t="n">
        <v>69.43560540485831</v>
      </c>
      <c r="F45" s="44" t="n">
        <v>81.30508696356276</v>
      </c>
      <c r="I45">
        <f>A45</f>
        <v/>
      </c>
      <c r="J45">
        <f>B45</f>
        <v/>
      </c>
      <c r="K45">
        <f>C45</f>
        <v/>
      </c>
      <c r="L45">
        <f>TEXT(E45, "0,0") &amp; " (" &amp; TEXT(D45, "0,0") &amp; " - " &amp; TEXT(F45, "0,0") &amp; ")"</f>
        <v/>
      </c>
      <c r="O45" t="inlineStr">
        <is>
          <t>Admin staff</t>
        </is>
      </c>
      <c r="P45" t="inlineStr">
        <is>
          <t>Public Holiday Penalty</t>
        </is>
      </c>
      <c r="Q45" t="inlineStr">
        <is>
          <t>NSW</t>
        </is>
      </c>
      <c r="R45" t="inlineStr">
        <is>
          <t>69 (58 - 81)</t>
        </is>
      </c>
      <c r="T45" s="80" t="n"/>
      <c r="U45" t="inlineStr">
        <is>
          <t>Public Holiday Penalty</t>
        </is>
      </c>
      <c r="V45" t="inlineStr">
        <is>
          <t>133 (87 - 180)</t>
        </is>
      </c>
      <c r="W45" t="inlineStr">
        <is>
          <t>126 (83 - 169)</t>
        </is>
      </c>
      <c r="X45" t="inlineStr">
        <is>
          <t>126 (80 - 172)</t>
        </is>
      </c>
      <c r="Y45" t="inlineStr">
        <is>
          <t>133 (80 - 186)</t>
        </is>
      </c>
      <c r="Z45" t="inlineStr">
        <is>
          <t>143 (102 - 184)</t>
        </is>
      </c>
      <c r="AA45" t="inlineStr">
        <is>
          <t>132 (77 - 181)</t>
        </is>
      </c>
      <c r="AH45" s="44" t="inlineStr">
        <is>
          <t>Bioinformatics staff</t>
        </is>
      </c>
      <c r="AI45" s="44" t="inlineStr">
        <is>
          <t>VIC</t>
        </is>
      </c>
      <c r="AJ45" s="44" t="inlineStr">
        <is>
          <t>Base Salary</t>
        </is>
      </c>
      <c r="AK45" t="inlineStr">
        <is>
          <t>132 (103 - 161)</t>
        </is>
      </c>
    </row>
    <row r="46">
      <c r="A46" t="inlineStr">
        <is>
          <t>Admin staff</t>
        </is>
      </c>
      <c r="B46" s="44" t="inlineStr">
        <is>
          <t>Public Holiday Penalty</t>
        </is>
      </c>
      <c r="C46" t="inlineStr">
        <is>
          <t>QLD</t>
        </is>
      </c>
      <c r="D46" s="44" t="n">
        <v>57.95699922142635</v>
      </c>
      <c r="E46" s="44" t="n">
        <v>77.38128143491123</v>
      </c>
      <c r="F46" s="44" t="n">
        <v>96.8749629398941</v>
      </c>
      <c r="I46">
        <f>A46</f>
        <v/>
      </c>
      <c r="J46">
        <f>B46</f>
        <v/>
      </c>
      <c r="K46">
        <f>C46</f>
        <v/>
      </c>
      <c r="L46">
        <f>TEXT(E46, "0,0") &amp; " (" &amp; TEXT(D46, "0,0") &amp; " - " &amp; TEXT(F46, "0,0") &amp; ")"</f>
        <v/>
      </c>
      <c r="O46" t="inlineStr">
        <is>
          <t>Admin staff</t>
        </is>
      </c>
      <c r="P46" t="inlineStr">
        <is>
          <t>Public Holiday Penalty</t>
        </is>
      </c>
      <c r="Q46" t="inlineStr">
        <is>
          <t>QLD</t>
        </is>
      </c>
      <c r="R46" t="inlineStr">
        <is>
          <t>77 (58 - 97)</t>
        </is>
      </c>
      <c r="T46" s="80" t="n"/>
      <c r="U46" t="inlineStr">
        <is>
          <t>Sick Leave</t>
        </is>
      </c>
      <c r="V46" t="inlineStr">
        <is>
          <t>133 (87 - 179)</t>
        </is>
      </c>
      <c r="W46" t="inlineStr">
        <is>
          <t>126 (84 - 168)</t>
        </is>
      </c>
      <c r="X46" t="inlineStr">
        <is>
          <t>126 (80 - 172)</t>
        </is>
      </c>
      <c r="Y46" t="inlineStr">
        <is>
          <t>133 (80 - 186)</t>
        </is>
      </c>
      <c r="Z46" t="inlineStr">
        <is>
          <t>143 (102 - 183)</t>
        </is>
      </c>
      <c r="AA46" t="inlineStr">
        <is>
          <t>132 (77 - 180)</t>
        </is>
      </c>
      <c r="AH46" s="44" t="inlineStr">
        <is>
          <t>Bioinformatics staff</t>
        </is>
      </c>
      <c r="AI46" s="44" t="inlineStr">
        <is>
          <t>WA</t>
        </is>
      </c>
      <c r="AJ46" s="44" t="inlineStr">
        <is>
          <t>Base Salary</t>
        </is>
      </c>
      <c r="AK46" t="inlineStr">
        <is>
          <t>113 (104 - 122)</t>
        </is>
      </c>
    </row>
    <row r="47">
      <c r="A47" t="inlineStr">
        <is>
          <t>Admin staff</t>
        </is>
      </c>
      <c r="B47" s="44" t="inlineStr">
        <is>
          <t>Public Holiday Penalty</t>
        </is>
      </c>
      <c r="C47" t="inlineStr">
        <is>
          <t>SA</t>
        </is>
      </c>
      <c r="D47" s="44" t="n">
        <v>68.04639263469325</v>
      </c>
      <c r="E47" s="44" t="n">
        <v>75.94370297415135</v>
      </c>
      <c r="F47" s="44" t="n">
        <v>83.85929367798194</v>
      </c>
      <c r="I47">
        <f>A47</f>
        <v/>
      </c>
      <c r="J47">
        <f>B47</f>
        <v/>
      </c>
      <c r="K47">
        <f>C47</f>
        <v/>
      </c>
      <c r="L47">
        <f>TEXT(E47, "0,0") &amp; " (" &amp; TEXT(D47, "0,0") &amp; " - " &amp; TEXT(F47, "0,0") &amp; ")"</f>
        <v/>
      </c>
      <c r="O47" t="inlineStr">
        <is>
          <t>Admin staff</t>
        </is>
      </c>
      <c r="P47" t="inlineStr">
        <is>
          <t>Public Holiday Penalty</t>
        </is>
      </c>
      <c r="Q47" t="inlineStr">
        <is>
          <t>SA</t>
        </is>
      </c>
      <c r="R47" t="inlineStr">
        <is>
          <t>76 (68 - 84)</t>
        </is>
      </c>
      <c r="T47" s="80" t="n"/>
      <c r="U47" t="inlineStr">
        <is>
          <t>Superannuation</t>
        </is>
      </c>
      <c r="V47" t="inlineStr">
        <is>
          <t>133 (87 - 181)</t>
        </is>
      </c>
      <c r="W47" t="inlineStr">
        <is>
          <t>126 (83 - 169)</t>
        </is>
      </c>
      <c r="X47" t="inlineStr">
        <is>
          <t>126 (80 - 173)</t>
        </is>
      </c>
      <c r="Y47" t="inlineStr">
        <is>
          <t>133 (80 - 187)</t>
        </is>
      </c>
      <c r="Z47" t="inlineStr">
        <is>
          <t>143 (102 - 185)</t>
        </is>
      </c>
      <c r="AA47" t="inlineStr">
        <is>
          <t>132 (77 - 181)</t>
        </is>
      </c>
      <c r="AH47" s="44" t="inlineStr">
        <is>
          <t>Lab technician</t>
        </is>
      </c>
      <c r="AI47" s="44" t="inlineStr">
        <is>
          <t>ALL</t>
        </is>
      </c>
      <c r="AJ47" s="44" t="inlineStr">
        <is>
          <t>Base Salary</t>
        </is>
      </c>
      <c r="AK47" t="inlineStr">
        <is>
          <t>97 (59 - 143)</t>
        </is>
      </c>
    </row>
    <row r="48">
      <c r="A48" t="inlineStr">
        <is>
          <t>Admin staff</t>
        </is>
      </c>
      <c r="B48" s="44" t="inlineStr">
        <is>
          <t>Public Holiday Penalty</t>
        </is>
      </c>
      <c r="C48" t="inlineStr">
        <is>
          <t>VIC</t>
        </is>
      </c>
      <c r="D48" s="44" t="n">
        <v>82.23375550840859</v>
      </c>
      <c r="E48" s="44" t="n">
        <v>100.3672047843351</v>
      </c>
      <c r="F48" s="44" t="n">
        <v>118.5547757707879</v>
      </c>
      <c r="I48">
        <f>A48</f>
        <v/>
      </c>
      <c r="J48">
        <f>B48</f>
        <v/>
      </c>
      <c r="K48">
        <f>C48</f>
        <v/>
      </c>
      <c r="L48">
        <f>TEXT(E48, "0,0") &amp; " (" &amp; TEXT(D48, "0,0") &amp; " - " &amp; TEXT(F48, "0,0") &amp; ")"</f>
        <v/>
      </c>
      <c r="O48" t="inlineStr">
        <is>
          <t>Admin staff</t>
        </is>
      </c>
      <c r="P48" t="inlineStr">
        <is>
          <t>Public Holiday Penalty</t>
        </is>
      </c>
      <c r="Q48" t="inlineStr">
        <is>
          <t>VIC</t>
        </is>
      </c>
      <c r="R48" t="inlineStr">
        <is>
          <t>100 (82 - 119)</t>
        </is>
      </c>
      <c r="T48" s="80" t="inlineStr">
        <is>
          <t>Pathologists</t>
        </is>
      </c>
      <c r="U48" t="inlineStr">
        <is>
          <t>Annual Leave</t>
        </is>
      </c>
      <c r="V48" t="inlineStr">
        <is>
          <t>313 (269 - 356)</t>
        </is>
      </c>
      <c r="W48" t="inlineStr">
        <is>
          <t>339 (286 - 391)</t>
        </is>
      </c>
      <c r="X48" t="inlineStr">
        <is>
          <t>426 (370 - 483)</t>
        </is>
      </c>
      <c r="Y48" t="inlineStr">
        <is>
          <t>398 (337 - 458)</t>
        </is>
      </c>
      <c r="Z48" t="inlineStr">
        <is>
          <t>425 (371 - 478)</t>
        </is>
      </c>
      <c r="AA48" t="inlineStr">
        <is>
          <t>384 (263 - 551)</t>
        </is>
      </c>
      <c r="AH48" s="44" t="inlineStr">
        <is>
          <t>Lab technician</t>
        </is>
      </c>
      <c r="AI48" s="44" t="inlineStr">
        <is>
          <t>NSW</t>
        </is>
      </c>
      <c r="AJ48" s="44" t="inlineStr">
        <is>
          <t>Base Salary</t>
        </is>
      </c>
      <c r="AK48" t="inlineStr">
        <is>
          <t>93 (72 - 114)</t>
        </is>
      </c>
    </row>
    <row r="49">
      <c r="A49" t="inlineStr">
        <is>
          <t>Admin staff</t>
        </is>
      </c>
      <c r="B49" s="44" t="inlineStr">
        <is>
          <t>Public Holiday Penalty</t>
        </is>
      </c>
      <c r="C49" t="inlineStr">
        <is>
          <t>WA</t>
        </is>
      </c>
      <c r="D49" s="44" t="n">
        <v>75.11517667782623</v>
      </c>
      <c r="E49" s="44" t="n">
        <v>82.77304819370912</v>
      </c>
      <c r="F49" s="44" t="n">
        <v>90.44537340392401</v>
      </c>
      <c r="I49">
        <f>A49</f>
        <v/>
      </c>
      <c r="J49">
        <f>B49</f>
        <v/>
      </c>
      <c r="K49">
        <f>C49</f>
        <v/>
      </c>
      <c r="L49">
        <f>TEXT(E49, "0,0") &amp; " (" &amp; TEXT(D49, "0,0") &amp; " - " &amp; TEXT(F49, "0,0") &amp; ")"</f>
        <v/>
      </c>
      <c r="O49" t="inlineStr">
        <is>
          <t>Admin staff</t>
        </is>
      </c>
      <c r="P49" t="inlineStr">
        <is>
          <t>Public Holiday Penalty</t>
        </is>
      </c>
      <c r="Q49" t="inlineStr">
        <is>
          <t>WA</t>
        </is>
      </c>
      <c r="R49" t="inlineStr">
        <is>
          <t>83 (75 - 90)</t>
        </is>
      </c>
      <c r="T49" s="80" t="n"/>
      <c r="U49" t="inlineStr">
        <is>
          <t>Attraction and Retention Allowance</t>
        </is>
      </c>
      <c r="V49" t="inlineStr">
        <is>
          <t>313 (269 - 356)</t>
        </is>
      </c>
      <c r="W49" t="inlineStr">
        <is>
          <t>339 (286 - 391)</t>
        </is>
      </c>
      <c r="X49" t="inlineStr">
        <is>
          <t>426 (370 - 483)</t>
        </is>
      </c>
      <c r="Y49" t="inlineStr">
        <is>
          <t>398 (337 - 458)</t>
        </is>
      </c>
      <c r="Z49" t="inlineStr">
        <is>
          <t>425 (371 - 478)</t>
        </is>
      </c>
      <c r="AA49" t="inlineStr">
        <is>
          <t>384 (263 - 551)</t>
        </is>
      </c>
      <c r="AH49" s="44" t="inlineStr">
        <is>
          <t>Lab technician</t>
        </is>
      </c>
      <c r="AI49" s="44" t="inlineStr">
        <is>
          <t>QLD</t>
        </is>
      </c>
      <c r="AJ49" s="44" t="inlineStr">
        <is>
          <t>Base Salary</t>
        </is>
      </c>
      <c r="AK49" t="inlineStr">
        <is>
          <t>85 (59 - 111)</t>
        </is>
      </c>
    </row>
    <row r="50">
      <c r="A50" t="inlineStr">
        <is>
          <t>Admin staff</t>
        </is>
      </c>
      <c r="B50" s="44" t="inlineStr">
        <is>
          <t>Sick Leave</t>
        </is>
      </c>
      <c r="C50" t="inlineStr">
        <is>
          <t>ALL</t>
        </is>
      </c>
      <c r="D50" s="44" t="n">
        <v>59.30041388975397</v>
      </c>
      <c r="E50" s="44" t="n">
        <v>80.98523986795389</v>
      </c>
      <c r="F50" s="44" t="n">
        <v>113.5235822173778</v>
      </c>
      <c r="I50">
        <f>A50</f>
        <v/>
      </c>
      <c r="J50">
        <f>B50</f>
        <v/>
      </c>
      <c r="K50">
        <f>C50</f>
        <v/>
      </c>
      <c r="L50">
        <f>TEXT(E50, "0,0") &amp; " (" &amp; TEXT(D50, "0,0") &amp; " - " &amp; TEXT(F50, "0,0") &amp; ")"</f>
        <v/>
      </c>
      <c r="O50" t="inlineStr">
        <is>
          <t>Admin staff</t>
        </is>
      </c>
      <c r="P50" t="inlineStr">
        <is>
          <t>Sick Leave</t>
        </is>
      </c>
      <c r="Q50" t="inlineStr">
        <is>
          <t>ALL</t>
        </is>
      </c>
      <c r="R50" t="inlineStr">
        <is>
          <t>81 (59 - 114)</t>
        </is>
      </c>
      <c r="T50" s="80" t="n"/>
      <c r="U50" t="inlineStr">
        <is>
          <t>Average Penalties</t>
        </is>
      </c>
      <c r="V50" t="inlineStr">
        <is>
          <t>313 (269 - 393)</t>
        </is>
      </c>
      <c r="W50" t="inlineStr">
        <is>
          <t>339 (286 - 431)</t>
        </is>
      </c>
      <c r="X50" t="inlineStr">
        <is>
          <t>426 (370 - 527)</t>
        </is>
      </c>
      <c r="Y50" t="inlineStr">
        <is>
          <t>398 (337 - 511)</t>
        </is>
      </c>
      <c r="Z50" t="inlineStr">
        <is>
          <t>425 (371 - 536)</t>
        </is>
      </c>
      <c r="AA50" t="inlineStr">
        <is>
          <t>384 (263 - 610)</t>
        </is>
      </c>
      <c r="AH50" s="44" t="inlineStr">
        <is>
          <t>Lab technician</t>
        </is>
      </c>
      <c r="AI50" s="44" t="inlineStr">
        <is>
          <t>SA</t>
        </is>
      </c>
      <c r="AJ50" s="44" t="inlineStr">
        <is>
          <t>Base Salary</t>
        </is>
      </c>
      <c r="AK50" t="inlineStr">
        <is>
          <t>93 (65 - 121)</t>
        </is>
      </c>
    </row>
    <row r="51">
      <c r="A51" t="inlineStr">
        <is>
          <t>Admin staff</t>
        </is>
      </c>
      <c r="B51" s="44" t="inlineStr">
        <is>
          <t>Sick Leave</t>
        </is>
      </c>
      <c r="C51" t="inlineStr">
        <is>
          <t>NSW</t>
        </is>
      </c>
      <c r="D51" s="44" t="n">
        <v>57.73744226720648</v>
      </c>
      <c r="E51" s="44" t="n">
        <v>69.43560540485831</v>
      </c>
      <c r="F51" s="44" t="n">
        <v>81.13376854251011</v>
      </c>
      <c r="I51">
        <f>A51</f>
        <v/>
      </c>
      <c r="J51">
        <f>B51</f>
        <v/>
      </c>
      <c r="K51">
        <f>C51</f>
        <v/>
      </c>
      <c r="L51">
        <f>TEXT(E51, "0,0") &amp; " (" &amp; TEXT(D51, "0,0") &amp; " - " &amp; TEXT(F51, "0,0") &amp; ")"</f>
        <v/>
      </c>
      <c r="O51" t="inlineStr">
        <is>
          <t>Admin staff</t>
        </is>
      </c>
      <c r="P51" t="inlineStr">
        <is>
          <t>Sick Leave</t>
        </is>
      </c>
      <c r="Q51" t="inlineStr">
        <is>
          <t>NSW</t>
        </is>
      </c>
      <c r="R51" t="inlineStr">
        <is>
          <t>69 (58 - 81)</t>
        </is>
      </c>
      <c r="U51" s="44" t="inlineStr">
        <is>
          <t>Base Salary</t>
        </is>
      </c>
      <c r="V51" t="inlineStr">
        <is>
          <t>313 (269 - 356)</t>
        </is>
      </c>
      <c r="W51" t="inlineStr">
        <is>
          <t>339 (286 - 391)</t>
        </is>
      </c>
      <c r="X51" t="inlineStr">
        <is>
          <t>426 (370 - 483)</t>
        </is>
      </c>
      <c r="Y51" t="inlineStr">
        <is>
          <t>398 (337 - 458)</t>
        </is>
      </c>
      <c r="Z51" t="inlineStr">
        <is>
          <t>425 (371 - 478)</t>
        </is>
      </c>
      <c r="AA51" t="inlineStr">
        <is>
          <t>380 (269 - 483)</t>
        </is>
      </c>
      <c r="AH51" s="44" t="inlineStr">
        <is>
          <t>Lab technician</t>
        </is>
      </c>
      <c r="AI51" s="44" t="inlineStr">
        <is>
          <t>VIC</t>
        </is>
      </c>
      <c r="AJ51" s="44" t="inlineStr">
        <is>
          <t>Base Salary</t>
        </is>
      </c>
      <c r="AK51" t="inlineStr">
        <is>
          <t>123 (103 - 143)</t>
        </is>
      </c>
    </row>
    <row r="52">
      <c r="A52" t="inlineStr">
        <is>
          <t>Admin staff</t>
        </is>
      </c>
      <c r="B52" s="44" t="inlineStr">
        <is>
          <t>Sick Leave</t>
        </is>
      </c>
      <c r="C52" t="inlineStr">
        <is>
          <t>QLD</t>
        </is>
      </c>
      <c r="D52" s="44" t="n">
        <v>58.08977857365307</v>
      </c>
      <c r="E52" s="44" t="n">
        <v>77.38128143491123</v>
      </c>
      <c r="F52" s="44" t="n">
        <v>96.67278429616943</v>
      </c>
      <c r="I52">
        <f>A52</f>
        <v/>
      </c>
      <c r="J52">
        <f>B52</f>
        <v/>
      </c>
      <c r="K52">
        <f>C52</f>
        <v/>
      </c>
      <c r="L52">
        <f>TEXT(E52, "0,0") &amp; " (" &amp; TEXT(D52, "0,0") &amp; " - " &amp; TEXT(F52, "0,0") &amp; ")"</f>
        <v/>
      </c>
      <c r="O52" t="inlineStr">
        <is>
          <t>Admin staff</t>
        </is>
      </c>
      <c r="P52" t="inlineStr">
        <is>
          <t>Sick Leave</t>
        </is>
      </c>
      <c r="Q52" t="inlineStr">
        <is>
          <t>QLD</t>
        </is>
      </c>
      <c r="R52" t="inlineStr">
        <is>
          <t>77 (58 - 97)</t>
        </is>
      </c>
      <c r="T52" s="80" t="n"/>
      <c r="U52" t="inlineStr">
        <is>
          <t>Hours worked</t>
        </is>
      </c>
      <c r="V52" t="inlineStr">
        <is>
          <t>313 (255 - 373)</t>
        </is>
      </c>
      <c r="W52" t="inlineStr">
        <is>
          <t>339 (271 - 410)</t>
        </is>
      </c>
      <c r="X52" t="inlineStr">
        <is>
          <t>426 (351 - 506)</t>
        </is>
      </c>
      <c r="Y52" t="inlineStr">
        <is>
          <t>398 (321 - 480)</t>
        </is>
      </c>
      <c r="Z52" t="inlineStr">
        <is>
          <t>425 (353 - 500)</t>
        </is>
      </c>
      <c r="AA52" t="inlineStr">
        <is>
          <t>384 (250 - 577)</t>
        </is>
      </c>
      <c r="AH52" s="44" t="inlineStr">
        <is>
          <t>Lab technician</t>
        </is>
      </c>
      <c r="AI52" s="44" t="inlineStr">
        <is>
          <t>WA</t>
        </is>
      </c>
      <c r="AJ52" s="44" t="inlineStr">
        <is>
          <t>Base Salary</t>
        </is>
      </c>
      <c r="AK52" t="inlineStr">
        <is>
          <t>93 (75 - 111)</t>
        </is>
      </c>
    </row>
    <row r="53">
      <c r="A53" t="inlineStr">
        <is>
          <t>Admin staff</t>
        </is>
      </c>
      <c r="B53" s="44" t="inlineStr">
        <is>
          <t>Sick Leave</t>
        </is>
      </c>
      <c r="C53" t="inlineStr">
        <is>
          <t>SA</t>
        </is>
      </c>
      <c r="D53" s="44" t="n">
        <v>68.20481267517907</v>
      </c>
      <c r="E53" s="44" t="n">
        <v>75.94370297415135</v>
      </c>
      <c r="F53" s="44" t="n">
        <v>83.68259327312363</v>
      </c>
      <c r="I53">
        <f>A53</f>
        <v/>
      </c>
      <c r="J53">
        <f>B53</f>
        <v/>
      </c>
      <c r="K53">
        <f>C53</f>
        <v/>
      </c>
      <c r="L53">
        <f>TEXT(E53, "0,0") &amp; " (" &amp; TEXT(D53, "0,0") &amp; " - " &amp; TEXT(F53, "0,0") &amp; ")"</f>
        <v/>
      </c>
      <c r="O53" t="inlineStr">
        <is>
          <t>Admin staff</t>
        </is>
      </c>
      <c r="P53" t="inlineStr">
        <is>
          <t>Sick Leave</t>
        </is>
      </c>
      <c r="Q53" t="inlineStr">
        <is>
          <t>SA</t>
        </is>
      </c>
      <c r="R53" t="inlineStr">
        <is>
          <t>76 (68 - 84)</t>
        </is>
      </c>
      <c r="T53" s="80" t="n"/>
      <c r="U53" t="inlineStr">
        <is>
          <t xml:space="preserve">Leave Loading (%)		</t>
        </is>
      </c>
      <c r="V53" t="inlineStr">
        <is>
          <t>313 (269 - 356)</t>
        </is>
      </c>
      <c r="W53" t="inlineStr">
        <is>
          <t>339 (286 - 391)</t>
        </is>
      </c>
      <c r="X53" t="inlineStr">
        <is>
          <t>426 (370 - 483)</t>
        </is>
      </c>
      <c r="Y53" t="inlineStr">
        <is>
          <t>398 (337 - 458)</t>
        </is>
      </c>
      <c r="Z53" t="inlineStr">
        <is>
          <t>425 (371 - 478)</t>
        </is>
      </c>
      <c r="AA53" t="inlineStr">
        <is>
          <t>384 (263 - 551)</t>
        </is>
      </c>
      <c r="AH53" s="44" t="inlineStr">
        <is>
          <t>Medical scientist</t>
        </is>
      </c>
      <c r="AI53" s="44" t="inlineStr">
        <is>
          <t>ALL</t>
        </is>
      </c>
      <c r="AJ53" s="44" t="inlineStr">
        <is>
          <t>Base Salary</t>
        </is>
      </c>
      <c r="AK53" t="inlineStr">
        <is>
          <t>132 (80 - 186)</t>
        </is>
      </c>
    </row>
    <row r="54">
      <c r="A54" t="inlineStr">
        <is>
          <t>Admin staff</t>
        </is>
      </c>
      <c r="B54" s="44" t="inlineStr">
        <is>
          <t>Sick Leave</t>
        </is>
      </c>
      <c r="C54" t="inlineStr">
        <is>
          <t>VIC</t>
        </is>
      </c>
      <c r="D54" s="44" t="n">
        <v>82.41106092338835</v>
      </c>
      <c r="E54" s="44" t="n">
        <v>100.3672047843351</v>
      </c>
      <c r="F54" s="44" t="n">
        <v>118.3233486452818</v>
      </c>
      <c r="I54">
        <f>A54</f>
        <v/>
      </c>
      <c r="J54">
        <f>B54</f>
        <v/>
      </c>
      <c r="K54">
        <f>C54</f>
        <v/>
      </c>
      <c r="L54">
        <f>TEXT(E54, "0,0") &amp; " (" &amp; TEXT(D54, "0,0") &amp; " - " &amp; TEXT(F54, "0,0") &amp; ")"</f>
        <v/>
      </c>
      <c r="O54" t="inlineStr">
        <is>
          <t>Admin staff</t>
        </is>
      </c>
      <c r="P54" t="inlineStr">
        <is>
          <t>Sick Leave</t>
        </is>
      </c>
      <c r="Q54" t="inlineStr">
        <is>
          <t>VIC</t>
        </is>
      </c>
      <c r="R54" t="inlineStr">
        <is>
          <t>100 (82 - 118)</t>
        </is>
      </c>
      <c r="T54" s="80" t="n"/>
      <c r="U54" t="inlineStr">
        <is>
          <t>Private Practice Loading</t>
        </is>
      </c>
      <c r="V54" t="inlineStr">
        <is>
          <t>313 (269 - 356)</t>
        </is>
      </c>
      <c r="W54" t="inlineStr">
        <is>
          <t>339 (286 - 391)</t>
        </is>
      </c>
      <c r="X54" t="inlineStr">
        <is>
          <t>426 (370 - 483)</t>
        </is>
      </c>
      <c r="Y54" t="inlineStr">
        <is>
          <t>398 (337 - 458)</t>
        </is>
      </c>
      <c r="Z54" t="inlineStr">
        <is>
          <t>425 (371 - 478)</t>
        </is>
      </c>
      <c r="AA54" t="inlineStr">
        <is>
          <t>384 (263 - 551)</t>
        </is>
      </c>
      <c r="AH54" s="44" t="inlineStr">
        <is>
          <t>Medical scientist</t>
        </is>
      </c>
      <c r="AI54" s="44" t="inlineStr">
        <is>
          <t>NSW</t>
        </is>
      </c>
      <c r="AJ54" s="44" t="inlineStr">
        <is>
          <t>Base Salary</t>
        </is>
      </c>
      <c r="AK54" t="inlineStr">
        <is>
          <t>133 (87 - 179)</t>
        </is>
      </c>
    </row>
    <row r="55">
      <c r="A55" t="inlineStr">
        <is>
          <t>Admin staff</t>
        </is>
      </c>
      <c r="B55" s="44" t="inlineStr">
        <is>
          <t>Sick Leave</t>
        </is>
      </c>
      <c r="C55" t="inlineStr">
        <is>
          <t>WA</t>
        </is>
      </c>
      <c r="D55" s="44" t="n">
        <v>75.27544211304888</v>
      </c>
      <c r="E55" s="44" t="n">
        <v>82.77304819370912</v>
      </c>
      <c r="F55" s="44" t="n">
        <v>90.27065427436935</v>
      </c>
      <c r="I55">
        <f>A55</f>
        <v/>
      </c>
      <c r="J55">
        <f>B55</f>
        <v/>
      </c>
      <c r="K55">
        <f>C55</f>
        <v/>
      </c>
      <c r="L55">
        <f>TEXT(E55, "0,0") &amp; " (" &amp; TEXT(D55, "0,0") &amp; " - " &amp; TEXT(F55, "0,0") &amp; ")"</f>
        <v/>
      </c>
      <c r="O55" t="inlineStr">
        <is>
          <t>Admin staff</t>
        </is>
      </c>
      <c r="P55" t="inlineStr">
        <is>
          <t>Sick Leave</t>
        </is>
      </c>
      <c r="Q55" t="inlineStr">
        <is>
          <t>WA</t>
        </is>
      </c>
      <c r="R55" t="inlineStr">
        <is>
          <t>83 (75 - 90)</t>
        </is>
      </c>
      <c r="T55" s="80" t="n"/>
      <c r="U55" t="inlineStr">
        <is>
          <t>Professional Development Allowance</t>
        </is>
      </c>
      <c r="V55" t="inlineStr">
        <is>
          <t>313 (269 - 356)</t>
        </is>
      </c>
      <c r="W55" t="inlineStr">
        <is>
          <t>339 (286 - 391)</t>
        </is>
      </c>
      <c r="X55" t="inlineStr">
        <is>
          <t>426 (370 - 483)</t>
        </is>
      </c>
      <c r="Y55" t="inlineStr">
        <is>
          <t>398 (337 - 458)</t>
        </is>
      </c>
      <c r="Z55" t="inlineStr">
        <is>
          <t>425 (371 - 478)</t>
        </is>
      </c>
      <c r="AA55" t="inlineStr">
        <is>
          <t>384 (263 - 551)</t>
        </is>
      </c>
      <c r="AH55" s="44" t="inlineStr">
        <is>
          <t>Medical scientist</t>
        </is>
      </c>
      <c r="AI55" s="44" t="inlineStr">
        <is>
          <t>QLD</t>
        </is>
      </c>
      <c r="AJ55" s="44" t="inlineStr">
        <is>
          <t>Base Salary</t>
        </is>
      </c>
      <c r="AK55" t="inlineStr">
        <is>
          <t>126 (84 - 168)</t>
        </is>
      </c>
    </row>
    <row r="56">
      <c r="A56" t="inlineStr">
        <is>
          <t>Admin staff</t>
        </is>
      </c>
      <c r="B56" s="44" t="inlineStr">
        <is>
          <t>Superannuation</t>
        </is>
      </c>
      <c r="C56" t="inlineStr">
        <is>
          <t>ALL</t>
        </is>
      </c>
      <c r="D56" s="44" t="n">
        <v>59.17970538772967</v>
      </c>
      <c r="E56" s="44" t="n">
        <v>80.98523986795389</v>
      </c>
      <c r="F56" s="44" t="n">
        <v>114.333577156649</v>
      </c>
      <c r="I56">
        <f>A56</f>
        <v/>
      </c>
      <c r="J56">
        <f>B56</f>
        <v/>
      </c>
      <c r="K56">
        <f>C56</f>
        <v/>
      </c>
      <c r="L56">
        <f>TEXT(E56, "0,0") &amp; " (" &amp; TEXT(D56, "0,0") &amp; " - " &amp; TEXT(F56, "0,0") &amp; ")"</f>
        <v/>
      </c>
      <c r="O56" t="inlineStr">
        <is>
          <t>Admin staff</t>
        </is>
      </c>
      <c r="P56" t="inlineStr">
        <is>
          <t>Superannuation</t>
        </is>
      </c>
      <c r="Q56" t="inlineStr">
        <is>
          <t>ALL</t>
        </is>
      </c>
      <c r="R56" t="inlineStr">
        <is>
          <t>81 (59 - 114)</t>
        </is>
      </c>
      <c r="T56" s="80" t="n"/>
      <c r="U56" t="inlineStr">
        <is>
          <t>Public Holiday Penalty</t>
        </is>
      </c>
      <c r="V56" t="inlineStr">
        <is>
          <t>313 (268 - 357)</t>
        </is>
      </c>
      <c r="W56" t="inlineStr">
        <is>
          <t>339 (285 - 392)</t>
        </is>
      </c>
      <c r="X56" t="inlineStr">
        <is>
          <t>426 (369 - 484)</t>
        </is>
      </c>
      <c r="Y56" t="inlineStr">
        <is>
          <t>398 (337 - 459)</t>
        </is>
      </c>
      <c r="Z56" t="inlineStr">
        <is>
          <t>425 (371 - 479)</t>
        </is>
      </c>
      <c r="AA56" t="inlineStr">
        <is>
          <t>384 (263 - 552)</t>
        </is>
      </c>
      <c r="AH56" s="44" t="inlineStr">
        <is>
          <t>Medical scientist</t>
        </is>
      </c>
      <c r="AI56" s="44" t="inlineStr">
        <is>
          <t>SA</t>
        </is>
      </c>
      <c r="AJ56" s="44" t="inlineStr">
        <is>
          <t>Base Salary</t>
        </is>
      </c>
      <c r="AK56" t="inlineStr">
        <is>
          <t>126 (80 - 172)</t>
        </is>
      </c>
    </row>
    <row r="57">
      <c r="A57" t="inlineStr">
        <is>
          <t>Admin staff</t>
        </is>
      </c>
      <c r="B57" s="44" t="inlineStr">
        <is>
          <t>Superannuation</t>
        </is>
      </c>
      <c r="C57" t="inlineStr">
        <is>
          <t>NSW</t>
        </is>
      </c>
      <c r="D57" s="44" t="n">
        <v>57.61552647773279</v>
      </c>
      <c r="E57" s="44" t="n">
        <v>69.43560540485831</v>
      </c>
      <c r="F57" s="44" t="n">
        <v>81.73338301619432</v>
      </c>
      <c r="I57">
        <f>A57</f>
        <v/>
      </c>
      <c r="J57">
        <f>B57</f>
        <v/>
      </c>
      <c r="K57">
        <f>C57</f>
        <v/>
      </c>
      <c r="L57">
        <f>TEXT(E57, "0,0") &amp; " (" &amp; TEXT(D57, "0,0") &amp; " - " &amp; TEXT(F57, "0,0") &amp; ")"</f>
        <v/>
      </c>
      <c r="O57" t="inlineStr">
        <is>
          <t>Admin staff</t>
        </is>
      </c>
      <c r="P57" t="inlineStr">
        <is>
          <t>Superannuation</t>
        </is>
      </c>
      <c r="Q57" t="inlineStr">
        <is>
          <t>NSW</t>
        </is>
      </c>
      <c r="R57" t="inlineStr">
        <is>
          <t>69 (58 - 82)</t>
        </is>
      </c>
      <c r="T57" s="80" t="n"/>
      <c r="U57" t="inlineStr">
        <is>
          <t>Sick Leave</t>
        </is>
      </c>
      <c r="V57" t="inlineStr">
        <is>
          <t>313 (269 - 356)</t>
        </is>
      </c>
      <c r="W57" t="inlineStr">
        <is>
          <t>339 (286 - 391)</t>
        </is>
      </c>
      <c r="X57" t="inlineStr">
        <is>
          <t>426 (370 - 483)</t>
        </is>
      </c>
      <c r="Y57" t="inlineStr">
        <is>
          <t>398 (337 - 458)</t>
        </is>
      </c>
      <c r="Z57" t="inlineStr">
        <is>
          <t>425 (371 - 478)</t>
        </is>
      </c>
      <c r="AA57" t="inlineStr">
        <is>
          <t>384 (263 - 551)</t>
        </is>
      </c>
      <c r="AH57" s="44" t="inlineStr">
        <is>
          <t>Medical scientist</t>
        </is>
      </c>
      <c r="AI57" s="44" t="inlineStr">
        <is>
          <t>VIC</t>
        </is>
      </c>
      <c r="AJ57" s="44" t="inlineStr">
        <is>
          <t>Base Salary</t>
        </is>
      </c>
      <c r="AK57" t="inlineStr">
        <is>
          <t>133 (80 - 186)</t>
        </is>
      </c>
    </row>
    <row r="58">
      <c r="A58" t="inlineStr">
        <is>
          <t>Admin staff</t>
        </is>
      </c>
      <c r="B58" s="44" t="inlineStr">
        <is>
          <t>Superannuation</t>
        </is>
      </c>
      <c r="C58" t="inlineStr">
        <is>
          <t>QLD</t>
        </is>
      </c>
      <c r="D58" s="44" t="n">
        <v>57.96907007162877</v>
      </c>
      <c r="E58" s="44" t="n">
        <v>77.38128143491123</v>
      </c>
      <c r="F58" s="44" t="n">
        <v>97.38040954920585</v>
      </c>
      <c r="I58">
        <f>A58</f>
        <v/>
      </c>
      <c r="J58">
        <f>B58</f>
        <v/>
      </c>
      <c r="K58">
        <f>C58</f>
        <v/>
      </c>
      <c r="L58">
        <f>TEXT(E58, "0,0") &amp; " (" &amp; TEXT(D58, "0,0") &amp; " - " &amp; TEXT(F58, "0,0") &amp; ")"</f>
        <v/>
      </c>
      <c r="O58" t="inlineStr">
        <is>
          <t>Admin staff</t>
        </is>
      </c>
      <c r="P58" t="inlineStr">
        <is>
          <t>Superannuation</t>
        </is>
      </c>
      <c r="Q58" t="inlineStr">
        <is>
          <t>QLD</t>
        </is>
      </c>
      <c r="R58" t="inlineStr">
        <is>
          <t>77 (58 - 97)</t>
        </is>
      </c>
      <c r="T58" s="80" t="n"/>
      <c r="U58" t="inlineStr">
        <is>
          <t>Superannuation</t>
        </is>
      </c>
      <c r="V58" t="inlineStr">
        <is>
          <t>313 (268 - 358)</t>
        </is>
      </c>
      <c r="W58" t="inlineStr">
        <is>
          <t>339 (285 - 394)</t>
        </is>
      </c>
      <c r="X58" t="inlineStr">
        <is>
          <t>426 (369 - 486)</t>
        </is>
      </c>
      <c r="Y58" t="inlineStr">
        <is>
          <t>398 (337 - 461)</t>
        </is>
      </c>
      <c r="Z58" t="inlineStr">
        <is>
          <t>425 (371 - 481)</t>
        </is>
      </c>
      <c r="AA58" t="inlineStr">
        <is>
          <t>384 (263 - 555)</t>
        </is>
      </c>
      <c r="AH58" s="44" t="inlineStr">
        <is>
          <t>Medical scientist</t>
        </is>
      </c>
      <c r="AI58" s="44" t="inlineStr">
        <is>
          <t>WA</t>
        </is>
      </c>
      <c r="AJ58" s="44" t="inlineStr">
        <is>
          <t>Base Salary</t>
        </is>
      </c>
      <c r="AK58" t="inlineStr">
        <is>
          <t>143 (102 - 183)</t>
        </is>
      </c>
    </row>
    <row r="59">
      <c r="A59" t="inlineStr">
        <is>
          <t>Admin staff</t>
        </is>
      </c>
      <c r="B59" s="44" t="inlineStr">
        <is>
          <t>Superannuation</t>
        </is>
      </c>
      <c r="C59" t="inlineStr">
        <is>
          <t>SA</t>
        </is>
      </c>
      <c r="D59" s="44" t="n">
        <v>68.06079445655558</v>
      </c>
      <c r="E59" s="44" t="n">
        <v>75.94370297415135</v>
      </c>
      <c r="F59" s="44" t="n">
        <v>84.30104469012767</v>
      </c>
      <c r="I59">
        <f>A59</f>
        <v/>
      </c>
      <c r="J59">
        <f>B59</f>
        <v/>
      </c>
      <c r="K59">
        <f>C59</f>
        <v/>
      </c>
      <c r="L59">
        <f>TEXT(E59, "0,0") &amp; " (" &amp; TEXT(D59, "0,0") &amp; " - " &amp; TEXT(F59, "0,0") &amp; ")"</f>
        <v/>
      </c>
      <c r="O59" t="inlineStr">
        <is>
          <t>Admin staff</t>
        </is>
      </c>
      <c r="P59" t="inlineStr">
        <is>
          <t>Superannuation</t>
        </is>
      </c>
      <c r="Q59" t="inlineStr">
        <is>
          <t>SA</t>
        </is>
      </c>
      <c r="R59" t="inlineStr">
        <is>
          <t>76 (68 - 84)</t>
        </is>
      </c>
      <c r="AH59" s="44" t="inlineStr">
        <is>
          <t>Pathologists</t>
        </is>
      </c>
      <c r="AI59" s="44" t="inlineStr">
        <is>
          <t>ALL</t>
        </is>
      </c>
      <c r="AJ59" s="44" t="inlineStr">
        <is>
          <t>Base Salary</t>
        </is>
      </c>
      <c r="AK59" t="inlineStr">
        <is>
          <t>380 (269 - 483)</t>
        </is>
      </c>
    </row>
    <row r="60">
      <c r="A60" t="inlineStr">
        <is>
          <t>Admin staff</t>
        </is>
      </c>
      <c r="B60" s="44" t="inlineStr">
        <is>
          <t>Superannuation</t>
        </is>
      </c>
      <c r="C60" t="inlineStr">
        <is>
          <t>VIC</t>
        </is>
      </c>
      <c r="D60" s="44" t="n">
        <v>82.24987418249766</v>
      </c>
      <c r="E60" s="44" t="n">
        <v>100.3672047843351</v>
      </c>
      <c r="F60" s="44" t="n">
        <v>119.1333435845531</v>
      </c>
      <c r="I60">
        <f>A60</f>
        <v/>
      </c>
      <c r="J60">
        <f>B60</f>
        <v/>
      </c>
      <c r="K60">
        <f>C60</f>
        <v/>
      </c>
      <c r="L60">
        <f>TEXT(E60, "0,0") &amp; " (" &amp; TEXT(D60, "0,0") &amp; " - " &amp; TEXT(F60, "0,0") &amp; ")"</f>
        <v/>
      </c>
      <c r="O60" t="inlineStr">
        <is>
          <t>Admin staff</t>
        </is>
      </c>
      <c r="P60" t="inlineStr">
        <is>
          <t>Superannuation</t>
        </is>
      </c>
      <c r="Q60" t="inlineStr">
        <is>
          <t>VIC</t>
        </is>
      </c>
      <c r="R60" t="inlineStr">
        <is>
          <t>100 (82 - 119)</t>
        </is>
      </c>
      <c r="AH60" s="44" t="inlineStr">
        <is>
          <t>Pathologists</t>
        </is>
      </c>
      <c r="AI60" s="44" t="inlineStr">
        <is>
          <t>NSW</t>
        </is>
      </c>
      <c r="AJ60" s="44" t="inlineStr">
        <is>
          <t>Base Salary</t>
        </is>
      </c>
      <c r="AK60" t="inlineStr">
        <is>
          <t>313 (269 - 356)</t>
        </is>
      </c>
    </row>
    <row r="61">
      <c r="A61" t="inlineStr">
        <is>
          <t>Admin staff</t>
        </is>
      </c>
      <c r="B61" s="44" t="inlineStr">
        <is>
          <t>Superannuation</t>
        </is>
      </c>
      <c r="C61" t="inlineStr">
        <is>
          <t>WA</t>
        </is>
      </c>
      <c r="D61" s="44" t="n">
        <v>75.12974626284645</v>
      </c>
      <c r="E61" s="44" t="n">
        <v>82.77304819370912</v>
      </c>
      <c r="F61" s="44" t="n">
        <v>90.88217122781064</v>
      </c>
      <c r="I61">
        <f>A61</f>
        <v/>
      </c>
      <c r="J61">
        <f>B61</f>
        <v/>
      </c>
      <c r="K61">
        <f>C61</f>
        <v/>
      </c>
      <c r="L61">
        <f>TEXT(E61, "0,0") &amp; " (" &amp; TEXT(D61, "0,0") &amp; " - " &amp; TEXT(F61, "0,0") &amp; ")"</f>
        <v/>
      </c>
      <c r="O61" t="inlineStr">
        <is>
          <t>Admin staff</t>
        </is>
      </c>
      <c r="P61" t="inlineStr">
        <is>
          <t>Superannuation</t>
        </is>
      </c>
      <c r="Q61" t="inlineStr">
        <is>
          <t>WA</t>
        </is>
      </c>
      <c r="R61" t="inlineStr">
        <is>
          <t>83 (75 - 91)</t>
        </is>
      </c>
      <c r="AH61" s="44" t="inlineStr">
        <is>
          <t>Pathologists</t>
        </is>
      </c>
      <c r="AI61" s="44" t="inlineStr">
        <is>
          <t>QLD</t>
        </is>
      </c>
      <c r="AJ61" s="44" t="inlineStr">
        <is>
          <t>Base Salary</t>
        </is>
      </c>
      <c r="AK61" t="inlineStr">
        <is>
          <t>339 (286 - 391)</t>
        </is>
      </c>
    </row>
    <row r="62">
      <c r="A62" t="inlineStr">
        <is>
          <t>Bioinformatics staff</t>
        </is>
      </c>
      <c r="B62" s="44" t="inlineStr">
        <is>
          <t>Annual Leave</t>
        </is>
      </c>
      <c r="C62" t="inlineStr">
        <is>
          <t>ALL</t>
        </is>
      </c>
      <c r="D62" s="44" t="n">
        <v>83.36545616630333</v>
      </c>
      <c r="E62" s="44" t="n">
        <v>119.7143608104952</v>
      </c>
      <c r="F62" s="44" t="n">
        <v>175.8121554033011</v>
      </c>
      <c r="I62">
        <f>A62</f>
        <v/>
      </c>
      <c r="J62">
        <f>B62</f>
        <v/>
      </c>
      <c r="K62">
        <f>C62</f>
        <v/>
      </c>
      <c r="L62">
        <f>TEXT(E62, "0,0") &amp; " (" &amp; TEXT(D62, "0,0") &amp; " - " &amp; TEXT(F62, "0,0") &amp; ")"</f>
        <v/>
      </c>
      <c r="O62" t="inlineStr">
        <is>
          <t>Bioinformatics staff</t>
        </is>
      </c>
      <c r="P62" t="inlineStr">
        <is>
          <t>Annual Leave</t>
        </is>
      </c>
      <c r="Q62" t="inlineStr">
        <is>
          <t>ALL</t>
        </is>
      </c>
      <c r="R62" t="inlineStr">
        <is>
          <t>120 (83 - 176)</t>
        </is>
      </c>
      <c r="AH62" s="44" t="inlineStr">
        <is>
          <t>Pathologists</t>
        </is>
      </c>
      <c r="AI62" s="44" t="inlineStr">
        <is>
          <t>SA</t>
        </is>
      </c>
      <c r="AJ62" s="44" t="inlineStr">
        <is>
          <t>Base Salary</t>
        </is>
      </c>
      <c r="AK62" t="inlineStr">
        <is>
          <t>426 (370 - 483)</t>
        </is>
      </c>
    </row>
    <row r="63">
      <c r="A63" t="inlineStr">
        <is>
          <t>Bioinformatics staff</t>
        </is>
      </c>
      <c r="B63" s="44" t="inlineStr">
        <is>
          <t>Annual Leave</t>
        </is>
      </c>
      <c r="C63" t="inlineStr">
        <is>
          <t>NSW</t>
        </is>
      </c>
      <c r="D63" s="44" t="n">
        <v>85.52245009342886</v>
      </c>
      <c r="E63" s="44" t="n">
        <v>116.9966419534413</v>
      </c>
      <c r="F63" s="44" t="n">
        <v>148.4708338134538</v>
      </c>
      <c r="I63">
        <f>A63</f>
        <v/>
      </c>
      <c r="J63">
        <f>B63</f>
        <v/>
      </c>
      <c r="K63">
        <f>C63</f>
        <v/>
      </c>
      <c r="L63">
        <f>TEXT(E63, "0,0") &amp; " (" &amp; TEXT(D63, "0,0") &amp; " - " &amp; TEXT(F63, "0,0") &amp; ")"</f>
        <v/>
      </c>
      <c r="O63" t="inlineStr">
        <is>
          <t>Bioinformatics staff</t>
        </is>
      </c>
      <c r="P63" t="inlineStr">
        <is>
          <t>Annual Leave</t>
        </is>
      </c>
      <c r="Q63" t="inlineStr">
        <is>
          <t>NSW</t>
        </is>
      </c>
      <c r="R63" t="inlineStr">
        <is>
          <t>117 (86 - 148)</t>
        </is>
      </c>
      <c r="AH63" s="44" t="inlineStr">
        <is>
          <t>Pathologists</t>
        </is>
      </c>
      <c r="AI63" s="44" t="inlineStr">
        <is>
          <t>VIC</t>
        </is>
      </c>
      <c r="AJ63" s="44" t="inlineStr">
        <is>
          <t>Base Salary</t>
        </is>
      </c>
      <c r="AK63" t="inlineStr">
        <is>
          <t>398 (337 - 458)</t>
        </is>
      </c>
    </row>
    <row r="64">
      <c r="A64" t="inlineStr">
        <is>
          <t>Bioinformatics staff</t>
        </is>
      </c>
      <c r="B64" s="44" t="inlineStr">
        <is>
          <t>Annual Leave</t>
        </is>
      </c>
      <c r="C64" t="inlineStr">
        <is>
          <t>QLD</t>
        </is>
      </c>
      <c r="D64" s="44" t="n">
        <v>83.64681068981626</v>
      </c>
      <c r="E64" s="44" t="n">
        <v>125.9153161203675</v>
      </c>
      <c r="F64" s="44" t="n">
        <v>168.1838215509187</v>
      </c>
      <c r="I64">
        <f>A64</f>
        <v/>
      </c>
      <c r="J64">
        <f>B64</f>
        <v/>
      </c>
      <c r="K64">
        <f>C64</f>
        <v/>
      </c>
      <c r="L64">
        <f>TEXT(E64, "0,0") &amp; " (" &amp; TEXT(D64, "0,0") &amp; " - " &amp; TEXT(F64, "0,0") &amp; ")"</f>
        <v/>
      </c>
      <c r="O64" t="inlineStr">
        <is>
          <t>Bioinformatics staff</t>
        </is>
      </c>
      <c r="P64" t="inlineStr">
        <is>
          <t>Annual Leave</t>
        </is>
      </c>
      <c r="Q64" t="inlineStr">
        <is>
          <t>QLD</t>
        </is>
      </c>
      <c r="R64" t="inlineStr">
        <is>
          <t>126 (84 - 168)</t>
        </is>
      </c>
      <c r="AH64" s="44" t="inlineStr">
        <is>
          <t>Pathologists</t>
        </is>
      </c>
      <c r="AI64" s="44" t="inlineStr">
        <is>
          <t>WA</t>
        </is>
      </c>
      <c r="AJ64" s="44" t="inlineStr">
        <is>
          <t>Base Salary</t>
        </is>
      </c>
      <c r="AK64" t="inlineStr">
        <is>
          <t>425 (371 - 478)</t>
        </is>
      </c>
    </row>
    <row r="65">
      <c r="A65" t="inlineStr">
        <is>
          <t>Bioinformatics staff</t>
        </is>
      </c>
      <c r="B65" s="44" t="inlineStr">
        <is>
          <t>Annual Leave</t>
        </is>
      </c>
      <c r="C65" t="inlineStr">
        <is>
          <t>SA</t>
        </is>
      </c>
      <c r="D65" s="44" t="n">
        <v>79.55310798816568</v>
      </c>
      <c r="E65" s="44" t="n">
        <v>109.7531147812208</v>
      </c>
      <c r="F65" s="44" t="n">
        <v>139.9531215742759</v>
      </c>
      <c r="I65">
        <f>A65</f>
        <v/>
      </c>
      <c r="J65">
        <f>B65</f>
        <v/>
      </c>
      <c r="K65">
        <f>C65</f>
        <v/>
      </c>
      <c r="L65">
        <f>TEXT(E65, "0,0") &amp; " (" &amp; TEXT(D65, "0,0") &amp; " - " &amp; TEXT(F65, "0,0") &amp; ")"</f>
        <v/>
      </c>
      <c r="O65" t="inlineStr">
        <is>
          <t>Bioinformatics staff</t>
        </is>
      </c>
      <c r="P65" t="inlineStr">
        <is>
          <t>Annual Leave</t>
        </is>
      </c>
      <c r="Q65" t="inlineStr">
        <is>
          <t>SA</t>
        </is>
      </c>
      <c r="R65" t="inlineStr">
        <is>
          <t>110 (80 - 140)</t>
        </is>
      </c>
    </row>
    <row r="66">
      <c r="A66" t="inlineStr">
        <is>
          <t>Bioinformatics staff</t>
        </is>
      </c>
      <c r="B66" s="44" t="inlineStr">
        <is>
          <t>Annual Leave</t>
        </is>
      </c>
      <c r="C66" t="inlineStr">
        <is>
          <t>VIC</t>
        </is>
      </c>
      <c r="D66" s="44" t="n">
        <v>103.0109152911865</v>
      </c>
      <c r="E66" s="44" t="n">
        <v>131.7792982326378</v>
      </c>
      <c r="F66" s="44" t="n">
        <v>160.5476811740891</v>
      </c>
      <c r="I66">
        <f>A66</f>
        <v/>
      </c>
      <c r="J66">
        <f>B66</f>
        <v/>
      </c>
      <c r="K66">
        <f>C66</f>
        <v/>
      </c>
      <c r="L66">
        <f>TEXT(E66, "0,0") &amp; " (" &amp; TEXT(D66, "0,0") &amp; " - " &amp; TEXT(F66, "0,0") &amp; ")"</f>
        <v/>
      </c>
      <c r="O66" t="inlineStr">
        <is>
          <t>Bioinformatics staff</t>
        </is>
      </c>
      <c r="P66" t="inlineStr">
        <is>
          <t>Annual Leave</t>
        </is>
      </c>
      <c r="Q66" t="inlineStr">
        <is>
          <t>VIC</t>
        </is>
      </c>
      <c r="R66" t="inlineStr">
        <is>
          <t>132 (103 - 161)</t>
        </is>
      </c>
    </row>
    <row r="67">
      <c r="A67" t="inlineStr">
        <is>
          <t>Bioinformatics staff</t>
        </is>
      </c>
      <c r="B67" s="44" t="inlineStr">
        <is>
          <t>Annual Leave</t>
        </is>
      </c>
      <c r="C67" t="inlineStr">
        <is>
          <t>WA</t>
        </is>
      </c>
      <c r="D67" s="44" t="n">
        <v>104.4540070850203</v>
      </c>
      <c r="E67" s="44" t="n">
        <v>113.4524417237621</v>
      </c>
      <c r="F67" s="44" t="n">
        <v>122.4508763625039</v>
      </c>
      <c r="I67">
        <f>A67</f>
        <v/>
      </c>
      <c r="J67">
        <f>B67</f>
        <v/>
      </c>
      <c r="K67">
        <f>C67</f>
        <v/>
      </c>
      <c r="L67">
        <f>TEXT(E67, "0,0") &amp; " (" &amp; TEXT(D67, "0,0") &amp; " - " &amp; TEXT(F67, "0,0") &amp; ")"</f>
        <v/>
      </c>
      <c r="O67" t="inlineStr">
        <is>
          <t>Bioinformatics staff</t>
        </is>
      </c>
      <c r="P67" t="inlineStr">
        <is>
          <t>Annual Leave</t>
        </is>
      </c>
      <c r="Q67" t="inlineStr">
        <is>
          <t>WA</t>
        </is>
      </c>
      <c r="R67" t="inlineStr">
        <is>
          <t>113 (104 - 122)</t>
        </is>
      </c>
    </row>
    <row r="68">
      <c r="A68" t="inlineStr">
        <is>
          <t>Bioinformatics staff</t>
        </is>
      </c>
      <c r="B68" s="44" t="inlineStr">
        <is>
          <t>Attraction and Retention Allowance</t>
        </is>
      </c>
      <c r="C68" t="inlineStr">
        <is>
          <t>ALL</t>
        </is>
      </c>
      <c r="D68" s="44" t="n">
        <v>83.36545616630333</v>
      </c>
      <c r="E68" s="44" t="n">
        <v>119.7143608104952</v>
      </c>
      <c r="F68" s="44" t="n">
        <v>175.8121554033011</v>
      </c>
      <c r="I68">
        <f>A68</f>
        <v/>
      </c>
      <c r="J68">
        <f>B68</f>
        <v/>
      </c>
      <c r="K68">
        <f>C68</f>
        <v/>
      </c>
      <c r="L68">
        <f>TEXT(E68, "0,0") &amp; " (" &amp; TEXT(D68, "0,0") &amp; " - " &amp; TEXT(F68, "0,0") &amp; ")"</f>
        <v/>
      </c>
      <c r="O68" t="inlineStr">
        <is>
          <t>Bioinformatics staff</t>
        </is>
      </c>
      <c r="P68" t="inlineStr">
        <is>
          <t>Attraction and Retention Allowance</t>
        </is>
      </c>
      <c r="Q68" t="inlineStr">
        <is>
          <t>ALL</t>
        </is>
      </c>
      <c r="R68" t="inlineStr">
        <is>
          <t>120 (83 - 176)</t>
        </is>
      </c>
    </row>
    <row r="69">
      <c r="A69" t="inlineStr">
        <is>
          <t>Bioinformatics staff</t>
        </is>
      </c>
      <c r="B69" s="44" t="inlineStr">
        <is>
          <t>Attraction and Retention Allowance</t>
        </is>
      </c>
      <c r="C69" t="inlineStr">
        <is>
          <t>NSW</t>
        </is>
      </c>
      <c r="D69" s="44" t="n">
        <v>85.52245009342886</v>
      </c>
      <c r="E69" s="44" t="n">
        <v>116.9966419534413</v>
      </c>
      <c r="F69" s="44" t="n">
        <v>148.4708338134538</v>
      </c>
      <c r="I69">
        <f>A69</f>
        <v/>
      </c>
      <c r="J69">
        <f>B69</f>
        <v/>
      </c>
      <c r="K69">
        <f>C69</f>
        <v/>
      </c>
      <c r="L69">
        <f>TEXT(E69, "0,0") &amp; " (" &amp; TEXT(D69, "0,0") &amp; " - " &amp; TEXT(F69, "0,0") &amp; ")"</f>
        <v/>
      </c>
      <c r="O69" t="inlineStr">
        <is>
          <t>Bioinformatics staff</t>
        </is>
      </c>
      <c r="P69" t="inlineStr">
        <is>
          <t>Attraction and Retention Allowance</t>
        </is>
      </c>
      <c r="Q69" t="inlineStr">
        <is>
          <t>NSW</t>
        </is>
      </c>
      <c r="R69" t="inlineStr">
        <is>
          <t>117 (86 - 148)</t>
        </is>
      </c>
    </row>
    <row r="70">
      <c r="A70" t="inlineStr">
        <is>
          <t>Bioinformatics staff</t>
        </is>
      </c>
      <c r="B70" s="44" t="inlineStr">
        <is>
          <t>Attraction and Retention Allowance</t>
        </is>
      </c>
      <c r="C70" t="inlineStr">
        <is>
          <t>QLD</t>
        </is>
      </c>
      <c r="D70" s="44" t="n">
        <v>83.64681068981626</v>
      </c>
      <c r="E70" s="44" t="n">
        <v>125.9153161203675</v>
      </c>
      <c r="F70" s="44" t="n">
        <v>168.1838215509187</v>
      </c>
      <c r="I70">
        <f>A70</f>
        <v/>
      </c>
      <c r="J70">
        <f>B70</f>
        <v/>
      </c>
      <c r="K70">
        <f>C70</f>
        <v/>
      </c>
      <c r="L70">
        <f>TEXT(E70, "0,0") &amp; " (" &amp; TEXT(D70, "0,0") &amp; " - " &amp; TEXT(F70, "0,0") &amp; ")"</f>
        <v/>
      </c>
      <c r="O70" t="inlineStr">
        <is>
          <t>Bioinformatics staff</t>
        </is>
      </c>
      <c r="P70" t="inlineStr">
        <is>
          <t>Attraction and Retention Allowance</t>
        </is>
      </c>
      <c r="Q70" t="inlineStr">
        <is>
          <t>QLD</t>
        </is>
      </c>
      <c r="R70" t="inlineStr">
        <is>
          <t>126 (84 - 168)</t>
        </is>
      </c>
    </row>
    <row r="71">
      <c r="A71" t="inlineStr">
        <is>
          <t>Bioinformatics staff</t>
        </is>
      </c>
      <c r="B71" s="44" t="inlineStr">
        <is>
          <t>Attraction and Retention Allowance</t>
        </is>
      </c>
      <c r="C71" t="inlineStr">
        <is>
          <t>SA</t>
        </is>
      </c>
      <c r="D71" s="44" t="n">
        <v>79.55310798816568</v>
      </c>
      <c r="E71" s="44" t="n">
        <v>109.7531147812208</v>
      </c>
      <c r="F71" s="44" t="n">
        <v>139.9531215742759</v>
      </c>
      <c r="I71">
        <f>A71</f>
        <v/>
      </c>
      <c r="J71">
        <f>B71</f>
        <v/>
      </c>
      <c r="K71">
        <f>C71</f>
        <v/>
      </c>
      <c r="L71">
        <f>TEXT(E71, "0,0") &amp; " (" &amp; TEXT(D71, "0,0") &amp; " - " &amp; TEXT(F71, "0,0") &amp; ")"</f>
        <v/>
      </c>
      <c r="O71" t="inlineStr">
        <is>
          <t>Bioinformatics staff</t>
        </is>
      </c>
      <c r="P71" t="inlineStr">
        <is>
          <t>Attraction and Retention Allowance</t>
        </is>
      </c>
      <c r="Q71" t="inlineStr">
        <is>
          <t>SA</t>
        </is>
      </c>
      <c r="R71" t="inlineStr">
        <is>
          <t>110 (80 - 140)</t>
        </is>
      </c>
    </row>
    <row r="72">
      <c r="A72" t="inlineStr">
        <is>
          <t>Bioinformatics staff</t>
        </is>
      </c>
      <c r="B72" s="44" t="inlineStr">
        <is>
          <t>Attraction and Retention Allowance</t>
        </is>
      </c>
      <c r="C72" t="inlineStr">
        <is>
          <t>VIC</t>
        </is>
      </c>
      <c r="D72" s="44" t="n">
        <v>103.0109152911865</v>
      </c>
      <c r="E72" s="44" t="n">
        <v>131.7792982326378</v>
      </c>
      <c r="F72" s="44" t="n">
        <v>160.5476811740891</v>
      </c>
      <c r="I72">
        <f>A72</f>
        <v/>
      </c>
      <c r="J72">
        <f>B72</f>
        <v/>
      </c>
      <c r="K72">
        <f>C72</f>
        <v/>
      </c>
      <c r="L72">
        <f>TEXT(E72, "0,0") &amp; " (" &amp; TEXT(D72, "0,0") &amp; " - " &amp; TEXT(F72, "0,0") &amp; ")"</f>
        <v/>
      </c>
      <c r="O72" t="inlineStr">
        <is>
          <t>Bioinformatics staff</t>
        </is>
      </c>
      <c r="P72" t="inlineStr">
        <is>
          <t>Attraction and Retention Allowance</t>
        </is>
      </c>
      <c r="Q72" t="inlineStr">
        <is>
          <t>VIC</t>
        </is>
      </c>
      <c r="R72" t="inlineStr">
        <is>
          <t>132 (103 - 161)</t>
        </is>
      </c>
    </row>
    <row r="73">
      <c r="A73" t="inlineStr">
        <is>
          <t>Bioinformatics staff</t>
        </is>
      </c>
      <c r="B73" s="44" t="inlineStr">
        <is>
          <t>Attraction and Retention Allowance</t>
        </is>
      </c>
      <c r="C73" t="inlineStr">
        <is>
          <t>WA</t>
        </is>
      </c>
      <c r="D73" s="44" t="n">
        <v>104.4540070850203</v>
      </c>
      <c r="E73" s="44" t="n">
        <v>113.4524417237621</v>
      </c>
      <c r="F73" s="44" t="n">
        <v>122.4508763625039</v>
      </c>
      <c r="I73">
        <f>A73</f>
        <v/>
      </c>
      <c r="J73">
        <f>B73</f>
        <v/>
      </c>
      <c r="K73">
        <f>C73</f>
        <v/>
      </c>
      <c r="L73">
        <f>TEXT(E73, "0,0") &amp; " (" &amp; TEXT(D73, "0,0") &amp; " - " &amp; TEXT(F73, "0,0") &amp; ")"</f>
        <v/>
      </c>
      <c r="O73" t="inlineStr">
        <is>
          <t>Bioinformatics staff</t>
        </is>
      </c>
      <c r="P73" t="inlineStr">
        <is>
          <t>Attraction and Retention Allowance</t>
        </is>
      </c>
      <c r="Q73" t="inlineStr">
        <is>
          <t>WA</t>
        </is>
      </c>
      <c r="R73" t="inlineStr">
        <is>
          <t>113 (104 - 122)</t>
        </is>
      </c>
    </row>
    <row r="74">
      <c r="A74" t="inlineStr">
        <is>
          <t>Bioinformatics staff</t>
        </is>
      </c>
      <c r="B74" s="44" t="inlineStr">
        <is>
          <t>Average Penalties</t>
        </is>
      </c>
      <c r="C74" t="inlineStr">
        <is>
          <t>ALL</t>
        </is>
      </c>
      <c r="D74" s="44" t="n">
        <v>80.0200108221738</v>
      </c>
      <c r="E74" s="44" t="n">
        <v>119.7143608104952</v>
      </c>
      <c r="F74" s="44" t="n">
        <v>189.939280909374</v>
      </c>
      <c r="I74">
        <f>A74</f>
        <v/>
      </c>
      <c r="J74">
        <f>B74</f>
        <v/>
      </c>
      <c r="K74">
        <f>C74</f>
        <v/>
      </c>
      <c r="L74">
        <f>TEXT(E74, "0,0") &amp; " (" &amp; TEXT(D74, "0,0") &amp; " - " &amp; TEXT(F74, "0,0") &amp; ")"</f>
        <v/>
      </c>
      <c r="O74" t="inlineStr">
        <is>
          <t>Bioinformatics staff</t>
        </is>
      </c>
      <c r="P74" t="inlineStr">
        <is>
          <t>Average Penalties</t>
        </is>
      </c>
      <c r="Q74" t="inlineStr">
        <is>
          <t>ALL</t>
        </is>
      </c>
      <c r="R74" t="inlineStr">
        <is>
          <t>120 (80 - 190)</t>
        </is>
      </c>
    </row>
    <row r="75">
      <c r="A75" t="inlineStr">
        <is>
          <t>Bioinformatics staff</t>
        </is>
      </c>
      <c r="B75" s="44" t="inlineStr">
        <is>
          <t>Average Penalties</t>
        </is>
      </c>
      <c r="C75" t="inlineStr">
        <is>
          <t>NSW</t>
        </is>
      </c>
      <c r="D75" s="44" t="n">
        <v>82.17700474929927</v>
      </c>
      <c r="E75" s="44" t="n">
        <v>116.9966419534413</v>
      </c>
      <c r="F75" s="44" t="n">
        <v>160.0865220725631</v>
      </c>
      <c r="I75">
        <f>A75</f>
        <v/>
      </c>
      <c r="J75">
        <f>B75</f>
        <v/>
      </c>
      <c r="K75">
        <f>C75</f>
        <v/>
      </c>
      <c r="L75">
        <f>TEXT(E75, "0,0") &amp; " (" &amp; TEXT(D75, "0,0") &amp; " - " &amp; TEXT(F75, "0,0") &amp; ")"</f>
        <v/>
      </c>
      <c r="O75" t="inlineStr">
        <is>
          <t>Bioinformatics staff</t>
        </is>
      </c>
      <c r="P75" t="inlineStr">
        <is>
          <t>Average Penalties</t>
        </is>
      </c>
      <c r="Q75" t="inlineStr">
        <is>
          <t>NSW</t>
        </is>
      </c>
      <c r="R75" t="inlineStr">
        <is>
          <t>117 (82 - 160)</t>
        </is>
      </c>
    </row>
    <row r="76">
      <c r="A76" t="inlineStr">
        <is>
          <t>Bioinformatics staff</t>
        </is>
      </c>
      <c r="B76" s="44" t="inlineStr">
        <is>
          <t>Average Penalties</t>
        </is>
      </c>
      <c r="C76" t="inlineStr">
        <is>
          <t>QLD</t>
        </is>
      </c>
      <c r="D76" s="44" t="n">
        <v>80.15333902989724</v>
      </c>
      <c r="E76" s="44" t="n">
        <v>125.9153161203675</v>
      </c>
      <c r="F76" s="44" t="n">
        <v>182.3109470569916</v>
      </c>
      <c r="I76">
        <f>A76</f>
        <v/>
      </c>
      <c r="J76">
        <f>B76</f>
        <v/>
      </c>
      <c r="K76">
        <f>C76</f>
        <v/>
      </c>
      <c r="L76">
        <f>TEXT(E76, "0,0") &amp; " (" &amp; TEXT(D76, "0,0") &amp; " - " &amp; TEXT(F76, "0,0") &amp; ")"</f>
        <v/>
      </c>
      <c r="O76" t="inlineStr">
        <is>
          <t>Bioinformatics staff</t>
        </is>
      </c>
      <c r="P76" t="inlineStr">
        <is>
          <t>Average Penalties</t>
        </is>
      </c>
      <c r="Q76" t="inlineStr">
        <is>
          <t>QLD</t>
        </is>
      </c>
      <c r="R76" t="inlineStr">
        <is>
          <t>126 (80 - 182)</t>
        </is>
      </c>
    </row>
    <row r="77">
      <c r="A77" t="inlineStr">
        <is>
          <t>Bioinformatics staff</t>
        </is>
      </c>
      <c r="B77" s="44" t="inlineStr">
        <is>
          <t>Average Penalties</t>
        </is>
      </c>
      <c r="C77" t="inlineStr">
        <is>
          <t>SA</t>
        </is>
      </c>
      <c r="D77" s="44" t="n">
        <v>76.1934926035503</v>
      </c>
      <c r="E77" s="44" t="n">
        <v>109.7531147812208</v>
      </c>
      <c r="F77" s="44" t="n">
        <v>151.7738705621302</v>
      </c>
      <c r="I77">
        <f>A77</f>
        <v/>
      </c>
      <c r="J77">
        <f>B77</f>
        <v/>
      </c>
      <c r="K77">
        <f>C77</f>
        <v/>
      </c>
      <c r="L77">
        <f>TEXT(E77, "0,0") &amp; " (" &amp; TEXT(D77, "0,0") &amp; " - " &amp; TEXT(F77, "0,0") &amp; ")"</f>
        <v/>
      </c>
      <c r="O77" t="inlineStr">
        <is>
          <t>Bioinformatics staff</t>
        </is>
      </c>
      <c r="P77" t="inlineStr">
        <is>
          <t>Average Penalties</t>
        </is>
      </c>
      <c r="Q77" t="inlineStr">
        <is>
          <t>SA</t>
        </is>
      </c>
      <c r="R77" t="inlineStr">
        <is>
          <t>110 (76 - 152)</t>
        </is>
      </c>
    </row>
    <row r="78">
      <c r="A78" t="inlineStr">
        <is>
          <t>Bioinformatics staff</t>
        </is>
      </c>
      <c r="B78" s="44" t="inlineStr">
        <is>
          <t>Average Penalties</t>
        </is>
      </c>
      <c r="C78" t="inlineStr">
        <is>
          <t>VIC</t>
        </is>
      </c>
      <c r="D78" s="44" t="n">
        <v>98.98136063531611</v>
      </c>
      <c r="E78" s="44" t="n">
        <v>131.7792982326378</v>
      </c>
      <c r="F78" s="44" t="n">
        <v>173.1082074898785</v>
      </c>
      <c r="I78">
        <f>A78</f>
        <v/>
      </c>
      <c r="J78">
        <f>B78</f>
        <v/>
      </c>
      <c r="K78">
        <f>C78</f>
        <v/>
      </c>
      <c r="L78">
        <f>TEXT(E78, "0,0") &amp; " (" &amp; TEXT(D78, "0,0") &amp; " - " &amp; TEXT(F78, "0,0") &amp; ")"</f>
        <v/>
      </c>
      <c r="O78" t="inlineStr">
        <is>
          <t>Bioinformatics staff</t>
        </is>
      </c>
      <c r="P78" t="inlineStr">
        <is>
          <t>Average Penalties</t>
        </is>
      </c>
      <c r="Q78" t="inlineStr">
        <is>
          <t>VIC</t>
        </is>
      </c>
      <c r="R78" t="inlineStr">
        <is>
          <t>132 (99 - 173)</t>
        </is>
      </c>
    </row>
    <row r="79">
      <c r="A79" t="inlineStr">
        <is>
          <t>Bioinformatics staff</t>
        </is>
      </c>
      <c r="B79" s="44" t="inlineStr">
        <is>
          <t>Average Penalties</t>
        </is>
      </c>
      <c r="C79" t="inlineStr">
        <is>
          <t>WA</t>
        </is>
      </c>
      <c r="D79" s="44" t="n">
        <v>100.4105860323887</v>
      </c>
      <c r="E79" s="44" t="n">
        <v>113.4524417237621</v>
      </c>
      <c r="F79" s="44" t="n">
        <v>131.9310383058237</v>
      </c>
      <c r="I79">
        <f>A79</f>
        <v/>
      </c>
      <c r="J79">
        <f>B79</f>
        <v/>
      </c>
      <c r="K79">
        <f>C79</f>
        <v/>
      </c>
      <c r="L79">
        <f>TEXT(E79, "0,0") &amp; " (" &amp; TEXT(D79, "0,0") &amp; " - " &amp; TEXT(F79, "0,0") &amp; ")"</f>
        <v/>
      </c>
      <c r="O79" t="inlineStr">
        <is>
          <t>Bioinformatics staff</t>
        </is>
      </c>
      <c r="P79" t="inlineStr">
        <is>
          <t>Average Penalties</t>
        </is>
      </c>
      <c r="Q79" t="inlineStr">
        <is>
          <t>WA</t>
        </is>
      </c>
      <c r="R79" t="inlineStr">
        <is>
          <t>113 (100 - 132)</t>
        </is>
      </c>
    </row>
    <row r="80">
      <c r="A80" t="inlineStr">
        <is>
          <t>Bioinformatics staff</t>
        </is>
      </c>
      <c r="B80" s="44" t="inlineStr">
        <is>
          <t>Hours worked</t>
        </is>
      </c>
      <c r="C80" t="inlineStr">
        <is>
          <t>ALL</t>
        </is>
      </c>
      <c r="D80" s="44" t="n">
        <v>79.19718335798817</v>
      </c>
      <c r="E80" s="44" t="n">
        <v>119.7143608104952</v>
      </c>
      <c r="F80" s="44" t="n">
        <v>184.0457825158524</v>
      </c>
      <c r="I80">
        <f>A80</f>
        <v/>
      </c>
      <c r="J80">
        <f>B80</f>
        <v/>
      </c>
      <c r="K80">
        <f>C80</f>
        <v/>
      </c>
      <c r="L80">
        <f>TEXT(E80, "0,0") &amp; " (" &amp; TEXT(D80, "0,0") &amp; " - " &amp; TEXT(F80, "0,0") &amp; ")"</f>
        <v/>
      </c>
      <c r="O80" t="inlineStr">
        <is>
          <t>Bioinformatics staff</t>
        </is>
      </c>
      <c r="P80" t="inlineStr">
        <is>
          <t>Hours worked</t>
        </is>
      </c>
      <c r="Q80" t="inlineStr">
        <is>
          <t>ALL</t>
        </is>
      </c>
      <c r="R80" t="inlineStr">
        <is>
          <t>120 (79 - 184)</t>
        </is>
      </c>
    </row>
    <row r="81">
      <c r="A81" t="inlineStr">
        <is>
          <t>Bioinformatics staff</t>
        </is>
      </c>
      <c r="B81" s="44" t="inlineStr">
        <is>
          <t>Hours worked</t>
        </is>
      </c>
      <c r="C81" t="inlineStr">
        <is>
          <t>NSW</t>
        </is>
      </c>
      <c r="D81" s="44" t="n">
        <v>81.24632758875741</v>
      </c>
      <c r="E81" s="44" t="n">
        <v>116.9966419534413</v>
      </c>
      <c r="F81" s="44" t="n">
        <v>155.4240133584365</v>
      </c>
      <c r="I81">
        <f>A81</f>
        <v/>
      </c>
      <c r="J81">
        <f>B81</f>
        <v/>
      </c>
      <c r="K81">
        <f>C81</f>
        <v/>
      </c>
      <c r="L81">
        <f>TEXT(E81, "0,0") &amp; " (" &amp; TEXT(D81, "0,0") &amp; " - " &amp; TEXT(F81, "0,0") &amp; ")"</f>
        <v/>
      </c>
      <c r="O81" t="inlineStr">
        <is>
          <t>Bioinformatics staff</t>
        </is>
      </c>
      <c r="P81" t="inlineStr">
        <is>
          <t>Hours worked</t>
        </is>
      </c>
      <c r="Q81" t="inlineStr">
        <is>
          <t>NSW</t>
        </is>
      </c>
      <c r="R81" t="inlineStr">
        <is>
          <t>117 (81 - 155)</t>
        </is>
      </c>
    </row>
    <row r="82">
      <c r="A82" t="inlineStr">
        <is>
          <t>Bioinformatics staff</t>
        </is>
      </c>
      <c r="B82" s="44" t="inlineStr">
        <is>
          <t>Hours worked</t>
        </is>
      </c>
      <c r="C82" t="inlineStr">
        <is>
          <t>QLD</t>
        </is>
      </c>
      <c r="D82" s="44" t="n">
        <v>79.46447015532546</v>
      </c>
      <c r="E82" s="44" t="n">
        <v>125.9153161203675</v>
      </c>
      <c r="F82" s="44" t="n">
        <v>176.0601988687304</v>
      </c>
      <c r="I82">
        <f>A82</f>
        <v/>
      </c>
      <c r="J82">
        <f>B82</f>
        <v/>
      </c>
      <c r="K82">
        <f>C82</f>
        <v/>
      </c>
      <c r="L82">
        <f>TEXT(E82, "0,0") &amp; " (" &amp; TEXT(D82, "0,0") &amp; " - " &amp; TEXT(F82, "0,0") &amp; ")"</f>
        <v/>
      </c>
      <c r="O82" t="inlineStr">
        <is>
          <t>Bioinformatics staff</t>
        </is>
      </c>
      <c r="P82" t="inlineStr">
        <is>
          <t>Hours worked</t>
        </is>
      </c>
      <c r="Q82" t="inlineStr">
        <is>
          <t>QLD</t>
        </is>
      </c>
      <c r="R82" t="inlineStr">
        <is>
          <t>126 (79 - 176)</t>
        </is>
      </c>
    </row>
    <row r="83">
      <c r="A83" t="inlineStr">
        <is>
          <t>Bioinformatics staff</t>
        </is>
      </c>
      <c r="B83" s="44" t="inlineStr">
        <is>
          <t>Hours worked</t>
        </is>
      </c>
      <c r="C83" t="inlineStr">
        <is>
          <t>SA</t>
        </is>
      </c>
      <c r="D83" s="44" t="n">
        <v>75.57545258875739</v>
      </c>
      <c r="E83" s="44" t="n">
        <v>109.7531147812208</v>
      </c>
      <c r="F83" s="44" t="n">
        <v>146.5073999951098</v>
      </c>
      <c r="I83">
        <f>A83</f>
        <v/>
      </c>
      <c r="J83">
        <f>B83</f>
        <v/>
      </c>
      <c r="K83">
        <f>C83</f>
        <v/>
      </c>
      <c r="L83">
        <f>TEXT(E83, "0,0") &amp; " (" &amp; TEXT(D83, "0,0") &amp; " - " &amp; TEXT(F83, "0,0") &amp; ")"</f>
        <v/>
      </c>
      <c r="O83" t="inlineStr">
        <is>
          <t>Bioinformatics staff</t>
        </is>
      </c>
      <c r="P83" t="inlineStr">
        <is>
          <t>Hours worked</t>
        </is>
      </c>
      <c r="Q83" t="inlineStr">
        <is>
          <t>SA</t>
        </is>
      </c>
      <c r="R83" t="inlineStr">
        <is>
          <t>110 (76 - 147)</t>
        </is>
      </c>
    </row>
    <row r="84">
      <c r="A84" t="inlineStr">
        <is>
          <t>Bioinformatics staff</t>
        </is>
      </c>
      <c r="B84" s="44" t="inlineStr">
        <is>
          <t>Hours worked</t>
        </is>
      </c>
      <c r="C84" t="inlineStr">
        <is>
          <t>VIC</t>
        </is>
      </c>
      <c r="D84" s="44" t="n">
        <v>97.86036952662721</v>
      </c>
      <c r="E84" s="44" t="n">
        <v>131.7792982326378</v>
      </c>
      <c r="F84" s="44" t="n">
        <v>168.0664431023522</v>
      </c>
      <c r="I84">
        <f>A84</f>
        <v/>
      </c>
      <c r="J84">
        <f>B84</f>
        <v/>
      </c>
      <c r="K84">
        <f>C84</f>
        <v/>
      </c>
      <c r="L84">
        <f>TEXT(E84, "0,0") &amp; " (" &amp; TEXT(D84, "0,0") &amp; " - " &amp; TEXT(F84, "0,0") &amp; ")"</f>
        <v/>
      </c>
      <c r="O84" t="inlineStr">
        <is>
          <t>Bioinformatics staff</t>
        </is>
      </c>
      <c r="P84" t="inlineStr">
        <is>
          <t>Hours worked</t>
        </is>
      </c>
      <c r="Q84" t="inlineStr">
        <is>
          <t>VIC</t>
        </is>
      </c>
      <c r="R84" t="inlineStr">
        <is>
          <t>132 (98 - 168)</t>
        </is>
      </c>
    </row>
    <row r="85">
      <c r="A85" t="inlineStr">
        <is>
          <t>Bioinformatics staff</t>
        </is>
      </c>
      <c r="B85" s="44" t="inlineStr">
        <is>
          <t>Hours worked</t>
        </is>
      </c>
      <c r="C85" t="inlineStr">
        <is>
          <t>WA</t>
        </is>
      </c>
      <c r="D85" s="44" t="n">
        <v>99.23130673076923</v>
      </c>
      <c r="E85" s="44" t="n">
        <v>113.4524417237621</v>
      </c>
      <c r="F85" s="44" t="n">
        <v>128.1854904070289</v>
      </c>
      <c r="I85">
        <f>A85</f>
        <v/>
      </c>
      <c r="J85">
        <f>B85</f>
        <v/>
      </c>
      <c r="K85">
        <f>C85</f>
        <v/>
      </c>
      <c r="L85">
        <f>TEXT(E85, "0,0") &amp; " (" &amp; TEXT(D85, "0,0") &amp; " - " &amp; TEXT(F85, "0,0") &amp; ")"</f>
        <v/>
      </c>
      <c r="O85" t="inlineStr">
        <is>
          <t>Bioinformatics staff</t>
        </is>
      </c>
      <c r="P85" t="inlineStr">
        <is>
          <t>Hours worked</t>
        </is>
      </c>
      <c r="Q85" t="inlineStr">
        <is>
          <t>WA</t>
        </is>
      </c>
      <c r="R85" t="inlineStr">
        <is>
          <t>113 (99 - 128)</t>
        </is>
      </c>
    </row>
    <row r="86">
      <c r="A86" t="inlineStr">
        <is>
          <t>Bioinformatics staff</t>
        </is>
      </c>
      <c r="B86" s="44" t="inlineStr">
        <is>
          <t xml:space="preserve">Leave Loading (%)		</t>
        </is>
      </c>
      <c r="C86" t="inlineStr">
        <is>
          <t>ALL</t>
        </is>
      </c>
      <c r="D86" s="44" t="n">
        <v>83.36545616630333</v>
      </c>
      <c r="E86" s="44" t="n">
        <v>119.7143608104952</v>
      </c>
      <c r="F86" s="44" t="n">
        <v>175.8121554033011</v>
      </c>
      <c r="I86">
        <f>A86</f>
        <v/>
      </c>
      <c r="J86">
        <f>B86</f>
        <v/>
      </c>
      <c r="K86">
        <f>C86</f>
        <v/>
      </c>
      <c r="L86">
        <f>TEXT(E86, "0,0") &amp; " (" &amp; TEXT(D86, "0,0") &amp; " - " &amp; TEXT(F86, "0,0") &amp; ")"</f>
        <v/>
      </c>
      <c r="O86" t="inlineStr">
        <is>
          <t>Bioinformatics staff</t>
        </is>
      </c>
      <c r="P86" t="inlineStr">
        <is>
          <t xml:space="preserve">Leave Loading (%)		</t>
        </is>
      </c>
      <c r="Q86" t="inlineStr">
        <is>
          <t>ALL</t>
        </is>
      </c>
      <c r="R86" t="inlineStr">
        <is>
          <t>120 (83 - 176)</t>
        </is>
      </c>
    </row>
    <row r="87">
      <c r="A87" t="inlineStr">
        <is>
          <t>Bioinformatics staff</t>
        </is>
      </c>
      <c r="B87" s="44" t="inlineStr">
        <is>
          <t xml:space="preserve">Leave Loading (%)		</t>
        </is>
      </c>
      <c r="C87" t="inlineStr">
        <is>
          <t>NSW</t>
        </is>
      </c>
      <c r="D87" s="44" t="n">
        <v>85.52245009342886</v>
      </c>
      <c r="E87" s="44" t="n">
        <v>116.9966419534413</v>
      </c>
      <c r="F87" s="44" t="n">
        <v>148.4708338134538</v>
      </c>
      <c r="I87">
        <f>A87</f>
        <v/>
      </c>
      <c r="J87">
        <f>B87</f>
        <v/>
      </c>
      <c r="K87">
        <f>C87</f>
        <v/>
      </c>
      <c r="L87">
        <f>TEXT(E87, "0,0") &amp; " (" &amp; TEXT(D87, "0,0") &amp; " - " &amp; TEXT(F87, "0,0") &amp; ")"</f>
        <v/>
      </c>
      <c r="O87" t="inlineStr">
        <is>
          <t>Bioinformatics staff</t>
        </is>
      </c>
      <c r="P87" t="inlineStr">
        <is>
          <t xml:space="preserve">Leave Loading (%)		</t>
        </is>
      </c>
      <c r="Q87" t="inlineStr">
        <is>
          <t>NSW</t>
        </is>
      </c>
      <c r="R87" t="inlineStr">
        <is>
          <t>117 (86 - 148)</t>
        </is>
      </c>
    </row>
    <row r="88">
      <c r="A88" t="inlineStr">
        <is>
          <t>Bioinformatics staff</t>
        </is>
      </c>
      <c r="B88" s="44" t="inlineStr">
        <is>
          <t xml:space="preserve">Leave Loading (%)		</t>
        </is>
      </c>
      <c r="C88" t="inlineStr">
        <is>
          <t>QLD</t>
        </is>
      </c>
      <c r="D88" s="44" t="n">
        <v>83.64681068981626</v>
      </c>
      <c r="E88" s="44" t="n">
        <v>125.9153161203675</v>
      </c>
      <c r="F88" s="44" t="n">
        <v>168.1838215509187</v>
      </c>
      <c r="I88">
        <f>A88</f>
        <v/>
      </c>
      <c r="J88">
        <f>B88</f>
        <v/>
      </c>
      <c r="K88">
        <f>C88</f>
        <v/>
      </c>
      <c r="L88">
        <f>TEXT(E88, "0,0") &amp; " (" &amp; TEXT(D88, "0,0") &amp; " - " &amp; TEXT(F88, "0,0") &amp; ")"</f>
        <v/>
      </c>
      <c r="O88" t="inlineStr">
        <is>
          <t>Bioinformatics staff</t>
        </is>
      </c>
      <c r="P88" t="inlineStr">
        <is>
          <t xml:space="preserve">Leave Loading (%)		</t>
        </is>
      </c>
      <c r="Q88" t="inlineStr">
        <is>
          <t>QLD</t>
        </is>
      </c>
      <c r="R88" t="inlineStr">
        <is>
          <t>126 (84 - 168)</t>
        </is>
      </c>
    </row>
    <row r="89">
      <c r="A89" t="inlineStr">
        <is>
          <t>Bioinformatics staff</t>
        </is>
      </c>
      <c r="B89" s="44" t="inlineStr">
        <is>
          <t xml:space="preserve">Leave Loading (%)		</t>
        </is>
      </c>
      <c r="C89" t="inlineStr">
        <is>
          <t>SA</t>
        </is>
      </c>
      <c r="D89" s="44" t="n">
        <v>79.55310798816568</v>
      </c>
      <c r="E89" s="44" t="n">
        <v>109.7531147812208</v>
      </c>
      <c r="F89" s="44" t="n">
        <v>139.9531215742759</v>
      </c>
      <c r="I89">
        <f>A89</f>
        <v/>
      </c>
      <c r="J89">
        <f>B89</f>
        <v/>
      </c>
      <c r="K89">
        <f>C89</f>
        <v/>
      </c>
      <c r="L89">
        <f>TEXT(E89, "0,0") &amp; " (" &amp; TEXT(D89, "0,0") &amp; " - " &amp; TEXT(F89, "0,0") &amp; ")"</f>
        <v/>
      </c>
      <c r="O89" t="inlineStr">
        <is>
          <t>Bioinformatics staff</t>
        </is>
      </c>
      <c r="P89" t="inlineStr">
        <is>
          <t xml:space="preserve">Leave Loading (%)		</t>
        </is>
      </c>
      <c r="Q89" t="inlineStr">
        <is>
          <t>SA</t>
        </is>
      </c>
      <c r="R89" t="inlineStr">
        <is>
          <t>110 (80 - 140)</t>
        </is>
      </c>
    </row>
    <row r="90">
      <c r="A90" t="inlineStr">
        <is>
          <t>Bioinformatics staff</t>
        </is>
      </c>
      <c r="B90" s="44" t="inlineStr">
        <is>
          <t xml:space="preserve">Leave Loading (%)		</t>
        </is>
      </c>
      <c r="C90" t="inlineStr">
        <is>
          <t>VIC</t>
        </is>
      </c>
      <c r="D90" s="44" t="n">
        <v>103.0109152911865</v>
      </c>
      <c r="E90" s="44" t="n">
        <v>131.7792982326378</v>
      </c>
      <c r="F90" s="44" t="n">
        <v>160.5476811740891</v>
      </c>
      <c r="I90">
        <f>A90</f>
        <v/>
      </c>
      <c r="J90">
        <f>B90</f>
        <v/>
      </c>
      <c r="K90">
        <f>C90</f>
        <v/>
      </c>
      <c r="L90">
        <f>TEXT(E90, "0,0") &amp; " (" &amp; TEXT(D90, "0,0") &amp; " - " &amp; TEXT(F90, "0,0") &amp; ")"</f>
        <v/>
      </c>
      <c r="O90" t="inlineStr">
        <is>
          <t>Bioinformatics staff</t>
        </is>
      </c>
      <c r="P90" t="inlineStr">
        <is>
          <t xml:space="preserve">Leave Loading (%)		</t>
        </is>
      </c>
      <c r="Q90" t="inlineStr">
        <is>
          <t>VIC</t>
        </is>
      </c>
      <c r="R90" t="inlineStr">
        <is>
          <t>132 (103 - 161)</t>
        </is>
      </c>
    </row>
    <row r="91">
      <c r="A91" t="inlineStr">
        <is>
          <t>Bioinformatics staff</t>
        </is>
      </c>
      <c r="B91" s="44" t="inlineStr">
        <is>
          <t xml:space="preserve">Leave Loading (%)		</t>
        </is>
      </c>
      <c r="C91" t="inlineStr">
        <is>
          <t>WA</t>
        </is>
      </c>
      <c r="D91" s="44" t="n">
        <v>104.4540070850203</v>
      </c>
      <c r="E91" s="44" t="n">
        <v>113.4524417237621</v>
      </c>
      <c r="F91" s="44" t="n">
        <v>122.4508763625039</v>
      </c>
      <c r="I91">
        <f>A91</f>
        <v/>
      </c>
      <c r="J91">
        <f>B91</f>
        <v/>
      </c>
      <c r="K91">
        <f>C91</f>
        <v/>
      </c>
      <c r="L91">
        <f>TEXT(E91, "0,0") &amp; " (" &amp; TEXT(D91, "0,0") &amp; " - " &amp; TEXT(F91, "0,0") &amp; ")"</f>
        <v/>
      </c>
      <c r="O91" t="inlineStr">
        <is>
          <t>Bioinformatics staff</t>
        </is>
      </c>
      <c r="P91" t="inlineStr">
        <is>
          <t xml:space="preserve">Leave Loading (%)		</t>
        </is>
      </c>
      <c r="Q91" t="inlineStr">
        <is>
          <t>WA</t>
        </is>
      </c>
      <c r="R91" t="inlineStr">
        <is>
          <t>113 (104 - 122)</t>
        </is>
      </c>
    </row>
    <row r="92">
      <c r="A92" t="inlineStr">
        <is>
          <t>Bioinformatics staff</t>
        </is>
      </c>
      <c r="B92" s="44" t="inlineStr">
        <is>
          <t>Private Practice Loading</t>
        </is>
      </c>
      <c r="C92" t="inlineStr">
        <is>
          <t>ALL</t>
        </is>
      </c>
      <c r="D92" s="44" t="n">
        <v>83.36545616630333</v>
      </c>
      <c r="E92" s="44" t="n">
        <v>119.7143608104952</v>
      </c>
      <c r="F92" s="44" t="n">
        <v>175.8121554033011</v>
      </c>
      <c r="I92">
        <f>A92</f>
        <v/>
      </c>
      <c r="J92">
        <f>B92</f>
        <v/>
      </c>
      <c r="K92">
        <f>C92</f>
        <v/>
      </c>
      <c r="L92">
        <f>TEXT(E92, "0,0") &amp; " (" &amp; TEXT(D92, "0,0") &amp; " - " &amp; TEXT(F92, "0,0") &amp; ")"</f>
        <v/>
      </c>
      <c r="O92" t="inlineStr">
        <is>
          <t>Bioinformatics staff</t>
        </is>
      </c>
      <c r="P92" t="inlineStr">
        <is>
          <t>Private Practice Loading</t>
        </is>
      </c>
      <c r="Q92" t="inlineStr">
        <is>
          <t>ALL</t>
        </is>
      </c>
      <c r="R92" t="inlineStr">
        <is>
          <t>120 (83 - 176)</t>
        </is>
      </c>
    </row>
    <row r="93">
      <c r="A93" t="inlineStr">
        <is>
          <t>Bioinformatics staff</t>
        </is>
      </c>
      <c r="B93" s="44" t="inlineStr">
        <is>
          <t>Private Practice Loading</t>
        </is>
      </c>
      <c r="C93" t="inlineStr">
        <is>
          <t>NSW</t>
        </is>
      </c>
      <c r="D93" s="44" t="n">
        <v>85.52245009342886</v>
      </c>
      <c r="E93" s="44" t="n">
        <v>116.9966419534413</v>
      </c>
      <c r="F93" s="44" t="n">
        <v>148.4708338134538</v>
      </c>
      <c r="I93">
        <f>A93</f>
        <v/>
      </c>
      <c r="J93">
        <f>B93</f>
        <v/>
      </c>
      <c r="K93">
        <f>C93</f>
        <v/>
      </c>
      <c r="L93">
        <f>TEXT(E93, "0,0") &amp; " (" &amp; TEXT(D93, "0,0") &amp; " - " &amp; TEXT(F93, "0,0") &amp; ")"</f>
        <v/>
      </c>
      <c r="O93" t="inlineStr">
        <is>
          <t>Bioinformatics staff</t>
        </is>
      </c>
      <c r="P93" t="inlineStr">
        <is>
          <t>Private Practice Loading</t>
        </is>
      </c>
      <c r="Q93" t="inlineStr">
        <is>
          <t>NSW</t>
        </is>
      </c>
      <c r="R93" t="inlineStr">
        <is>
          <t>117 (86 - 148)</t>
        </is>
      </c>
    </row>
    <row r="94">
      <c r="A94" t="inlineStr">
        <is>
          <t>Bioinformatics staff</t>
        </is>
      </c>
      <c r="B94" s="44" t="inlineStr">
        <is>
          <t>Private Practice Loading</t>
        </is>
      </c>
      <c r="C94" t="inlineStr">
        <is>
          <t>QLD</t>
        </is>
      </c>
      <c r="D94" s="44" t="n">
        <v>83.64681068981626</v>
      </c>
      <c r="E94" s="44" t="n">
        <v>125.9153161203675</v>
      </c>
      <c r="F94" s="44" t="n">
        <v>168.1838215509187</v>
      </c>
      <c r="I94">
        <f>A94</f>
        <v/>
      </c>
      <c r="J94">
        <f>B94</f>
        <v/>
      </c>
      <c r="K94">
        <f>C94</f>
        <v/>
      </c>
      <c r="L94">
        <f>TEXT(E94, "0,0") &amp; " (" &amp; TEXT(D94, "0,0") &amp; " - " &amp; TEXT(F94, "0,0") &amp; ")"</f>
        <v/>
      </c>
      <c r="O94" t="inlineStr">
        <is>
          <t>Bioinformatics staff</t>
        </is>
      </c>
      <c r="P94" t="inlineStr">
        <is>
          <t>Private Practice Loading</t>
        </is>
      </c>
      <c r="Q94" t="inlineStr">
        <is>
          <t>QLD</t>
        </is>
      </c>
      <c r="R94" t="inlineStr">
        <is>
          <t>126 (84 - 168)</t>
        </is>
      </c>
    </row>
    <row r="95">
      <c r="A95" t="inlineStr">
        <is>
          <t>Bioinformatics staff</t>
        </is>
      </c>
      <c r="B95" s="44" t="inlineStr">
        <is>
          <t>Private Practice Loading</t>
        </is>
      </c>
      <c r="C95" t="inlineStr">
        <is>
          <t>SA</t>
        </is>
      </c>
      <c r="D95" s="44" t="n">
        <v>79.55310798816568</v>
      </c>
      <c r="E95" s="44" t="n">
        <v>109.7531147812208</v>
      </c>
      <c r="F95" s="44" t="n">
        <v>139.9531215742759</v>
      </c>
      <c r="I95">
        <f>A95</f>
        <v/>
      </c>
      <c r="J95">
        <f>B95</f>
        <v/>
      </c>
      <c r="K95">
        <f>C95</f>
        <v/>
      </c>
      <c r="L95">
        <f>TEXT(E95, "0,0") &amp; " (" &amp; TEXT(D95, "0,0") &amp; " - " &amp; TEXT(F95, "0,0") &amp; ")"</f>
        <v/>
      </c>
      <c r="O95" t="inlineStr">
        <is>
          <t>Bioinformatics staff</t>
        </is>
      </c>
      <c r="P95" t="inlineStr">
        <is>
          <t>Private Practice Loading</t>
        </is>
      </c>
      <c r="Q95" t="inlineStr">
        <is>
          <t>SA</t>
        </is>
      </c>
      <c r="R95" t="inlineStr">
        <is>
          <t>110 (80 - 140)</t>
        </is>
      </c>
    </row>
    <row r="96">
      <c r="A96" t="inlineStr">
        <is>
          <t>Bioinformatics staff</t>
        </is>
      </c>
      <c r="B96" s="44" t="inlineStr">
        <is>
          <t>Private Practice Loading</t>
        </is>
      </c>
      <c r="C96" t="inlineStr">
        <is>
          <t>VIC</t>
        </is>
      </c>
      <c r="D96" s="44" t="n">
        <v>103.0109152911865</v>
      </c>
      <c r="E96" s="44" t="n">
        <v>131.7792982326378</v>
      </c>
      <c r="F96" s="44" t="n">
        <v>160.5476811740891</v>
      </c>
      <c r="I96">
        <f>A96</f>
        <v/>
      </c>
      <c r="J96">
        <f>B96</f>
        <v/>
      </c>
      <c r="K96">
        <f>C96</f>
        <v/>
      </c>
      <c r="L96">
        <f>TEXT(E96, "0,0") &amp; " (" &amp; TEXT(D96, "0,0") &amp; " - " &amp; TEXT(F96, "0,0") &amp; ")"</f>
        <v/>
      </c>
      <c r="O96" t="inlineStr">
        <is>
          <t>Bioinformatics staff</t>
        </is>
      </c>
      <c r="P96" t="inlineStr">
        <is>
          <t>Private Practice Loading</t>
        </is>
      </c>
      <c r="Q96" t="inlineStr">
        <is>
          <t>VIC</t>
        </is>
      </c>
      <c r="R96" t="inlineStr">
        <is>
          <t>132 (103 - 161)</t>
        </is>
      </c>
    </row>
    <row r="97">
      <c r="A97" t="inlineStr">
        <is>
          <t>Bioinformatics staff</t>
        </is>
      </c>
      <c r="B97" s="44" t="inlineStr">
        <is>
          <t>Private Practice Loading</t>
        </is>
      </c>
      <c r="C97" t="inlineStr">
        <is>
          <t>WA</t>
        </is>
      </c>
      <c r="D97" s="44" t="n">
        <v>104.4540070850203</v>
      </c>
      <c r="E97" s="44" t="n">
        <v>113.4524417237621</v>
      </c>
      <c r="F97" s="44" t="n">
        <v>122.4508763625039</v>
      </c>
      <c r="I97">
        <f>A97</f>
        <v/>
      </c>
      <c r="J97">
        <f>B97</f>
        <v/>
      </c>
      <c r="K97">
        <f>C97</f>
        <v/>
      </c>
      <c r="L97">
        <f>TEXT(E97, "0,0") &amp; " (" &amp; TEXT(D97, "0,0") &amp; " - " &amp; TEXT(F97, "0,0") &amp; ")"</f>
        <v/>
      </c>
      <c r="O97" t="inlineStr">
        <is>
          <t>Bioinformatics staff</t>
        </is>
      </c>
      <c r="P97" t="inlineStr">
        <is>
          <t>Private Practice Loading</t>
        </is>
      </c>
      <c r="Q97" t="inlineStr">
        <is>
          <t>WA</t>
        </is>
      </c>
      <c r="R97" t="inlineStr">
        <is>
          <t>113 (104 - 122)</t>
        </is>
      </c>
    </row>
    <row r="98">
      <c r="A98" t="inlineStr">
        <is>
          <t>Bioinformatics staff</t>
        </is>
      </c>
      <c r="B98" s="44" t="inlineStr">
        <is>
          <t>Professional Development Allowance</t>
        </is>
      </c>
      <c r="C98" t="inlineStr">
        <is>
          <t>ALL</t>
        </is>
      </c>
      <c r="D98" s="44" t="n">
        <v>83.36545616630333</v>
      </c>
      <c r="E98" s="44" t="n">
        <v>119.7143608104952</v>
      </c>
      <c r="F98" s="44" t="n">
        <v>175.8121554033011</v>
      </c>
      <c r="I98">
        <f>A98</f>
        <v/>
      </c>
      <c r="J98">
        <f>B98</f>
        <v/>
      </c>
      <c r="K98">
        <f>C98</f>
        <v/>
      </c>
      <c r="L98">
        <f>TEXT(E98, "0,0") &amp; " (" &amp; TEXT(D98, "0,0") &amp; " - " &amp; TEXT(F98, "0,0") &amp; ")"</f>
        <v/>
      </c>
      <c r="O98" t="inlineStr">
        <is>
          <t>Bioinformatics staff</t>
        </is>
      </c>
      <c r="P98" t="inlineStr">
        <is>
          <t>Professional Development Allowance</t>
        </is>
      </c>
      <c r="Q98" t="inlineStr">
        <is>
          <t>ALL</t>
        </is>
      </c>
      <c r="R98" t="inlineStr">
        <is>
          <t>120 (83 - 176)</t>
        </is>
      </c>
    </row>
    <row r="99">
      <c r="A99" t="inlineStr">
        <is>
          <t>Bioinformatics staff</t>
        </is>
      </c>
      <c r="B99" s="44" t="inlineStr">
        <is>
          <t>Professional Development Allowance</t>
        </is>
      </c>
      <c r="C99" t="inlineStr">
        <is>
          <t>NSW</t>
        </is>
      </c>
      <c r="D99" s="44" t="n">
        <v>85.52245009342886</v>
      </c>
      <c r="E99" s="44" t="n">
        <v>116.9966419534413</v>
      </c>
      <c r="F99" s="44" t="n">
        <v>148.4708338134538</v>
      </c>
      <c r="I99">
        <f>A99</f>
        <v/>
      </c>
      <c r="J99">
        <f>B99</f>
        <v/>
      </c>
      <c r="K99">
        <f>C99</f>
        <v/>
      </c>
      <c r="L99">
        <f>TEXT(E99, "0,0") &amp; " (" &amp; TEXT(D99, "0,0") &amp; " - " &amp; TEXT(F99, "0,0") &amp; ")"</f>
        <v/>
      </c>
      <c r="O99" t="inlineStr">
        <is>
          <t>Bioinformatics staff</t>
        </is>
      </c>
      <c r="P99" t="inlineStr">
        <is>
          <t>Professional Development Allowance</t>
        </is>
      </c>
      <c r="Q99" t="inlineStr">
        <is>
          <t>NSW</t>
        </is>
      </c>
      <c r="R99" t="inlineStr">
        <is>
          <t>117 (86 - 148)</t>
        </is>
      </c>
    </row>
    <row r="100">
      <c r="A100" t="inlineStr">
        <is>
          <t>Bioinformatics staff</t>
        </is>
      </c>
      <c r="B100" s="44" t="inlineStr">
        <is>
          <t>Professional Development Allowance</t>
        </is>
      </c>
      <c r="C100" t="inlineStr">
        <is>
          <t>QLD</t>
        </is>
      </c>
      <c r="D100" s="44" t="n">
        <v>83.64681068981626</v>
      </c>
      <c r="E100" s="44" t="n">
        <v>125.9153161203675</v>
      </c>
      <c r="F100" s="44" t="n">
        <v>168.1838215509187</v>
      </c>
      <c r="I100">
        <f>A100</f>
        <v/>
      </c>
      <c r="J100">
        <f>B100</f>
        <v/>
      </c>
      <c r="K100">
        <f>C100</f>
        <v/>
      </c>
      <c r="L100">
        <f>TEXT(E100, "0,0") &amp; " (" &amp; TEXT(D100, "0,0") &amp; " - " &amp; TEXT(F100, "0,0") &amp; ")"</f>
        <v/>
      </c>
      <c r="O100" t="inlineStr">
        <is>
          <t>Bioinformatics staff</t>
        </is>
      </c>
      <c r="P100" t="inlineStr">
        <is>
          <t>Professional Development Allowance</t>
        </is>
      </c>
      <c r="Q100" t="inlineStr">
        <is>
          <t>QLD</t>
        </is>
      </c>
      <c r="R100" t="inlineStr">
        <is>
          <t>126 (84 - 168)</t>
        </is>
      </c>
    </row>
    <row r="101">
      <c r="A101" t="inlineStr">
        <is>
          <t>Bioinformatics staff</t>
        </is>
      </c>
      <c r="B101" s="44" t="inlineStr">
        <is>
          <t>Professional Development Allowance</t>
        </is>
      </c>
      <c r="C101" t="inlineStr">
        <is>
          <t>SA</t>
        </is>
      </c>
      <c r="D101" s="44" t="n">
        <v>79.55310798816568</v>
      </c>
      <c r="E101" s="44" t="n">
        <v>109.7531147812208</v>
      </c>
      <c r="F101" s="44" t="n">
        <v>139.9531215742759</v>
      </c>
      <c r="I101">
        <f>A101</f>
        <v/>
      </c>
      <c r="J101">
        <f>B101</f>
        <v/>
      </c>
      <c r="K101">
        <f>C101</f>
        <v/>
      </c>
      <c r="L101">
        <f>TEXT(E101, "0,0") &amp; " (" &amp; TEXT(D101, "0,0") &amp; " - " &amp; TEXT(F101, "0,0") &amp; ")"</f>
        <v/>
      </c>
      <c r="O101" t="inlineStr">
        <is>
          <t>Bioinformatics staff</t>
        </is>
      </c>
      <c r="P101" t="inlineStr">
        <is>
          <t>Professional Development Allowance</t>
        </is>
      </c>
      <c r="Q101" t="inlineStr">
        <is>
          <t>SA</t>
        </is>
      </c>
      <c r="R101" t="inlineStr">
        <is>
          <t>110 (80 - 140)</t>
        </is>
      </c>
    </row>
    <row r="102">
      <c r="A102" t="inlineStr">
        <is>
          <t>Bioinformatics staff</t>
        </is>
      </c>
      <c r="B102" s="44" t="inlineStr">
        <is>
          <t>Professional Development Allowance</t>
        </is>
      </c>
      <c r="C102" t="inlineStr">
        <is>
          <t>VIC</t>
        </is>
      </c>
      <c r="D102" s="44" t="n">
        <v>103.0109152911865</v>
      </c>
      <c r="E102" s="44" t="n">
        <v>131.7792982326378</v>
      </c>
      <c r="F102" s="44" t="n">
        <v>160.5476811740891</v>
      </c>
      <c r="I102">
        <f>A102</f>
        <v/>
      </c>
      <c r="J102">
        <f>B102</f>
        <v/>
      </c>
      <c r="K102">
        <f>C102</f>
        <v/>
      </c>
      <c r="L102">
        <f>TEXT(E102, "0,0") &amp; " (" &amp; TEXT(D102, "0,0") &amp; " - " &amp; TEXT(F102, "0,0") &amp; ")"</f>
        <v/>
      </c>
      <c r="O102" t="inlineStr">
        <is>
          <t>Bioinformatics staff</t>
        </is>
      </c>
      <c r="P102" t="inlineStr">
        <is>
          <t>Professional Development Allowance</t>
        </is>
      </c>
      <c r="Q102" t="inlineStr">
        <is>
          <t>VIC</t>
        </is>
      </c>
      <c r="R102" t="inlineStr">
        <is>
          <t>132 (103 - 161)</t>
        </is>
      </c>
    </row>
    <row r="103">
      <c r="A103" t="inlineStr">
        <is>
          <t>Bioinformatics staff</t>
        </is>
      </c>
      <c r="B103" s="44" t="inlineStr">
        <is>
          <t>Professional Development Allowance</t>
        </is>
      </c>
      <c r="C103" t="inlineStr">
        <is>
          <t>WA</t>
        </is>
      </c>
      <c r="D103" s="44" t="n">
        <v>104.4540070850203</v>
      </c>
      <c r="E103" s="44" t="n">
        <v>113.4524417237621</v>
      </c>
      <c r="F103" s="44" t="n">
        <v>122.4508763625039</v>
      </c>
      <c r="I103">
        <f>A103</f>
        <v/>
      </c>
      <c r="J103">
        <f>B103</f>
        <v/>
      </c>
      <c r="K103">
        <f>C103</f>
        <v/>
      </c>
      <c r="L103">
        <f>TEXT(E103, "0,0") &amp; " (" &amp; TEXT(D103, "0,0") &amp; " - " &amp; TEXT(F103, "0,0") &amp; ")"</f>
        <v/>
      </c>
      <c r="O103" t="inlineStr">
        <is>
          <t>Bioinformatics staff</t>
        </is>
      </c>
      <c r="P103" t="inlineStr">
        <is>
          <t>Professional Development Allowance</t>
        </is>
      </c>
      <c r="Q103" t="inlineStr">
        <is>
          <t>WA</t>
        </is>
      </c>
      <c r="R103" t="inlineStr">
        <is>
          <t>113 (104 - 122)</t>
        </is>
      </c>
    </row>
    <row r="104">
      <c r="A104" t="inlineStr">
        <is>
          <t>Bioinformatics staff</t>
        </is>
      </c>
      <c r="B104" s="44" t="inlineStr">
        <is>
          <t>Public Holiday Penalty</t>
        </is>
      </c>
      <c r="C104" t="inlineStr">
        <is>
          <t>ALL</t>
        </is>
      </c>
      <c r="D104" s="44" t="n">
        <v>83.18145667237621</v>
      </c>
      <c r="E104" s="44" t="n">
        <v>119.7143608104952</v>
      </c>
      <c r="F104" s="44" t="n">
        <v>176.165333540953</v>
      </c>
      <c r="I104">
        <f>A104</f>
        <v/>
      </c>
      <c r="J104">
        <f>B104</f>
        <v/>
      </c>
      <c r="K104">
        <f>C104</f>
        <v/>
      </c>
      <c r="L104">
        <f>TEXT(E104, "0,0") &amp; " (" &amp; TEXT(D104, "0,0") &amp; " - " &amp; TEXT(F104, "0,0") &amp; ")"</f>
        <v/>
      </c>
      <c r="O104" t="inlineStr">
        <is>
          <t>Bioinformatics staff</t>
        </is>
      </c>
      <c r="P104" t="inlineStr">
        <is>
          <t>Public Holiday Penalty</t>
        </is>
      </c>
      <c r="Q104" t="inlineStr">
        <is>
          <t>ALL</t>
        </is>
      </c>
      <c r="R104" t="inlineStr">
        <is>
          <t>120 (83 - 176)</t>
        </is>
      </c>
    </row>
    <row r="105">
      <c r="A105" t="inlineStr">
        <is>
          <t>Bioinformatics staff</t>
        </is>
      </c>
      <c r="B105" s="44" t="inlineStr">
        <is>
          <t>Public Holiday Penalty</t>
        </is>
      </c>
      <c r="C105" t="inlineStr">
        <is>
          <t>NSW</t>
        </is>
      </c>
      <c r="D105" s="44" t="n">
        <v>85.3384505995017</v>
      </c>
      <c r="E105" s="44" t="n">
        <v>116.9966419534413</v>
      </c>
      <c r="F105" s="44" t="n">
        <v>148.7612260199315</v>
      </c>
      <c r="I105">
        <f>A105</f>
        <v/>
      </c>
      <c r="J105">
        <f>B105</f>
        <v/>
      </c>
      <c r="K105">
        <f>C105</f>
        <v/>
      </c>
      <c r="L105">
        <f>TEXT(E105, "0,0") &amp; " (" &amp; TEXT(D105, "0,0") &amp; " - " &amp; TEXT(F105, "0,0") &amp; ")"</f>
        <v/>
      </c>
      <c r="O105" t="inlineStr">
        <is>
          <t>Bioinformatics staff</t>
        </is>
      </c>
      <c r="P105" t="inlineStr">
        <is>
          <t>Public Holiday Penalty</t>
        </is>
      </c>
      <c r="Q105" t="inlineStr">
        <is>
          <t>NSW</t>
        </is>
      </c>
      <c r="R105" t="inlineStr">
        <is>
          <t>117 (85 - 149)</t>
        </is>
      </c>
    </row>
    <row r="106">
      <c r="A106" t="inlineStr">
        <is>
          <t>Bioinformatics staff</t>
        </is>
      </c>
      <c r="B106" s="44" t="inlineStr">
        <is>
          <t>Public Holiday Penalty</t>
        </is>
      </c>
      <c r="C106" t="inlineStr">
        <is>
          <t>QLD</t>
        </is>
      </c>
      <c r="D106" s="44" t="n">
        <v>83.45466974852071</v>
      </c>
      <c r="E106" s="44" t="n">
        <v>125.9153161203675</v>
      </c>
      <c r="F106" s="44" t="n">
        <v>168.5369996885705</v>
      </c>
      <c r="I106">
        <f>A106</f>
        <v/>
      </c>
      <c r="J106">
        <f>B106</f>
        <v/>
      </c>
      <c r="K106">
        <f>C106</f>
        <v/>
      </c>
      <c r="L106">
        <f>TEXT(E106, "0,0") &amp; " (" &amp; TEXT(D106, "0,0") &amp; " - " &amp; TEXT(F106, "0,0") &amp; ")"</f>
        <v/>
      </c>
      <c r="O106" t="inlineStr">
        <is>
          <t>Bioinformatics staff</t>
        </is>
      </c>
      <c r="P106" t="inlineStr">
        <is>
          <t>Public Holiday Penalty</t>
        </is>
      </c>
      <c r="Q106" t="inlineStr">
        <is>
          <t>QLD</t>
        </is>
      </c>
      <c r="R106" t="inlineStr">
        <is>
          <t>126 (83 - 169)</t>
        </is>
      </c>
    </row>
    <row r="107">
      <c r="A107" t="inlineStr">
        <is>
          <t>Bioinformatics staff</t>
        </is>
      </c>
      <c r="B107" s="44" t="inlineStr">
        <is>
          <t>Public Holiday Penalty</t>
        </is>
      </c>
      <c r="C107" t="inlineStr">
        <is>
          <t>SA</t>
        </is>
      </c>
      <c r="D107" s="44" t="n">
        <v>79.36832914201183</v>
      </c>
      <c r="E107" s="44" t="n">
        <v>109.7531147812208</v>
      </c>
      <c r="F107" s="44" t="n">
        <v>140.2486402989723</v>
      </c>
      <c r="I107">
        <f>A107</f>
        <v/>
      </c>
      <c r="J107">
        <f>B107</f>
        <v/>
      </c>
      <c r="K107">
        <f>C107</f>
        <v/>
      </c>
      <c r="L107">
        <f>TEXT(E107, "0,0") &amp; " (" &amp; TEXT(D107, "0,0") &amp; " - " &amp; TEXT(F107, "0,0") &amp; ")"</f>
        <v/>
      </c>
      <c r="O107" t="inlineStr">
        <is>
          <t>Bioinformatics staff</t>
        </is>
      </c>
      <c r="P107" t="inlineStr">
        <is>
          <t>Public Holiday Penalty</t>
        </is>
      </c>
      <c r="Q107" t="inlineStr">
        <is>
          <t>SA</t>
        </is>
      </c>
      <c r="R107" t="inlineStr">
        <is>
          <t>110 (79 - 140)</t>
        </is>
      </c>
    </row>
    <row r="108">
      <c r="A108" t="inlineStr">
        <is>
          <t>Bioinformatics staff</t>
        </is>
      </c>
      <c r="B108" s="44" t="inlineStr">
        <is>
          <t>Public Holiday Penalty</t>
        </is>
      </c>
      <c r="C108" t="inlineStr">
        <is>
          <t>VIC</t>
        </is>
      </c>
      <c r="D108" s="44" t="n">
        <v>102.7892897851137</v>
      </c>
      <c r="E108" s="44" t="n">
        <v>131.7792982326378</v>
      </c>
      <c r="F108" s="44" t="n">
        <v>160.8616943319838</v>
      </c>
      <c r="I108">
        <f>A108</f>
        <v/>
      </c>
      <c r="J108">
        <f>B108</f>
        <v/>
      </c>
      <c r="K108">
        <f>C108</f>
        <v/>
      </c>
      <c r="L108">
        <f>TEXT(E108, "0,0") &amp; " (" &amp; TEXT(D108, "0,0") &amp; " - " &amp; TEXT(F108, "0,0") &amp; ")"</f>
        <v/>
      </c>
      <c r="O108" t="inlineStr">
        <is>
          <t>Bioinformatics staff</t>
        </is>
      </c>
      <c r="P108" t="inlineStr">
        <is>
          <t>Public Holiday Penalty</t>
        </is>
      </c>
      <c r="Q108" t="inlineStr">
        <is>
          <t>VIC</t>
        </is>
      </c>
      <c r="R108" t="inlineStr">
        <is>
          <t>132 (103 - 161)</t>
        </is>
      </c>
    </row>
    <row r="109">
      <c r="A109" t="inlineStr">
        <is>
          <t>Bioinformatics staff</t>
        </is>
      </c>
      <c r="B109" s="44" t="inlineStr">
        <is>
          <t>Public Holiday Penalty</t>
        </is>
      </c>
      <c r="C109" t="inlineStr">
        <is>
          <t>WA</t>
        </is>
      </c>
      <c r="D109" s="44" t="n">
        <v>104.2316189271255</v>
      </c>
      <c r="E109" s="44" t="n">
        <v>113.4524417237621</v>
      </c>
      <c r="F109" s="44" t="n">
        <v>122.6878804110869</v>
      </c>
      <c r="I109">
        <f>A109</f>
        <v/>
      </c>
      <c r="J109">
        <f>B109</f>
        <v/>
      </c>
      <c r="K109">
        <f>C109</f>
        <v/>
      </c>
      <c r="L109">
        <f>TEXT(E109, "0,0") &amp; " (" &amp; TEXT(D109, "0,0") &amp; " - " &amp; TEXT(F109, "0,0") &amp; ")"</f>
        <v/>
      </c>
      <c r="O109" t="inlineStr">
        <is>
          <t>Bioinformatics staff</t>
        </is>
      </c>
      <c r="P109" t="inlineStr">
        <is>
          <t>Public Holiday Penalty</t>
        </is>
      </c>
      <c r="Q109" t="inlineStr">
        <is>
          <t>WA</t>
        </is>
      </c>
      <c r="R109" t="inlineStr">
        <is>
          <t>113 (104 - 123)</t>
        </is>
      </c>
    </row>
    <row r="110">
      <c r="A110" t="inlineStr">
        <is>
          <t>Bioinformatics staff</t>
        </is>
      </c>
      <c r="B110" s="44" t="inlineStr">
        <is>
          <t>Sick Leave</t>
        </is>
      </c>
      <c r="C110" t="inlineStr">
        <is>
          <t>ALL</t>
        </is>
      </c>
      <c r="D110" s="44" t="n">
        <v>83.36545616630333</v>
      </c>
      <c r="E110" s="44" t="n">
        <v>119.7143608104952</v>
      </c>
      <c r="F110" s="44" t="n">
        <v>175.8121554033011</v>
      </c>
      <c r="I110">
        <f>A110</f>
        <v/>
      </c>
      <c r="J110">
        <f>B110</f>
        <v/>
      </c>
      <c r="K110">
        <f>C110</f>
        <v/>
      </c>
      <c r="L110">
        <f>TEXT(E110, "0,0") &amp; " (" &amp; TEXT(D110, "0,0") &amp; " - " &amp; TEXT(F110, "0,0") &amp; ")"</f>
        <v/>
      </c>
      <c r="O110" t="inlineStr">
        <is>
          <t>Bioinformatics staff</t>
        </is>
      </c>
      <c r="P110" t="inlineStr">
        <is>
          <t>Sick Leave</t>
        </is>
      </c>
      <c r="Q110" t="inlineStr">
        <is>
          <t>ALL</t>
        </is>
      </c>
      <c r="R110" t="inlineStr">
        <is>
          <t>120 (83 - 176)</t>
        </is>
      </c>
    </row>
    <row r="111">
      <c r="A111" t="inlineStr">
        <is>
          <t>Bioinformatics staff</t>
        </is>
      </c>
      <c r="B111" s="44" t="inlineStr">
        <is>
          <t>Sick Leave</t>
        </is>
      </c>
      <c r="C111" t="inlineStr">
        <is>
          <t>NSW</t>
        </is>
      </c>
      <c r="D111" s="44" t="n">
        <v>85.52245009342886</v>
      </c>
      <c r="E111" s="44" t="n">
        <v>116.9966419534413</v>
      </c>
      <c r="F111" s="44" t="n">
        <v>148.4708338134538</v>
      </c>
      <c r="I111">
        <f>A111</f>
        <v/>
      </c>
      <c r="J111">
        <f>B111</f>
        <v/>
      </c>
      <c r="K111">
        <f>C111</f>
        <v/>
      </c>
      <c r="L111">
        <f>TEXT(E111, "0,0") &amp; " (" &amp; TEXT(D111, "0,0") &amp; " - " &amp; TEXT(F111, "0,0") &amp; ")"</f>
        <v/>
      </c>
      <c r="O111" t="inlineStr">
        <is>
          <t>Bioinformatics staff</t>
        </is>
      </c>
      <c r="P111" t="inlineStr">
        <is>
          <t>Sick Leave</t>
        </is>
      </c>
      <c r="Q111" t="inlineStr">
        <is>
          <t>NSW</t>
        </is>
      </c>
      <c r="R111" t="inlineStr">
        <is>
          <t>117 (86 - 148)</t>
        </is>
      </c>
    </row>
    <row r="112">
      <c r="A112" t="inlineStr">
        <is>
          <t>Bioinformatics staff</t>
        </is>
      </c>
      <c r="B112" s="44" t="inlineStr">
        <is>
          <t>Sick Leave</t>
        </is>
      </c>
      <c r="C112" t="inlineStr">
        <is>
          <t>QLD</t>
        </is>
      </c>
      <c r="D112" s="44" t="n">
        <v>83.64681068981626</v>
      </c>
      <c r="E112" s="44" t="n">
        <v>125.9153161203675</v>
      </c>
      <c r="F112" s="44" t="n">
        <v>168.1838215509187</v>
      </c>
      <c r="I112">
        <f>A112</f>
        <v/>
      </c>
      <c r="J112">
        <f>B112</f>
        <v/>
      </c>
      <c r="K112">
        <f>C112</f>
        <v/>
      </c>
      <c r="L112">
        <f>TEXT(E112, "0,0") &amp; " (" &amp; TEXT(D112, "0,0") &amp; " - " &amp; TEXT(F112, "0,0") &amp; ")"</f>
        <v/>
      </c>
      <c r="O112" t="inlineStr">
        <is>
          <t>Bioinformatics staff</t>
        </is>
      </c>
      <c r="P112" t="inlineStr">
        <is>
          <t>Sick Leave</t>
        </is>
      </c>
      <c r="Q112" t="inlineStr">
        <is>
          <t>QLD</t>
        </is>
      </c>
      <c r="R112" t="inlineStr">
        <is>
          <t>126 (84 - 168)</t>
        </is>
      </c>
    </row>
    <row r="113">
      <c r="A113" t="inlineStr">
        <is>
          <t>Bioinformatics staff</t>
        </is>
      </c>
      <c r="B113" s="44" t="inlineStr">
        <is>
          <t>Sick Leave</t>
        </is>
      </c>
      <c r="C113" t="inlineStr">
        <is>
          <t>SA</t>
        </is>
      </c>
      <c r="D113" s="44" t="n">
        <v>79.55310798816568</v>
      </c>
      <c r="E113" s="44" t="n">
        <v>109.7531147812208</v>
      </c>
      <c r="F113" s="44" t="n">
        <v>139.9531215742759</v>
      </c>
      <c r="I113">
        <f>A113</f>
        <v/>
      </c>
      <c r="J113">
        <f>B113</f>
        <v/>
      </c>
      <c r="K113">
        <f>C113</f>
        <v/>
      </c>
      <c r="L113">
        <f>TEXT(E113, "0,0") &amp; " (" &amp; TEXT(D113, "0,0") &amp; " - " &amp; TEXT(F113, "0,0") &amp; ")"</f>
        <v/>
      </c>
      <c r="O113" t="inlineStr">
        <is>
          <t>Bioinformatics staff</t>
        </is>
      </c>
      <c r="P113" t="inlineStr">
        <is>
          <t>Sick Leave</t>
        </is>
      </c>
      <c r="Q113" t="inlineStr">
        <is>
          <t>SA</t>
        </is>
      </c>
      <c r="R113" t="inlineStr">
        <is>
          <t>110 (80 - 140)</t>
        </is>
      </c>
    </row>
    <row r="114">
      <c r="A114" t="inlineStr">
        <is>
          <t>Bioinformatics staff</t>
        </is>
      </c>
      <c r="B114" s="44" t="inlineStr">
        <is>
          <t>Sick Leave</t>
        </is>
      </c>
      <c r="C114" t="inlineStr">
        <is>
          <t>VIC</t>
        </is>
      </c>
      <c r="D114" s="44" t="n">
        <v>103.0109152911865</v>
      </c>
      <c r="E114" s="44" t="n">
        <v>131.7792982326378</v>
      </c>
      <c r="F114" s="44" t="n">
        <v>160.5476811740891</v>
      </c>
      <c r="I114">
        <f>A114</f>
        <v/>
      </c>
      <c r="J114">
        <f>B114</f>
        <v/>
      </c>
      <c r="K114">
        <f>C114</f>
        <v/>
      </c>
      <c r="L114">
        <f>TEXT(E114, "0,0") &amp; " (" &amp; TEXT(D114, "0,0") &amp; " - " &amp; TEXT(F114, "0,0") &amp; ")"</f>
        <v/>
      </c>
      <c r="O114" t="inlineStr">
        <is>
          <t>Bioinformatics staff</t>
        </is>
      </c>
      <c r="P114" t="inlineStr">
        <is>
          <t>Sick Leave</t>
        </is>
      </c>
      <c r="Q114" t="inlineStr">
        <is>
          <t>VIC</t>
        </is>
      </c>
      <c r="R114" t="inlineStr">
        <is>
          <t>132 (103 - 161)</t>
        </is>
      </c>
    </row>
    <row r="115">
      <c r="A115" t="inlineStr">
        <is>
          <t>Bioinformatics staff</t>
        </is>
      </c>
      <c r="B115" s="44" t="inlineStr">
        <is>
          <t>Sick Leave</t>
        </is>
      </c>
      <c r="C115" t="inlineStr">
        <is>
          <t>WA</t>
        </is>
      </c>
      <c r="D115" s="44" t="n">
        <v>104.4540070850203</v>
      </c>
      <c r="E115" s="44" t="n">
        <v>113.4524417237621</v>
      </c>
      <c r="F115" s="44" t="n">
        <v>122.4508763625039</v>
      </c>
      <c r="I115">
        <f>A115</f>
        <v/>
      </c>
      <c r="J115">
        <f>B115</f>
        <v/>
      </c>
      <c r="K115">
        <f>C115</f>
        <v/>
      </c>
      <c r="L115">
        <f>TEXT(E115, "0,0") &amp; " (" &amp; TEXT(D115, "0,0") &amp; " - " &amp; TEXT(F115, "0,0") &amp; ")"</f>
        <v/>
      </c>
      <c r="O115" t="inlineStr">
        <is>
          <t>Bioinformatics staff</t>
        </is>
      </c>
      <c r="P115" t="inlineStr">
        <is>
          <t>Sick Leave</t>
        </is>
      </c>
      <c r="Q115" t="inlineStr">
        <is>
          <t>WA</t>
        </is>
      </c>
      <c r="R115" t="inlineStr">
        <is>
          <t>113 (104 - 122)</t>
        </is>
      </c>
    </row>
    <row r="116">
      <c r="A116" t="inlineStr">
        <is>
          <t>Bioinformatics staff</t>
        </is>
      </c>
      <c r="B116" s="44" t="inlineStr">
        <is>
          <t>Superannuation</t>
        </is>
      </c>
      <c r="C116" t="inlineStr">
        <is>
          <t>ALL</t>
        </is>
      </c>
      <c r="D116" s="44" t="n">
        <v>83.19818389909688</v>
      </c>
      <c r="E116" s="44" t="n">
        <v>119.7143608104952</v>
      </c>
      <c r="F116" s="44" t="n">
        <v>177.0482788850826</v>
      </c>
      <c r="I116">
        <f>A116</f>
        <v/>
      </c>
      <c r="J116">
        <f>B116</f>
        <v/>
      </c>
      <c r="K116">
        <f>C116</f>
        <v/>
      </c>
      <c r="L116">
        <f>TEXT(E116, "0,0") &amp; " (" &amp; TEXT(D116, "0,0") &amp; " - " &amp; TEXT(F116, "0,0") &amp; ")"</f>
        <v/>
      </c>
      <c r="O116" t="inlineStr">
        <is>
          <t>Bioinformatics staff</t>
        </is>
      </c>
      <c r="P116" t="inlineStr">
        <is>
          <t>Superannuation</t>
        </is>
      </c>
      <c r="Q116" t="inlineStr">
        <is>
          <t>ALL</t>
        </is>
      </c>
      <c r="R116" t="inlineStr">
        <is>
          <t>120 (83 - 177)</t>
        </is>
      </c>
    </row>
    <row r="117">
      <c r="A117" t="inlineStr">
        <is>
          <t>Bioinformatics staff</t>
        </is>
      </c>
      <c r="B117" s="44" t="inlineStr">
        <is>
          <t>Superannuation</t>
        </is>
      </c>
      <c r="C117" t="inlineStr">
        <is>
          <t>NSW</t>
        </is>
      </c>
      <c r="D117" s="44" t="n">
        <v>85.35517782622237</v>
      </c>
      <c r="E117" s="44" t="n">
        <v>116.9966419534413</v>
      </c>
      <c r="F117" s="44" t="n">
        <v>149.4872065361258</v>
      </c>
      <c r="I117">
        <f>A117</f>
        <v/>
      </c>
      <c r="J117">
        <f>B117</f>
        <v/>
      </c>
      <c r="K117">
        <f>C117</f>
        <v/>
      </c>
      <c r="L117">
        <f>TEXT(E117, "0,0") &amp; " (" &amp; TEXT(D117, "0,0") &amp; " - " &amp; TEXT(F117, "0,0") &amp; ")"</f>
        <v/>
      </c>
      <c r="O117" t="inlineStr">
        <is>
          <t>Bioinformatics staff</t>
        </is>
      </c>
      <c r="P117" t="inlineStr">
        <is>
          <t>Superannuation</t>
        </is>
      </c>
      <c r="Q117" t="inlineStr">
        <is>
          <t>NSW</t>
        </is>
      </c>
      <c r="R117" t="inlineStr">
        <is>
          <t>117 (85 - 149)</t>
        </is>
      </c>
    </row>
    <row r="118">
      <c r="A118" t="inlineStr">
        <is>
          <t>Bioinformatics staff</t>
        </is>
      </c>
      <c r="B118" s="44" t="inlineStr">
        <is>
          <t>Superannuation</t>
        </is>
      </c>
      <c r="C118" t="inlineStr">
        <is>
          <t>QLD</t>
        </is>
      </c>
      <c r="D118" s="44" t="n">
        <v>83.47213710682031</v>
      </c>
      <c r="E118" s="44" t="n">
        <v>125.9153161203675</v>
      </c>
      <c r="F118" s="44" t="n">
        <v>169.4199450327001</v>
      </c>
      <c r="I118">
        <f>A118</f>
        <v/>
      </c>
      <c r="J118">
        <f>B118</f>
        <v/>
      </c>
      <c r="K118">
        <f>C118</f>
        <v/>
      </c>
      <c r="L118">
        <f>TEXT(E118, "0,0") &amp; " (" &amp; TEXT(D118, "0,0") &amp; " - " &amp; TEXT(F118, "0,0") &amp; ")"</f>
        <v/>
      </c>
      <c r="O118" t="inlineStr">
        <is>
          <t>Bioinformatics staff</t>
        </is>
      </c>
      <c r="P118" t="inlineStr">
        <is>
          <t>Superannuation</t>
        </is>
      </c>
      <c r="Q118" t="inlineStr">
        <is>
          <t>QLD</t>
        </is>
      </c>
      <c r="R118" t="inlineStr">
        <is>
          <t>126 (83 - 169)</t>
        </is>
      </c>
    </row>
    <row r="119">
      <c r="A119" t="inlineStr">
        <is>
          <t>Bioinformatics staff</t>
        </is>
      </c>
      <c r="B119" s="44" t="inlineStr">
        <is>
          <t>Superannuation</t>
        </is>
      </c>
      <c r="C119" t="inlineStr">
        <is>
          <t>SA</t>
        </is>
      </c>
      <c r="D119" s="44" t="n">
        <v>79.38512721893491</v>
      </c>
      <c r="E119" s="44" t="n">
        <v>109.7531147812208</v>
      </c>
      <c r="F119" s="44" t="n">
        <v>140.9874371107131</v>
      </c>
      <c r="I119">
        <f>A119</f>
        <v/>
      </c>
      <c r="J119">
        <f>B119</f>
        <v/>
      </c>
      <c r="K119">
        <f>C119</f>
        <v/>
      </c>
      <c r="L119">
        <f>TEXT(E119, "0,0") &amp; " (" &amp; TEXT(D119, "0,0") &amp; " - " &amp; TEXT(F119, "0,0") &amp; ")"</f>
        <v/>
      </c>
      <c r="O119" t="inlineStr">
        <is>
          <t>Bioinformatics staff</t>
        </is>
      </c>
      <c r="P119" t="inlineStr">
        <is>
          <t>Superannuation</t>
        </is>
      </c>
      <c r="Q119" t="inlineStr">
        <is>
          <t>SA</t>
        </is>
      </c>
      <c r="R119" t="inlineStr">
        <is>
          <t>110 (79 - 141)</t>
        </is>
      </c>
    </row>
    <row r="120">
      <c r="A120" t="inlineStr">
        <is>
          <t>Bioinformatics staff</t>
        </is>
      </c>
      <c r="B120" s="44" t="inlineStr">
        <is>
          <t>Superannuation</t>
        </is>
      </c>
      <c r="C120" t="inlineStr">
        <is>
          <t>VIC</t>
        </is>
      </c>
      <c r="D120" s="44" t="n">
        <v>102.809437558393</v>
      </c>
      <c r="E120" s="44" t="n">
        <v>131.7792982326378</v>
      </c>
      <c r="F120" s="44" t="n">
        <v>161.6467272267206</v>
      </c>
      <c r="I120">
        <f>A120</f>
        <v/>
      </c>
      <c r="J120">
        <f>B120</f>
        <v/>
      </c>
      <c r="K120">
        <f>C120</f>
        <v/>
      </c>
      <c r="L120">
        <f>TEXT(E120, "0,0") &amp; " (" &amp; TEXT(D120, "0,0") &amp; " - " &amp; TEXT(F120, "0,0") &amp; ")"</f>
        <v/>
      </c>
      <c r="O120" t="inlineStr">
        <is>
          <t>Bioinformatics staff</t>
        </is>
      </c>
      <c r="P120" t="inlineStr">
        <is>
          <t>Superannuation</t>
        </is>
      </c>
      <c r="Q120" t="inlineStr">
        <is>
          <t>VIC</t>
        </is>
      </c>
      <c r="R120" t="inlineStr">
        <is>
          <t>132 (103 - 162)</t>
        </is>
      </c>
    </row>
    <row r="121">
      <c r="A121" t="inlineStr">
        <is>
          <t>Bioinformatics staff</t>
        </is>
      </c>
      <c r="B121" s="44" t="inlineStr">
        <is>
          <t>Superannuation</t>
        </is>
      </c>
      <c r="C121" t="inlineStr">
        <is>
          <t>WA</t>
        </is>
      </c>
      <c r="D121" s="44" t="n">
        <v>104.2518360323887</v>
      </c>
      <c r="E121" s="44" t="n">
        <v>113.4524417237621</v>
      </c>
      <c r="F121" s="44" t="n">
        <v>123.2803905325444</v>
      </c>
      <c r="I121">
        <f>A121</f>
        <v/>
      </c>
      <c r="J121">
        <f>B121</f>
        <v/>
      </c>
      <c r="K121">
        <f>C121</f>
        <v/>
      </c>
      <c r="L121">
        <f>TEXT(E121, "0,0") &amp; " (" &amp; TEXT(D121, "0,0") &amp; " - " &amp; TEXT(F121, "0,0") &amp; ")"</f>
        <v/>
      </c>
      <c r="O121" t="inlineStr">
        <is>
          <t>Bioinformatics staff</t>
        </is>
      </c>
      <c r="P121" t="inlineStr">
        <is>
          <t>Superannuation</t>
        </is>
      </c>
      <c r="Q121" t="inlineStr">
        <is>
          <t>WA</t>
        </is>
      </c>
      <c r="R121" t="inlineStr">
        <is>
          <t>113 (104 - 123)</t>
        </is>
      </c>
    </row>
    <row r="122">
      <c r="A122" t="inlineStr">
        <is>
          <t>Lab technician</t>
        </is>
      </c>
      <c r="B122" s="44" t="inlineStr">
        <is>
          <t>Annual Leave</t>
        </is>
      </c>
      <c r="C122" t="inlineStr">
        <is>
          <t>ALL</t>
        </is>
      </c>
      <c r="D122" s="44" t="n">
        <v>60.35126969791342</v>
      </c>
      <c r="E122" s="44" t="n">
        <v>97.3006387844908</v>
      </c>
      <c r="F122" s="44" t="n">
        <v>136.8877749143569</v>
      </c>
      <c r="I122">
        <f>A122</f>
        <v/>
      </c>
      <c r="J122">
        <f>B122</f>
        <v/>
      </c>
      <c r="K122">
        <f>C122</f>
        <v/>
      </c>
      <c r="L122">
        <f>TEXT(E122, "0,0") &amp; " (" &amp; TEXT(D122, "0,0") &amp; " - " &amp; TEXT(F122, "0,0") &amp; ")"</f>
        <v/>
      </c>
      <c r="O122" t="inlineStr">
        <is>
          <t>Lab technician</t>
        </is>
      </c>
      <c r="P122" t="inlineStr">
        <is>
          <t>Annual Leave</t>
        </is>
      </c>
      <c r="Q122" t="inlineStr">
        <is>
          <t>ALL</t>
        </is>
      </c>
      <c r="R122" t="inlineStr">
        <is>
          <t>97 (60 - 137)</t>
        </is>
      </c>
    </row>
    <row r="123">
      <c r="A123" t="inlineStr">
        <is>
          <t>Lab technician</t>
        </is>
      </c>
      <c r="B123" s="44" t="inlineStr">
        <is>
          <t>Annual Leave</t>
        </is>
      </c>
      <c r="C123" t="inlineStr">
        <is>
          <t>NSW</t>
        </is>
      </c>
      <c r="D123" s="44" t="n">
        <v>71.92192463562753</v>
      </c>
      <c r="E123" s="44" t="n">
        <v>93.03632082995951</v>
      </c>
      <c r="F123" s="44" t="n">
        <v>114.1507170242915</v>
      </c>
      <c r="I123">
        <f>A123</f>
        <v/>
      </c>
      <c r="J123">
        <f>B123</f>
        <v/>
      </c>
      <c r="K123">
        <f>C123</f>
        <v/>
      </c>
      <c r="L123">
        <f>TEXT(E123, "0,0") &amp; " (" &amp; TEXT(D123, "0,0") &amp; " - " &amp; TEXT(F123, "0,0") &amp; ")"</f>
        <v/>
      </c>
      <c r="O123" t="inlineStr">
        <is>
          <t>Lab technician</t>
        </is>
      </c>
      <c r="P123" t="inlineStr">
        <is>
          <t>Annual Leave</t>
        </is>
      </c>
      <c r="Q123" t="inlineStr">
        <is>
          <t>NSW</t>
        </is>
      </c>
      <c r="R123" t="inlineStr">
        <is>
          <t>93 (72 - 114)</t>
        </is>
      </c>
    </row>
    <row r="124">
      <c r="A124" t="inlineStr">
        <is>
          <t>Lab technician</t>
        </is>
      </c>
      <c r="B124" s="44" t="inlineStr">
        <is>
          <t>Annual Leave</t>
        </is>
      </c>
      <c r="C124" t="inlineStr">
        <is>
          <t>QLD</t>
        </is>
      </c>
      <c r="D124" s="44" t="n">
        <v>59.10597228277796</v>
      </c>
      <c r="E124" s="44" t="n">
        <v>85.04287869822485</v>
      </c>
      <c r="F124" s="44" t="n">
        <v>110.9797851136718</v>
      </c>
      <c r="I124">
        <f>A124</f>
        <v/>
      </c>
      <c r="J124">
        <f>B124</f>
        <v/>
      </c>
      <c r="K124">
        <f>C124</f>
        <v/>
      </c>
      <c r="L124">
        <f>TEXT(E124, "0,0") &amp; " (" &amp; TEXT(D124, "0,0") &amp; " - " &amp; TEXT(F124, "0,0") &amp; ")"</f>
        <v/>
      </c>
      <c r="O124" t="inlineStr">
        <is>
          <t>Lab technician</t>
        </is>
      </c>
      <c r="P124" t="inlineStr">
        <is>
          <t>Annual Leave</t>
        </is>
      </c>
      <c r="Q124" t="inlineStr">
        <is>
          <t>QLD</t>
        </is>
      </c>
      <c r="R124" t="inlineStr">
        <is>
          <t>85 (59 - 111)</t>
        </is>
      </c>
    </row>
    <row r="125">
      <c r="A125" t="inlineStr">
        <is>
          <t>Lab technician</t>
        </is>
      </c>
      <c r="B125" s="44" t="inlineStr">
        <is>
          <t>Annual Leave</t>
        </is>
      </c>
      <c r="C125" t="inlineStr">
        <is>
          <t>SA</t>
        </is>
      </c>
      <c r="D125" s="44" t="n">
        <v>65.14664481469947</v>
      </c>
      <c r="E125" s="44" t="n">
        <v>93.07879005761446</v>
      </c>
      <c r="F125" s="44" t="n">
        <v>121.0109353005294</v>
      </c>
      <c r="I125">
        <f>A125</f>
        <v/>
      </c>
      <c r="J125">
        <f>B125</f>
        <v/>
      </c>
      <c r="K125">
        <f>C125</f>
        <v/>
      </c>
      <c r="L125">
        <f>TEXT(E125, "0,0") &amp; " (" &amp; TEXT(D125, "0,0") &amp; " - " &amp; TEXT(F125, "0,0") &amp; ")"</f>
        <v/>
      </c>
      <c r="O125" t="inlineStr">
        <is>
          <t>Lab technician</t>
        </is>
      </c>
      <c r="P125" t="inlineStr">
        <is>
          <t>Annual Leave</t>
        </is>
      </c>
      <c r="Q125" t="inlineStr">
        <is>
          <t>SA</t>
        </is>
      </c>
      <c r="R125" t="inlineStr">
        <is>
          <t>93 (65 - 121)</t>
        </is>
      </c>
    </row>
    <row r="126">
      <c r="A126" t="inlineStr">
        <is>
          <t>Lab technician</t>
        </is>
      </c>
      <c r="B126" s="44" t="inlineStr">
        <is>
          <t>Annual Leave</t>
        </is>
      </c>
      <c r="C126" t="inlineStr">
        <is>
          <t>VIC</t>
        </is>
      </c>
      <c r="D126" s="44" t="n">
        <v>103.0109152911865</v>
      </c>
      <c r="E126" s="44" t="n">
        <v>122.8630012846465</v>
      </c>
      <c r="F126" s="44" t="n">
        <v>142.7150872781065</v>
      </c>
      <c r="I126">
        <f>A126</f>
        <v/>
      </c>
      <c r="J126">
        <f>B126</f>
        <v/>
      </c>
      <c r="K126">
        <f>C126</f>
        <v/>
      </c>
      <c r="L126">
        <f>TEXT(E126, "0,0") &amp; " (" &amp; TEXT(D126, "0,0") &amp; " - " &amp; TEXT(F126, "0,0") &amp; ")"</f>
        <v/>
      </c>
      <c r="O126" t="inlineStr">
        <is>
          <t>Lab technician</t>
        </is>
      </c>
      <c r="P126" t="inlineStr">
        <is>
          <t>Annual Leave</t>
        </is>
      </c>
      <c r="Q126" t="inlineStr">
        <is>
          <t>VIC</t>
        </is>
      </c>
      <c r="R126" t="inlineStr">
        <is>
          <t>123 (103 - 143)</t>
        </is>
      </c>
    </row>
    <row r="127">
      <c r="A127" t="inlineStr">
        <is>
          <t>Lab technician</t>
        </is>
      </c>
      <c r="B127" s="44" t="inlineStr">
        <is>
          <t>Annual Leave</t>
        </is>
      </c>
      <c r="C127" t="inlineStr">
        <is>
          <t>WA</t>
        </is>
      </c>
      <c r="D127" s="44" t="n">
        <v>75.27544211304888</v>
      </c>
      <c r="E127" s="44" t="n">
        <v>93.30238025537216</v>
      </c>
      <c r="F127" s="44" t="n">
        <v>111.3293183976954</v>
      </c>
      <c r="I127">
        <f>A127</f>
        <v/>
      </c>
      <c r="J127">
        <f>B127</f>
        <v/>
      </c>
      <c r="K127">
        <f>C127</f>
        <v/>
      </c>
      <c r="L127">
        <f>TEXT(E127, "0,0") &amp; " (" &amp; TEXT(D127, "0,0") &amp; " - " &amp; TEXT(F127, "0,0") &amp; ")"</f>
        <v/>
      </c>
      <c r="O127" t="inlineStr">
        <is>
          <t>Lab technician</t>
        </is>
      </c>
      <c r="P127" t="inlineStr">
        <is>
          <t>Annual Leave</t>
        </is>
      </c>
      <c r="Q127" t="inlineStr">
        <is>
          <t>WA</t>
        </is>
      </c>
      <c r="R127" t="inlineStr">
        <is>
          <t>93 (75 - 111)</t>
        </is>
      </c>
    </row>
    <row r="128">
      <c r="A128" t="inlineStr">
        <is>
          <t>Lab technician</t>
        </is>
      </c>
      <c r="B128" s="44" t="inlineStr">
        <is>
          <t>Attraction and Retention Allowance</t>
        </is>
      </c>
      <c r="C128" t="inlineStr">
        <is>
          <t>ALL</t>
        </is>
      </c>
      <c r="D128" s="44" t="n">
        <v>60.35126969791342</v>
      </c>
      <c r="E128" s="44" t="n">
        <v>97.3006387844908</v>
      </c>
      <c r="F128" s="44" t="n">
        <v>136.8877749143569</v>
      </c>
      <c r="I128">
        <f>A128</f>
        <v/>
      </c>
      <c r="J128">
        <f>B128</f>
        <v/>
      </c>
      <c r="K128">
        <f>C128</f>
        <v/>
      </c>
      <c r="L128">
        <f>TEXT(E128, "0,0") &amp; " (" &amp; TEXT(D128, "0,0") &amp; " - " &amp; TEXT(F128, "0,0") &amp; ")"</f>
        <v/>
      </c>
      <c r="O128" t="inlineStr">
        <is>
          <t>Lab technician</t>
        </is>
      </c>
      <c r="P128" t="inlineStr">
        <is>
          <t>Attraction and Retention Allowance</t>
        </is>
      </c>
      <c r="Q128" t="inlineStr">
        <is>
          <t>ALL</t>
        </is>
      </c>
      <c r="R128" t="inlineStr">
        <is>
          <t>97 (60 - 137)</t>
        </is>
      </c>
    </row>
    <row r="129">
      <c r="A129" t="inlineStr">
        <is>
          <t>Lab technician</t>
        </is>
      </c>
      <c r="B129" s="44" t="inlineStr">
        <is>
          <t>Attraction and Retention Allowance</t>
        </is>
      </c>
      <c r="C129" t="inlineStr">
        <is>
          <t>NSW</t>
        </is>
      </c>
      <c r="D129" s="44" t="n">
        <v>71.92192463562753</v>
      </c>
      <c r="E129" s="44" t="n">
        <v>93.03632082995951</v>
      </c>
      <c r="F129" s="44" t="n">
        <v>114.1507170242915</v>
      </c>
      <c r="I129">
        <f>A129</f>
        <v/>
      </c>
      <c r="J129">
        <f>B129</f>
        <v/>
      </c>
      <c r="K129">
        <f>C129</f>
        <v/>
      </c>
      <c r="L129">
        <f>TEXT(E129, "0,0") &amp; " (" &amp; TEXT(D129, "0,0") &amp; " - " &amp; TEXT(F129, "0,0") &amp; ")"</f>
        <v/>
      </c>
      <c r="O129" t="inlineStr">
        <is>
          <t>Lab technician</t>
        </is>
      </c>
      <c r="P129" t="inlineStr">
        <is>
          <t>Attraction and Retention Allowance</t>
        </is>
      </c>
      <c r="Q129" t="inlineStr">
        <is>
          <t>NSW</t>
        </is>
      </c>
      <c r="R129" t="inlineStr">
        <is>
          <t>93 (72 - 114)</t>
        </is>
      </c>
    </row>
    <row r="130">
      <c r="A130" t="inlineStr">
        <is>
          <t>Lab technician</t>
        </is>
      </c>
      <c r="B130" s="44" t="inlineStr">
        <is>
          <t>Attraction and Retention Allowance</t>
        </is>
      </c>
      <c r="C130" t="inlineStr">
        <is>
          <t>QLD</t>
        </is>
      </c>
      <c r="D130" s="44" t="n">
        <v>59.10597228277796</v>
      </c>
      <c r="E130" s="44" t="n">
        <v>85.04287869822485</v>
      </c>
      <c r="F130" s="44" t="n">
        <v>110.9797851136718</v>
      </c>
      <c r="I130">
        <f>A130</f>
        <v/>
      </c>
      <c r="J130">
        <f>B130</f>
        <v/>
      </c>
      <c r="K130">
        <f>C130</f>
        <v/>
      </c>
      <c r="L130">
        <f>TEXT(E130, "0,0") &amp; " (" &amp; TEXT(D130, "0,0") &amp; " - " &amp; TEXT(F130, "0,0") &amp; ")"</f>
        <v/>
      </c>
      <c r="O130" t="inlineStr">
        <is>
          <t>Lab technician</t>
        </is>
      </c>
      <c r="P130" t="inlineStr">
        <is>
          <t>Attraction and Retention Allowance</t>
        </is>
      </c>
      <c r="Q130" t="inlineStr">
        <is>
          <t>QLD</t>
        </is>
      </c>
      <c r="R130" t="inlineStr">
        <is>
          <t>85 (59 - 111)</t>
        </is>
      </c>
    </row>
    <row r="131">
      <c r="A131" t="inlineStr">
        <is>
          <t>Lab technician</t>
        </is>
      </c>
      <c r="B131" s="44" t="inlineStr">
        <is>
          <t>Attraction and Retention Allowance</t>
        </is>
      </c>
      <c r="C131" t="inlineStr">
        <is>
          <t>SA</t>
        </is>
      </c>
      <c r="D131" s="44" t="n">
        <v>65.14664481469947</v>
      </c>
      <c r="E131" s="44" t="n">
        <v>93.07879005761446</v>
      </c>
      <c r="F131" s="44" t="n">
        <v>121.0109353005294</v>
      </c>
      <c r="I131">
        <f>A131</f>
        <v/>
      </c>
      <c r="J131">
        <f>B131</f>
        <v/>
      </c>
      <c r="K131">
        <f>C131</f>
        <v/>
      </c>
      <c r="L131">
        <f>TEXT(E131, "0,0") &amp; " (" &amp; TEXT(D131, "0,0") &amp; " - " &amp; TEXT(F131, "0,0") &amp; ")"</f>
        <v/>
      </c>
      <c r="O131" t="inlineStr">
        <is>
          <t>Lab technician</t>
        </is>
      </c>
      <c r="P131" t="inlineStr">
        <is>
          <t>Attraction and Retention Allowance</t>
        </is>
      </c>
      <c r="Q131" t="inlineStr">
        <is>
          <t>SA</t>
        </is>
      </c>
      <c r="R131" t="inlineStr">
        <is>
          <t>93 (65 - 121)</t>
        </is>
      </c>
    </row>
    <row r="132">
      <c r="A132" t="inlineStr">
        <is>
          <t>Lab technician</t>
        </is>
      </c>
      <c r="B132" s="44" t="inlineStr">
        <is>
          <t>Attraction and Retention Allowance</t>
        </is>
      </c>
      <c r="C132" t="inlineStr">
        <is>
          <t>VIC</t>
        </is>
      </c>
      <c r="D132" s="44" t="n">
        <v>103.0109152911865</v>
      </c>
      <c r="E132" s="44" t="n">
        <v>122.8630012846465</v>
      </c>
      <c r="F132" s="44" t="n">
        <v>142.7150872781065</v>
      </c>
      <c r="I132">
        <f>A132</f>
        <v/>
      </c>
      <c r="J132">
        <f>B132</f>
        <v/>
      </c>
      <c r="K132">
        <f>C132</f>
        <v/>
      </c>
      <c r="L132">
        <f>TEXT(E132, "0,0") &amp; " (" &amp; TEXT(D132, "0,0") &amp; " - " &amp; TEXT(F132, "0,0") &amp; ")"</f>
        <v/>
      </c>
      <c r="O132" t="inlineStr">
        <is>
          <t>Lab technician</t>
        </is>
      </c>
      <c r="P132" t="inlineStr">
        <is>
          <t>Attraction and Retention Allowance</t>
        </is>
      </c>
      <c r="Q132" t="inlineStr">
        <is>
          <t>VIC</t>
        </is>
      </c>
      <c r="R132" t="inlineStr">
        <is>
          <t>123 (103 - 143)</t>
        </is>
      </c>
    </row>
    <row r="133">
      <c r="A133" t="inlineStr">
        <is>
          <t>Lab technician</t>
        </is>
      </c>
      <c r="B133" s="44" t="inlineStr">
        <is>
          <t>Attraction and Retention Allowance</t>
        </is>
      </c>
      <c r="C133" t="inlineStr">
        <is>
          <t>WA</t>
        </is>
      </c>
      <c r="D133" s="44" t="n">
        <v>75.27544211304888</v>
      </c>
      <c r="E133" s="44" t="n">
        <v>93.30238025537216</v>
      </c>
      <c r="F133" s="44" t="n">
        <v>111.3293183976954</v>
      </c>
      <c r="I133">
        <f>A133</f>
        <v/>
      </c>
      <c r="J133">
        <f>B133</f>
        <v/>
      </c>
      <c r="K133">
        <f>C133</f>
        <v/>
      </c>
      <c r="L133">
        <f>TEXT(E133, "0,0") &amp; " (" &amp; TEXT(D133, "0,0") &amp; " - " &amp; TEXT(F133, "0,0") &amp; ")"</f>
        <v/>
      </c>
      <c r="O133" t="inlineStr">
        <is>
          <t>Lab technician</t>
        </is>
      </c>
      <c r="P133" t="inlineStr">
        <is>
          <t>Attraction and Retention Allowance</t>
        </is>
      </c>
      <c r="Q133" t="inlineStr">
        <is>
          <t>WA</t>
        </is>
      </c>
      <c r="R133" t="inlineStr">
        <is>
          <t>93 (75 - 111)</t>
        </is>
      </c>
    </row>
    <row r="134">
      <c r="A134" t="inlineStr">
        <is>
          <t>Lab technician</t>
        </is>
      </c>
      <c r="B134" s="44" t="inlineStr">
        <is>
          <t>Average Penalties</t>
        </is>
      </c>
      <c r="C134" t="inlineStr">
        <is>
          <t>ALL</t>
        </is>
      </c>
      <c r="D134" s="44" t="n">
        <v>57.8941846776705</v>
      </c>
      <c r="E134" s="44" t="n">
        <v>97.3006387844908</v>
      </c>
      <c r="F134" s="44" t="n">
        <v>148.0531595297415</v>
      </c>
      <c r="I134">
        <f>A134</f>
        <v/>
      </c>
      <c r="J134">
        <f>B134</f>
        <v/>
      </c>
      <c r="K134">
        <f>C134</f>
        <v/>
      </c>
      <c r="L134">
        <f>TEXT(E134, "0,0") &amp; " (" &amp; TEXT(D134, "0,0") &amp; " - " &amp; TEXT(F134, "0,0") &amp; ")"</f>
        <v/>
      </c>
      <c r="O134" t="inlineStr">
        <is>
          <t>Lab technician</t>
        </is>
      </c>
      <c r="P134" t="inlineStr">
        <is>
          <t>Average Penalties</t>
        </is>
      </c>
      <c r="Q134" t="inlineStr">
        <is>
          <t>ALL</t>
        </is>
      </c>
      <c r="R134" t="inlineStr">
        <is>
          <t>97 (58 - 148)</t>
        </is>
      </c>
    </row>
    <row r="135">
      <c r="A135" t="inlineStr">
        <is>
          <t>Lab technician</t>
        </is>
      </c>
      <c r="B135" s="44" t="inlineStr">
        <is>
          <t>Average Penalties</t>
        </is>
      </c>
      <c r="C135" t="inlineStr">
        <is>
          <t>NSW</t>
        </is>
      </c>
      <c r="D135" s="44" t="n">
        <v>68.88458253036437</v>
      </c>
      <c r="E135" s="44" t="n">
        <v>93.03632082995951</v>
      </c>
      <c r="F135" s="44" t="n">
        <v>123.7921380769231</v>
      </c>
      <c r="I135">
        <f>A135</f>
        <v/>
      </c>
      <c r="J135">
        <f>B135</f>
        <v/>
      </c>
      <c r="K135">
        <f>C135</f>
        <v/>
      </c>
      <c r="L135">
        <f>TEXT(E135, "0,0") &amp; " (" &amp; TEXT(D135, "0,0") &amp; " - " &amp; TEXT(F135, "0,0") &amp; ")"</f>
        <v/>
      </c>
      <c r="O135" t="inlineStr">
        <is>
          <t>Lab technician</t>
        </is>
      </c>
      <c r="P135" t="inlineStr">
        <is>
          <t>Average Penalties</t>
        </is>
      </c>
      <c r="Q135" t="inlineStr">
        <is>
          <t>NSW</t>
        </is>
      </c>
      <c r="R135" t="inlineStr">
        <is>
          <t>93 (69 - 124)</t>
        </is>
      </c>
    </row>
    <row r="136">
      <c r="A136" t="inlineStr">
        <is>
          <t>Lab technician</t>
        </is>
      </c>
      <c r="B136" s="44" t="inlineStr">
        <is>
          <t>Average Penalties</t>
        </is>
      </c>
      <c r="C136" t="inlineStr">
        <is>
          <t>QLD</t>
        </is>
      </c>
      <c r="D136" s="44" t="n">
        <v>56.64888726253503</v>
      </c>
      <c r="E136" s="44" t="n">
        <v>85.04287869822485</v>
      </c>
      <c r="F136" s="44" t="n">
        <v>120.2753316723762</v>
      </c>
      <c r="I136">
        <f>A136</f>
        <v/>
      </c>
      <c r="J136">
        <f>B136</f>
        <v/>
      </c>
      <c r="K136">
        <f>C136</f>
        <v/>
      </c>
      <c r="L136">
        <f>TEXT(E136, "0,0") &amp; " (" &amp; TEXT(D136, "0,0") &amp; " - " &amp; TEXT(F136, "0,0") &amp; ")"</f>
        <v/>
      </c>
      <c r="O136" t="inlineStr">
        <is>
          <t>Lab technician</t>
        </is>
      </c>
      <c r="P136" t="inlineStr">
        <is>
          <t>Average Penalties</t>
        </is>
      </c>
      <c r="Q136" t="inlineStr">
        <is>
          <t>QLD</t>
        </is>
      </c>
      <c r="R136" t="inlineStr">
        <is>
          <t>85 (57 - 120)</t>
        </is>
      </c>
    </row>
    <row r="137">
      <c r="A137" t="inlineStr">
        <is>
          <t>Lab technician</t>
        </is>
      </c>
      <c r="B137" s="44" t="inlineStr">
        <is>
          <t>Average Penalties</t>
        </is>
      </c>
      <c r="C137" t="inlineStr">
        <is>
          <t>SA</t>
        </is>
      </c>
      <c r="D137" s="44" t="n">
        <v>62.39543023980068</v>
      </c>
      <c r="E137" s="44" t="n">
        <v>93.07879005761446</v>
      </c>
      <c r="F137" s="44" t="n">
        <v>131.2317855029586</v>
      </c>
      <c r="I137">
        <f>A137</f>
        <v/>
      </c>
      <c r="J137">
        <f>B137</f>
        <v/>
      </c>
      <c r="K137">
        <f>C137</f>
        <v/>
      </c>
      <c r="L137">
        <f>TEXT(E137, "0,0") &amp; " (" &amp; TEXT(D137, "0,0") &amp; " - " &amp; TEXT(F137, "0,0") &amp; ")"</f>
        <v/>
      </c>
      <c r="O137" t="inlineStr">
        <is>
          <t>Lab technician</t>
        </is>
      </c>
      <c r="P137" t="inlineStr">
        <is>
          <t>Average Penalties</t>
        </is>
      </c>
      <c r="Q137" t="inlineStr">
        <is>
          <t>SA</t>
        </is>
      </c>
      <c r="R137" t="inlineStr">
        <is>
          <t>93 (62 - 131)</t>
        </is>
      </c>
    </row>
    <row r="138">
      <c r="A138" t="inlineStr">
        <is>
          <t>Lab technician</t>
        </is>
      </c>
      <c r="B138" s="44" t="inlineStr">
        <is>
          <t>Average Penalties</t>
        </is>
      </c>
      <c r="C138" t="inlineStr">
        <is>
          <t>VIC</t>
        </is>
      </c>
      <c r="D138" s="44" t="n">
        <v>98.98136063531611</v>
      </c>
      <c r="E138" s="44" t="n">
        <v>122.8630012846465</v>
      </c>
      <c r="F138" s="44" t="n">
        <v>153.8804718934911</v>
      </c>
      <c r="I138">
        <f>A138</f>
        <v/>
      </c>
      <c r="J138">
        <f>B138</f>
        <v/>
      </c>
      <c r="K138">
        <f>C138</f>
        <v/>
      </c>
      <c r="L138">
        <f>TEXT(E138, "0,0") &amp; " (" &amp; TEXT(D138, "0,0") &amp; " - " &amp; TEXT(F138, "0,0") &amp; ")"</f>
        <v/>
      </c>
      <c r="O138" t="inlineStr">
        <is>
          <t>Lab technician</t>
        </is>
      </c>
      <c r="P138" t="inlineStr">
        <is>
          <t>Average Penalties</t>
        </is>
      </c>
      <c r="Q138" t="inlineStr">
        <is>
          <t>VIC</t>
        </is>
      </c>
      <c r="R138" t="inlineStr">
        <is>
          <t>123 (99 - 154)</t>
        </is>
      </c>
    </row>
    <row r="139">
      <c r="A139" t="inlineStr">
        <is>
          <t>Lab technician</t>
        </is>
      </c>
      <c r="B139" s="44" t="inlineStr">
        <is>
          <t>Average Penalties</t>
        </is>
      </c>
      <c r="C139" t="inlineStr">
        <is>
          <t>WA</t>
        </is>
      </c>
      <c r="D139" s="44" t="n">
        <v>72.36152510900031</v>
      </c>
      <c r="E139" s="44" t="n">
        <v>93.30238025537216</v>
      </c>
      <c r="F139" s="44" t="n">
        <v>119.9484479523513</v>
      </c>
      <c r="I139">
        <f>A139</f>
        <v/>
      </c>
      <c r="J139">
        <f>B139</f>
        <v/>
      </c>
      <c r="K139">
        <f>C139</f>
        <v/>
      </c>
      <c r="L139">
        <f>TEXT(E139, "0,0") &amp; " (" &amp; TEXT(D139, "0,0") &amp; " - " &amp; TEXT(F139, "0,0") &amp; ")"</f>
        <v/>
      </c>
      <c r="O139" t="inlineStr">
        <is>
          <t>Lab technician</t>
        </is>
      </c>
      <c r="P139" t="inlineStr">
        <is>
          <t>Average Penalties</t>
        </is>
      </c>
      <c r="Q139" t="inlineStr">
        <is>
          <t>WA</t>
        </is>
      </c>
      <c r="R139" t="inlineStr">
        <is>
          <t>93 (72 - 120)</t>
        </is>
      </c>
    </row>
    <row r="140">
      <c r="A140" t="inlineStr">
        <is>
          <t>Lab technician</t>
        </is>
      </c>
      <c r="B140" s="44" t="inlineStr">
        <is>
          <t>Hours worked</t>
        </is>
      </c>
      <c r="C140" t="inlineStr">
        <is>
          <t>ALL</t>
        </is>
      </c>
      <c r="D140" s="44" t="n">
        <v>57.33370621301775</v>
      </c>
      <c r="E140" s="44" t="n">
        <v>97.3006387844908</v>
      </c>
      <c r="F140" s="44" t="n">
        <v>143.2984971555251</v>
      </c>
      <c r="I140">
        <f>A140</f>
        <v/>
      </c>
      <c r="J140">
        <f>B140</f>
        <v/>
      </c>
      <c r="K140">
        <f>C140</f>
        <v/>
      </c>
      <c r="L140">
        <f>TEXT(E140, "0,0") &amp; " (" &amp; TEXT(D140, "0,0") &amp; " - " &amp; TEXT(F140, "0,0") &amp; ")"</f>
        <v/>
      </c>
      <c r="O140" t="inlineStr">
        <is>
          <t>Lab technician</t>
        </is>
      </c>
      <c r="P140" t="inlineStr">
        <is>
          <t>Hours worked</t>
        </is>
      </c>
      <c r="Q140" t="inlineStr">
        <is>
          <t>ALL</t>
        </is>
      </c>
      <c r="R140" t="inlineStr">
        <is>
          <t>97 (57 - 143)</t>
        </is>
      </c>
    </row>
    <row r="141">
      <c r="A141" t="inlineStr">
        <is>
          <t>Lab technician</t>
        </is>
      </c>
      <c r="B141" s="44" t="inlineStr">
        <is>
          <t>Hours worked</t>
        </is>
      </c>
      <c r="C141" t="inlineStr">
        <is>
          <t>NSW</t>
        </is>
      </c>
      <c r="D141" s="44" t="n">
        <v>68.32582840384615</v>
      </c>
      <c r="E141" s="44" t="n">
        <v>93.03632082995951</v>
      </c>
      <c r="F141" s="44" t="n">
        <v>119.4966183725366</v>
      </c>
      <c r="I141">
        <f>A141</f>
        <v/>
      </c>
      <c r="J141">
        <f>B141</f>
        <v/>
      </c>
      <c r="K141">
        <f>C141</f>
        <v/>
      </c>
      <c r="L141">
        <f>TEXT(E141, "0,0") &amp; " (" &amp; TEXT(D141, "0,0") &amp; " - " &amp; TEXT(F141, "0,0") &amp; ")"</f>
        <v/>
      </c>
      <c r="O141" t="inlineStr">
        <is>
          <t>Lab technician</t>
        </is>
      </c>
      <c r="P141" t="inlineStr">
        <is>
          <t>Hours worked</t>
        </is>
      </c>
      <c r="Q141" t="inlineStr">
        <is>
          <t>NSW</t>
        </is>
      </c>
      <c r="R141" t="inlineStr">
        <is>
          <t>93 (68 - 119)</t>
        </is>
      </c>
    </row>
    <row r="142">
      <c r="A142" t="inlineStr">
        <is>
          <t>Lab technician</t>
        </is>
      </c>
      <c r="B142" s="44" t="inlineStr">
        <is>
          <t>Hours worked</t>
        </is>
      </c>
      <c r="C142" t="inlineStr">
        <is>
          <t>QLD</t>
        </is>
      </c>
      <c r="D142" s="44" t="n">
        <v>56.15067366863906</v>
      </c>
      <c r="E142" s="44" t="n">
        <v>85.04287869822485</v>
      </c>
      <c r="F142" s="44" t="n">
        <v>116.1771855184443</v>
      </c>
      <c r="I142">
        <f>A142</f>
        <v/>
      </c>
      <c r="J142">
        <f>B142</f>
        <v/>
      </c>
      <c r="K142">
        <f>C142</f>
        <v/>
      </c>
      <c r="L142">
        <f>TEXT(E142, "0,0") &amp; " (" &amp; TEXT(D142, "0,0") &amp; " - " &amp; TEXT(F142, "0,0") &amp; ")"</f>
        <v/>
      </c>
      <c r="O142" t="inlineStr">
        <is>
          <t>Lab technician</t>
        </is>
      </c>
      <c r="P142" t="inlineStr">
        <is>
          <t>Hours worked</t>
        </is>
      </c>
      <c r="Q142" t="inlineStr">
        <is>
          <t>QLD</t>
        </is>
      </c>
      <c r="R142" t="inlineStr">
        <is>
          <t>85 (56 - 116)</t>
        </is>
      </c>
    </row>
    <row r="143">
      <c r="A143" t="inlineStr">
        <is>
          <t>Lab technician</t>
        </is>
      </c>
      <c r="B143" s="44" t="inlineStr">
        <is>
          <t>Hours worked</t>
        </is>
      </c>
      <c r="C143" t="inlineStr">
        <is>
          <t>SA</t>
        </is>
      </c>
      <c r="D143" s="44" t="n">
        <v>61.8893125739645</v>
      </c>
      <c r="E143" s="44" t="n">
        <v>93.07879005761446</v>
      </c>
      <c r="F143" s="44" t="n">
        <v>126.6781140887085</v>
      </c>
      <c r="I143">
        <f>A143</f>
        <v/>
      </c>
      <c r="J143">
        <f>B143</f>
        <v/>
      </c>
      <c r="K143">
        <f>C143</f>
        <v/>
      </c>
      <c r="L143">
        <f>TEXT(E143, "0,0") &amp; " (" &amp; TEXT(D143, "0,0") &amp; " - " &amp; TEXT(F143, "0,0") &amp; ")"</f>
        <v/>
      </c>
      <c r="O143" t="inlineStr">
        <is>
          <t>Lab technician</t>
        </is>
      </c>
      <c r="P143" t="inlineStr">
        <is>
          <t>Hours worked</t>
        </is>
      </c>
      <c r="Q143" t="inlineStr">
        <is>
          <t>SA</t>
        </is>
      </c>
      <c r="R143" t="inlineStr">
        <is>
          <t>93 (62 - 127)</t>
        </is>
      </c>
    </row>
    <row r="144">
      <c r="A144" t="inlineStr">
        <is>
          <t>Lab technician</t>
        </is>
      </c>
      <c r="B144" s="44" t="inlineStr">
        <is>
          <t>Hours worked</t>
        </is>
      </c>
      <c r="C144" t="inlineStr">
        <is>
          <t>VIC</t>
        </is>
      </c>
      <c r="D144" s="44" t="n">
        <v>97.86036952662721</v>
      </c>
      <c r="E144" s="44" t="n">
        <v>122.8630012846465</v>
      </c>
      <c r="F144" s="44" t="n">
        <v>149.3987139550426</v>
      </c>
      <c r="I144">
        <f>A144</f>
        <v/>
      </c>
      <c r="J144">
        <f>B144</f>
        <v/>
      </c>
      <c r="K144">
        <f>C144</f>
        <v/>
      </c>
      <c r="L144">
        <f>TEXT(E144, "0,0") &amp; " (" &amp; TEXT(D144, "0,0") &amp; " - " &amp; TEXT(F144, "0,0") &amp; ")"</f>
        <v/>
      </c>
      <c r="O144" t="inlineStr">
        <is>
          <t>Lab technician</t>
        </is>
      </c>
      <c r="P144" t="inlineStr">
        <is>
          <t>Hours worked</t>
        </is>
      </c>
      <c r="Q144" t="inlineStr">
        <is>
          <t>VIC</t>
        </is>
      </c>
      <c r="R144" t="inlineStr">
        <is>
          <t>123 (98 - 149)</t>
        </is>
      </c>
    </row>
    <row r="145">
      <c r="A145" t="inlineStr">
        <is>
          <t>Lab technician</t>
        </is>
      </c>
      <c r="B145" s="44" t="inlineStr">
        <is>
          <t>Hours worked</t>
        </is>
      </c>
      <c r="C145" t="inlineStr">
        <is>
          <t>WA</t>
        </is>
      </c>
      <c r="D145" s="44" t="n">
        <v>71.51167000739643</v>
      </c>
      <c r="E145" s="44" t="n">
        <v>93.30238025537216</v>
      </c>
      <c r="F145" s="44" t="n">
        <v>116.5430881298189</v>
      </c>
      <c r="I145">
        <f>A145</f>
        <v/>
      </c>
      <c r="J145">
        <f>B145</f>
        <v/>
      </c>
      <c r="K145">
        <f>C145</f>
        <v/>
      </c>
      <c r="L145">
        <f>TEXT(E145, "0,0") &amp; " (" &amp; TEXT(D145, "0,0") &amp; " - " &amp; TEXT(F145, "0,0") &amp; ")"</f>
        <v/>
      </c>
      <c r="O145" t="inlineStr">
        <is>
          <t>Lab technician</t>
        </is>
      </c>
      <c r="P145" t="inlineStr">
        <is>
          <t>Hours worked</t>
        </is>
      </c>
      <c r="Q145" t="inlineStr">
        <is>
          <t>WA</t>
        </is>
      </c>
      <c r="R145" t="inlineStr">
        <is>
          <t>93 (72 - 117)</t>
        </is>
      </c>
    </row>
    <row r="146">
      <c r="A146" t="inlineStr">
        <is>
          <t>Lab technician</t>
        </is>
      </c>
      <c r="B146" s="44" t="inlineStr">
        <is>
          <t xml:space="preserve">Leave Loading (%)		</t>
        </is>
      </c>
      <c r="C146" t="inlineStr">
        <is>
          <t>ALL</t>
        </is>
      </c>
      <c r="D146" s="44" t="n">
        <v>60.35126969791342</v>
      </c>
      <c r="E146" s="44" t="n">
        <v>97.3006387844908</v>
      </c>
      <c r="F146" s="44" t="n">
        <v>136.8877749143569</v>
      </c>
      <c r="I146">
        <f>A146</f>
        <v/>
      </c>
      <c r="J146">
        <f>B146</f>
        <v/>
      </c>
      <c r="K146">
        <f>C146</f>
        <v/>
      </c>
      <c r="L146">
        <f>TEXT(E146, "0,0") &amp; " (" &amp; TEXT(D146, "0,0") &amp; " - " &amp; TEXT(F146, "0,0") &amp; ")"</f>
        <v/>
      </c>
      <c r="O146" t="inlineStr">
        <is>
          <t>Lab technician</t>
        </is>
      </c>
      <c r="P146" t="inlineStr">
        <is>
          <t xml:space="preserve">Leave Loading (%)		</t>
        </is>
      </c>
      <c r="Q146" t="inlineStr">
        <is>
          <t>ALL</t>
        </is>
      </c>
      <c r="R146" t="inlineStr">
        <is>
          <t>97 (60 - 137)</t>
        </is>
      </c>
    </row>
    <row r="147">
      <c r="A147" t="inlineStr">
        <is>
          <t>Lab technician</t>
        </is>
      </c>
      <c r="B147" s="44" t="inlineStr">
        <is>
          <t xml:space="preserve">Leave Loading (%)		</t>
        </is>
      </c>
      <c r="C147" t="inlineStr">
        <is>
          <t>NSW</t>
        </is>
      </c>
      <c r="D147" s="44" t="n">
        <v>71.92192463562753</v>
      </c>
      <c r="E147" s="44" t="n">
        <v>93.03632082995951</v>
      </c>
      <c r="F147" s="44" t="n">
        <v>114.1507170242915</v>
      </c>
      <c r="I147">
        <f>A147</f>
        <v/>
      </c>
      <c r="J147">
        <f>B147</f>
        <v/>
      </c>
      <c r="K147">
        <f>C147</f>
        <v/>
      </c>
      <c r="L147">
        <f>TEXT(E147, "0,0") &amp; " (" &amp; TEXT(D147, "0,0") &amp; " - " &amp; TEXT(F147, "0,0") &amp; ")"</f>
        <v/>
      </c>
      <c r="O147" t="inlineStr">
        <is>
          <t>Lab technician</t>
        </is>
      </c>
      <c r="P147" t="inlineStr">
        <is>
          <t xml:space="preserve">Leave Loading (%)		</t>
        </is>
      </c>
      <c r="Q147" t="inlineStr">
        <is>
          <t>NSW</t>
        </is>
      </c>
      <c r="R147" t="inlineStr">
        <is>
          <t>93 (72 - 114)</t>
        </is>
      </c>
    </row>
    <row r="148">
      <c r="A148" t="inlineStr">
        <is>
          <t>Lab technician</t>
        </is>
      </c>
      <c r="B148" s="44" t="inlineStr">
        <is>
          <t xml:space="preserve">Leave Loading (%)		</t>
        </is>
      </c>
      <c r="C148" t="inlineStr">
        <is>
          <t>QLD</t>
        </is>
      </c>
      <c r="D148" s="44" t="n">
        <v>59.10597228277796</v>
      </c>
      <c r="E148" s="44" t="n">
        <v>85.04287869822485</v>
      </c>
      <c r="F148" s="44" t="n">
        <v>110.9797851136718</v>
      </c>
      <c r="I148">
        <f>A148</f>
        <v/>
      </c>
      <c r="J148">
        <f>B148</f>
        <v/>
      </c>
      <c r="K148">
        <f>C148</f>
        <v/>
      </c>
      <c r="L148">
        <f>TEXT(E148, "0,0") &amp; " (" &amp; TEXT(D148, "0,0") &amp; " - " &amp; TEXT(F148, "0,0") &amp; ")"</f>
        <v/>
      </c>
      <c r="O148" t="inlineStr">
        <is>
          <t>Lab technician</t>
        </is>
      </c>
      <c r="P148" t="inlineStr">
        <is>
          <t xml:space="preserve">Leave Loading (%)		</t>
        </is>
      </c>
      <c r="Q148" t="inlineStr">
        <is>
          <t>QLD</t>
        </is>
      </c>
      <c r="R148" t="inlineStr">
        <is>
          <t>85 (59 - 111)</t>
        </is>
      </c>
    </row>
    <row r="149">
      <c r="A149" t="inlineStr">
        <is>
          <t>Lab technician</t>
        </is>
      </c>
      <c r="B149" s="44" t="inlineStr">
        <is>
          <t xml:space="preserve">Leave Loading (%)		</t>
        </is>
      </c>
      <c r="C149" t="inlineStr">
        <is>
          <t>SA</t>
        </is>
      </c>
      <c r="D149" s="44" t="n">
        <v>65.14664481469947</v>
      </c>
      <c r="E149" s="44" t="n">
        <v>93.07879005761446</v>
      </c>
      <c r="F149" s="44" t="n">
        <v>121.0109353005294</v>
      </c>
      <c r="I149">
        <f>A149</f>
        <v/>
      </c>
      <c r="J149">
        <f>B149</f>
        <v/>
      </c>
      <c r="K149">
        <f>C149</f>
        <v/>
      </c>
      <c r="L149">
        <f>TEXT(E149, "0,0") &amp; " (" &amp; TEXT(D149, "0,0") &amp; " - " &amp; TEXT(F149, "0,0") &amp; ")"</f>
        <v/>
      </c>
      <c r="O149" t="inlineStr">
        <is>
          <t>Lab technician</t>
        </is>
      </c>
      <c r="P149" t="inlineStr">
        <is>
          <t xml:space="preserve">Leave Loading (%)		</t>
        </is>
      </c>
      <c r="Q149" t="inlineStr">
        <is>
          <t>SA</t>
        </is>
      </c>
      <c r="R149" t="inlineStr">
        <is>
          <t>93 (65 - 121)</t>
        </is>
      </c>
    </row>
    <row r="150">
      <c r="A150" t="inlineStr">
        <is>
          <t>Lab technician</t>
        </is>
      </c>
      <c r="B150" s="44" t="inlineStr">
        <is>
          <t xml:space="preserve">Leave Loading (%)		</t>
        </is>
      </c>
      <c r="C150" t="inlineStr">
        <is>
          <t>VIC</t>
        </is>
      </c>
      <c r="D150" s="44" t="n">
        <v>103.0109152911865</v>
      </c>
      <c r="E150" s="44" t="n">
        <v>122.8630012846465</v>
      </c>
      <c r="F150" s="44" t="n">
        <v>142.7150872781065</v>
      </c>
      <c r="I150">
        <f>A150</f>
        <v/>
      </c>
      <c r="J150">
        <f>B150</f>
        <v/>
      </c>
      <c r="K150">
        <f>C150</f>
        <v/>
      </c>
      <c r="L150">
        <f>TEXT(E150, "0,0") &amp; " (" &amp; TEXT(D150, "0,0") &amp; " - " &amp; TEXT(F150, "0,0") &amp; ")"</f>
        <v/>
      </c>
      <c r="O150" t="inlineStr">
        <is>
          <t>Lab technician</t>
        </is>
      </c>
      <c r="P150" t="inlineStr">
        <is>
          <t xml:space="preserve">Leave Loading (%)		</t>
        </is>
      </c>
      <c r="Q150" t="inlineStr">
        <is>
          <t>VIC</t>
        </is>
      </c>
      <c r="R150" t="inlineStr">
        <is>
          <t>123 (103 - 143)</t>
        </is>
      </c>
    </row>
    <row r="151">
      <c r="A151" t="inlineStr">
        <is>
          <t>Lab technician</t>
        </is>
      </c>
      <c r="B151" s="44" t="inlineStr">
        <is>
          <t xml:space="preserve">Leave Loading (%)		</t>
        </is>
      </c>
      <c r="C151" t="inlineStr">
        <is>
          <t>WA</t>
        </is>
      </c>
      <c r="D151" s="44" t="n">
        <v>75.27544211304888</v>
      </c>
      <c r="E151" s="44" t="n">
        <v>93.30238025537216</v>
      </c>
      <c r="F151" s="44" t="n">
        <v>111.3293183976954</v>
      </c>
      <c r="I151">
        <f>A151</f>
        <v/>
      </c>
      <c r="J151">
        <f>B151</f>
        <v/>
      </c>
      <c r="K151">
        <f>C151</f>
        <v/>
      </c>
      <c r="L151">
        <f>TEXT(E151, "0,0") &amp; " (" &amp; TEXT(D151, "0,0") &amp; " - " &amp; TEXT(F151, "0,0") &amp; ")"</f>
        <v/>
      </c>
      <c r="O151" t="inlineStr">
        <is>
          <t>Lab technician</t>
        </is>
      </c>
      <c r="P151" t="inlineStr">
        <is>
          <t xml:space="preserve">Leave Loading (%)		</t>
        </is>
      </c>
      <c r="Q151" t="inlineStr">
        <is>
          <t>WA</t>
        </is>
      </c>
      <c r="R151" t="inlineStr">
        <is>
          <t>93 (75 - 111)</t>
        </is>
      </c>
    </row>
    <row r="152">
      <c r="A152" t="inlineStr">
        <is>
          <t>Lab technician</t>
        </is>
      </c>
      <c r="B152" s="44" t="inlineStr">
        <is>
          <t>Private Practice Loading</t>
        </is>
      </c>
      <c r="C152" t="inlineStr">
        <is>
          <t>ALL</t>
        </is>
      </c>
      <c r="D152" s="44" t="n">
        <v>60.35126969791342</v>
      </c>
      <c r="E152" s="44" t="n">
        <v>97.3006387844908</v>
      </c>
      <c r="F152" s="44" t="n">
        <v>136.8877749143569</v>
      </c>
      <c r="I152">
        <f>A152</f>
        <v/>
      </c>
      <c r="J152">
        <f>B152</f>
        <v/>
      </c>
      <c r="K152">
        <f>C152</f>
        <v/>
      </c>
      <c r="L152">
        <f>TEXT(E152, "0,0") &amp; " (" &amp; TEXT(D152, "0,0") &amp; " - " &amp; TEXT(F152, "0,0") &amp; ")"</f>
        <v/>
      </c>
      <c r="O152" t="inlineStr">
        <is>
          <t>Lab technician</t>
        </is>
      </c>
      <c r="P152" t="inlineStr">
        <is>
          <t>Private Practice Loading</t>
        </is>
      </c>
      <c r="Q152" t="inlineStr">
        <is>
          <t>ALL</t>
        </is>
      </c>
      <c r="R152" t="inlineStr">
        <is>
          <t>97 (60 - 137)</t>
        </is>
      </c>
    </row>
    <row r="153">
      <c r="A153" t="inlineStr">
        <is>
          <t>Lab technician</t>
        </is>
      </c>
      <c r="B153" s="44" t="inlineStr">
        <is>
          <t>Private Practice Loading</t>
        </is>
      </c>
      <c r="C153" t="inlineStr">
        <is>
          <t>NSW</t>
        </is>
      </c>
      <c r="D153" s="44" t="n">
        <v>71.92192463562753</v>
      </c>
      <c r="E153" s="44" t="n">
        <v>93.03632082995951</v>
      </c>
      <c r="F153" s="44" t="n">
        <v>114.1507170242915</v>
      </c>
      <c r="I153">
        <f>A153</f>
        <v/>
      </c>
      <c r="J153">
        <f>B153</f>
        <v/>
      </c>
      <c r="K153">
        <f>C153</f>
        <v/>
      </c>
      <c r="L153">
        <f>TEXT(E153, "0,0") &amp; " (" &amp; TEXT(D153, "0,0") &amp; " - " &amp; TEXT(F153, "0,0") &amp; ")"</f>
        <v/>
      </c>
      <c r="O153" t="inlineStr">
        <is>
          <t>Lab technician</t>
        </is>
      </c>
      <c r="P153" t="inlineStr">
        <is>
          <t>Private Practice Loading</t>
        </is>
      </c>
      <c r="Q153" t="inlineStr">
        <is>
          <t>NSW</t>
        </is>
      </c>
      <c r="R153" t="inlineStr">
        <is>
          <t>93 (72 - 114)</t>
        </is>
      </c>
    </row>
    <row r="154">
      <c r="A154" t="inlineStr">
        <is>
          <t>Lab technician</t>
        </is>
      </c>
      <c r="B154" s="44" t="inlineStr">
        <is>
          <t>Private Practice Loading</t>
        </is>
      </c>
      <c r="C154" t="inlineStr">
        <is>
          <t>QLD</t>
        </is>
      </c>
      <c r="D154" s="44" t="n">
        <v>59.10597228277796</v>
      </c>
      <c r="E154" s="44" t="n">
        <v>85.04287869822485</v>
      </c>
      <c r="F154" s="44" t="n">
        <v>110.9797851136718</v>
      </c>
      <c r="I154">
        <f>A154</f>
        <v/>
      </c>
      <c r="J154">
        <f>B154</f>
        <v/>
      </c>
      <c r="K154">
        <f>C154</f>
        <v/>
      </c>
      <c r="L154">
        <f>TEXT(E154, "0,0") &amp; " (" &amp; TEXT(D154, "0,0") &amp; " - " &amp; TEXT(F154, "0,0") &amp; ")"</f>
        <v/>
      </c>
      <c r="O154" t="inlineStr">
        <is>
          <t>Lab technician</t>
        </is>
      </c>
      <c r="P154" t="inlineStr">
        <is>
          <t>Private Practice Loading</t>
        </is>
      </c>
      <c r="Q154" t="inlineStr">
        <is>
          <t>QLD</t>
        </is>
      </c>
      <c r="R154" t="inlineStr">
        <is>
          <t>85 (59 - 111)</t>
        </is>
      </c>
    </row>
    <row r="155">
      <c r="A155" t="inlineStr">
        <is>
          <t>Lab technician</t>
        </is>
      </c>
      <c r="B155" s="44" t="inlineStr">
        <is>
          <t>Private Practice Loading</t>
        </is>
      </c>
      <c r="C155" t="inlineStr">
        <is>
          <t>SA</t>
        </is>
      </c>
      <c r="D155" s="44" t="n">
        <v>65.14664481469947</v>
      </c>
      <c r="E155" s="44" t="n">
        <v>93.07879005761446</v>
      </c>
      <c r="F155" s="44" t="n">
        <v>121.0109353005294</v>
      </c>
      <c r="I155">
        <f>A155</f>
        <v/>
      </c>
      <c r="J155">
        <f>B155</f>
        <v/>
      </c>
      <c r="K155">
        <f>C155</f>
        <v/>
      </c>
      <c r="L155">
        <f>TEXT(E155, "0,0") &amp; " (" &amp; TEXT(D155, "0,0") &amp; " - " &amp; TEXT(F155, "0,0") &amp; ")"</f>
        <v/>
      </c>
      <c r="O155" t="inlineStr">
        <is>
          <t>Lab technician</t>
        </is>
      </c>
      <c r="P155" t="inlineStr">
        <is>
          <t>Private Practice Loading</t>
        </is>
      </c>
      <c r="Q155" t="inlineStr">
        <is>
          <t>SA</t>
        </is>
      </c>
      <c r="R155" t="inlineStr">
        <is>
          <t>93 (65 - 121)</t>
        </is>
      </c>
    </row>
    <row r="156">
      <c r="A156" t="inlineStr">
        <is>
          <t>Lab technician</t>
        </is>
      </c>
      <c r="B156" s="44" t="inlineStr">
        <is>
          <t>Private Practice Loading</t>
        </is>
      </c>
      <c r="C156" t="inlineStr">
        <is>
          <t>VIC</t>
        </is>
      </c>
      <c r="D156" s="44" t="n">
        <v>103.0109152911865</v>
      </c>
      <c r="E156" s="44" t="n">
        <v>122.8630012846465</v>
      </c>
      <c r="F156" s="44" t="n">
        <v>142.7150872781065</v>
      </c>
      <c r="I156">
        <f>A156</f>
        <v/>
      </c>
      <c r="J156">
        <f>B156</f>
        <v/>
      </c>
      <c r="K156">
        <f>C156</f>
        <v/>
      </c>
      <c r="L156">
        <f>TEXT(E156, "0,0") &amp; " (" &amp; TEXT(D156, "0,0") &amp; " - " &amp; TEXT(F156, "0,0") &amp; ")"</f>
        <v/>
      </c>
      <c r="O156" t="inlineStr">
        <is>
          <t>Lab technician</t>
        </is>
      </c>
      <c r="P156" t="inlineStr">
        <is>
          <t>Private Practice Loading</t>
        </is>
      </c>
      <c r="Q156" t="inlineStr">
        <is>
          <t>VIC</t>
        </is>
      </c>
      <c r="R156" t="inlineStr">
        <is>
          <t>123 (103 - 143)</t>
        </is>
      </c>
    </row>
    <row r="157">
      <c r="A157" t="inlineStr">
        <is>
          <t>Lab technician</t>
        </is>
      </c>
      <c r="B157" s="44" t="inlineStr">
        <is>
          <t>Private Practice Loading</t>
        </is>
      </c>
      <c r="C157" t="inlineStr">
        <is>
          <t>WA</t>
        </is>
      </c>
      <c r="D157" s="44" t="n">
        <v>75.27544211304888</v>
      </c>
      <c r="E157" s="44" t="n">
        <v>93.30238025537216</v>
      </c>
      <c r="F157" s="44" t="n">
        <v>111.3293183976954</v>
      </c>
      <c r="I157">
        <f>A157</f>
        <v/>
      </c>
      <c r="J157">
        <f>B157</f>
        <v/>
      </c>
      <c r="K157">
        <f>C157</f>
        <v/>
      </c>
      <c r="L157">
        <f>TEXT(E157, "0,0") &amp; " (" &amp; TEXT(D157, "0,0") &amp; " - " &amp; TEXT(F157, "0,0") &amp; ")"</f>
        <v/>
      </c>
      <c r="O157" t="inlineStr">
        <is>
          <t>Lab technician</t>
        </is>
      </c>
      <c r="P157" t="inlineStr">
        <is>
          <t>Private Practice Loading</t>
        </is>
      </c>
      <c r="Q157" t="inlineStr">
        <is>
          <t>WA</t>
        </is>
      </c>
      <c r="R157" t="inlineStr">
        <is>
          <t>93 (75 - 111)</t>
        </is>
      </c>
    </row>
    <row r="158">
      <c r="A158" t="inlineStr">
        <is>
          <t>Lab technician</t>
        </is>
      </c>
      <c r="B158" s="44" t="inlineStr">
        <is>
          <t>Professional Development Allowance</t>
        </is>
      </c>
      <c r="C158" t="inlineStr">
        <is>
          <t>ALL</t>
        </is>
      </c>
      <c r="D158" s="44" t="n">
        <v>60.35126969791342</v>
      </c>
      <c r="E158" s="44" t="n">
        <v>97.3006387844908</v>
      </c>
      <c r="F158" s="44" t="n">
        <v>136.8877749143569</v>
      </c>
      <c r="I158">
        <f>A158</f>
        <v/>
      </c>
      <c r="J158">
        <f>B158</f>
        <v/>
      </c>
      <c r="K158">
        <f>C158</f>
        <v/>
      </c>
      <c r="L158">
        <f>TEXT(E158, "0,0") &amp; " (" &amp; TEXT(D158, "0,0") &amp; " - " &amp; TEXT(F158, "0,0") &amp; ")"</f>
        <v/>
      </c>
      <c r="O158" t="inlineStr">
        <is>
          <t>Lab technician</t>
        </is>
      </c>
      <c r="P158" t="inlineStr">
        <is>
          <t>Professional Development Allowance</t>
        </is>
      </c>
      <c r="Q158" t="inlineStr">
        <is>
          <t>ALL</t>
        </is>
      </c>
      <c r="R158" t="inlineStr">
        <is>
          <t>97 (60 - 137)</t>
        </is>
      </c>
    </row>
    <row r="159">
      <c r="A159" t="inlineStr">
        <is>
          <t>Lab technician</t>
        </is>
      </c>
      <c r="B159" s="44" t="inlineStr">
        <is>
          <t>Professional Development Allowance</t>
        </is>
      </c>
      <c r="C159" t="inlineStr">
        <is>
          <t>NSW</t>
        </is>
      </c>
      <c r="D159" s="44" t="n">
        <v>71.92192463562753</v>
      </c>
      <c r="E159" s="44" t="n">
        <v>93.03632082995951</v>
      </c>
      <c r="F159" s="44" t="n">
        <v>114.1507170242915</v>
      </c>
      <c r="I159">
        <f>A159</f>
        <v/>
      </c>
      <c r="J159">
        <f>B159</f>
        <v/>
      </c>
      <c r="K159">
        <f>C159</f>
        <v/>
      </c>
      <c r="L159">
        <f>TEXT(E159, "0,0") &amp; " (" &amp; TEXT(D159, "0,0") &amp; " - " &amp; TEXT(F159, "0,0") &amp; ")"</f>
        <v/>
      </c>
      <c r="O159" t="inlineStr">
        <is>
          <t>Lab technician</t>
        </is>
      </c>
      <c r="P159" t="inlineStr">
        <is>
          <t>Professional Development Allowance</t>
        </is>
      </c>
      <c r="Q159" t="inlineStr">
        <is>
          <t>NSW</t>
        </is>
      </c>
      <c r="R159" t="inlineStr">
        <is>
          <t>93 (72 - 114)</t>
        </is>
      </c>
    </row>
    <row r="160">
      <c r="A160" t="inlineStr">
        <is>
          <t>Lab technician</t>
        </is>
      </c>
      <c r="B160" s="44" t="inlineStr">
        <is>
          <t>Professional Development Allowance</t>
        </is>
      </c>
      <c r="C160" t="inlineStr">
        <is>
          <t>QLD</t>
        </is>
      </c>
      <c r="D160" s="44" t="n">
        <v>59.10597228277796</v>
      </c>
      <c r="E160" s="44" t="n">
        <v>85.04287869822485</v>
      </c>
      <c r="F160" s="44" t="n">
        <v>110.9797851136718</v>
      </c>
      <c r="I160">
        <f>A160</f>
        <v/>
      </c>
      <c r="J160">
        <f>B160</f>
        <v/>
      </c>
      <c r="K160">
        <f>C160</f>
        <v/>
      </c>
      <c r="L160">
        <f>TEXT(E160, "0,0") &amp; " (" &amp; TEXT(D160, "0,0") &amp; " - " &amp; TEXT(F160, "0,0") &amp; ")"</f>
        <v/>
      </c>
      <c r="O160" t="inlineStr">
        <is>
          <t>Lab technician</t>
        </is>
      </c>
      <c r="P160" t="inlineStr">
        <is>
          <t>Professional Development Allowance</t>
        </is>
      </c>
      <c r="Q160" t="inlineStr">
        <is>
          <t>QLD</t>
        </is>
      </c>
      <c r="R160" t="inlineStr">
        <is>
          <t>85 (59 - 111)</t>
        </is>
      </c>
    </row>
    <row r="161">
      <c r="A161" t="inlineStr">
        <is>
          <t>Lab technician</t>
        </is>
      </c>
      <c r="B161" s="44" t="inlineStr">
        <is>
          <t>Professional Development Allowance</t>
        </is>
      </c>
      <c r="C161" t="inlineStr">
        <is>
          <t>SA</t>
        </is>
      </c>
      <c r="D161" s="44" t="n">
        <v>65.14664481469947</v>
      </c>
      <c r="E161" s="44" t="n">
        <v>93.07879005761446</v>
      </c>
      <c r="F161" s="44" t="n">
        <v>121.0109353005294</v>
      </c>
      <c r="I161">
        <f>A161</f>
        <v/>
      </c>
      <c r="J161">
        <f>B161</f>
        <v/>
      </c>
      <c r="K161">
        <f>C161</f>
        <v/>
      </c>
      <c r="L161">
        <f>TEXT(E161, "0,0") &amp; " (" &amp; TEXT(D161, "0,0") &amp; " - " &amp; TEXT(F161, "0,0") &amp; ")"</f>
        <v/>
      </c>
      <c r="O161" t="inlineStr">
        <is>
          <t>Lab technician</t>
        </is>
      </c>
      <c r="P161" t="inlineStr">
        <is>
          <t>Professional Development Allowance</t>
        </is>
      </c>
      <c r="Q161" t="inlineStr">
        <is>
          <t>SA</t>
        </is>
      </c>
      <c r="R161" t="inlineStr">
        <is>
          <t>93 (65 - 121)</t>
        </is>
      </c>
    </row>
    <row r="162">
      <c r="A162" t="inlineStr">
        <is>
          <t>Lab technician</t>
        </is>
      </c>
      <c r="B162" s="44" t="inlineStr">
        <is>
          <t>Professional Development Allowance</t>
        </is>
      </c>
      <c r="C162" t="inlineStr">
        <is>
          <t>VIC</t>
        </is>
      </c>
      <c r="D162" s="44" t="n">
        <v>103.0109152911865</v>
      </c>
      <c r="E162" s="44" t="n">
        <v>122.8630012846465</v>
      </c>
      <c r="F162" s="44" t="n">
        <v>142.7150872781065</v>
      </c>
      <c r="I162">
        <f>A162</f>
        <v/>
      </c>
      <c r="J162">
        <f>B162</f>
        <v/>
      </c>
      <c r="K162">
        <f>C162</f>
        <v/>
      </c>
      <c r="L162">
        <f>TEXT(E162, "0,0") &amp; " (" &amp; TEXT(D162, "0,0") &amp; " - " &amp; TEXT(F162, "0,0") &amp; ")"</f>
        <v/>
      </c>
      <c r="O162" t="inlineStr">
        <is>
          <t>Lab technician</t>
        </is>
      </c>
      <c r="P162" t="inlineStr">
        <is>
          <t>Professional Development Allowance</t>
        </is>
      </c>
      <c r="Q162" t="inlineStr">
        <is>
          <t>VIC</t>
        </is>
      </c>
      <c r="R162" t="inlineStr">
        <is>
          <t>123 (103 - 143)</t>
        </is>
      </c>
    </row>
    <row r="163">
      <c r="A163" t="inlineStr">
        <is>
          <t>Lab technician</t>
        </is>
      </c>
      <c r="B163" s="44" t="inlineStr">
        <is>
          <t>Professional Development Allowance</t>
        </is>
      </c>
      <c r="C163" t="inlineStr">
        <is>
          <t>WA</t>
        </is>
      </c>
      <c r="D163" s="44" t="n">
        <v>75.27544211304888</v>
      </c>
      <c r="E163" s="44" t="n">
        <v>93.30238025537216</v>
      </c>
      <c r="F163" s="44" t="n">
        <v>111.3293183976954</v>
      </c>
      <c r="I163">
        <f>A163</f>
        <v/>
      </c>
      <c r="J163">
        <f>B163</f>
        <v/>
      </c>
      <c r="K163">
        <f>C163</f>
        <v/>
      </c>
      <c r="L163">
        <f>TEXT(E163, "0,0") &amp; " (" &amp; TEXT(D163, "0,0") &amp; " - " &amp; TEXT(F163, "0,0") &amp; ")"</f>
        <v/>
      </c>
      <c r="O163" t="inlineStr">
        <is>
          <t>Lab technician</t>
        </is>
      </c>
      <c r="P163" t="inlineStr">
        <is>
          <t>Professional Development Allowance</t>
        </is>
      </c>
      <c r="Q163" t="inlineStr">
        <is>
          <t>WA</t>
        </is>
      </c>
      <c r="R163" t="inlineStr">
        <is>
          <t>93 (75 - 111)</t>
        </is>
      </c>
    </row>
    <row r="164">
      <c r="A164" t="inlineStr">
        <is>
          <t>Lab technician</t>
        </is>
      </c>
      <c r="B164" s="44" t="inlineStr">
        <is>
          <t>Public Holiday Penalty</t>
        </is>
      </c>
      <c r="C164" t="inlineStr">
        <is>
          <t>ALL</t>
        </is>
      </c>
      <c r="D164" s="44" t="n">
        <v>60.21613002180006</v>
      </c>
      <c r="E164" s="44" t="n">
        <v>97.3006387844908</v>
      </c>
      <c r="F164" s="44" t="n">
        <v>137.1669095297415</v>
      </c>
      <c r="I164">
        <f>A164</f>
        <v/>
      </c>
      <c r="J164">
        <f>B164</f>
        <v/>
      </c>
      <c r="K164">
        <f>C164</f>
        <v/>
      </c>
      <c r="L164">
        <f>TEXT(E164, "0,0") &amp; " (" &amp; TEXT(D164, "0,0") &amp; " - " &amp; TEXT(F164, "0,0") &amp; ")"</f>
        <v/>
      </c>
      <c r="O164" t="inlineStr">
        <is>
          <t>Lab technician</t>
        </is>
      </c>
      <c r="P164" t="inlineStr">
        <is>
          <t>Public Holiday Penalty</t>
        </is>
      </c>
      <c r="Q164" t="inlineStr">
        <is>
          <t>ALL</t>
        </is>
      </c>
      <c r="R164" t="inlineStr">
        <is>
          <t>97 (60 - 137)</t>
        </is>
      </c>
    </row>
    <row r="165">
      <c r="A165" t="inlineStr">
        <is>
          <t>Lab technician</t>
        </is>
      </c>
      <c r="B165" s="44" t="inlineStr">
        <is>
          <t>Public Holiday Penalty</t>
        </is>
      </c>
      <c r="C165" t="inlineStr">
        <is>
          <t>NSW</t>
        </is>
      </c>
      <c r="D165" s="44" t="n">
        <v>71.75487081983806</v>
      </c>
      <c r="E165" s="44" t="n">
        <v>93.03632082995951</v>
      </c>
      <c r="F165" s="44" t="n">
        <v>114.3917525506073</v>
      </c>
      <c r="I165">
        <f>A165</f>
        <v/>
      </c>
      <c r="J165">
        <f>B165</f>
        <v/>
      </c>
      <c r="K165">
        <f>C165</f>
        <v/>
      </c>
      <c r="L165">
        <f>TEXT(E165, "0,0") &amp; " (" &amp; TEXT(D165, "0,0") &amp; " - " &amp; TEXT(F165, "0,0") &amp; ")"</f>
        <v/>
      </c>
      <c r="O165" t="inlineStr">
        <is>
          <t>Lab technician</t>
        </is>
      </c>
      <c r="P165" t="inlineStr">
        <is>
          <t>Public Holiday Penalty</t>
        </is>
      </c>
      <c r="Q165" t="inlineStr">
        <is>
          <t>NSW</t>
        </is>
      </c>
      <c r="R165" t="inlineStr">
        <is>
          <t>93 (72 - 114)</t>
        </is>
      </c>
    </row>
    <row r="166">
      <c r="A166" t="inlineStr">
        <is>
          <t>Lab technician</t>
        </is>
      </c>
      <c r="B166" s="44" t="inlineStr">
        <is>
          <t>Public Holiday Penalty</t>
        </is>
      </c>
      <c r="C166" t="inlineStr">
        <is>
          <t>QLD</t>
        </is>
      </c>
      <c r="D166" s="44" t="n">
        <v>58.97083260666459</v>
      </c>
      <c r="E166" s="44" t="n">
        <v>85.04287869822485</v>
      </c>
      <c r="F166" s="44" t="n">
        <v>111.2121737776394</v>
      </c>
      <c r="I166">
        <f>A166</f>
        <v/>
      </c>
      <c r="J166">
        <f>B166</f>
        <v/>
      </c>
      <c r="K166">
        <f>C166</f>
        <v/>
      </c>
      <c r="L166">
        <f>TEXT(E166, "0,0") &amp; " (" &amp; TEXT(D166, "0,0") &amp; " - " &amp; TEXT(F166, "0,0") &amp; ")"</f>
        <v/>
      </c>
      <c r="O166" t="inlineStr">
        <is>
          <t>Lab technician</t>
        </is>
      </c>
      <c r="P166" t="inlineStr">
        <is>
          <t>Public Holiday Penalty</t>
        </is>
      </c>
      <c r="Q166" t="inlineStr">
        <is>
          <t>QLD</t>
        </is>
      </c>
      <c r="R166" t="inlineStr">
        <is>
          <t>85 (59 - 111)</t>
        </is>
      </c>
    </row>
    <row r="167">
      <c r="A167" t="inlineStr">
        <is>
          <t>Lab technician</t>
        </is>
      </c>
      <c r="B167" s="44" t="inlineStr">
        <is>
          <t>Public Holiday Penalty</t>
        </is>
      </c>
      <c r="C167" t="inlineStr">
        <is>
          <t>SA</t>
        </is>
      </c>
      <c r="D167" s="44" t="n">
        <v>64.99532801308004</v>
      </c>
      <c r="E167" s="44" t="n">
        <v>93.07879005761446</v>
      </c>
      <c r="F167" s="44" t="n">
        <v>121.2664565555902</v>
      </c>
      <c r="I167">
        <f>A167</f>
        <v/>
      </c>
      <c r="J167">
        <f>B167</f>
        <v/>
      </c>
      <c r="K167">
        <f>C167</f>
        <v/>
      </c>
      <c r="L167">
        <f>TEXT(E167, "0,0") &amp; " (" &amp; TEXT(D167, "0,0") &amp; " - " &amp; TEXT(F167, "0,0") &amp; ")"</f>
        <v/>
      </c>
      <c r="O167" t="inlineStr">
        <is>
          <t>Lab technician</t>
        </is>
      </c>
      <c r="P167" t="inlineStr">
        <is>
          <t>Public Holiday Penalty</t>
        </is>
      </c>
      <c r="Q167" t="inlineStr">
        <is>
          <t>SA</t>
        </is>
      </c>
      <c r="R167" t="inlineStr">
        <is>
          <t>93 (65 - 121)</t>
        </is>
      </c>
    </row>
    <row r="168">
      <c r="A168" t="inlineStr">
        <is>
          <t>Lab technician</t>
        </is>
      </c>
      <c r="B168" s="44" t="inlineStr">
        <is>
          <t>Public Holiday Penalty</t>
        </is>
      </c>
      <c r="C168" t="inlineStr">
        <is>
          <t>VIC</t>
        </is>
      </c>
      <c r="D168" s="44" t="n">
        <v>102.7892897851137</v>
      </c>
      <c r="E168" s="44" t="n">
        <v>122.8630012846465</v>
      </c>
      <c r="F168" s="44" t="n">
        <v>142.9942218934911</v>
      </c>
      <c r="I168">
        <f>A168</f>
        <v/>
      </c>
      <c r="J168">
        <f>B168</f>
        <v/>
      </c>
      <c r="K168">
        <f>C168</f>
        <v/>
      </c>
      <c r="L168">
        <f>TEXT(E168, "0,0") &amp; " (" &amp; TEXT(D168, "0,0") &amp; " - " &amp; TEXT(F168, "0,0") &amp; ")"</f>
        <v/>
      </c>
      <c r="O168" t="inlineStr">
        <is>
          <t>Lab technician</t>
        </is>
      </c>
      <c r="P168" t="inlineStr">
        <is>
          <t>Public Holiday Penalty</t>
        </is>
      </c>
      <c r="Q168" t="inlineStr">
        <is>
          <t>VIC</t>
        </is>
      </c>
      <c r="R168" t="inlineStr">
        <is>
          <t>123 (103 - 143)</t>
        </is>
      </c>
    </row>
    <row r="169">
      <c r="A169" t="inlineStr">
        <is>
          <t>Lab technician</t>
        </is>
      </c>
      <c r="B169" s="44" t="inlineStr">
        <is>
          <t>Public Holiday Penalty</t>
        </is>
      </c>
      <c r="C169" t="inlineStr">
        <is>
          <t>WA</t>
        </is>
      </c>
      <c r="D169" s="44" t="n">
        <v>75.11517667782623</v>
      </c>
      <c r="E169" s="44" t="n">
        <v>93.30238025537216</v>
      </c>
      <c r="F169" s="44" t="n">
        <v>111.5447966365618</v>
      </c>
      <c r="I169">
        <f>A169</f>
        <v/>
      </c>
      <c r="J169">
        <f>B169</f>
        <v/>
      </c>
      <c r="K169">
        <f>C169</f>
        <v/>
      </c>
      <c r="L169">
        <f>TEXT(E169, "0,0") &amp; " (" &amp; TEXT(D169, "0,0") &amp; " - " &amp; TEXT(F169, "0,0") &amp; ")"</f>
        <v/>
      </c>
      <c r="O169" t="inlineStr">
        <is>
          <t>Lab technician</t>
        </is>
      </c>
      <c r="P169" t="inlineStr">
        <is>
          <t>Public Holiday Penalty</t>
        </is>
      </c>
      <c r="Q169" t="inlineStr">
        <is>
          <t>WA</t>
        </is>
      </c>
      <c r="R169" t="inlineStr">
        <is>
          <t>93 (75 - 112)</t>
        </is>
      </c>
    </row>
    <row r="170">
      <c r="A170" t="inlineStr">
        <is>
          <t>Lab technician</t>
        </is>
      </c>
      <c r="B170" s="44" t="inlineStr">
        <is>
          <t>Sick Leave</t>
        </is>
      </c>
      <c r="C170" t="inlineStr">
        <is>
          <t>ALL</t>
        </is>
      </c>
      <c r="D170" s="44" t="n">
        <v>60.35126969791342</v>
      </c>
      <c r="E170" s="44" t="n">
        <v>97.3006387844908</v>
      </c>
      <c r="F170" s="44" t="n">
        <v>136.8877749143569</v>
      </c>
      <c r="I170">
        <f>A170</f>
        <v/>
      </c>
      <c r="J170">
        <f>B170</f>
        <v/>
      </c>
      <c r="K170">
        <f>C170</f>
        <v/>
      </c>
      <c r="L170">
        <f>TEXT(E170, "0,0") &amp; " (" &amp; TEXT(D170, "0,0") &amp; " - " &amp; TEXT(F170, "0,0") &amp; ")"</f>
        <v/>
      </c>
      <c r="O170" t="inlineStr">
        <is>
          <t>Lab technician</t>
        </is>
      </c>
      <c r="P170" t="inlineStr">
        <is>
          <t>Sick Leave</t>
        </is>
      </c>
      <c r="Q170" t="inlineStr">
        <is>
          <t>ALL</t>
        </is>
      </c>
      <c r="R170" t="inlineStr">
        <is>
          <t>97 (60 - 137)</t>
        </is>
      </c>
    </row>
    <row r="171">
      <c r="A171" t="inlineStr">
        <is>
          <t>Lab technician</t>
        </is>
      </c>
      <c r="B171" s="44" t="inlineStr">
        <is>
          <t>Sick Leave</t>
        </is>
      </c>
      <c r="C171" t="inlineStr">
        <is>
          <t>NSW</t>
        </is>
      </c>
      <c r="D171" s="44" t="n">
        <v>71.92192463562753</v>
      </c>
      <c r="E171" s="44" t="n">
        <v>93.03632082995951</v>
      </c>
      <c r="F171" s="44" t="n">
        <v>114.1507170242915</v>
      </c>
      <c r="I171">
        <f>A171</f>
        <v/>
      </c>
      <c r="J171">
        <f>B171</f>
        <v/>
      </c>
      <c r="K171">
        <f>C171</f>
        <v/>
      </c>
      <c r="L171">
        <f>TEXT(E171, "0,0") &amp; " (" &amp; TEXT(D171, "0,0") &amp; " - " &amp; TEXT(F171, "0,0") &amp; ")"</f>
        <v/>
      </c>
      <c r="O171" t="inlineStr">
        <is>
          <t>Lab technician</t>
        </is>
      </c>
      <c r="P171" t="inlineStr">
        <is>
          <t>Sick Leave</t>
        </is>
      </c>
      <c r="Q171" t="inlineStr">
        <is>
          <t>NSW</t>
        </is>
      </c>
      <c r="R171" t="inlineStr">
        <is>
          <t>93 (72 - 114)</t>
        </is>
      </c>
    </row>
    <row r="172">
      <c r="A172" t="inlineStr">
        <is>
          <t>Lab technician</t>
        </is>
      </c>
      <c r="B172" s="44" t="inlineStr">
        <is>
          <t>Sick Leave</t>
        </is>
      </c>
      <c r="C172" t="inlineStr">
        <is>
          <t>QLD</t>
        </is>
      </c>
      <c r="D172" s="44" t="n">
        <v>59.10597228277796</v>
      </c>
      <c r="E172" s="44" t="n">
        <v>85.04287869822485</v>
      </c>
      <c r="F172" s="44" t="n">
        <v>110.9797851136718</v>
      </c>
      <c r="I172">
        <f>A172</f>
        <v/>
      </c>
      <c r="J172">
        <f>B172</f>
        <v/>
      </c>
      <c r="K172">
        <f>C172</f>
        <v/>
      </c>
      <c r="L172">
        <f>TEXT(E172, "0,0") &amp; " (" &amp; TEXT(D172, "0,0") &amp; " - " &amp; TEXT(F172, "0,0") &amp; ")"</f>
        <v/>
      </c>
      <c r="O172" t="inlineStr">
        <is>
          <t>Lab technician</t>
        </is>
      </c>
      <c r="P172" t="inlineStr">
        <is>
          <t>Sick Leave</t>
        </is>
      </c>
      <c r="Q172" t="inlineStr">
        <is>
          <t>QLD</t>
        </is>
      </c>
      <c r="R172" t="inlineStr">
        <is>
          <t>85 (59 - 111)</t>
        </is>
      </c>
    </row>
    <row r="173">
      <c r="A173" t="inlineStr">
        <is>
          <t>Lab technician</t>
        </is>
      </c>
      <c r="B173" s="44" t="inlineStr">
        <is>
          <t>Sick Leave</t>
        </is>
      </c>
      <c r="C173" t="inlineStr">
        <is>
          <t>SA</t>
        </is>
      </c>
      <c r="D173" s="44" t="n">
        <v>65.14664481469947</v>
      </c>
      <c r="E173" s="44" t="n">
        <v>93.07879005761446</v>
      </c>
      <c r="F173" s="44" t="n">
        <v>121.0109353005294</v>
      </c>
      <c r="I173">
        <f>A173</f>
        <v/>
      </c>
      <c r="J173">
        <f>B173</f>
        <v/>
      </c>
      <c r="K173">
        <f>C173</f>
        <v/>
      </c>
      <c r="L173">
        <f>TEXT(E173, "0,0") &amp; " (" &amp; TEXT(D173, "0,0") &amp; " - " &amp; TEXT(F173, "0,0") &amp; ")"</f>
        <v/>
      </c>
      <c r="O173" t="inlineStr">
        <is>
          <t>Lab technician</t>
        </is>
      </c>
      <c r="P173" t="inlineStr">
        <is>
          <t>Sick Leave</t>
        </is>
      </c>
      <c r="Q173" t="inlineStr">
        <is>
          <t>SA</t>
        </is>
      </c>
      <c r="R173" t="inlineStr">
        <is>
          <t>93 (65 - 121)</t>
        </is>
      </c>
    </row>
    <row r="174">
      <c r="A174" t="inlineStr">
        <is>
          <t>Lab technician</t>
        </is>
      </c>
      <c r="B174" s="44" t="inlineStr">
        <is>
          <t>Sick Leave</t>
        </is>
      </c>
      <c r="C174" t="inlineStr">
        <is>
          <t>VIC</t>
        </is>
      </c>
      <c r="D174" s="44" t="n">
        <v>103.0109152911865</v>
      </c>
      <c r="E174" s="44" t="n">
        <v>122.8630012846465</v>
      </c>
      <c r="F174" s="44" t="n">
        <v>142.7150872781065</v>
      </c>
      <c r="I174">
        <f>A174</f>
        <v/>
      </c>
      <c r="J174">
        <f>B174</f>
        <v/>
      </c>
      <c r="K174">
        <f>C174</f>
        <v/>
      </c>
      <c r="L174">
        <f>TEXT(E174, "0,0") &amp; " (" &amp; TEXT(D174, "0,0") &amp; " - " &amp; TEXT(F174, "0,0") &amp; ")"</f>
        <v/>
      </c>
      <c r="O174" t="inlineStr">
        <is>
          <t>Lab technician</t>
        </is>
      </c>
      <c r="P174" t="inlineStr">
        <is>
          <t>Sick Leave</t>
        </is>
      </c>
      <c r="Q174" t="inlineStr">
        <is>
          <t>VIC</t>
        </is>
      </c>
      <c r="R174" t="inlineStr">
        <is>
          <t>123 (103 - 143)</t>
        </is>
      </c>
    </row>
    <row r="175">
      <c r="A175" t="inlineStr">
        <is>
          <t>Lab technician</t>
        </is>
      </c>
      <c r="B175" s="44" t="inlineStr">
        <is>
          <t>Sick Leave</t>
        </is>
      </c>
      <c r="C175" t="inlineStr">
        <is>
          <t>WA</t>
        </is>
      </c>
      <c r="D175" s="44" t="n">
        <v>75.27544211304888</v>
      </c>
      <c r="E175" s="44" t="n">
        <v>93.30238025537216</v>
      </c>
      <c r="F175" s="44" t="n">
        <v>111.3293183976954</v>
      </c>
      <c r="I175">
        <f>A175</f>
        <v/>
      </c>
      <c r="J175">
        <f>B175</f>
        <v/>
      </c>
      <c r="K175">
        <f>C175</f>
        <v/>
      </c>
      <c r="L175">
        <f>TEXT(E175, "0,0") &amp; " (" &amp; TEXT(D175, "0,0") &amp; " - " &amp; TEXT(F175, "0,0") &amp; ")"</f>
        <v/>
      </c>
      <c r="O175" t="inlineStr">
        <is>
          <t>Lab technician</t>
        </is>
      </c>
      <c r="P175" t="inlineStr">
        <is>
          <t>Sick Leave</t>
        </is>
      </c>
      <c r="Q175" t="inlineStr">
        <is>
          <t>WA</t>
        </is>
      </c>
      <c r="R175" t="inlineStr">
        <is>
          <t>93 (75 - 111)</t>
        </is>
      </c>
    </row>
    <row r="176">
      <c r="A176" t="inlineStr">
        <is>
          <t>Lab technician</t>
        </is>
      </c>
      <c r="B176" s="44" t="inlineStr">
        <is>
          <t>Superannuation</t>
        </is>
      </c>
      <c r="C176" t="inlineStr">
        <is>
          <t>ALL</t>
        </is>
      </c>
      <c r="D176" s="44" t="n">
        <v>60.22841544690127</v>
      </c>
      <c r="E176" s="44" t="n">
        <v>97.3006387844908</v>
      </c>
      <c r="F176" s="44" t="n">
        <v>137.864746068203</v>
      </c>
      <c r="I176">
        <f>A176</f>
        <v/>
      </c>
      <c r="J176">
        <f>B176</f>
        <v/>
      </c>
      <c r="K176">
        <f>C176</f>
        <v/>
      </c>
      <c r="L176">
        <f>TEXT(E176, "0,0") &amp; " (" &amp; TEXT(D176, "0,0") &amp; " - " &amp; TEXT(F176, "0,0") &amp; ")"</f>
        <v/>
      </c>
      <c r="O176" t="inlineStr">
        <is>
          <t>Lab technician</t>
        </is>
      </c>
      <c r="P176" t="inlineStr">
        <is>
          <t>Superannuation</t>
        </is>
      </c>
      <c r="Q176" t="inlineStr">
        <is>
          <t>ALL</t>
        </is>
      </c>
      <c r="R176" t="inlineStr">
        <is>
          <t>97 (60 - 138)</t>
        </is>
      </c>
    </row>
    <row r="177">
      <c r="A177" t="inlineStr">
        <is>
          <t>Lab technician</t>
        </is>
      </c>
      <c r="B177" s="44" t="inlineStr">
        <is>
          <t>Superannuation</t>
        </is>
      </c>
      <c r="C177" t="inlineStr">
        <is>
          <t>NSW</t>
        </is>
      </c>
      <c r="D177" s="44" t="n">
        <v>71.77005753036437</v>
      </c>
      <c r="E177" s="44" t="n">
        <v>93.03632082995951</v>
      </c>
      <c r="F177" s="44" t="n">
        <v>114.9943413663967</v>
      </c>
      <c r="I177">
        <f>A177</f>
        <v/>
      </c>
      <c r="J177">
        <f>B177</f>
        <v/>
      </c>
      <c r="K177">
        <f>C177</f>
        <v/>
      </c>
      <c r="L177">
        <f>TEXT(E177, "0,0") &amp; " (" &amp; TEXT(D177, "0,0") &amp; " - " &amp; TEXT(F177, "0,0") &amp; ")"</f>
        <v/>
      </c>
      <c r="O177" t="inlineStr">
        <is>
          <t>Lab technician</t>
        </is>
      </c>
      <c r="P177" t="inlineStr">
        <is>
          <t>Superannuation</t>
        </is>
      </c>
      <c r="Q177" t="inlineStr">
        <is>
          <t>NSW</t>
        </is>
      </c>
      <c r="R177" t="inlineStr">
        <is>
          <t>93 (72 - 115)</t>
        </is>
      </c>
    </row>
    <row r="178">
      <c r="A178" t="inlineStr">
        <is>
          <t>Lab technician</t>
        </is>
      </c>
      <c r="B178" s="44" t="inlineStr">
        <is>
          <t>Superannuation</t>
        </is>
      </c>
      <c r="C178" t="inlineStr">
        <is>
          <t>QLD</t>
        </is>
      </c>
      <c r="D178" s="44" t="n">
        <v>58.9831180317658</v>
      </c>
      <c r="E178" s="44" t="n">
        <v>85.04287869822485</v>
      </c>
      <c r="F178" s="44" t="n">
        <v>111.7931454375584</v>
      </c>
      <c r="I178">
        <f>A178</f>
        <v/>
      </c>
      <c r="J178">
        <f>B178</f>
        <v/>
      </c>
      <c r="K178">
        <f>C178</f>
        <v/>
      </c>
      <c r="L178">
        <f>TEXT(E178, "0,0") &amp; " (" &amp; TEXT(D178, "0,0") &amp; " - " &amp; TEXT(F178, "0,0") &amp; ")"</f>
        <v/>
      </c>
      <c r="O178" t="inlineStr">
        <is>
          <t>Lab technician</t>
        </is>
      </c>
      <c r="P178" t="inlineStr">
        <is>
          <t>Superannuation</t>
        </is>
      </c>
      <c r="Q178" t="inlineStr">
        <is>
          <t>QLD</t>
        </is>
      </c>
      <c r="R178" t="inlineStr">
        <is>
          <t>85 (59 - 112)</t>
        </is>
      </c>
    </row>
    <row r="179">
      <c r="A179" t="inlineStr">
        <is>
          <t>Lab technician</t>
        </is>
      </c>
      <c r="B179" s="44" t="inlineStr">
        <is>
          <t>Superannuation</t>
        </is>
      </c>
      <c r="C179" t="inlineStr">
        <is>
          <t>SA</t>
        </is>
      </c>
      <c r="D179" s="44" t="n">
        <v>65.00908408595453</v>
      </c>
      <c r="E179" s="44" t="n">
        <v>93.07879005761446</v>
      </c>
      <c r="F179" s="44" t="n">
        <v>121.905259693242</v>
      </c>
      <c r="I179">
        <f>A179</f>
        <v/>
      </c>
      <c r="J179">
        <f>B179</f>
        <v/>
      </c>
      <c r="K179">
        <f>C179</f>
        <v/>
      </c>
      <c r="L179">
        <f>TEXT(E179, "0,0") &amp; " (" &amp; TEXT(D179, "0,0") &amp; " - " &amp; TEXT(F179, "0,0") &amp; ")"</f>
        <v/>
      </c>
      <c r="O179" t="inlineStr">
        <is>
          <t>Lab technician</t>
        </is>
      </c>
      <c r="P179" t="inlineStr">
        <is>
          <t>Superannuation</t>
        </is>
      </c>
      <c r="Q179" t="inlineStr">
        <is>
          <t>SA</t>
        </is>
      </c>
      <c r="R179" t="inlineStr">
        <is>
          <t>93 (65 - 122)</t>
        </is>
      </c>
    </row>
    <row r="180">
      <c r="A180" t="inlineStr">
        <is>
          <t>Lab technician</t>
        </is>
      </c>
      <c r="B180" s="44" t="inlineStr">
        <is>
          <t>Superannuation</t>
        </is>
      </c>
      <c r="C180" t="inlineStr">
        <is>
          <t>VIC</t>
        </is>
      </c>
      <c r="D180" s="44" t="n">
        <v>102.809437558393</v>
      </c>
      <c r="E180" s="44" t="n">
        <v>122.8630012846465</v>
      </c>
      <c r="F180" s="44" t="n">
        <v>143.6920584319527</v>
      </c>
      <c r="I180">
        <f>A180</f>
        <v/>
      </c>
      <c r="J180">
        <f>B180</f>
        <v/>
      </c>
      <c r="K180">
        <f>C180</f>
        <v/>
      </c>
      <c r="L180">
        <f>TEXT(E180, "0,0") &amp; " (" &amp; TEXT(D180, "0,0") &amp; " - " &amp; TEXT(F180, "0,0") &amp; ")"</f>
        <v/>
      </c>
      <c r="O180" t="inlineStr">
        <is>
          <t>Lab technician</t>
        </is>
      </c>
      <c r="P180" t="inlineStr">
        <is>
          <t>Superannuation</t>
        </is>
      </c>
      <c r="Q180" t="inlineStr">
        <is>
          <t>VIC</t>
        </is>
      </c>
      <c r="R180" t="inlineStr">
        <is>
          <t>123 (103 - 144)</t>
        </is>
      </c>
    </row>
    <row r="181">
      <c r="A181" t="inlineStr">
        <is>
          <t>Lab technician</t>
        </is>
      </c>
      <c r="B181" s="44" t="inlineStr">
        <is>
          <t>Superannuation</t>
        </is>
      </c>
      <c r="C181" t="inlineStr">
        <is>
          <t>WA</t>
        </is>
      </c>
      <c r="D181" s="44" t="n">
        <v>75.12974626284645</v>
      </c>
      <c r="E181" s="44" t="n">
        <v>93.30238025537216</v>
      </c>
      <c r="F181" s="44" t="n">
        <v>112.0834922337278</v>
      </c>
      <c r="I181">
        <f>A181</f>
        <v/>
      </c>
      <c r="J181">
        <f>B181</f>
        <v/>
      </c>
      <c r="K181">
        <f>C181</f>
        <v/>
      </c>
      <c r="L181">
        <f>TEXT(E181, "0,0") &amp; " (" &amp; TEXT(D181, "0,0") &amp; " - " &amp; TEXT(F181, "0,0") &amp; ")"</f>
        <v/>
      </c>
      <c r="O181" t="inlineStr">
        <is>
          <t>Lab technician</t>
        </is>
      </c>
      <c r="P181" t="inlineStr">
        <is>
          <t>Superannuation</t>
        </is>
      </c>
      <c r="Q181" t="inlineStr">
        <is>
          <t>WA</t>
        </is>
      </c>
      <c r="R181" t="inlineStr">
        <is>
          <t>93 (75 - 112)</t>
        </is>
      </c>
    </row>
    <row r="182">
      <c r="A182" t="inlineStr">
        <is>
          <t>Medical scientist</t>
        </is>
      </c>
      <c r="B182" s="44" t="inlineStr">
        <is>
          <t>Annual Leave</t>
        </is>
      </c>
      <c r="C182" t="inlineStr">
        <is>
          <t>ALL</t>
        </is>
      </c>
      <c r="D182" s="44" t="n">
        <v>77.46177732793524</v>
      </c>
      <c r="E182" s="44" t="n">
        <v>132.0926584531299</v>
      </c>
      <c r="F182" s="44" t="n">
        <v>180.1738210526316</v>
      </c>
      <c r="I182">
        <f>A182</f>
        <v/>
      </c>
      <c r="J182">
        <f>B182</f>
        <v/>
      </c>
      <c r="K182">
        <f>C182</f>
        <v/>
      </c>
      <c r="L182">
        <f>TEXT(E182, "0,0") &amp; " (" &amp; TEXT(D182, "0,0") &amp; " - " &amp; TEXT(F182, "0,0") &amp; ")"</f>
        <v/>
      </c>
      <c r="O182" t="inlineStr">
        <is>
          <t>Medical scientist</t>
        </is>
      </c>
      <c r="P182" t="inlineStr">
        <is>
          <t>Annual Leave</t>
        </is>
      </c>
      <c r="Q182" t="inlineStr">
        <is>
          <t>ALL</t>
        </is>
      </c>
      <c r="R182" t="inlineStr">
        <is>
          <t>132 (77 - 180)</t>
        </is>
      </c>
    </row>
    <row r="183">
      <c r="A183" t="inlineStr">
        <is>
          <t>Medical scientist</t>
        </is>
      </c>
      <c r="B183" s="44" t="inlineStr">
        <is>
          <t>Annual Leave</t>
        </is>
      </c>
      <c r="C183" t="inlineStr">
        <is>
          <t>NSW</t>
        </is>
      </c>
      <c r="D183" s="44" t="n">
        <v>86.96887734817814</v>
      </c>
      <c r="E183" s="44" t="n">
        <v>133.1230561133603</v>
      </c>
      <c r="F183" s="44" t="n">
        <v>179.2772348785425</v>
      </c>
      <c r="I183">
        <f>A183</f>
        <v/>
      </c>
      <c r="J183">
        <f>B183</f>
        <v/>
      </c>
      <c r="K183">
        <f>C183</f>
        <v/>
      </c>
      <c r="L183">
        <f>TEXT(E183, "0,0") &amp; " (" &amp; TEXT(D183, "0,0") &amp; " - " &amp; TEXT(F183, "0,0") &amp; ")"</f>
        <v/>
      </c>
      <c r="O183" t="inlineStr">
        <is>
          <t>Medical scientist</t>
        </is>
      </c>
      <c r="P183" t="inlineStr">
        <is>
          <t>Annual Leave</t>
        </is>
      </c>
      <c r="Q183" t="inlineStr">
        <is>
          <t>NSW</t>
        </is>
      </c>
      <c r="R183" t="inlineStr">
        <is>
          <t>133 (87 - 179)</t>
        </is>
      </c>
    </row>
    <row r="184">
      <c r="A184" t="inlineStr">
        <is>
          <t>Medical scientist</t>
        </is>
      </c>
      <c r="B184" s="44" t="inlineStr">
        <is>
          <t>Annual Leave</t>
        </is>
      </c>
      <c r="C184" t="inlineStr">
        <is>
          <t>QLD</t>
        </is>
      </c>
      <c r="D184" s="44" t="n">
        <v>83.64681068981626</v>
      </c>
      <c r="E184" s="44" t="n">
        <v>125.9153161203675</v>
      </c>
      <c r="F184" s="44" t="n">
        <v>168.1838215509187</v>
      </c>
      <c r="I184">
        <f>A184</f>
        <v/>
      </c>
      <c r="J184">
        <f>B184</f>
        <v/>
      </c>
      <c r="K184">
        <f>C184</f>
        <v/>
      </c>
      <c r="L184">
        <f>TEXT(E184, "0,0") &amp; " (" &amp; TEXT(D184, "0,0") &amp; " - " &amp; TEXT(F184, "0,0") &amp; ")"</f>
        <v/>
      </c>
      <c r="O184" t="inlineStr">
        <is>
          <t>Medical scientist</t>
        </is>
      </c>
      <c r="P184" t="inlineStr">
        <is>
          <t>Annual Leave</t>
        </is>
      </c>
      <c r="Q184" t="inlineStr">
        <is>
          <t>QLD</t>
        </is>
      </c>
      <c r="R184" t="inlineStr">
        <is>
          <t>126 (84 - 168)</t>
        </is>
      </c>
    </row>
    <row r="185">
      <c r="A185" t="inlineStr">
        <is>
          <t>Medical scientist</t>
        </is>
      </c>
      <c r="B185" s="44" t="inlineStr">
        <is>
          <t>Annual Leave</t>
        </is>
      </c>
      <c r="C185" t="inlineStr">
        <is>
          <t>SA</t>
        </is>
      </c>
      <c r="D185" s="44" t="n">
        <v>80.1991878698225</v>
      </c>
      <c r="E185" s="44" t="n">
        <v>125.9271976798505</v>
      </c>
      <c r="F185" s="44" t="n">
        <v>171.6552074898786</v>
      </c>
      <c r="I185">
        <f>A185</f>
        <v/>
      </c>
      <c r="J185">
        <f>B185</f>
        <v/>
      </c>
      <c r="K185">
        <f>C185</f>
        <v/>
      </c>
      <c r="L185">
        <f>TEXT(E185, "0,0") &amp; " (" &amp; TEXT(D185, "0,0") &amp; " - " &amp; TEXT(F185, "0,0") &amp; ")"</f>
        <v/>
      </c>
      <c r="O185" t="inlineStr">
        <is>
          <t>Medical scientist</t>
        </is>
      </c>
      <c r="P185" t="inlineStr">
        <is>
          <t>Annual Leave</t>
        </is>
      </c>
      <c r="Q185" t="inlineStr">
        <is>
          <t>SA</t>
        </is>
      </c>
      <c r="R185" t="inlineStr">
        <is>
          <t>126 (80 - 172)</t>
        </is>
      </c>
    </row>
    <row r="186">
      <c r="A186" t="inlineStr">
        <is>
          <t>Medical scientist</t>
        </is>
      </c>
      <c r="B186" s="44" t="inlineStr">
        <is>
          <t>Annual Leave</t>
        </is>
      </c>
      <c r="C186" t="inlineStr">
        <is>
          <t>VIC</t>
        </is>
      </c>
      <c r="D186" s="44" t="n">
        <v>79.88053593117409</v>
      </c>
      <c r="E186" s="44" t="n">
        <v>132.9668190283401</v>
      </c>
      <c r="F186" s="44" t="n">
        <v>186.0531021255061</v>
      </c>
      <c r="I186">
        <f>A186</f>
        <v/>
      </c>
      <c r="J186">
        <f>B186</f>
        <v/>
      </c>
      <c r="K186">
        <f>C186</f>
        <v/>
      </c>
      <c r="L186">
        <f>TEXT(E186, "0,0") &amp; " (" &amp; TEXT(D186, "0,0") &amp; " - " &amp; TEXT(F186, "0,0") &amp; ")"</f>
        <v/>
      </c>
      <c r="O186" t="inlineStr">
        <is>
          <t>Medical scientist</t>
        </is>
      </c>
      <c r="P186" t="inlineStr">
        <is>
          <t>Annual Leave</t>
        </is>
      </c>
      <c r="Q186" t="inlineStr">
        <is>
          <t>VIC</t>
        </is>
      </c>
      <c r="R186" t="inlineStr">
        <is>
          <t>133 (80 - 186)</t>
        </is>
      </c>
    </row>
    <row r="187">
      <c r="A187" t="inlineStr">
        <is>
          <t>Medical scientist</t>
        </is>
      </c>
      <c r="B187" s="44" t="inlineStr">
        <is>
          <t>Annual Leave</t>
        </is>
      </c>
      <c r="C187" t="inlineStr">
        <is>
          <t>WA</t>
        </is>
      </c>
      <c r="D187" s="44" t="n">
        <v>101.7543459592027</v>
      </c>
      <c r="E187" s="44" t="n">
        <v>142.5538735207101</v>
      </c>
      <c r="F187" s="44" t="n">
        <v>183.3534010822173</v>
      </c>
      <c r="I187">
        <f>A187</f>
        <v/>
      </c>
      <c r="J187">
        <f>B187</f>
        <v/>
      </c>
      <c r="K187">
        <f>C187</f>
        <v/>
      </c>
      <c r="L187">
        <f>TEXT(E187, "0,0") &amp; " (" &amp; TEXT(D187, "0,0") &amp; " - " &amp; TEXT(F187, "0,0") &amp; ")"</f>
        <v/>
      </c>
      <c r="O187" t="inlineStr">
        <is>
          <t>Medical scientist</t>
        </is>
      </c>
      <c r="P187" t="inlineStr">
        <is>
          <t>Annual Leave</t>
        </is>
      </c>
      <c r="Q187" t="inlineStr">
        <is>
          <t>WA</t>
        </is>
      </c>
      <c r="R187" t="inlineStr">
        <is>
          <t>143 (102 - 183)</t>
        </is>
      </c>
    </row>
    <row r="188">
      <c r="A188" t="inlineStr">
        <is>
          <t>Medical scientist</t>
        </is>
      </c>
      <c r="B188" s="44" t="inlineStr">
        <is>
          <t>Attraction and Retention Allowance</t>
        </is>
      </c>
      <c r="C188" t="inlineStr">
        <is>
          <t>ALL</t>
        </is>
      </c>
      <c r="D188" s="44" t="n">
        <v>77.46177732793524</v>
      </c>
      <c r="E188" s="44" t="n">
        <v>132.0926584531299</v>
      </c>
      <c r="F188" s="44" t="n">
        <v>180.1738210526316</v>
      </c>
      <c r="I188">
        <f>A188</f>
        <v/>
      </c>
      <c r="J188">
        <f>B188</f>
        <v/>
      </c>
      <c r="K188">
        <f>C188</f>
        <v/>
      </c>
      <c r="L188">
        <f>TEXT(E188, "0,0") &amp; " (" &amp; TEXT(D188, "0,0") &amp; " - " &amp; TEXT(F188, "0,0") &amp; ")"</f>
        <v/>
      </c>
      <c r="O188" t="inlineStr">
        <is>
          <t>Medical scientist</t>
        </is>
      </c>
      <c r="P188" t="inlineStr">
        <is>
          <t>Attraction and Retention Allowance</t>
        </is>
      </c>
      <c r="Q188" t="inlineStr">
        <is>
          <t>ALL</t>
        </is>
      </c>
      <c r="R188" t="inlineStr">
        <is>
          <t>132 (77 - 180)</t>
        </is>
      </c>
    </row>
    <row r="189">
      <c r="A189" t="inlineStr">
        <is>
          <t>Medical scientist</t>
        </is>
      </c>
      <c r="B189" s="44" t="inlineStr">
        <is>
          <t>Attraction and Retention Allowance</t>
        </is>
      </c>
      <c r="C189" t="inlineStr">
        <is>
          <t>NSW</t>
        </is>
      </c>
      <c r="D189" s="44" t="n">
        <v>86.96887734817814</v>
      </c>
      <c r="E189" s="44" t="n">
        <v>133.1230561133603</v>
      </c>
      <c r="F189" s="44" t="n">
        <v>179.2772348785425</v>
      </c>
      <c r="I189">
        <f>A189</f>
        <v/>
      </c>
      <c r="J189">
        <f>B189</f>
        <v/>
      </c>
      <c r="K189">
        <f>C189</f>
        <v/>
      </c>
      <c r="L189">
        <f>TEXT(E189, "0,0") &amp; " (" &amp; TEXT(D189, "0,0") &amp; " - " &amp; TEXT(F189, "0,0") &amp; ")"</f>
        <v/>
      </c>
      <c r="O189" t="inlineStr">
        <is>
          <t>Medical scientist</t>
        </is>
      </c>
      <c r="P189" t="inlineStr">
        <is>
          <t>Attraction and Retention Allowance</t>
        </is>
      </c>
      <c r="Q189" t="inlineStr">
        <is>
          <t>NSW</t>
        </is>
      </c>
      <c r="R189" t="inlineStr">
        <is>
          <t>133 (87 - 179)</t>
        </is>
      </c>
    </row>
    <row r="190">
      <c r="A190" t="inlineStr">
        <is>
          <t>Medical scientist</t>
        </is>
      </c>
      <c r="B190" s="44" t="inlineStr">
        <is>
          <t>Attraction and Retention Allowance</t>
        </is>
      </c>
      <c r="C190" t="inlineStr">
        <is>
          <t>QLD</t>
        </is>
      </c>
      <c r="D190" s="44" t="n">
        <v>83.64681068981626</v>
      </c>
      <c r="E190" s="44" t="n">
        <v>125.9153161203675</v>
      </c>
      <c r="F190" s="44" t="n">
        <v>168.1838215509187</v>
      </c>
      <c r="I190">
        <f>A190</f>
        <v/>
      </c>
      <c r="J190">
        <f>B190</f>
        <v/>
      </c>
      <c r="K190">
        <f>C190</f>
        <v/>
      </c>
      <c r="L190">
        <f>TEXT(E190, "0,0") &amp; " (" &amp; TEXT(D190, "0,0") &amp; " - " &amp; TEXT(F190, "0,0") &amp; ")"</f>
        <v/>
      </c>
      <c r="O190" t="inlineStr">
        <is>
          <t>Medical scientist</t>
        </is>
      </c>
      <c r="P190" t="inlineStr">
        <is>
          <t>Attraction and Retention Allowance</t>
        </is>
      </c>
      <c r="Q190" t="inlineStr">
        <is>
          <t>QLD</t>
        </is>
      </c>
      <c r="R190" t="inlineStr">
        <is>
          <t>126 (84 - 168)</t>
        </is>
      </c>
    </row>
    <row r="191">
      <c r="A191" t="inlineStr">
        <is>
          <t>Medical scientist</t>
        </is>
      </c>
      <c r="B191" s="44" t="inlineStr">
        <is>
          <t>Attraction and Retention Allowance</t>
        </is>
      </c>
      <c r="C191" t="inlineStr">
        <is>
          <t>SA</t>
        </is>
      </c>
      <c r="D191" s="44" t="n">
        <v>80.1991878698225</v>
      </c>
      <c r="E191" s="44" t="n">
        <v>125.9271976798505</v>
      </c>
      <c r="F191" s="44" t="n">
        <v>171.6552074898786</v>
      </c>
      <c r="I191">
        <f>A191</f>
        <v/>
      </c>
      <c r="J191">
        <f>B191</f>
        <v/>
      </c>
      <c r="K191">
        <f>C191</f>
        <v/>
      </c>
      <c r="L191">
        <f>TEXT(E191, "0,0") &amp; " (" &amp; TEXT(D191, "0,0") &amp; " - " &amp; TEXT(F191, "0,0") &amp; ")"</f>
        <v/>
      </c>
      <c r="O191" t="inlineStr">
        <is>
          <t>Medical scientist</t>
        </is>
      </c>
      <c r="P191" t="inlineStr">
        <is>
          <t>Attraction and Retention Allowance</t>
        </is>
      </c>
      <c r="Q191" t="inlineStr">
        <is>
          <t>SA</t>
        </is>
      </c>
      <c r="R191" t="inlineStr">
        <is>
          <t>126 (80 - 172)</t>
        </is>
      </c>
    </row>
    <row r="192">
      <c r="A192" t="inlineStr">
        <is>
          <t>Medical scientist</t>
        </is>
      </c>
      <c r="B192" s="44" t="inlineStr">
        <is>
          <t>Attraction and Retention Allowance</t>
        </is>
      </c>
      <c r="C192" t="inlineStr">
        <is>
          <t>VIC</t>
        </is>
      </c>
      <c r="D192" s="44" t="n">
        <v>79.88053593117409</v>
      </c>
      <c r="E192" s="44" t="n">
        <v>132.9668190283401</v>
      </c>
      <c r="F192" s="44" t="n">
        <v>186.0531021255061</v>
      </c>
      <c r="I192">
        <f>A192</f>
        <v/>
      </c>
      <c r="J192">
        <f>B192</f>
        <v/>
      </c>
      <c r="K192">
        <f>C192</f>
        <v/>
      </c>
      <c r="L192">
        <f>TEXT(E192, "0,0") &amp; " (" &amp; TEXT(D192, "0,0") &amp; " - " &amp; TEXT(F192, "0,0") &amp; ")"</f>
        <v/>
      </c>
      <c r="O192" t="inlineStr">
        <is>
          <t>Medical scientist</t>
        </is>
      </c>
      <c r="P192" t="inlineStr">
        <is>
          <t>Attraction and Retention Allowance</t>
        </is>
      </c>
      <c r="Q192" t="inlineStr">
        <is>
          <t>VIC</t>
        </is>
      </c>
      <c r="R192" t="inlineStr">
        <is>
          <t>133 (80 - 186)</t>
        </is>
      </c>
    </row>
    <row r="193">
      <c r="A193" t="inlineStr">
        <is>
          <t>Medical scientist</t>
        </is>
      </c>
      <c r="B193" s="44" t="inlineStr">
        <is>
          <t>Attraction and Retention Allowance</t>
        </is>
      </c>
      <c r="C193" t="inlineStr">
        <is>
          <t>WA</t>
        </is>
      </c>
      <c r="D193" s="44" t="n">
        <v>101.7543459592027</v>
      </c>
      <c r="E193" s="44" t="n">
        <v>142.5538735207101</v>
      </c>
      <c r="F193" s="44" t="n">
        <v>183.3534010822173</v>
      </c>
      <c r="I193">
        <f>A193</f>
        <v/>
      </c>
      <c r="J193">
        <f>B193</f>
        <v/>
      </c>
      <c r="K193">
        <f>C193</f>
        <v/>
      </c>
      <c r="L193">
        <f>TEXT(E193, "0,0") &amp; " (" &amp; TEXT(D193, "0,0") &amp; " - " &amp; TEXT(F193, "0,0") &amp; ")"</f>
        <v/>
      </c>
      <c r="O193" t="inlineStr">
        <is>
          <t>Medical scientist</t>
        </is>
      </c>
      <c r="P193" t="inlineStr">
        <is>
          <t>Attraction and Retention Allowance</t>
        </is>
      </c>
      <c r="Q193" t="inlineStr">
        <is>
          <t>WA</t>
        </is>
      </c>
      <c r="R193" t="inlineStr">
        <is>
          <t>143 (102 - 183)</t>
        </is>
      </c>
    </row>
    <row r="194">
      <c r="A194" t="inlineStr">
        <is>
          <t>Medical scientist</t>
        </is>
      </c>
      <c r="B194" s="44" t="inlineStr">
        <is>
          <t>Average Penalties</t>
        </is>
      </c>
      <c r="C194" t="inlineStr">
        <is>
          <t>ALL</t>
        </is>
      </c>
      <c r="D194" s="44" t="n">
        <v>74.36440890688259</v>
      </c>
      <c r="E194" s="44" t="n">
        <v>132.0926584531299</v>
      </c>
      <c r="F194" s="44" t="n">
        <v>194.6022421052632</v>
      </c>
      <c r="I194">
        <f>A194</f>
        <v/>
      </c>
      <c r="J194">
        <f>B194</f>
        <v/>
      </c>
      <c r="K194">
        <f>C194</f>
        <v/>
      </c>
      <c r="L194">
        <f>TEXT(E194, "0,0") &amp; " (" &amp; TEXT(D194, "0,0") &amp; " - " &amp; TEXT(F194, "0,0") &amp; ")"</f>
        <v/>
      </c>
      <c r="O194" t="inlineStr">
        <is>
          <t>Medical scientist</t>
        </is>
      </c>
      <c r="P194" t="inlineStr">
        <is>
          <t>Average Penalties</t>
        </is>
      </c>
      <c r="Q194" t="inlineStr">
        <is>
          <t>ALL</t>
        </is>
      </c>
      <c r="R194" t="inlineStr">
        <is>
          <t>132 (74 - 195)</t>
        </is>
      </c>
    </row>
    <row r="195">
      <c r="A195" t="inlineStr">
        <is>
          <t>Medical scientist</t>
        </is>
      </c>
      <c r="B195" s="44" t="inlineStr">
        <is>
          <t>Average Penalties</t>
        </is>
      </c>
      <c r="C195" t="inlineStr">
        <is>
          <t>NSW</t>
        </is>
      </c>
      <c r="D195" s="44" t="n">
        <v>83.56685103238866</v>
      </c>
      <c r="E195" s="44" t="n">
        <v>133.1230561133603</v>
      </c>
      <c r="F195" s="44" t="n">
        <v>193.3030769838057</v>
      </c>
      <c r="I195">
        <f>A195</f>
        <v/>
      </c>
      <c r="J195">
        <f>B195</f>
        <v/>
      </c>
      <c r="K195">
        <f>C195</f>
        <v/>
      </c>
      <c r="L195">
        <f>TEXT(E195, "0,0") &amp; " (" &amp; TEXT(D195, "0,0") &amp; " - " &amp; TEXT(F195, "0,0") &amp; ")"</f>
        <v/>
      </c>
      <c r="O195" t="inlineStr">
        <is>
          <t>Medical scientist</t>
        </is>
      </c>
      <c r="P195" t="inlineStr">
        <is>
          <t>Average Penalties</t>
        </is>
      </c>
      <c r="Q195" t="inlineStr">
        <is>
          <t>NSW</t>
        </is>
      </c>
      <c r="R195" t="inlineStr">
        <is>
          <t>133 (84 - 193)</t>
        </is>
      </c>
    </row>
    <row r="196">
      <c r="A196" t="inlineStr">
        <is>
          <t>Medical scientist</t>
        </is>
      </c>
      <c r="B196" s="44" t="inlineStr">
        <is>
          <t>Average Penalties</t>
        </is>
      </c>
      <c r="C196" t="inlineStr">
        <is>
          <t>QLD</t>
        </is>
      </c>
      <c r="D196" s="44" t="n">
        <v>80.15333902989724</v>
      </c>
      <c r="E196" s="44" t="n">
        <v>125.9153161203675</v>
      </c>
      <c r="F196" s="44" t="n">
        <v>182.3109470569916</v>
      </c>
      <c r="I196">
        <f>A196</f>
        <v/>
      </c>
      <c r="J196">
        <f>B196</f>
        <v/>
      </c>
      <c r="K196">
        <f>C196</f>
        <v/>
      </c>
      <c r="L196">
        <f>TEXT(E196, "0,0") &amp; " (" &amp; TEXT(D196, "0,0") &amp; " - " &amp; TEXT(F196, "0,0") &amp; ")"</f>
        <v/>
      </c>
      <c r="O196" t="inlineStr">
        <is>
          <t>Medical scientist</t>
        </is>
      </c>
      <c r="P196" t="inlineStr">
        <is>
          <t>Average Penalties</t>
        </is>
      </c>
      <c r="Q196" t="inlineStr">
        <is>
          <t>QLD</t>
        </is>
      </c>
      <c r="R196" t="inlineStr">
        <is>
          <t>126 (80 - 182)</t>
        </is>
      </c>
    </row>
    <row r="197">
      <c r="A197" t="inlineStr">
        <is>
          <t>Medical scientist</t>
        </is>
      </c>
      <c r="B197" s="44" t="inlineStr">
        <is>
          <t>Average Penalties</t>
        </is>
      </c>
      <c r="C197" t="inlineStr">
        <is>
          <t>SA</t>
        </is>
      </c>
      <c r="D197" s="44" t="n">
        <v>76.83957248520709</v>
      </c>
      <c r="E197" s="44" t="n">
        <v>125.9271976798505</v>
      </c>
      <c r="F197" s="44" t="n">
        <v>186.036786437247</v>
      </c>
      <c r="I197">
        <f>A197</f>
        <v/>
      </c>
      <c r="J197">
        <f>B197</f>
        <v/>
      </c>
      <c r="K197">
        <f>C197</f>
        <v/>
      </c>
      <c r="L197">
        <f>TEXT(E197, "0,0") &amp; " (" &amp; TEXT(D197, "0,0") &amp; " - " &amp; TEXT(F197, "0,0") &amp; ")"</f>
        <v/>
      </c>
      <c r="O197" t="inlineStr">
        <is>
          <t>Medical scientist</t>
        </is>
      </c>
      <c r="P197" t="inlineStr">
        <is>
          <t>Average Penalties</t>
        </is>
      </c>
      <c r="Q197" t="inlineStr">
        <is>
          <t>SA</t>
        </is>
      </c>
      <c r="R197" t="inlineStr">
        <is>
          <t>126 (77 - 186)</t>
        </is>
      </c>
    </row>
    <row r="198">
      <c r="A198" t="inlineStr">
        <is>
          <t>Medical scientist</t>
        </is>
      </c>
      <c r="B198" s="44" t="inlineStr">
        <is>
          <t>Average Penalties</t>
        </is>
      </c>
      <c r="C198" t="inlineStr">
        <is>
          <t>VIC</t>
        </is>
      </c>
      <c r="D198" s="44" t="n">
        <v>76.78316751012146</v>
      </c>
      <c r="E198" s="44" t="n">
        <v>132.9668190283401</v>
      </c>
      <c r="F198" s="44" t="n">
        <v>200.4815231781377</v>
      </c>
      <c r="I198">
        <f>A198</f>
        <v/>
      </c>
      <c r="J198">
        <f>B198</f>
        <v/>
      </c>
      <c r="K198">
        <f>C198</f>
        <v/>
      </c>
      <c r="L198">
        <f>TEXT(E198, "0,0") &amp; " (" &amp; TEXT(D198, "0,0") &amp; " - " &amp; TEXT(F198, "0,0") &amp; ")"</f>
        <v/>
      </c>
      <c r="O198" t="inlineStr">
        <is>
          <t>Medical scientist</t>
        </is>
      </c>
      <c r="P198" t="inlineStr">
        <is>
          <t>Average Penalties</t>
        </is>
      </c>
      <c r="Q198" t="inlineStr">
        <is>
          <t>VIC</t>
        </is>
      </c>
      <c r="R198" t="inlineStr">
        <is>
          <t>133 (77 - 200)</t>
        </is>
      </c>
    </row>
    <row r="199">
      <c r="A199" t="inlineStr">
        <is>
          <t>Medical scientist</t>
        </is>
      </c>
      <c r="B199" s="44" t="inlineStr">
        <is>
          <t>Average Penalties</t>
        </is>
      </c>
      <c r="C199" t="inlineStr">
        <is>
          <t>WA</t>
        </is>
      </c>
      <c r="D199" s="44" t="n">
        <v>97.81542895515416</v>
      </c>
      <c r="E199" s="44" t="n">
        <v>142.5538735207101</v>
      </c>
      <c r="F199" s="44" t="n">
        <v>197.5486439971971</v>
      </c>
      <c r="I199">
        <f>A199</f>
        <v/>
      </c>
      <c r="J199">
        <f>B199</f>
        <v/>
      </c>
      <c r="K199">
        <f>C199</f>
        <v/>
      </c>
      <c r="L199">
        <f>TEXT(E199, "0,0") &amp; " (" &amp; TEXT(D199, "0,0") &amp; " - " &amp; TEXT(F199, "0,0") &amp; ")"</f>
        <v/>
      </c>
      <c r="O199" t="inlineStr">
        <is>
          <t>Medical scientist</t>
        </is>
      </c>
      <c r="P199" t="inlineStr">
        <is>
          <t>Average Penalties</t>
        </is>
      </c>
      <c r="Q199" t="inlineStr">
        <is>
          <t>WA</t>
        </is>
      </c>
      <c r="R199" t="inlineStr">
        <is>
          <t>143 (98 - 198)</t>
        </is>
      </c>
    </row>
    <row r="200">
      <c r="A200" t="inlineStr">
        <is>
          <t>Medical scientist</t>
        </is>
      </c>
      <c r="B200" s="44" t="inlineStr">
        <is>
          <t>Hours worked</t>
        </is>
      </c>
      <c r="C200" t="inlineStr">
        <is>
          <t>ALL</t>
        </is>
      </c>
      <c r="D200" s="44" t="n">
        <v>73.58868846153847</v>
      </c>
      <c r="E200" s="44" t="n">
        <v>132.0926584531299</v>
      </c>
      <c r="F200" s="44" t="n">
        <v>188.6117134986226</v>
      </c>
      <c r="I200">
        <f>A200</f>
        <v/>
      </c>
      <c r="J200">
        <f>B200</f>
        <v/>
      </c>
      <c r="K200">
        <f>C200</f>
        <v/>
      </c>
      <c r="L200">
        <f>TEXT(E200, "0,0") &amp; " (" &amp; TEXT(D200, "0,0") &amp; " - " &amp; TEXT(F200, "0,0") &amp; ")"</f>
        <v/>
      </c>
      <c r="O200" t="inlineStr">
        <is>
          <t>Medical scientist</t>
        </is>
      </c>
      <c r="P200" t="inlineStr">
        <is>
          <t>Hours worked</t>
        </is>
      </c>
      <c r="Q200" t="inlineStr">
        <is>
          <t>ALL</t>
        </is>
      </c>
      <c r="R200" t="inlineStr">
        <is>
          <t>132 (74 - 189)</t>
        </is>
      </c>
    </row>
    <row r="201">
      <c r="A201" t="inlineStr">
        <is>
          <t>Medical scientist</t>
        </is>
      </c>
      <c r="B201" s="44" t="inlineStr">
        <is>
          <t>Hours worked</t>
        </is>
      </c>
      <c r="C201" t="inlineStr">
        <is>
          <t>NSW</t>
        </is>
      </c>
      <c r="D201" s="44" t="n">
        <v>82.62043348076924</v>
      </c>
      <c r="E201" s="44" t="n">
        <v>133.1230561133603</v>
      </c>
      <c r="F201" s="44" t="n">
        <v>187.6731384403476</v>
      </c>
      <c r="I201">
        <f>A201</f>
        <v/>
      </c>
      <c r="J201">
        <f>B201</f>
        <v/>
      </c>
      <c r="K201">
        <f>C201</f>
        <v/>
      </c>
      <c r="L201">
        <f>TEXT(E201, "0,0") &amp; " (" &amp; TEXT(D201, "0,0") &amp; " - " &amp; TEXT(F201, "0,0") &amp; ")"</f>
        <v/>
      </c>
      <c r="O201" t="inlineStr">
        <is>
          <t>Medical scientist</t>
        </is>
      </c>
      <c r="P201" t="inlineStr">
        <is>
          <t>Hours worked</t>
        </is>
      </c>
      <c r="Q201" t="inlineStr">
        <is>
          <t>NSW</t>
        </is>
      </c>
      <c r="R201" t="inlineStr">
        <is>
          <t>133 (83 - 188)</t>
        </is>
      </c>
    </row>
    <row r="202">
      <c r="A202" t="inlineStr">
        <is>
          <t>Medical scientist</t>
        </is>
      </c>
      <c r="B202" s="44" t="inlineStr">
        <is>
          <t>Hours worked</t>
        </is>
      </c>
      <c r="C202" t="inlineStr">
        <is>
          <t>QLD</t>
        </is>
      </c>
      <c r="D202" s="44" t="n">
        <v>79.46447015532546</v>
      </c>
      <c r="E202" s="44" t="n">
        <v>125.9153161203675</v>
      </c>
      <c r="F202" s="44" t="n">
        <v>176.0601988687304</v>
      </c>
      <c r="I202">
        <f>A202</f>
        <v/>
      </c>
      <c r="J202">
        <f>B202</f>
        <v/>
      </c>
      <c r="K202">
        <f>C202</f>
        <v/>
      </c>
      <c r="L202">
        <f>TEXT(E202, "0,0") &amp; " (" &amp; TEXT(D202, "0,0") &amp; " - " &amp; TEXT(F202, "0,0") &amp; ")"</f>
        <v/>
      </c>
      <c r="O202" t="inlineStr">
        <is>
          <t>Medical scientist</t>
        </is>
      </c>
      <c r="P202" t="inlineStr">
        <is>
          <t>Hours worked</t>
        </is>
      </c>
      <c r="Q202" t="inlineStr">
        <is>
          <t>QLD</t>
        </is>
      </c>
      <c r="R202" t="inlineStr">
        <is>
          <t>126 (79 - 176)</t>
        </is>
      </c>
    </row>
    <row r="203">
      <c r="A203" t="inlineStr">
        <is>
          <t>Medical scientist</t>
        </is>
      </c>
      <c r="B203" s="44" t="inlineStr">
        <is>
          <t>Hours worked</t>
        </is>
      </c>
      <c r="C203" t="inlineStr">
        <is>
          <t>SA</t>
        </is>
      </c>
      <c r="D203" s="44" t="n">
        <v>76.18922847633137</v>
      </c>
      <c r="E203" s="44" t="n">
        <v>125.9271976798505</v>
      </c>
      <c r="F203" s="44" t="n">
        <v>179.6941566009748</v>
      </c>
      <c r="I203">
        <f>A203</f>
        <v/>
      </c>
      <c r="J203">
        <f>B203</f>
        <v/>
      </c>
      <c r="K203">
        <f>C203</f>
        <v/>
      </c>
      <c r="L203">
        <f>TEXT(E203, "0,0") &amp; " (" &amp; TEXT(D203, "0,0") &amp; " - " &amp; TEXT(F203, "0,0") &amp; ")"</f>
        <v/>
      </c>
      <c r="O203" t="inlineStr">
        <is>
          <t>Medical scientist</t>
        </is>
      </c>
      <c r="P203" t="inlineStr">
        <is>
          <t>Hours worked</t>
        </is>
      </c>
      <c r="Q203" t="inlineStr">
        <is>
          <t>SA</t>
        </is>
      </c>
      <c r="R203" t="inlineStr">
        <is>
          <t>126 (76 - 180)</t>
        </is>
      </c>
    </row>
    <row r="204">
      <c r="A204" t="inlineStr">
        <is>
          <t>Medical scientist</t>
        </is>
      </c>
      <c r="B204" s="44" t="inlineStr">
        <is>
          <t>Hours worked</t>
        </is>
      </c>
      <c r="C204" t="inlineStr">
        <is>
          <t>VIC</t>
        </is>
      </c>
      <c r="D204" s="44" t="n">
        <v>75.88650913461539</v>
      </c>
      <c r="E204" s="44" t="n">
        <v>132.9668190283401</v>
      </c>
      <c r="F204" s="44" t="n">
        <v>194.7663328035601</v>
      </c>
      <c r="I204">
        <f>A204</f>
        <v/>
      </c>
      <c r="J204">
        <f>B204</f>
        <v/>
      </c>
      <c r="K204">
        <f>C204</f>
        <v/>
      </c>
      <c r="L204">
        <f>TEXT(E204, "0,0") &amp; " (" &amp; TEXT(D204, "0,0") &amp; " - " &amp; TEXT(F204, "0,0") &amp; ")"</f>
        <v/>
      </c>
      <c r="O204" t="inlineStr">
        <is>
          <t>Medical scientist</t>
        </is>
      </c>
      <c r="P204" t="inlineStr">
        <is>
          <t>Hours worked</t>
        </is>
      </c>
      <c r="Q204" t="inlineStr">
        <is>
          <t>VIC</t>
        </is>
      </c>
      <c r="R204" t="inlineStr">
        <is>
          <t>133 (76 - 195)</t>
        </is>
      </c>
    </row>
    <row r="205">
      <c r="A205" t="inlineStr">
        <is>
          <t>Medical scientist</t>
        </is>
      </c>
      <c r="B205" s="44" t="inlineStr">
        <is>
          <t>Hours worked</t>
        </is>
      </c>
      <c r="C205" t="inlineStr">
        <is>
          <t>WA</t>
        </is>
      </c>
      <c r="D205" s="44" t="n">
        <v>96.6666286612426</v>
      </c>
      <c r="E205" s="44" t="n">
        <v>142.5538735207101</v>
      </c>
      <c r="F205" s="44" t="n">
        <v>191.9401994800072</v>
      </c>
      <c r="I205">
        <f>A205</f>
        <v/>
      </c>
      <c r="J205">
        <f>B205</f>
        <v/>
      </c>
      <c r="K205">
        <f>C205</f>
        <v/>
      </c>
      <c r="L205">
        <f>TEXT(E205, "0,0") &amp; " (" &amp; TEXT(D205, "0,0") &amp; " - " &amp; TEXT(F205, "0,0") &amp; ")"</f>
        <v/>
      </c>
      <c r="O205" t="inlineStr">
        <is>
          <t>Medical scientist</t>
        </is>
      </c>
      <c r="P205" t="inlineStr">
        <is>
          <t>Hours worked</t>
        </is>
      </c>
      <c r="Q205" t="inlineStr">
        <is>
          <t>WA</t>
        </is>
      </c>
      <c r="R205" t="inlineStr">
        <is>
          <t>143 (97 - 192)</t>
        </is>
      </c>
    </row>
    <row r="206">
      <c r="A206" t="inlineStr">
        <is>
          <t>Medical scientist</t>
        </is>
      </c>
      <c r="B206" s="44" t="inlineStr">
        <is>
          <t xml:space="preserve">Leave Loading (%)		</t>
        </is>
      </c>
      <c r="C206" t="inlineStr">
        <is>
          <t>ALL</t>
        </is>
      </c>
      <c r="D206" s="44" t="n">
        <v>77.46177732793524</v>
      </c>
      <c r="E206" s="44" t="n">
        <v>132.0926584531299</v>
      </c>
      <c r="F206" s="44" t="n">
        <v>180.1738210526316</v>
      </c>
      <c r="I206">
        <f>A206</f>
        <v/>
      </c>
      <c r="J206">
        <f>B206</f>
        <v/>
      </c>
      <c r="K206">
        <f>C206</f>
        <v/>
      </c>
      <c r="L206">
        <f>TEXT(E206, "0,0") &amp; " (" &amp; TEXT(D206, "0,0") &amp; " - " &amp; TEXT(F206, "0,0") &amp; ")"</f>
        <v/>
      </c>
      <c r="O206" t="inlineStr">
        <is>
          <t>Medical scientist</t>
        </is>
      </c>
      <c r="P206" t="inlineStr">
        <is>
          <t xml:space="preserve">Leave Loading (%)		</t>
        </is>
      </c>
      <c r="Q206" t="inlineStr">
        <is>
          <t>ALL</t>
        </is>
      </c>
      <c r="R206" t="inlineStr">
        <is>
          <t>132 (77 - 180)</t>
        </is>
      </c>
    </row>
    <row r="207">
      <c r="A207" t="inlineStr">
        <is>
          <t>Medical scientist</t>
        </is>
      </c>
      <c r="B207" s="44" t="inlineStr">
        <is>
          <t xml:space="preserve">Leave Loading (%)		</t>
        </is>
      </c>
      <c r="C207" t="inlineStr">
        <is>
          <t>NSW</t>
        </is>
      </c>
      <c r="D207" s="44" t="n">
        <v>86.96887734817814</v>
      </c>
      <c r="E207" s="44" t="n">
        <v>133.1230561133603</v>
      </c>
      <c r="F207" s="44" t="n">
        <v>179.2772348785425</v>
      </c>
      <c r="I207">
        <f>A207</f>
        <v/>
      </c>
      <c r="J207">
        <f>B207</f>
        <v/>
      </c>
      <c r="K207">
        <f>C207</f>
        <v/>
      </c>
      <c r="L207">
        <f>TEXT(E207, "0,0") &amp; " (" &amp; TEXT(D207, "0,0") &amp; " - " &amp; TEXT(F207, "0,0") &amp; ")"</f>
        <v/>
      </c>
      <c r="O207" t="inlineStr">
        <is>
          <t>Medical scientist</t>
        </is>
      </c>
      <c r="P207" t="inlineStr">
        <is>
          <t xml:space="preserve">Leave Loading (%)		</t>
        </is>
      </c>
      <c r="Q207" t="inlineStr">
        <is>
          <t>NSW</t>
        </is>
      </c>
      <c r="R207" t="inlineStr">
        <is>
          <t>133 (87 - 179)</t>
        </is>
      </c>
    </row>
    <row r="208">
      <c r="A208" t="inlineStr">
        <is>
          <t>Medical scientist</t>
        </is>
      </c>
      <c r="B208" s="44" t="inlineStr">
        <is>
          <t xml:space="preserve">Leave Loading (%)		</t>
        </is>
      </c>
      <c r="C208" t="inlineStr">
        <is>
          <t>QLD</t>
        </is>
      </c>
      <c r="D208" s="44" t="n">
        <v>83.64681068981626</v>
      </c>
      <c r="E208" s="44" t="n">
        <v>125.9153161203675</v>
      </c>
      <c r="F208" s="44" t="n">
        <v>168.1838215509187</v>
      </c>
      <c r="I208">
        <f>A208</f>
        <v/>
      </c>
      <c r="J208">
        <f>B208</f>
        <v/>
      </c>
      <c r="K208">
        <f>C208</f>
        <v/>
      </c>
      <c r="L208">
        <f>TEXT(E208, "0,0") &amp; " (" &amp; TEXT(D208, "0,0") &amp; " - " &amp; TEXT(F208, "0,0") &amp; ")"</f>
        <v/>
      </c>
      <c r="O208" t="inlineStr">
        <is>
          <t>Medical scientist</t>
        </is>
      </c>
      <c r="P208" t="inlineStr">
        <is>
          <t xml:space="preserve">Leave Loading (%)		</t>
        </is>
      </c>
      <c r="Q208" t="inlineStr">
        <is>
          <t>QLD</t>
        </is>
      </c>
      <c r="R208" t="inlineStr">
        <is>
          <t>126 (84 - 168)</t>
        </is>
      </c>
    </row>
    <row r="209">
      <c r="A209" t="inlineStr">
        <is>
          <t>Medical scientist</t>
        </is>
      </c>
      <c r="B209" s="44" t="inlineStr">
        <is>
          <t xml:space="preserve">Leave Loading (%)		</t>
        </is>
      </c>
      <c r="C209" t="inlineStr">
        <is>
          <t>SA</t>
        </is>
      </c>
      <c r="D209" s="44" t="n">
        <v>80.1991878698225</v>
      </c>
      <c r="E209" s="44" t="n">
        <v>125.9271976798505</v>
      </c>
      <c r="F209" s="44" t="n">
        <v>171.6552074898786</v>
      </c>
      <c r="I209">
        <f>A209</f>
        <v/>
      </c>
      <c r="J209">
        <f>B209</f>
        <v/>
      </c>
      <c r="K209">
        <f>C209</f>
        <v/>
      </c>
      <c r="L209">
        <f>TEXT(E209, "0,0") &amp; " (" &amp; TEXT(D209, "0,0") &amp; " - " &amp; TEXT(F209, "0,0") &amp; ")"</f>
        <v/>
      </c>
      <c r="O209" t="inlineStr">
        <is>
          <t>Medical scientist</t>
        </is>
      </c>
      <c r="P209" t="inlineStr">
        <is>
          <t xml:space="preserve">Leave Loading (%)		</t>
        </is>
      </c>
      <c r="Q209" t="inlineStr">
        <is>
          <t>SA</t>
        </is>
      </c>
      <c r="R209" t="inlineStr">
        <is>
          <t>126 (80 - 172)</t>
        </is>
      </c>
    </row>
    <row r="210">
      <c r="A210" t="inlineStr">
        <is>
          <t>Medical scientist</t>
        </is>
      </c>
      <c r="B210" s="44" t="inlineStr">
        <is>
          <t xml:space="preserve">Leave Loading (%)		</t>
        </is>
      </c>
      <c r="C210" t="inlineStr">
        <is>
          <t>VIC</t>
        </is>
      </c>
      <c r="D210" s="44" t="n">
        <v>79.88053593117409</v>
      </c>
      <c r="E210" s="44" t="n">
        <v>132.9668190283401</v>
      </c>
      <c r="F210" s="44" t="n">
        <v>186.0531021255061</v>
      </c>
      <c r="I210">
        <f>A210</f>
        <v/>
      </c>
      <c r="J210">
        <f>B210</f>
        <v/>
      </c>
      <c r="K210">
        <f>C210</f>
        <v/>
      </c>
      <c r="L210">
        <f>TEXT(E210, "0,0") &amp; " (" &amp; TEXT(D210, "0,0") &amp; " - " &amp; TEXT(F210, "0,0") &amp; ")"</f>
        <v/>
      </c>
      <c r="O210" t="inlineStr">
        <is>
          <t>Medical scientist</t>
        </is>
      </c>
      <c r="P210" t="inlineStr">
        <is>
          <t xml:space="preserve">Leave Loading (%)		</t>
        </is>
      </c>
      <c r="Q210" t="inlineStr">
        <is>
          <t>VIC</t>
        </is>
      </c>
      <c r="R210" t="inlineStr">
        <is>
          <t>133 (80 - 186)</t>
        </is>
      </c>
    </row>
    <row r="211">
      <c r="A211" t="inlineStr">
        <is>
          <t>Medical scientist</t>
        </is>
      </c>
      <c r="B211" s="44" t="inlineStr">
        <is>
          <t xml:space="preserve">Leave Loading (%)		</t>
        </is>
      </c>
      <c r="C211" t="inlineStr">
        <is>
          <t>WA</t>
        </is>
      </c>
      <c r="D211" s="44" t="n">
        <v>101.7543459592027</v>
      </c>
      <c r="E211" s="44" t="n">
        <v>142.5538735207101</v>
      </c>
      <c r="F211" s="44" t="n">
        <v>183.3534010822173</v>
      </c>
      <c r="I211">
        <f>A211</f>
        <v/>
      </c>
      <c r="J211">
        <f>B211</f>
        <v/>
      </c>
      <c r="K211">
        <f>C211</f>
        <v/>
      </c>
      <c r="L211">
        <f>TEXT(E211, "0,0") &amp; " (" &amp; TEXT(D211, "0,0") &amp; " - " &amp; TEXT(F211, "0,0") &amp; ")"</f>
        <v/>
      </c>
      <c r="O211" t="inlineStr">
        <is>
          <t>Medical scientist</t>
        </is>
      </c>
      <c r="P211" t="inlineStr">
        <is>
          <t xml:space="preserve">Leave Loading (%)		</t>
        </is>
      </c>
      <c r="Q211" t="inlineStr">
        <is>
          <t>WA</t>
        </is>
      </c>
      <c r="R211" t="inlineStr">
        <is>
          <t>143 (102 - 183)</t>
        </is>
      </c>
    </row>
    <row r="212">
      <c r="A212" t="inlineStr">
        <is>
          <t>Medical scientist</t>
        </is>
      </c>
      <c r="B212" s="44" t="inlineStr">
        <is>
          <t>Private Practice Loading</t>
        </is>
      </c>
      <c r="C212" t="inlineStr">
        <is>
          <t>ALL</t>
        </is>
      </c>
      <c r="D212" s="44" t="n">
        <v>77.46177732793524</v>
      </c>
      <c r="E212" s="44" t="n">
        <v>132.0926584531299</v>
      </c>
      <c r="F212" s="44" t="n">
        <v>180.1738210526316</v>
      </c>
      <c r="I212">
        <f>A212</f>
        <v/>
      </c>
      <c r="J212">
        <f>B212</f>
        <v/>
      </c>
      <c r="K212">
        <f>C212</f>
        <v/>
      </c>
      <c r="L212">
        <f>TEXT(E212, "0,0") &amp; " (" &amp; TEXT(D212, "0,0") &amp; " - " &amp; TEXT(F212, "0,0") &amp; ")"</f>
        <v/>
      </c>
      <c r="O212" t="inlineStr">
        <is>
          <t>Medical scientist</t>
        </is>
      </c>
      <c r="P212" t="inlineStr">
        <is>
          <t>Private Practice Loading</t>
        </is>
      </c>
      <c r="Q212" t="inlineStr">
        <is>
          <t>ALL</t>
        </is>
      </c>
      <c r="R212" t="inlineStr">
        <is>
          <t>132 (77 - 180)</t>
        </is>
      </c>
    </row>
    <row r="213">
      <c r="A213" t="inlineStr">
        <is>
          <t>Medical scientist</t>
        </is>
      </c>
      <c r="B213" s="44" t="inlineStr">
        <is>
          <t>Private Practice Loading</t>
        </is>
      </c>
      <c r="C213" t="inlineStr">
        <is>
          <t>NSW</t>
        </is>
      </c>
      <c r="D213" s="44" t="n">
        <v>86.96887734817814</v>
      </c>
      <c r="E213" s="44" t="n">
        <v>133.1230561133603</v>
      </c>
      <c r="F213" s="44" t="n">
        <v>179.2772348785425</v>
      </c>
      <c r="I213">
        <f>A213</f>
        <v/>
      </c>
      <c r="J213">
        <f>B213</f>
        <v/>
      </c>
      <c r="K213">
        <f>C213</f>
        <v/>
      </c>
      <c r="L213">
        <f>TEXT(E213, "0,0") &amp; " (" &amp; TEXT(D213, "0,0") &amp; " - " &amp; TEXT(F213, "0,0") &amp; ")"</f>
        <v/>
      </c>
      <c r="O213" t="inlineStr">
        <is>
          <t>Medical scientist</t>
        </is>
      </c>
      <c r="P213" t="inlineStr">
        <is>
          <t>Private Practice Loading</t>
        </is>
      </c>
      <c r="Q213" t="inlineStr">
        <is>
          <t>NSW</t>
        </is>
      </c>
      <c r="R213" t="inlineStr">
        <is>
          <t>133 (87 - 179)</t>
        </is>
      </c>
    </row>
    <row r="214">
      <c r="A214" t="inlineStr">
        <is>
          <t>Medical scientist</t>
        </is>
      </c>
      <c r="B214" s="44" t="inlineStr">
        <is>
          <t>Private Practice Loading</t>
        </is>
      </c>
      <c r="C214" t="inlineStr">
        <is>
          <t>QLD</t>
        </is>
      </c>
      <c r="D214" s="44" t="n">
        <v>83.64681068981626</v>
      </c>
      <c r="E214" s="44" t="n">
        <v>125.9153161203675</v>
      </c>
      <c r="F214" s="44" t="n">
        <v>168.1838215509187</v>
      </c>
      <c r="I214">
        <f>A214</f>
        <v/>
      </c>
      <c r="J214">
        <f>B214</f>
        <v/>
      </c>
      <c r="K214">
        <f>C214</f>
        <v/>
      </c>
      <c r="L214">
        <f>TEXT(E214, "0,0") &amp; " (" &amp; TEXT(D214, "0,0") &amp; " - " &amp; TEXT(F214, "0,0") &amp; ")"</f>
        <v/>
      </c>
      <c r="O214" t="inlineStr">
        <is>
          <t>Medical scientist</t>
        </is>
      </c>
      <c r="P214" t="inlineStr">
        <is>
          <t>Private Practice Loading</t>
        </is>
      </c>
      <c r="Q214" t="inlineStr">
        <is>
          <t>QLD</t>
        </is>
      </c>
      <c r="R214" t="inlineStr">
        <is>
          <t>126 (84 - 168)</t>
        </is>
      </c>
    </row>
    <row r="215">
      <c r="A215" t="inlineStr">
        <is>
          <t>Medical scientist</t>
        </is>
      </c>
      <c r="B215" s="44" t="inlineStr">
        <is>
          <t>Private Practice Loading</t>
        </is>
      </c>
      <c r="C215" t="inlineStr">
        <is>
          <t>SA</t>
        </is>
      </c>
      <c r="D215" s="44" t="n">
        <v>80.1991878698225</v>
      </c>
      <c r="E215" s="44" t="n">
        <v>125.9271976798505</v>
      </c>
      <c r="F215" s="44" t="n">
        <v>171.6552074898786</v>
      </c>
      <c r="I215">
        <f>A215</f>
        <v/>
      </c>
      <c r="J215">
        <f>B215</f>
        <v/>
      </c>
      <c r="K215">
        <f>C215</f>
        <v/>
      </c>
      <c r="L215">
        <f>TEXT(E215, "0,0") &amp; " (" &amp; TEXT(D215, "0,0") &amp; " - " &amp; TEXT(F215, "0,0") &amp; ")"</f>
        <v/>
      </c>
      <c r="O215" t="inlineStr">
        <is>
          <t>Medical scientist</t>
        </is>
      </c>
      <c r="P215" t="inlineStr">
        <is>
          <t>Private Practice Loading</t>
        </is>
      </c>
      <c r="Q215" t="inlineStr">
        <is>
          <t>SA</t>
        </is>
      </c>
      <c r="R215" t="inlineStr">
        <is>
          <t>126 (80 - 172)</t>
        </is>
      </c>
    </row>
    <row r="216">
      <c r="A216" t="inlineStr">
        <is>
          <t>Medical scientist</t>
        </is>
      </c>
      <c r="B216" s="44" t="inlineStr">
        <is>
          <t>Private Practice Loading</t>
        </is>
      </c>
      <c r="C216" t="inlineStr">
        <is>
          <t>VIC</t>
        </is>
      </c>
      <c r="D216" s="44" t="n">
        <v>79.88053593117409</v>
      </c>
      <c r="E216" s="44" t="n">
        <v>132.9668190283401</v>
      </c>
      <c r="F216" s="44" t="n">
        <v>186.0531021255061</v>
      </c>
      <c r="I216">
        <f>A216</f>
        <v/>
      </c>
      <c r="J216">
        <f>B216</f>
        <v/>
      </c>
      <c r="K216">
        <f>C216</f>
        <v/>
      </c>
      <c r="L216">
        <f>TEXT(E216, "0,0") &amp; " (" &amp; TEXT(D216, "0,0") &amp; " - " &amp; TEXT(F216, "0,0") &amp; ")"</f>
        <v/>
      </c>
      <c r="O216" t="inlineStr">
        <is>
          <t>Medical scientist</t>
        </is>
      </c>
      <c r="P216" t="inlineStr">
        <is>
          <t>Private Practice Loading</t>
        </is>
      </c>
      <c r="Q216" t="inlineStr">
        <is>
          <t>VIC</t>
        </is>
      </c>
      <c r="R216" t="inlineStr">
        <is>
          <t>133 (80 - 186)</t>
        </is>
      </c>
    </row>
    <row r="217">
      <c r="A217" t="inlineStr">
        <is>
          <t>Medical scientist</t>
        </is>
      </c>
      <c r="B217" s="44" t="inlineStr">
        <is>
          <t>Private Practice Loading</t>
        </is>
      </c>
      <c r="C217" t="inlineStr">
        <is>
          <t>WA</t>
        </is>
      </c>
      <c r="D217" s="44" t="n">
        <v>101.7543459592027</v>
      </c>
      <c r="E217" s="44" t="n">
        <v>142.5538735207101</v>
      </c>
      <c r="F217" s="44" t="n">
        <v>183.3534010822173</v>
      </c>
      <c r="I217">
        <f>A217</f>
        <v/>
      </c>
      <c r="J217">
        <f>B217</f>
        <v/>
      </c>
      <c r="K217">
        <f>C217</f>
        <v/>
      </c>
      <c r="L217">
        <f>TEXT(E217, "0,0") &amp; " (" &amp; TEXT(D217, "0,0") &amp; " - " &amp; TEXT(F217, "0,0") &amp; ")"</f>
        <v/>
      </c>
      <c r="O217" t="inlineStr">
        <is>
          <t>Medical scientist</t>
        </is>
      </c>
      <c r="P217" t="inlineStr">
        <is>
          <t>Private Practice Loading</t>
        </is>
      </c>
      <c r="Q217" t="inlineStr">
        <is>
          <t>WA</t>
        </is>
      </c>
      <c r="R217" t="inlineStr">
        <is>
          <t>143 (102 - 183)</t>
        </is>
      </c>
    </row>
    <row r="218">
      <c r="A218" t="inlineStr">
        <is>
          <t>Medical scientist</t>
        </is>
      </c>
      <c r="B218" s="44" t="inlineStr">
        <is>
          <t>Professional Development Allowance</t>
        </is>
      </c>
      <c r="C218" t="inlineStr">
        <is>
          <t>ALL</t>
        </is>
      </c>
      <c r="D218" s="44" t="n">
        <v>77.46177732793524</v>
      </c>
      <c r="E218" s="44" t="n">
        <v>132.0926584531299</v>
      </c>
      <c r="F218" s="44" t="n">
        <v>180.1738210526316</v>
      </c>
      <c r="I218">
        <f>A218</f>
        <v/>
      </c>
      <c r="J218">
        <f>B218</f>
        <v/>
      </c>
      <c r="K218">
        <f>C218</f>
        <v/>
      </c>
      <c r="L218">
        <f>TEXT(E218, "0,0") &amp; " (" &amp; TEXT(D218, "0,0") &amp; " - " &amp; TEXT(F218, "0,0") &amp; ")"</f>
        <v/>
      </c>
      <c r="O218" t="inlineStr">
        <is>
          <t>Medical scientist</t>
        </is>
      </c>
      <c r="P218" t="inlineStr">
        <is>
          <t>Professional Development Allowance</t>
        </is>
      </c>
      <c r="Q218" t="inlineStr">
        <is>
          <t>ALL</t>
        </is>
      </c>
      <c r="R218" t="inlineStr">
        <is>
          <t>132 (77 - 180)</t>
        </is>
      </c>
    </row>
    <row r="219">
      <c r="A219" t="inlineStr">
        <is>
          <t>Medical scientist</t>
        </is>
      </c>
      <c r="B219" s="44" t="inlineStr">
        <is>
          <t>Professional Development Allowance</t>
        </is>
      </c>
      <c r="C219" t="inlineStr">
        <is>
          <t>NSW</t>
        </is>
      </c>
      <c r="D219" s="44" t="n">
        <v>86.96887734817814</v>
      </c>
      <c r="E219" s="44" t="n">
        <v>133.1230561133603</v>
      </c>
      <c r="F219" s="44" t="n">
        <v>179.2772348785425</v>
      </c>
      <c r="I219">
        <f>A219</f>
        <v/>
      </c>
      <c r="J219">
        <f>B219</f>
        <v/>
      </c>
      <c r="K219">
        <f>C219</f>
        <v/>
      </c>
      <c r="L219">
        <f>TEXT(E219, "0,0") &amp; " (" &amp; TEXT(D219, "0,0") &amp; " - " &amp; TEXT(F219, "0,0") &amp; ")"</f>
        <v/>
      </c>
      <c r="O219" t="inlineStr">
        <is>
          <t>Medical scientist</t>
        </is>
      </c>
      <c r="P219" t="inlineStr">
        <is>
          <t>Professional Development Allowance</t>
        </is>
      </c>
      <c r="Q219" t="inlineStr">
        <is>
          <t>NSW</t>
        </is>
      </c>
      <c r="R219" t="inlineStr">
        <is>
          <t>133 (87 - 179)</t>
        </is>
      </c>
    </row>
    <row r="220">
      <c r="A220" t="inlineStr">
        <is>
          <t>Medical scientist</t>
        </is>
      </c>
      <c r="B220" s="44" t="inlineStr">
        <is>
          <t>Professional Development Allowance</t>
        </is>
      </c>
      <c r="C220" t="inlineStr">
        <is>
          <t>QLD</t>
        </is>
      </c>
      <c r="D220" s="44" t="n">
        <v>83.64681068981626</v>
      </c>
      <c r="E220" s="44" t="n">
        <v>125.9153161203675</v>
      </c>
      <c r="F220" s="44" t="n">
        <v>168.1838215509187</v>
      </c>
      <c r="I220">
        <f>A220</f>
        <v/>
      </c>
      <c r="J220">
        <f>B220</f>
        <v/>
      </c>
      <c r="K220">
        <f>C220</f>
        <v/>
      </c>
      <c r="L220">
        <f>TEXT(E220, "0,0") &amp; " (" &amp; TEXT(D220, "0,0") &amp; " - " &amp; TEXT(F220, "0,0") &amp; ")"</f>
        <v/>
      </c>
      <c r="O220" t="inlineStr">
        <is>
          <t>Medical scientist</t>
        </is>
      </c>
      <c r="P220" t="inlineStr">
        <is>
          <t>Professional Development Allowance</t>
        </is>
      </c>
      <c r="Q220" t="inlineStr">
        <is>
          <t>QLD</t>
        </is>
      </c>
      <c r="R220" t="inlineStr">
        <is>
          <t>126 (84 - 168)</t>
        </is>
      </c>
    </row>
    <row r="221">
      <c r="A221" t="inlineStr">
        <is>
          <t>Medical scientist</t>
        </is>
      </c>
      <c r="B221" s="44" t="inlineStr">
        <is>
          <t>Professional Development Allowance</t>
        </is>
      </c>
      <c r="C221" t="inlineStr">
        <is>
          <t>SA</t>
        </is>
      </c>
      <c r="D221" s="44" t="n">
        <v>80.1991878698225</v>
      </c>
      <c r="E221" s="44" t="n">
        <v>125.9271976798505</v>
      </c>
      <c r="F221" s="44" t="n">
        <v>171.6552074898786</v>
      </c>
      <c r="I221">
        <f>A221</f>
        <v/>
      </c>
      <c r="J221">
        <f>B221</f>
        <v/>
      </c>
      <c r="K221">
        <f>C221</f>
        <v/>
      </c>
      <c r="L221">
        <f>TEXT(E221, "0,0") &amp; " (" &amp; TEXT(D221, "0,0") &amp; " - " &amp; TEXT(F221, "0,0") &amp; ")"</f>
        <v/>
      </c>
      <c r="O221" t="inlineStr">
        <is>
          <t>Medical scientist</t>
        </is>
      </c>
      <c r="P221" t="inlineStr">
        <is>
          <t>Professional Development Allowance</t>
        </is>
      </c>
      <c r="Q221" t="inlineStr">
        <is>
          <t>SA</t>
        </is>
      </c>
      <c r="R221" t="inlineStr">
        <is>
          <t>126 (80 - 172)</t>
        </is>
      </c>
    </row>
    <row r="222">
      <c r="A222" t="inlineStr">
        <is>
          <t>Medical scientist</t>
        </is>
      </c>
      <c r="B222" s="44" t="inlineStr">
        <is>
          <t>Professional Development Allowance</t>
        </is>
      </c>
      <c r="C222" t="inlineStr">
        <is>
          <t>VIC</t>
        </is>
      </c>
      <c r="D222" s="44" t="n">
        <v>79.88053593117409</v>
      </c>
      <c r="E222" s="44" t="n">
        <v>132.9668190283401</v>
      </c>
      <c r="F222" s="44" t="n">
        <v>186.0531021255061</v>
      </c>
      <c r="I222">
        <f>A222</f>
        <v/>
      </c>
      <c r="J222">
        <f>B222</f>
        <v/>
      </c>
      <c r="K222">
        <f>C222</f>
        <v/>
      </c>
      <c r="L222">
        <f>TEXT(E222, "0,0") &amp; " (" &amp; TEXT(D222, "0,0") &amp; " - " &amp; TEXT(F222, "0,0") &amp; ")"</f>
        <v/>
      </c>
      <c r="O222" t="inlineStr">
        <is>
          <t>Medical scientist</t>
        </is>
      </c>
      <c r="P222" t="inlineStr">
        <is>
          <t>Professional Development Allowance</t>
        </is>
      </c>
      <c r="Q222" t="inlineStr">
        <is>
          <t>VIC</t>
        </is>
      </c>
      <c r="R222" t="inlineStr">
        <is>
          <t>133 (80 - 186)</t>
        </is>
      </c>
    </row>
    <row r="223">
      <c r="A223" t="inlineStr">
        <is>
          <t>Medical scientist</t>
        </is>
      </c>
      <c r="B223" s="44" t="inlineStr">
        <is>
          <t>Professional Development Allowance</t>
        </is>
      </c>
      <c r="C223" t="inlineStr">
        <is>
          <t>WA</t>
        </is>
      </c>
      <c r="D223" s="44" t="n">
        <v>101.7543459592027</v>
      </c>
      <c r="E223" s="44" t="n">
        <v>142.5538735207101</v>
      </c>
      <c r="F223" s="44" t="n">
        <v>183.3534010822173</v>
      </c>
      <c r="I223">
        <f>A223</f>
        <v/>
      </c>
      <c r="J223">
        <f>B223</f>
        <v/>
      </c>
      <c r="K223">
        <f>C223</f>
        <v/>
      </c>
      <c r="L223">
        <f>TEXT(E223, "0,0") &amp; " (" &amp; TEXT(D223, "0,0") &amp; " - " &amp; TEXT(F223, "0,0") &amp; ")"</f>
        <v/>
      </c>
      <c r="O223" t="inlineStr">
        <is>
          <t>Medical scientist</t>
        </is>
      </c>
      <c r="P223" t="inlineStr">
        <is>
          <t>Professional Development Allowance</t>
        </is>
      </c>
      <c r="Q223" t="inlineStr">
        <is>
          <t>WA</t>
        </is>
      </c>
      <c r="R223" t="inlineStr">
        <is>
          <t>143 (102 - 183)</t>
        </is>
      </c>
    </row>
    <row r="224">
      <c r="A224" t="inlineStr">
        <is>
          <t>Medical scientist</t>
        </is>
      </c>
      <c r="B224" s="44" t="inlineStr">
        <is>
          <t>Public Holiday Penalty</t>
        </is>
      </c>
      <c r="C224" t="inlineStr">
        <is>
          <t>ALL</t>
        </is>
      </c>
      <c r="D224" s="44" t="n">
        <v>77.29142206477731</v>
      </c>
      <c r="E224" s="44" t="n">
        <v>132.0926584531299</v>
      </c>
      <c r="F224" s="44" t="n">
        <v>180.5345315789474</v>
      </c>
      <c r="I224">
        <f>A224</f>
        <v/>
      </c>
      <c r="J224">
        <f>B224</f>
        <v/>
      </c>
      <c r="K224">
        <f>C224</f>
        <v/>
      </c>
      <c r="L224">
        <f>TEXT(E224, "0,0") &amp; " (" &amp; TEXT(D224, "0,0") &amp; " - " &amp; TEXT(F224, "0,0") &amp; ")"</f>
        <v/>
      </c>
      <c r="O224" t="inlineStr">
        <is>
          <t>Medical scientist</t>
        </is>
      </c>
      <c r="P224" t="inlineStr">
        <is>
          <t>Public Holiday Penalty</t>
        </is>
      </c>
      <c r="Q224" t="inlineStr">
        <is>
          <t>ALL</t>
        </is>
      </c>
      <c r="R224" t="inlineStr">
        <is>
          <t>132 (77 - 181)</t>
        </is>
      </c>
    </row>
    <row r="225">
      <c r="A225" t="inlineStr">
        <is>
          <t>Medical scientist</t>
        </is>
      </c>
      <c r="B225" s="44" t="inlineStr">
        <is>
          <t>Public Holiday Penalty</t>
        </is>
      </c>
      <c r="C225" t="inlineStr">
        <is>
          <t>NSW</t>
        </is>
      </c>
      <c r="D225" s="44" t="n">
        <v>86.78176590080972</v>
      </c>
      <c r="E225" s="44" t="n">
        <v>133.1230561133603</v>
      </c>
      <c r="F225" s="44" t="n">
        <v>179.6278809311741</v>
      </c>
      <c r="I225">
        <f>A225</f>
        <v/>
      </c>
      <c r="J225">
        <f>B225</f>
        <v/>
      </c>
      <c r="K225">
        <f>C225</f>
        <v/>
      </c>
      <c r="L225">
        <f>TEXT(E225, "0,0") &amp; " (" &amp; TEXT(D225, "0,0") &amp; " - " &amp; TEXT(F225, "0,0") &amp; ")"</f>
        <v/>
      </c>
      <c r="O225" t="inlineStr">
        <is>
          <t>Medical scientist</t>
        </is>
      </c>
      <c r="P225" t="inlineStr">
        <is>
          <t>Public Holiday Penalty</t>
        </is>
      </c>
      <c r="Q225" t="inlineStr">
        <is>
          <t>NSW</t>
        </is>
      </c>
      <c r="R225" t="inlineStr">
        <is>
          <t>133 (87 - 180)</t>
        </is>
      </c>
    </row>
    <row r="226">
      <c r="A226" t="inlineStr">
        <is>
          <t>Medical scientist</t>
        </is>
      </c>
      <c r="B226" s="44" t="inlineStr">
        <is>
          <t>Public Holiday Penalty</t>
        </is>
      </c>
      <c r="C226" t="inlineStr">
        <is>
          <t>QLD</t>
        </is>
      </c>
      <c r="D226" s="44" t="n">
        <v>83.45466974852071</v>
      </c>
      <c r="E226" s="44" t="n">
        <v>125.9153161203675</v>
      </c>
      <c r="F226" s="44" t="n">
        <v>168.5369996885705</v>
      </c>
      <c r="I226">
        <f>A226</f>
        <v/>
      </c>
      <c r="J226">
        <f>B226</f>
        <v/>
      </c>
      <c r="K226">
        <f>C226</f>
        <v/>
      </c>
      <c r="L226">
        <f>TEXT(E226, "0,0") &amp; " (" &amp; TEXT(D226, "0,0") &amp; " - " &amp; TEXT(F226, "0,0") &amp; ")"</f>
        <v/>
      </c>
      <c r="O226" t="inlineStr">
        <is>
          <t>Medical scientist</t>
        </is>
      </c>
      <c r="P226" t="inlineStr">
        <is>
          <t>Public Holiday Penalty</t>
        </is>
      </c>
      <c r="Q226" t="inlineStr">
        <is>
          <t>QLD</t>
        </is>
      </c>
      <c r="R226" t="inlineStr">
        <is>
          <t>126 (83 - 169)</t>
        </is>
      </c>
    </row>
    <row r="227">
      <c r="A227" t="inlineStr">
        <is>
          <t>Medical scientist</t>
        </is>
      </c>
      <c r="B227" s="44" t="inlineStr">
        <is>
          <t>Public Holiday Penalty</t>
        </is>
      </c>
      <c r="C227" t="inlineStr">
        <is>
          <t>SA</t>
        </is>
      </c>
      <c r="D227" s="44" t="n">
        <v>80.01440902366863</v>
      </c>
      <c r="E227" s="44" t="n">
        <v>125.9271976798505</v>
      </c>
      <c r="F227" s="44" t="n">
        <v>172.0147469635627</v>
      </c>
      <c r="I227">
        <f>A227</f>
        <v/>
      </c>
      <c r="J227">
        <f>B227</f>
        <v/>
      </c>
      <c r="K227">
        <f>C227</f>
        <v/>
      </c>
      <c r="L227">
        <f>TEXT(E227, "0,0") &amp; " (" &amp; TEXT(D227, "0,0") &amp; " - " &amp; TEXT(F227, "0,0") &amp; ")"</f>
        <v/>
      </c>
      <c r="O227" t="inlineStr">
        <is>
          <t>Medical scientist</t>
        </is>
      </c>
      <c r="P227" t="inlineStr">
        <is>
          <t>Public Holiday Penalty</t>
        </is>
      </c>
      <c r="Q227" t="inlineStr">
        <is>
          <t>SA</t>
        </is>
      </c>
      <c r="R227" t="inlineStr">
        <is>
          <t>126 (80 - 172)</t>
        </is>
      </c>
    </row>
    <row r="228">
      <c r="A228" t="inlineStr">
        <is>
          <t>Medical scientist</t>
        </is>
      </c>
      <c r="B228" s="44" t="inlineStr">
        <is>
          <t>Public Holiday Penalty</t>
        </is>
      </c>
      <c r="C228" t="inlineStr">
        <is>
          <t>VIC</t>
        </is>
      </c>
      <c r="D228" s="44" t="n">
        <v>79.71018066801619</v>
      </c>
      <c r="E228" s="44" t="n">
        <v>132.9668190283401</v>
      </c>
      <c r="F228" s="44" t="n">
        <v>186.4138126518219</v>
      </c>
      <c r="I228">
        <f>A228</f>
        <v/>
      </c>
      <c r="J228">
        <f>B228</f>
        <v/>
      </c>
      <c r="K228">
        <f>C228</f>
        <v/>
      </c>
      <c r="L228">
        <f>TEXT(E228, "0,0") &amp; " (" &amp; TEXT(D228, "0,0") &amp; " - " &amp; TEXT(F228, "0,0") &amp; ")"</f>
        <v/>
      </c>
      <c r="O228" t="inlineStr">
        <is>
          <t>Medical scientist</t>
        </is>
      </c>
      <c r="P228" t="inlineStr">
        <is>
          <t>Public Holiday Penalty</t>
        </is>
      </c>
      <c r="Q228" t="inlineStr">
        <is>
          <t>VIC</t>
        </is>
      </c>
      <c r="R228" t="inlineStr">
        <is>
          <t>133 (80 - 186)</t>
        </is>
      </c>
    </row>
    <row r="229">
      <c r="A229" t="inlineStr">
        <is>
          <t>Medical scientist</t>
        </is>
      </c>
      <c r="B229" s="44" t="inlineStr">
        <is>
          <t>Public Holiday Penalty</t>
        </is>
      </c>
      <c r="C229" t="inlineStr">
        <is>
          <t>WA</t>
        </is>
      </c>
      <c r="D229" s="44" t="n">
        <v>101.5377055239801</v>
      </c>
      <c r="E229" s="44" t="n">
        <v>142.5538735207101</v>
      </c>
      <c r="F229" s="44" t="n">
        <v>183.7082821550919</v>
      </c>
      <c r="I229">
        <f>A229</f>
        <v/>
      </c>
      <c r="J229">
        <f>B229</f>
        <v/>
      </c>
      <c r="K229">
        <f>C229</f>
        <v/>
      </c>
      <c r="L229">
        <f>TEXT(E229, "0,0") &amp; " (" &amp; TEXT(D229, "0,0") &amp; " - " &amp; TEXT(F229, "0,0") &amp; ")"</f>
        <v/>
      </c>
      <c r="O229" t="inlineStr">
        <is>
          <t>Medical scientist</t>
        </is>
      </c>
      <c r="P229" t="inlineStr">
        <is>
          <t>Public Holiday Penalty</t>
        </is>
      </c>
      <c r="Q229" t="inlineStr">
        <is>
          <t>WA</t>
        </is>
      </c>
      <c r="R229" t="inlineStr">
        <is>
          <t>143 (102 - 184)</t>
        </is>
      </c>
    </row>
    <row r="230">
      <c r="A230" t="inlineStr">
        <is>
          <t>Medical scientist</t>
        </is>
      </c>
      <c r="B230" s="44" t="inlineStr">
        <is>
          <t>Sick Leave</t>
        </is>
      </c>
      <c r="C230" t="inlineStr">
        <is>
          <t>ALL</t>
        </is>
      </c>
      <c r="D230" s="44" t="n">
        <v>77.46177732793524</v>
      </c>
      <c r="E230" s="44" t="n">
        <v>132.0926584531299</v>
      </c>
      <c r="F230" s="44" t="n">
        <v>180.1738210526316</v>
      </c>
      <c r="I230">
        <f>A230</f>
        <v/>
      </c>
      <c r="J230">
        <f>B230</f>
        <v/>
      </c>
      <c r="K230">
        <f>C230</f>
        <v/>
      </c>
      <c r="L230">
        <f>TEXT(E230, "0,0") &amp; " (" &amp; TEXT(D230, "0,0") &amp; " - " &amp; TEXT(F230, "0,0") &amp; ")"</f>
        <v/>
      </c>
      <c r="O230" t="inlineStr">
        <is>
          <t>Medical scientist</t>
        </is>
      </c>
      <c r="P230" t="inlineStr">
        <is>
          <t>Sick Leave</t>
        </is>
      </c>
      <c r="Q230" t="inlineStr">
        <is>
          <t>ALL</t>
        </is>
      </c>
      <c r="R230" t="inlineStr">
        <is>
          <t>132 (77 - 180)</t>
        </is>
      </c>
    </row>
    <row r="231">
      <c r="A231" t="inlineStr">
        <is>
          <t>Medical scientist</t>
        </is>
      </c>
      <c r="B231" s="44" t="inlineStr">
        <is>
          <t>Sick Leave</t>
        </is>
      </c>
      <c r="C231" t="inlineStr">
        <is>
          <t>NSW</t>
        </is>
      </c>
      <c r="D231" s="44" t="n">
        <v>86.96887734817814</v>
      </c>
      <c r="E231" s="44" t="n">
        <v>133.1230561133603</v>
      </c>
      <c r="F231" s="44" t="n">
        <v>179.2772348785425</v>
      </c>
      <c r="I231">
        <f>A231</f>
        <v/>
      </c>
      <c r="J231">
        <f>B231</f>
        <v/>
      </c>
      <c r="K231">
        <f>C231</f>
        <v/>
      </c>
      <c r="L231">
        <f>TEXT(E231, "0,0") &amp; " (" &amp; TEXT(D231, "0,0") &amp; " - " &amp; TEXT(F231, "0,0") &amp; ")"</f>
        <v/>
      </c>
      <c r="O231" t="inlineStr">
        <is>
          <t>Medical scientist</t>
        </is>
      </c>
      <c r="P231" t="inlineStr">
        <is>
          <t>Sick Leave</t>
        </is>
      </c>
      <c r="Q231" t="inlineStr">
        <is>
          <t>NSW</t>
        </is>
      </c>
      <c r="R231" t="inlineStr">
        <is>
          <t>133 (87 - 179)</t>
        </is>
      </c>
    </row>
    <row r="232">
      <c r="A232" t="inlineStr">
        <is>
          <t>Medical scientist</t>
        </is>
      </c>
      <c r="B232" s="44" t="inlineStr">
        <is>
          <t>Sick Leave</t>
        </is>
      </c>
      <c r="C232" t="inlineStr">
        <is>
          <t>QLD</t>
        </is>
      </c>
      <c r="D232" s="44" t="n">
        <v>83.64681068981626</v>
      </c>
      <c r="E232" s="44" t="n">
        <v>125.9153161203675</v>
      </c>
      <c r="F232" s="44" t="n">
        <v>168.1838215509187</v>
      </c>
      <c r="I232">
        <f>A232</f>
        <v/>
      </c>
      <c r="J232">
        <f>B232</f>
        <v/>
      </c>
      <c r="K232">
        <f>C232</f>
        <v/>
      </c>
      <c r="L232">
        <f>TEXT(E232, "0,0") &amp; " (" &amp; TEXT(D232, "0,0") &amp; " - " &amp; TEXT(F232, "0,0") &amp; ")"</f>
        <v/>
      </c>
      <c r="O232" t="inlineStr">
        <is>
          <t>Medical scientist</t>
        </is>
      </c>
      <c r="P232" t="inlineStr">
        <is>
          <t>Sick Leave</t>
        </is>
      </c>
      <c r="Q232" t="inlineStr">
        <is>
          <t>QLD</t>
        </is>
      </c>
      <c r="R232" t="inlineStr">
        <is>
          <t>126 (84 - 168)</t>
        </is>
      </c>
    </row>
    <row r="233">
      <c r="A233" t="inlineStr">
        <is>
          <t>Medical scientist</t>
        </is>
      </c>
      <c r="B233" s="44" t="inlineStr">
        <is>
          <t>Sick Leave</t>
        </is>
      </c>
      <c r="C233" t="inlineStr">
        <is>
          <t>SA</t>
        </is>
      </c>
      <c r="D233" s="44" t="n">
        <v>80.1991878698225</v>
      </c>
      <c r="E233" s="44" t="n">
        <v>125.9271976798505</v>
      </c>
      <c r="F233" s="44" t="n">
        <v>171.6552074898786</v>
      </c>
      <c r="I233">
        <f>A233</f>
        <v/>
      </c>
      <c r="J233">
        <f>B233</f>
        <v/>
      </c>
      <c r="K233">
        <f>C233</f>
        <v/>
      </c>
      <c r="L233">
        <f>TEXT(E233, "0,0") &amp; " (" &amp; TEXT(D233, "0,0") &amp; " - " &amp; TEXT(F233, "0,0") &amp; ")"</f>
        <v/>
      </c>
      <c r="O233" t="inlineStr">
        <is>
          <t>Medical scientist</t>
        </is>
      </c>
      <c r="P233" t="inlineStr">
        <is>
          <t>Sick Leave</t>
        </is>
      </c>
      <c r="Q233" t="inlineStr">
        <is>
          <t>SA</t>
        </is>
      </c>
      <c r="R233" t="inlineStr">
        <is>
          <t>126 (80 - 172)</t>
        </is>
      </c>
    </row>
    <row r="234">
      <c r="A234" t="inlineStr">
        <is>
          <t>Medical scientist</t>
        </is>
      </c>
      <c r="B234" s="44" t="inlineStr">
        <is>
          <t>Sick Leave</t>
        </is>
      </c>
      <c r="C234" t="inlineStr">
        <is>
          <t>VIC</t>
        </is>
      </c>
      <c r="D234" s="44" t="n">
        <v>79.88053593117409</v>
      </c>
      <c r="E234" s="44" t="n">
        <v>132.9668190283401</v>
      </c>
      <c r="F234" s="44" t="n">
        <v>186.0531021255061</v>
      </c>
      <c r="I234">
        <f>A234</f>
        <v/>
      </c>
      <c r="J234">
        <f>B234</f>
        <v/>
      </c>
      <c r="K234">
        <f>C234</f>
        <v/>
      </c>
      <c r="L234">
        <f>TEXT(E234, "0,0") &amp; " (" &amp; TEXT(D234, "0,0") &amp; " - " &amp; TEXT(F234, "0,0") &amp; ")"</f>
        <v/>
      </c>
      <c r="O234" t="inlineStr">
        <is>
          <t>Medical scientist</t>
        </is>
      </c>
      <c r="P234" t="inlineStr">
        <is>
          <t>Sick Leave</t>
        </is>
      </c>
      <c r="Q234" t="inlineStr">
        <is>
          <t>VIC</t>
        </is>
      </c>
      <c r="R234" t="inlineStr">
        <is>
          <t>133 (80 - 186)</t>
        </is>
      </c>
    </row>
    <row r="235">
      <c r="A235" t="inlineStr">
        <is>
          <t>Medical scientist</t>
        </is>
      </c>
      <c r="B235" s="44" t="inlineStr">
        <is>
          <t>Sick Leave</t>
        </is>
      </c>
      <c r="C235" t="inlineStr">
        <is>
          <t>WA</t>
        </is>
      </c>
      <c r="D235" s="44" t="n">
        <v>101.7543459592027</v>
      </c>
      <c r="E235" s="44" t="n">
        <v>142.5538735207101</v>
      </c>
      <c r="F235" s="44" t="n">
        <v>183.3534010822173</v>
      </c>
      <c r="I235">
        <f>A235</f>
        <v/>
      </c>
      <c r="J235">
        <f>B235</f>
        <v/>
      </c>
      <c r="K235">
        <f>C235</f>
        <v/>
      </c>
      <c r="L235">
        <f>TEXT(E235, "0,0") &amp; " (" &amp; TEXT(D235, "0,0") &amp; " - " &amp; TEXT(F235, "0,0") &amp; ")"</f>
        <v/>
      </c>
      <c r="O235" t="inlineStr">
        <is>
          <t>Medical scientist</t>
        </is>
      </c>
      <c r="P235" t="inlineStr">
        <is>
          <t>Sick Leave</t>
        </is>
      </c>
      <c r="Q235" t="inlineStr">
        <is>
          <t>WA</t>
        </is>
      </c>
      <c r="R235" t="inlineStr">
        <is>
          <t>143 (102 - 183)</t>
        </is>
      </c>
    </row>
    <row r="236">
      <c r="A236" t="inlineStr">
        <is>
          <t>Medical scientist</t>
        </is>
      </c>
      <c r="B236" s="44" t="inlineStr">
        <is>
          <t>Superannuation</t>
        </is>
      </c>
      <c r="C236" t="inlineStr">
        <is>
          <t>ALL</t>
        </is>
      </c>
      <c r="D236" s="44" t="n">
        <v>77.30690890688258</v>
      </c>
      <c r="E236" s="44" t="n">
        <v>132.0926584531299</v>
      </c>
      <c r="F236" s="44" t="n">
        <v>181.4363078947369</v>
      </c>
      <c r="I236">
        <f>A236</f>
        <v/>
      </c>
      <c r="J236">
        <f>B236</f>
        <v/>
      </c>
      <c r="K236">
        <f>C236</f>
        <v/>
      </c>
      <c r="L236">
        <f>TEXT(E236, "0,0") &amp; " (" &amp; TEXT(D236, "0,0") &amp; " - " &amp; TEXT(F236, "0,0") &amp; ")"</f>
        <v/>
      </c>
      <c r="O236" t="inlineStr">
        <is>
          <t>Medical scientist</t>
        </is>
      </c>
      <c r="P236" t="inlineStr">
        <is>
          <t>Superannuation</t>
        </is>
      </c>
      <c r="Q236" t="inlineStr">
        <is>
          <t>ALL</t>
        </is>
      </c>
      <c r="R236" t="inlineStr">
        <is>
          <t>132 (77 - 181)</t>
        </is>
      </c>
    </row>
    <row r="237">
      <c r="A237" t="inlineStr">
        <is>
          <t>Medical scientist</t>
        </is>
      </c>
      <c r="B237" s="44" t="inlineStr">
        <is>
          <t>Superannuation</t>
        </is>
      </c>
      <c r="C237" t="inlineStr">
        <is>
          <t>NSW</t>
        </is>
      </c>
      <c r="D237" s="44" t="n">
        <v>86.79877603238867</v>
      </c>
      <c r="E237" s="44" t="n">
        <v>133.1230561133603</v>
      </c>
      <c r="F237" s="44" t="n">
        <v>180.504496062753</v>
      </c>
      <c r="I237">
        <f>A237</f>
        <v/>
      </c>
      <c r="J237">
        <f>B237</f>
        <v/>
      </c>
      <c r="K237">
        <f>C237</f>
        <v/>
      </c>
      <c r="L237">
        <f>TEXT(E237, "0,0") &amp; " (" &amp; TEXT(D237, "0,0") &amp; " - " &amp; TEXT(F237, "0,0") &amp; ")"</f>
        <v/>
      </c>
      <c r="O237" t="inlineStr">
        <is>
          <t>Medical scientist</t>
        </is>
      </c>
      <c r="P237" t="inlineStr">
        <is>
          <t>Superannuation</t>
        </is>
      </c>
      <c r="Q237" t="inlineStr">
        <is>
          <t>NSW</t>
        </is>
      </c>
      <c r="R237" t="inlineStr">
        <is>
          <t>133 (87 - 181)</t>
        </is>
      </c>
    </row>
    <row r="238">
      <c r="A238" t="inlineStr">
        <is>
          <t>Medical scientist</t>
        </is>
      </c>
      <c r="B238" s="44" t="inlineStr">
        <is>
          <t>Superannuation</t>
        </is>
      </c>
      <c r="C238" t="inlineStr">
        <is>
          <t>QLD</t>
        </is>
      </c>
      <c r="D238" s="44" t="n">
        <v>83.47213710682031</v>
      </c>
      <c r="E238" s="44" t="n">
        <v>125.9153161203675</v>
      </c>
      <c r="F238" s="44" t="n">
        <v>169.4199450327001</v>
      </c>
      <c r="I238">
        <f>A238</f>
        <v/>
      </c>
      <c r="J238">
        <f>B238</f>
        <v/>
      </c>
      <c r="K238">
        <f>C238</f>
        <v/>
      </c>
      <c r="L238">
        <f>TEXT(E238, "0,0") &amp; " (" &amp; TEXT(D238, "0,0") &amp; " - " &amp; TEXT(F238, "0,0") &amp; ")"</f>
        <v/>
      </c>
      <c r="O238" t="inlineStr">
        <is>
          <t>Medical scientist</t>
        </is>
      </c>
      <c r="P238" t="inlineStr">
        <is>
          <t>Superannuation</t>
        </is>
      </c>
      <c r="Q238" t="inlineStr">
        <is>
          <t>QLD</t>
        </is>
      </c>
      <c r="R238" t="inlineStr">
        <is>
          <t>126 (83 - 169)</t>
        </is>
      </c>
    </row>
    <row r="239">
      <c r="A239" t="inlineStr">
        <is>
          <t>Medical scientist</t>
        </is>
      </c>
      <c r="B239" s="44" t="inlineStr">
        <is>
          <t>Superannuation</t>
        </is>
      </c>
      <c r="C239" t="inlineStr">
        <is>
          <t>SA</t>
        </is>
      </c>
      <c r="D239" s="44" t="n">
        <v>80.03120710059171</v>
      </c>
      <c r="E239" s="44" t="n">
        <v>125.9271976798505</v>
      </c>
      <c r="F239" s="44" t="n">
        <v>172.9135956477733</v>
      </c>
      <c r="I239">
        <f>A239</f>
        <v/>
      </c>
      <c r="J239">
        <f>B239</f>
        <v/>
      </c>
      <c r="K239">
        <f>C239</f>
        <v/>
      </c>
      <c r="L239">
        <f>TEXT(E239, "0,0") &amp; " (" &amp; TEXT(D239, "0,0") &amp; " - " &amp; TEXT(F239, "0,0") &amp; ")"</f>
        <v/>
      </c>
      <c r="O239" t="inlineStr">
        <is>
          <t>Medical scientist</t>
        </is>
      </c>
      <c r="P239" t="inlineStr">
        <is>
          <t>Superannuation</t>
        </is>
      </c>
      <c r="Q239" t="inlineStr">
        <is>
          <t>SA</t>
        </is>
      </c>
      <c r="R239" t="inlineStr">
        <is>
          <t>126 (80 - 173)</t>
        </is>
      </c>
    </row>
    <row r="240">
      <c r="A240" t="inlineStr">
        <is>
          <t>Medical scientist</t>
        </is>
      </c>
      <c r="B240" s="44" t="inlineStr">
        <is>
          <t>Superannuation</t>
        </is>
      </c>
      <c r="C240" t="inlineStr">
        <is>
          <t>VIC</t>
        </is>
      </c>
      <c r="D240" s="44" t="n">
        <v>79.72566751012145</v>
      </c>
      <c r="E240" s="44" t="n">
        <v>132.9668190283401</v>
      </c>
      <c r="F240" s="44" t="n">
        <v>187.3155889676113</v>
      </c>
      <c r="I240">
        <f>A240</f>
        <v/>
      </c>
      <c r="J240">
        <f>B240</f>
        <v/>
      </c>
      <c r="K240">
        <f>C240</f>
        <v/>
      </c>
      <c r="L240">
        <f>TEXT(E240, "0,0") &amp; " (" &amp; TEXT(D240, "0,0") &amp; " - " &amp; TEXT(F240, "0,0") &amp; ")"</f>
        <v/>
      </c>
      <c r="O240" t="inlineStr">
        <is>
          <t>Medical scientist</t>
        </is>
      </c>
      <c r="P240" t="inlineStr">
        <is>
          <t>Superannuation</t>
        </is>
      </c>
      <c r="Q240" t="inlineStr">
        <is>
          <t>VIC</t>
        </is>
      </c>
      <c r="R240" t="inlineStr">
        <is>
          <t>133 (80 - 187)</t>
        </is>
      </c>
    </row>
    <row r="241">
      <c r="A241" t="inlineStr">
        <is>
          <t>Medical scientist</t>
        </is>
      </c>
      <c r="B241" s="44" t="inlineStr">
        <is>
          <t>Superannuation</t>
        </is>
      </c>
      <c r="C241" t="inlineStr">
        <is>
          <t>WA</t>
        </is>
      </c>
      <c r="D241" s="44" t="n">
        <v>101.5574001090003</v>
      </c>
      <c r="E241" s="44" t="n">
        <v>142.5538735207101</v>
      </c>
      <c r="F241" s="44" t="n">
        <v>184.5954848372781</v>
      </c>
      <c r="I241">
        <f>A241</f>
        <v/>
      </c>
      <c r="J241">
        <f>B241</f>
        <v/>
      </c>
      <c r="K241">
        <f>C241</f>
        <v/>
      </c>
      <c r="L241">
        <f>TEXT(E241, "0,0") &amp; " (" &amp; TEXT(D241, "0,0") &amp; " - " &amp; TEXT(F241, "0,0") &amp; ")"</f>
        <v/>
      </c>
      <c r="O241" t="inlineStr">
        <is>
          <t>Medical scientist</t>
        </is>
      </c>
      <c r="P241" t="inlineStr">
        <is>
          <t>Superannuation</t>
        </is>
      </c>
      <c r="Q241" t="inlineStr">
        <is>
          <t>WA</t>
        </is>
      </c>
      <c r="R241" t="inlineStr">
        <is>
          <t>143 (102 - 185)</t>
        </is>
      </c>
    </row>
    <row r="242">
      <c r="A242" t="inlineStr">
        <is>
          <t>Pathologists</t>
        </is>
      </c>
      <c r="B242" s="44" t="inlineStr">
        <is>
          <t>Annual Leave</t>
        </is>
      </c>
      <c r="C242" t="inlineStr">
        <is>
          <t>ALL</t>
        </is>
      </c>
      <c r="D242" s="44" t="n">
        <v>263.3364146761134</v>
      </c>
      <c r="E242" s="44" t="n">
        <v>384.4609838076923</v>
      </c>
      <c r="F242" s="44" t="n">
        <v>551.4281955971659</v>
      </c>
      <c r="I242">
        <f>A242</f>
        <v/>
      </c>
      <c r="J242">
        <f>B242</f>
        <v/>
      </c>
      <c r="K242">
        <f>C242</f>
        <v/>
      </c>
      <c r="L242">
        <f>TEXT(E242, "0,0") &amp; " (" &amp; TEXT(D242, "0,0") &amp; " - " &amp; TEXT(F242, "0,0") &amp; ")"</f>
        <v/>
      </c>
      <c r="O242" t="inlineStr">
        <is>
          <t>Pathologists</t>
        </is>
      </c>
      <c r="P242" t="inlineStr">
        <is>
          <t>Annual Leave</t>
        </is>
      </c>
      <c r="Q242" t="inlineStr">
        <is>
          <t>ALL</t>
        </is>
      </c>
      <c r="R242" t="inlineStr">
        <is>
          <t>384 (263 - 551)</t>
        </is>
      </c>
    </row>
    <row r="243">
      <c r="A243" t="inlineStr">
        <is>
          <t>Pathologists</t>
        </is>
      </c>
      <c r="B243" s="44" t="inlineStr">
        <is>
          <t>Annual Leave</t>
        </is>
      </c>
      <c r="C243" t="inlineStr">
        <is>
          <t>NSW</t>
        </is>
      </c>
      <c r="D243" s="44" t="n">
        <v>268.7238310689816</v>
      </c>
      <c r="E243" s="44" t="n">
        <v>312.5137797317814</v>
      </c>
      <c r="F243" s="44" t="n">
        <v>356.3037283945811</v>
      </c>
      <c r="I243">
        <f>A243</f>
        <v/>
      </c>
      <c r="J243">
        <f>B243</f>
        <v/>
      </c>
      <c r="K243">
        <f>C243</f>
        <v/>
      </c>
      <c r="L243">
        <f>TEXT(E243, "0,0") &amp; " (" &amp; TEXT(D243, "0,0") &amp; " - " &amp; TEXT(F243, "0,0") &amp; ")"</f>
        <v/>
      </c>
      <c r="O243" t="inlineStr">
        <is>
          <t>Pathologists</t>
        </is>
      </c>
      <c r="P243" t="inlineStr">
        <is>
          <t>Annual Leave</t>
        </is>
      </c>
      <c r="Q243" t="inlineStr">
        <is>
          <t>NSW</t>
        </is>
      </c>
      <c r="R243" t="inlineStr">
        <is>
          <t>313 (269 - 356)</t>
        </is>
      </c>
    </row>
    <row r="244">
      <c r="A244" t="inlineStr">
        <is>
          <t>Pathologists</t>
        </is>
      </c>
      <c r="B244" s="44" t="inlineStr">
        <is>
          <t>Annual Leave</t>
        </is>
      </c>
      <c r="C244" t="inlineStr">
        <is>
          <t>QLD</t>
        </is>
      </c>
      <c r="D244" s="44" t="n">
        <v>285.7802825443786</v>
      </c>
      <c r="E244" s="44" t="n">
        <v>338.5262645593273</v>
      </c>
      <c r="F244" s="44" t="n">
        <v>391.2722465742759</v>
      </c>
      <c r="I244">
        <f>A244</f>
        <v/>
      </c>
      <c r="J244">
        <f>B244</f>
        <v/>
      </c>
      <c r="K244">
        <f>C244</f>
        <v/>
      </c>
      <c r="L244">
        <f>TEXT(E244, "0,0") &amp; " (" &amp; TEXT(D244, "0,0") &amp; " - " &amp; TEXT(F244, "0,0") &amp; ")"</f>
        <v/>
      </c>
      <c r="O244" t="inlineStr">
        <is>
          <t>Pathologists</t>
        </is>
      </c>
      <c r="P244" t="inlineStr">
        <is>
          <t>Annual Leave</t>
        </is>
      </c>
      <c r="Q244" t="inlineStr">
        <is>
          <t>QLD</t>
        </is>
      </c>
      <c r="R244" t="inlineStr">
        <is>
          <t>339 (286 - 391)</t>
        </is>
      </c>
    </row>
    <row r="245">
      <c r="A245" t="inlineStr">
        <is>
          <t>Pathologists</t>
        </is>
      </c>
      <c r="B245" s="44" t="inlineStr">
        <is>
          <t>Annual Leave</t>
        </is>
      </c>
      <c r="C245" t="inlineStr">
        <is>
          <t>SA</t>
        </is>
      </c>
      <c r="D245" s="44" t="n">
        <v>369.7024676308004</v>
      </c>
      <c r="E245" s="44" t="n">
        <v>426.3296713786594</v>
      </c>
      <c r="F245" s="44" t="n">
        <v>482.9568751265182</v>
      </c>
      <c r="I245">
        <f>A245</f>
        <v/>
      </c>
      <c r="J245">
        <f>B245</f>
        <v/>
      </c>
      <c r="K245">
        <f>C245</f>
        <v/>
      </c>
      <c r="L245">
        <f>TEXT(E245, "0,0") &amp; " (" &amp; TEXT(D245, "0,0") &amp; " - " &amp; TEXT(F245, "0,0") &amp; ")"</f>
        <v/>
      </c>
      <c r="O245" t="inlineStr">
        <is>
          <t>Pathologists</t>
        </is>
      </c>
      <c r="P245" t="inlineStr">
        <is>
          <t>Annual Leave</t>
        </is>
      </c>
      <c r="Q245" t="inlineStr">
        <is>
          <t>SA</t>
        </is>
      </c>
      <c r="R245" t="inlineStr">
        <is>
          <t>426 (370 - 483)</t>
        </is>
      </c>
    </row>
    <row r="246">
      <c r="A246" t="inlineStr">
        <is>
          <t>Pathologists</t>
        </is>
      </c>
      <c r="B246" s="44" t="inlineStr">
        <is>
          <t>Annual Leave</t>
        </is>
      </c>
      <c r="C246" t="inlineStr">
        <is>
          <t>VIC</t>
        </is>
      </c>
      <c r="D246" s="44" t="n">
        <v>337.4197520242915</v>
      </c>
      <c r="E246" s="44" t="n">
        <v>397.9371122975709</v>
      </c>
      <c r="F246" s="44" t="n">
        <v>458.4544725708502</v>
      </c>
      <c r="I246">
        <f>A246</f>
        <v/>
      </c>
      <c r="J246">
        <f>B246</f>
        <v/>
      </c>
      <c r="K246">
        <f>C246</f>
        <v/>
      </c>
      <c r="L246">
        <f>TEXT(E246, "0,0") &amp; " (" &amp; TEXT(D246, "0,0") &amp; " - " &amp; TEXT(F246, "0,0") &amp; ")"</f>
        <v/>
      </c>
      <c r="O246" t="inlineStr">
        <is>
          <t>Pathologists</t>
        </is>
      </c>
      <c r="P246" t="inlineStr">
        <is>
          <t>Annual Leave</t>
        </is>
      </c>
      <c r="Q246" t="inlineStr">
        <is>
          <t>VIC</t>
        </is>
      </c>
      <c r="R246" t="inlineStr">
        <is>
          <t>398 (337 - 458)</t>
        </is>
      </c>
    </row>
    <row r="247">
      <c r="A247" t="inlineStr">
        <is>
          <t>Pathologists</t>
        </is>
      </c>
      <c r="B247" s="44" t="inlineStr">
        <is>
          <t>Annual Leave</t>
        </is>
      </c>
      <c r="C247" t="inlineStr">
        <is>
          <t>WA</t>
        </is>
      </c>
      <c r="D247" s="44" t="n">
        <v>371.444671870134</v>
      </c>
      <c r="E247" s="44" t="n">
        <v>424.6258754282155</v>
      </c>
      <c r="F247" s="44" t="n">
        <v>477.807078986297</v>
      </c>
      <c r="I247">
        <f>A247</f>
        <v/>
      </c>
      <c r="J247">
        <f>B247</f>
        <v/>
      </c>
      <c r="K247">
        <f>C247</f>
        <v/>
      </c>
      <c r="L247">
        <f>TEXT(E247, "0,0") &amp; " (" &amp; TEXT(D247, "0,0") &amp; " - " &amp; TEXT(F247, "0,0") &amp; ")"</f>
        <v/>
      </c>
      <c r="O247" t="inlineStr">
        <is>
          <t>Pathologists</t>
        </is>
      </c>
      <c r="P247" t="inlineStr">
        <is>
          <t>Annual Leave</t>
        </is>
      </c>
      <c r="Q247" t="inlineStr">
        <is>
          <t>WA</t>
        </is>
      </c>
      <c r="R247" t="inlineStr">
        <is>
          <t>425 (371 - 478)</t>
        </is>
      </c>
    </row>
    <row r="248">
      <c r="A248" t="inlineStr">
        <is>
          <t>Pathologists</t>
        </is>
      </c>
      <c r="B248" s="44" t="inlineStr">
        <is>
          <t>Attraction and Retention Allowance</t>
        </is>
      </c>
      <c r="C248" t="inlineStr">
        <is>
          <t>ALL</t>
        </is>
      </c>
      <c r="D248" s="44" t="n">
        <v>263.3364146761134</v>
      </c>
      <c r="E248" s="44" t="n">
        <v>384.4609838076923</v>
      </c>
      <c r="F248" s="44" t="n">
        <v>551.4281955971659</v>
      </c>
      <c r="I248">
        <f>A248</f>
        <v/>
      </c>
      <c r="J248">
        <f>B248</f>
        <v/>
      </c>
      <c r="K248">
        <f>C248</f>
        <v/>
      </c>
      <c r="L248">
        <f>TEXT(E248, "0,0") &amp; " (" &amp; TEXT(D248, "0,0") &amp; " - " &amp; TEXT(F248, "0,0") &amp; ")"</f>
        <v/>
      </c>
      <c r="O248" t="inlineStr">
        <is>
          <t>Pathologists</t>
        </is>
      </c>
      <c r="P248" t="inlineStr">
        <is>
          <t>Attraction and Retention Allowance</t>
        </is>
      </c>
      <c r="Q248" t="inlineStr">
        <is>
          <t>ALL</t>
        </is>
      </c>
      <c r="R248" t="inlineStr">
        <is>
          <t>384 (263 - 551)</t>
        </is>
      </c>
    </row>
    <row r="249">
      <c r="A249" t="inlineStr">
        <is>
          <t>Pathologists</t>
        </is>
      </c>
      <c r="B249" s="44" t="inlineStr">
        <is>
          <t>Attraction and Retention Allowance</t>
        </is>
      </c>
      <c r="C249" t="inlineStr">
        <is>
          <t>NSW</t>
        </is>
      </c>
      <c r="D249" s="44" t="n">
        <v>268.7238310689816</v>
      </c>
      <c r="E249" s="44" t="n">
        <v>312.5137797317814</v>
      </c>
      <c r="F249" s="44" t="n">
        <v>356.3037283945811</v>
      </c>
      <c r="I249">
        <f>A249</f>
        <v/>
      </c>
      <c r="J249">
        <f>B249</f>
        <v/>
      </c>
      <c r="K249">
        <f>C249</f>
        <v/>
      </c>
      <c r="L249">
        <f>TEXT(E249, "0,0") &amp; " (" &amp; TEXT(D249, "0,0") &amp; " - " &amp; TEXT(F249, "0,0") &amp; ")"</f>
        <v/>
      </c>
      <c r="O249" t="inlineStr">
        <is>
          <t>Pathologists</t>
        </is>
      </c>
      <c r="P249" t="inlineStr">
        <is>
          <t>Attraction and Retention Allowance</t>
        </is>
      </c>
      <c r="Q249" t="inlineStr">
        <is>
          <t>NSW</t>
        </is>
      </c>
      <c r="R249" t="inlineStr">
        <is>
          <t>313 (269 - 356)</t>
        </is>
      </c>
    </row>
    <row r="250">
      <c r="A250" t="inlineStr">
        <is>
          <t>Pathologists</t>
        </is>
      </c>
      <c r="B250" s="44" t="inlineStr">
        <is>
          <t>Attraction and Retention Allowance</t>
        </is>
      </c>
      <c r="C250" t="inlineStr">
        <is>
          <t>QLD</t>
        </is>
      </c>
      <c r="D250" s="44" t="n">
        <v>285.7802825443786</v>
      </c>
      <c r="E250" s="44" t="n">
        <v>338.5262645593273</v>
      </c>
      <c r="F250" s="44" t="n">
        <v>391.2722465742759</v>
      </c>
      <c r="I250">
        <f>A250</f>
        <v/>
      </c>
      <c r="J250">
        <f>B250</f>
        <v/>
      </c>
      <c r="K250">
        <f>C250</f>
        <v/>
      </c>
      <c r="L250">
        <f>TEXT(E250, "0,0") &amp; " (" &amp; TEXT(D250, "0,0") &amp; " - " &amp; TEXT(F250, "0,0") &amp; ")"</f>
        <v/>
      </c>
      <c r="O250" t="inlineStr">
        <is>
          <t>Pathologists</t>
        </is>
      </c>
      <c r="P250" t="inlineStr">
        <is>
          <t>Attraction and Retention Allowance</t>
        </is>
      </c>
      <c r="Q250" t="inlineStr">
        <is>
          <t>QLD</t>
        </is>
      </c>
      <c r="R250" t="inlineStr">
        <is>
          <t>339 (286 - 391)</t>
        </is>
      </c>
    </row>
    <row r="251">
      <c r="A251" t="inlineStr">
        <is>
          <t>Pathologists</t>
        </is>
      </c>
      <c r="B251" s="44" t="inlineStr">
        <is>
          <t>Attraction and Retention Allowance</t>
        </is>
      </c>
      <c r="C251" t="inlineStr">
        <is>
          <t>SA</t>
        </is>
      </c>
      <c r="D251" s="44" t="n">
        <v>369.7024676308004</v>
      </c>
      <c r="E251" s="44" t="n">
        <v>426.3296713786594</v>
      </c>
      <c r="F251" s="44" t="n">
        <v>482.9568751265182</v>
      </c>
      <c r="I251">
        <f>A251</f>
        <v/>
      </c>
      <c r="J251">
        <f>B251</f>
        <v/>
      </c>
      <c r="K251">
        <f>C251</f>
        <v/>
      </c>
      <c r="L251">
        <f>TEXT(E251, "0,0") &amp; " (" &amp; TEXT(D251, "0,0") &amp; " - " &amp; TEXT(F251, "0,0") &amp; ")"</f>
        <v/>
      </c>
      <c r="O251" t="inlineStr">
        <is>
          <t>Pathologists</t>
        </is>
      </c>
      <c r="P251" t="inlineStr">
        <is>
          <t>Attraction and Retention Allowance</t>
        </is>
      </c>
      <c r="Q251" t="inlineStr">
        <is>
          <t>SA</t>
        </is>
      </c>
      <c r="R251" t="inlineStr">
        <is>
          <t>426 (370 - 483)</t>
        </is>
      </c>
    </row>
    <row r="252">
      <c r="A252" t="inlineStr">
        <is>
          <t>Pathologists</t>
        </is>
      </c>
      <c r="B252" s="44" t="inlineStr">
        <is>
          <t>Attraction and Retention Allowance</t>
        </is>
      </c>
      <c r="C252" t="inlineStr">
        <is>
          <t>VIC</t>
        </is>
      </c>
      <c r="D252" s="44" t="n">
        <v>337.4197520242915</v>
      </c>
      <c r="E252" s="44" t="n">
        <v>397.9371122975709</v>
      </c>
      <c r="F252" s="44" t="n">
        <v>458.4544725708502</v>
      </c>
      <c r="I252">
        <f>A252</f>
        <v/>
      </c>
      <c r="J252">
        <f>B252</f>
        <v/>
      </c>
      <c r="K252">
        <f>C252</f>
        <v/>
      </c>
      <c r="L252">
        <f>TEXT(E252, "0,0") &amp; " (" &amp; TEXT(D252, "0,0") &amp; " - " &amp; TEXT(F252, "0,0") &amp; ")"</f>
        <v/>
      </c>
      <c r="O252" t="inlineStr">
        <is>
          <t>Pathologists</t>
        </is>
      </c>
      <c r="P252" t="inlineStr">
        <is>
          <t>Attraction and Retention Allowance</t>
        </is>
      </c>
      <c r="Q252" t="inlineStr">
        <is>
          <t>VIC</t>
        </is>
      </c>
      <c r="R252" t="inlineStr">
        <is>
          <t>398 (337 - 458)</t>
        </is>
      </c>
    </row>
    <row r="253">
      <c r="A253" t="inlineStr">
        <is>
          <t>Pathologists</t>
        </is>
      </c>
      <c r="B253" s="44" t="inlineStr">
        <is>
          <t>Attraction and Retention Allowance</t>
        </is>
      </c>
      <c r="C253" t="inlineStr">
        <is>
          <t>WA</t>
        </is>
      </c>
      <c r="D253" s="44" t="n">
        <v>371.444671870134</v>
      </c>
      <c r="E253" s="44" t="n">
        <v>424.6258754282155</v>
      </c>
      <c r="F253" s="44" t="n">
        <v>477.807078986297</v>
      </c>
      <c r="I253">
        <f>A253</f>
        <v/>
      </c>
      <c r="J253">
        <f>B253</f>
        <v/>
      </c>
      <c r="K253">
        <f>C253</f>
        <v/>
      </c>
      <c r="L253">
        <f>TEXT(E253, "0,0") &amp; " (" &amp; TEXT(D253, "0,0") &amp; " - " &amp; TEXT(F253, "0,0") &amp; ")"</f>
        <v/>
      </c>
      <c r="O253" t="inlineStr">
        <is>
          <t>Pathologists</t>
        </is>
      </c>
      <c r="P253" t="inlineStr">
        <is>
          <t>Attraction and Retention Allowance</t>
        </is>
      </c>
      <c r="Q253" t="inlineStr">
        <is>
          <t>WA</t>
        </is>
      </c>
      <c r="R253" t="inlineStr">
        <is>
          <t>425 (371 - 478)</t>
        </is>
      </c>
    </row>
    <row r="254">
      <c r="A254" t="inlineStr">
        <is>
          <t>Pathologists</t>
        </is>
      </c>
      <c r="B254" s="44" t="inlineStr">
        <is>
          <t>Average Penalties</t>
        </is>
      </c>
      <c r="C254" t="inlineStr">
        <is>
          <t>ALL</t>
        </is>
      </c>
      <c r="D254" s="44" t="n">
        <v>263.3364146761134</v>
      </c>
      <c r="E254" s="44" t="n">
        <v>384.4609838076923</v>
      </c>
      <c r="F254" s="44" t="n">
        <v>610.109622722672</v>
      </c>
      <c r="I254">
        <f>A254</f>
        <v/>
      </c>
      <c r="J254">
        <f>B254</f>
        <v/>
      </c>
      <c r="K254">
        <f>C254</f>
        <v/>
      </c>
      <c r="L254">
        <f>TEXT(E254, "0,0") &amp; " (" &amp; TEXT(D254, "0,0") &amp; " - " &amp; TEXT(F254, "0,0") &amp; ")"</f>
        <v/>
      </c>
      <c r="O254" t="inlineStr">
        <is>
          <t>Pathologists</t>
        </is>
      </c>
      <c r="P254" t="inlineStr">
        <is>
          <t>Average Penalties</t>
        </is>
      </c>
      <c r="Q254" t="inlineStr">
        <is>
          <t>ALL</t>
        </is>
      </c>
      <c r="R254" t="inlineStr">
        <is>
          <t>384 (263 - 610)</t>
        </is>
      </c>
    </row>
    <row r="255">
      <c r="A255" t="inlineStr">
        <is>
          <t>Pathologists</t>
        </is>
      </c>
      <c r="B255" s="44" t="inlineStr">
        <is>
          <t>Average Penalties</t>
        </is>
      </c>
      <c r="C255" t="inlineStr">
        <is>
          <t>NSW</t>
        </is>
      </c>
      <c r="D255" s="44" t="n">
        <v>268.7238310689816</v>
      </c>
      <c r="E255" s="44" t="n">
        <v>312.5137797317814</v>
      </c>
      <c r="F255" s="44" t="n">
        <v>393.0355097710994</v>
      </c>
      <c r="I255">
        <f>A255</f>
        <v/>
      </c>
      <c r="J255">
        <f>B255</f>
        <v/>
      </c>
      <c r="K255">
        <f>C255</f>
        <v/>
      </c>
      <c r="L255">
        <f>TEXT(E255, "0,0") &amp; " (" &amp; TEXT(D255, "0,0") &amp; " - " &amp; TEXT(F255, "0,0") &amp; ")"</f>
        <v/>
      </c>
      <c r="O255" t="inlineStr">
        <is>
          <t>Pathologists</t>
        </is>
      </c>
      <c r="P255" t="inlineStr">
        <is>
          <t>Average Penalties</t>
        </is>
      </c>
      <c r="Q255" t="inlineStr">
        <is>
          <t>NSW</t>
        </is>
      </c>
      <c r="R255" t="inlineStr">
        <is>
          <t>313 (269 - 393)</t>
        </is>
      </c>
    </row>
    <row r="256">
      <c r="A256" t="inlineStr">
        <is>
          <t>Pathologists</t>
        </is>
      </c>
      <c r="B256" s="44" t="inlineStr">
        <is>
          <t>Average Penalties</t>
        </is>
      </c>
      <c r="C256" t="inlineStr">
        <is>
          <t>QLD</t>
        </is>
      </c>
      <c r="D256" s="44" t="n">
        <v>285.7802825443786</v>
      </c>
      <c r="E256" s="44" t="n">
        <v>338.5262645593273</v>
      </c>
      <c r="F256" s="44" t="n">
        <v>431.0632384771099</v>
      </c>
      <c r="I256">
        <f>A256</f>
        <v/>
      </c>
      <c r="J256">
        <f>B256</f>
        <v/>
      </c>
      <c r="K256">
        <f>C256</f>
        <v/>
      </c>
      <c r="L256">
        <f>TEXT(E256, "0,0") &amp; " (" &amp; TEXT(D256, "0,0") &amp; " - " &amp; TEXT(F256, "0,0") &amp; ")"</f>
        <v/>
      </c>
      <c r="O256" t="inlineStr">
        <is>
          <t>Pathologists</t>
        </is>
      </c>
      <c r="P256" t="inlineStr">
        <is>
          <t>Average Penalties</t>
        </is>
      </c>
      <c r="Q256" t="inlineStr">
        <is>
          <t>QLD</t>
        </is>
      </c>
      <c r="R256" t="inlineStr">
        <is>
          <t>339 (286 - 431)</t>
        </is>
      </c>
    </row>
    <row r="257">
      <c r="A257" t="inlineStr">
        <is>
          <t>Pathologists</t>
        </is>
      </c>
      <c r="B257" s="44" t="inlineStr">
        <is>
          <t>Average Penalties</t>
        </is>
      </c>
      <c r="C257" t="inlineStr">
        <is>
          <t>SA</t>
        </is>
      </c>
      <c r="D257" s="44" t="n">
        <v>369.7024676308004</v>
      </c>
      <c r="E257" s="44" t="n">
        <v>426.3296713786594</v>
      </c>
      <c r="F257" s="44" t="n">
        <v>527.2917435475708</v>
      </c>
      <c r="I257">
        <f>A257</f>
        <v/>
      </c>
      <c r="J257">
        <f>B257</f>
        <v/>
      </c>
      <c r="K257">
        <f>C257</f>
        <v/>
      </c>
      <c r="L257">
        <f>TEXT(E257, "0,0") &amp; " (" &amp; TEXT(D257, "0,0") &amp; " - " &amp; TEXT(F257, "0,0") &amp; ")"</f>
        <v/>
      </c>
      <c r="O257" t="inlineStr">
        <is>
          <t>Pathologists</t>
        </is>
      </c>
      <c r="P257" t="inlineStr">
        <is>
          <t>Average Penalties</t>
        </is>
      </c>
      <c r="Q257" t="inlineStr">
        <is>
          <t>SA</t>
        </is>
      </c>
      <c r="R257" t="inlineStr">
        <is>
          <t>426 (370 - 527)</t>
        </is>
      </c>
    </row>
    <row r="258">
      <c r="A258" t="inlineStr">
        <is>
          <t>Pathologists</t>
        </is>
      </c>
      <c r="B258" s="44" t="inlineStr">
        <is>
          <t>Average Penalties</t>
        </is>
      </c>
      <c r="C258" t="inlineStr">
        <is>
          <t>VIC</t>
        </is>
      </c>
      <c r="D258" s="44" t="n">
        <v>337.4197520242915</v>
      </c>
      <c r="E258" s="44" t="n">
        <v>397.9371122975709</v>
      </c>
      <c r="F258" s="44" t="n">
        <v>510.5332883603239</v>
      </c>
      <c r="I258">
        <f>A258</f>
        <v/>
      </c>
      <c r="J258">
        <f>B258</f>
        <v/>
      </c>
      <c r="K258">
        <f>C258</f>
        <v/>
      </c>
      <c r="L258">
        <f>TEXT(E258, "0,0") &amp; " (" &amp; TEXT(D258, "0,0") &amp; " - " &amp; TEXT(F258, "0,0") &amp; ")"</f>
        <v/>
      </c>
      <c r="O258" t="inlineStr">
        <is>
          <t>Pathologists</t>
        </is>
      </c>
      <c r="P258" t="inlineStr">
        <is>
          <t>Average Penalties</t>
        </is>
      </c>
      <c r="Q258" t="inlineStr">
        <is>
          <t>VIC</t>
        </is>
      </c>
      <c r="R258" t="inlineStr">
        <is>
          <t>398 (337 - 511)</t>
        </is>
      </c>
    </row>
    <row r="259">
      <c r="A259" t="inlineStr">
        <is>
          <t>Pathologists</t>
        </is>
      </c>
      <c r="B259" s="44" t="inlineStr">
        <is>
          <t>Average Penalties</t>
        </is>
      </c>
      <c r="C259" t="inlineStr">
        <is>
          <t>WA</t>
        </is>
      </c>
      <c r="D259" s="44" t="n">
        <v>371.444671870134</v>
      </c>
      <c r="E259" s="44" t="n">
        <v>424.6258754282155</v>
      </c>
      <c r="F259" s="44" t="n">
        <v>536.4885061118031</v>
      </c>
      <c r="I259">
        <f>A259</f>
        <v/>
      </c>
      <c r="J259">
        <f>B259</f>
        <v/>
      </c>
      <c r="K259">
        <f>C259</f>
        <v/>
      </c>
      <c r="L259">
        <f>TEXT(E259, "0,0") &amp; " (" &amp; TEXT(D259, "0,0") &amp; " - " &amp; TEXT(F259, "0,0") &amp; ")"</f>
        <v/>
      </c>
      <c r="O259" t="inlineStr">
        <is>
          <t>Pathologists</t>
        </is>
      </c>
      <c r="P259" t="inlineStr">
        <is>
          <t>Average Penalties</t>
        </is>
      </c>
      <c r="Q259" t="inlineStr">
        <is>
          <t>WA</t>
        </is>
      </c>
      <c r="R259" t="inlineStr">
        <is>
          <t>425 (371 - 536)</t>
        </is>
      </c>
    </row>
    <row r="260">
      <c r="A260" t="inlineStr">
        <is>
          <t>Pathologists</t>
        </is>
      </c>
      <c r="B260" s="44" t="inlineStr">
        <is>
          <t>Hours worked</t>
        </is>
      </c>
      <c r="C260" t="inlineStr">
        <is>
          <t>ALL</t>
        </is>
      </c>
      <c r="D260" s="44" t="n">
        <v>250.1695939423077</v>
      </c>
      <c r="E260" s="44" t="n">
        <v>384.4609838076923</v>
      </c>
      <c r="F260" s="44" t="n">
        <v>577.2526565479974</v>
      </c>
      <c r="I260">
        <f>A260</f>
        <v/>
      </c>
      <c r="J260">
        <f>B260</f>
        <v/>
      </c>
      <c r="K260">
        <f>C260</f>
        <v/>
      </c>
      <c r="L260">
        <f>TEXT(E260, "0,0") &amp; " (" &amp; TEXT(D260, "0,0") &amp; " - " &amp; TEXT(F260, "0,0") &amp; ")"</f>
        <v/>
      </c>
      <c r="O260" t="inlineStr">
        <is>
          <t>Pathologists</t>
        </is>
      </c>
      <c r="P260" t="inlineStr">
        <is>
          <t>Hours worked</t>
        </is>
      </c>
      <c r="Q260" t="inlineStr">
        <is>
          <t>ALL</t>
        </is>
      </c>
      <c r="R260" t="inlineStr">
        <is>
          <t>384 (250 - 577)</t>
        </is>
      </c>
    </row>
    <row r="261">
      <c r="A261" t="inlineStr">
        <is>
          <t>Pathologists</t>
        </is>
      </c>
      <c r="B261" s="44" t="inlineStr">
        <is>
          <t>Hours worked</t>
        </is>
      </c>
      <c r="C261" t="inlineStr">
        <is>
          <t>NSW</t>
        </is>
      </c>
      <c r="D261" s="44" t="n">
        <v>255.2876395155326</v>
      </c>
      <c r="E261" s="44" t="n">
        <v>312.5137797317814</v>
      </c>
      <c r="F261" s="44" t="n">
        <v>372.9901288979086</v>
      </c>
      <c r="I261">
        <f>A261</f>
        <v/>
      </c>
      <c r="J261">
        <f>B261</f>
        <v/>
      </c>
      <c r="K261">
        <f>C261</f>
        <v/>
      </c>
      <c r="L261">
        <f>TEXT(E261, "0,0") &amp; " (" &amp; TEXT(D261, "0,0") &amp; " - " &amp; TEXT(F261, "0,0") &amp; ")"</f>
        <v/>
      </c>
      <c r="O261" t="inlineStr">
        <is>
          <t>Pathologists</t>
        </is>
      </c>
      <c r="P261" t="inlineStr">
        <is>
          <t>Hours worked</t>
        </is>
      </c>
      <c r="Q261" t="inlineStr">
        <is>
          <t>NSW</t>
        </is>
      </c>
      <c r="R261" t="inlineStr">
        <is>
          <t>313 (255 - 373)</t>
        </is>
      </c>
    </row>
    <row r="262">
      <c r="A262" t="inlineStr">
        <is>
          <t>Pathologists</t>
        </is>
      </c>
      <c r="B262" s="44" t="inlineStr">
        <is>
          <t>Hours worked</t>
        </is>
      </c>
      <c r="C262" t="inlineStr">
        <is>
          <t>QLD</t>
        </is>
      </c>
      <c r="D262" s="44" t="n">
        <v>271.4912684171597</v>
      </c>
      <c r="E262" s="44" t="n">
        <v>338.5262645593273</v>
      </c>
      <c r="F262" s="44" t="n">
        <v>409.5962911796828</v>
      </c>
      <c r="I262">
        <f>A262</f>
        <v/>
      </c>
      <c r="J262">
        <f>B262</f>
        <v/>
      </c>
      <c r="K262">
        <f>C262</f>
        <v/>
      </c>
      <c r="L262">
        <f>TEXT(E262, "0,0") &amp; " (" &amp; TEXT(D262, "0,0") &amp; " - " &amp; TEXT(F262, "0,0") &amp; ")"</f>
        <v/>
      </c>
      <c r="O262" t="inlineStr">
        <is>
          <t>Pathologists</t>
        </is>
      </c>
      <c r="P262" t="inlineStr">
        <is>
          <t>Hours worked</t>
        </is>
      </c>
      <c r="Q262" t="inlineStr">
        <is>
          <t>QLD</t>
        </is>
      </c>
      <c r="R262" t="inlineStr">
        <is>
          <t>339 (271 - 410)</t>
        </is>
      </c>
    </row>
    <row r="263">
      <c r="A263" t="inlineStr">
        <is>
          <t>Pathologists</t>
        </is>
      </c>
      <c r="B263" s="44" t="inlineStr">
        <is>
          <t>Hours worked</t>
        </is>
      </c>
      <c r="C263" t="inlineStr">
        <is>
          <t>SA</t>
        </is>
      </c>
      <c r="D263" s="44" t="n">
        <v>351.2173442492604</v>
      </c>
      <c r="E263" s="44" t="n">
        <v>426.3296713786594</v>
      </c>
      <c r="F263" s="44" t="n">
        <v>505.574690215088</v>
      </c>
      <c r="I263">
        <f>A263</f>
        <v/>
      </c>
      <c r="J263">
        <f>B263</f>
        <v/>
      </c>
      <c r="K263">
        <f>C263</f>
        <v/>
      </c>
      <c r="L263">
        <f>TEXT(E263, "0,0") &amp; " (" &amp; TEXT(D263, "0,0") &amp; " - " &amp; TEXT(F263, "0,0") &amp; ")"</f>
        <v/>
      </c>
      <c r="O263" t="inlineStr">
        <is>
          <t>Pathologists</t>
        </is>
      </c>
      <c r="P263" t="inlineStr">
        <is>
          <t>Hours worked</t>
        </is>
      </c>
      <c r="Q263" t="inlineStr">
        <is>
          <t>SA</t>
        </is>
      </c>
      <c r="R263" t="inlineStr">
        <is>
          <t>426 (351 - 506)</t>
        </is>
      </c>
    </row>
    <row r="264">
      <c r="A264" t="inlineStr">
        <is>
          <t>Pathologists</t>
        </is>
      </c>
      <c r="B264" s="44" t="inlineStr">
        <is>
          <t>Hours worked</t>
        </is>
      </c>
      <c r="C264" t="inlineStr">
        <is>
          <t>VIC</t>
        </is>
      </c>
      <c r="D264" s="44" t="n">
        <v>320.5487644230769</v>
      </c>
      <c r="E264" s="44" t="n">
        <v>397.9371122975709</v>
      </c>
      <c r="F264" s="44" t="n">
        <v>479.9247922229286</v>
      </c>
      <c r="I264">
        <f>A264</f>
        <v/>
      </c>
      <c r="J264">
        <f>B264</f>
        <v/>
      </c>
      <c r="K264">
        <f>C264</f>
        <v/>
      </c>
      <c r="L264">
        <f>TEXT(E264, "0,0") &amp; " (" &amp; TEXT(D264, "0,0") &amp; " - " &amp; TEXT(F264, "0,0") &amp; ")"</f>
        <v/>
      </c>
      <c r="O264" t="inlineStr">
        <is>
          <t>Pathologists</t>
        </is>
      </c>
      <c r="P264" t="inlineStr">
        <is>
          <t>Hours worked</t>
        </is>
      </c>
      <c r="Q264" t="inlineStr">
        <is>
          <t>VIC</t>
        </is>
      </c>
      <c r="R264" t="inlineStr">
        <is>
          <t>398 (321 - 480)</t>
        </is>
      </c>
    </row>
    <row r="265">
      <c r="A265" t="inlineStr">
        <is>
          <t>Pathologists</t>
        </is>
      </c>
      <c r="B265" s="44" t="inlineStr">
        <is>
          <t>Hours worked</t>
        </is>
      </c>
      <c r="C265" t="inlineStr">
        <is>
          <t>WA</t>
        </is>
      </c>
      <c r="D265" s="44" t="n">
        <v>352.8724382766272</v>
      </c>
      <c r="E265" s="44" t="n">
        <v>424.6258754282155</v>
      </c>
      <c r="F265" s="44" t="n">
        <v>500.1837190490162</v>
      </c>
      <c r="I265">
        <f>A265</f>
        <v/>
      </c>
      <c r="J265">
        <f>B265</f>
        <v/>
      </c>
      <c r="K265">
        <f>C265</f>
        <v/>
      </c>
      <c r="L265">
        <f>TEXT(E265, "0,0") &amp; " (" &amp; TEXT(D265, "0,0") &amp; " - " &amp; TEXT(F265, "0,0") &amp; ")"</f>
        <v/>
      </c>
      <c r="O265" t="inlineStr">
        <is>
          <t>Pathologists</t>
        </is>
      </c>
      <c r="P265" t="inlineStr">
        <is>
          <t>Hours worked</t>
        </is>
      </c>
      <c r="Q265" t="inlineStr">
        <is>
          <t>WA</t>
        </is>
      </c>
      <c r="R265" t="inlineStr">
        <is>
          <t>425 (353 - 500)</t>
        </is>
      </c>
    </row>
    <row r="266">
      <c r="A266" t="inlineStr">
        <is>
          <t>Pathologists</t>
        </is>
      </c>
      <c r="B266" s="44" t="inlineStr">
        <is>
          <t xml:space="preserve">Leave Loading (%)		</t>
        </is>
      </c>
      <c r="C266" t="inlineStr">
        <is>
          <t>ALL</t>
        </is>
      </c>
      <c r="D266" s="44" t="n">
        <v>263.3364146761134</v>
      </c>
      <c r="E266" s="44" t="n">
        <v>384.4609838076923</v>
      </c>
      <c r="F266" s="44" t="n">
        <v>551.4281955971659</v>
      </c>
      <c r="I266">
        <f>A266</f>
        <v/>
      </c>
      <c r="J266">
        <f>B266</f>
        <v/>
      </c>
      <c r="K266">
        <f>C266</f>
        <v/>
      </c>
      <c r="L266">
        <f>TEXT(E266, "0,0") &amp; " (" &amp; TEXT(D266, "0,0") &amp; " - " &amp; TEXT(F266, "0,0") &amp; ")"</f>
        <v/>
      </c>
      <c r="O266" t="inlineStr">
        <is>
          <t>Pathologists</t>
        </is>
      </c>
      <c r="P266" t="inlineStr">
        <is>
          <t xml:space="preserve">Leave Loading (%)		</t>
        </is>
      </c>
      <c r="Q266" t="inlineStr">
        <is>
          <t>ALL</t>
        </is>
      </c>
      <c r="R266" t="inlineStr">
        <is>
          <t>384 (263 - 551)</t>
        </is>
      </c>
    </row>
    <row r="267">
      <c r="A267" t="inlineStr">
        <is>
          <t>Pathologists</t>
        </is>
      </c>
      <c r="B267" s="44" t="inlineStr">
        <is>
          <t xml:space="preserve">Leave Loading (%)		</t>
        </is>
      </c>
      <c r="C267" t="inlineStr">
        <is>
          <t>NSW</t>
        </is>
      </c>
      <c r="D267" s="44" t="n">
        <v>268.7238310689816</v>
      </c>
      <c r="E267" s="44" t="n">
        <v>312.5137797317814</v>
      </c>
      <c r="F267" s="44" t="n">
        <v>356.3037283945811</v>
      </c>
      <c r="I267">
        <f>A267</f>
        <v/>
      </c>
      <c r="J267">
        <f>B267</f>
        <v/>
      </c>
      <c r="K267">
        <f>C267</f>
        <v/>
      </c>
      <c r="L267">
        <f>TEXT(E267, "0,0") &amp; " (" &amp; TEXT(D267, "0,0") &amp; " - " &amp; TEXT(F267, "0,0") &amp; ")"</f>
        <v/>
      </c>
      <c r="O267" t="inlineStr">
        <is>
          <t>Pathologists</t>
        </is>
      </c>
      <c r="P267" t="inlineStr">
        <is>
          <t xml:space="preserve">Leave Loading (%)		</t>
        </is>
      </c>
      <c r="Q267" t="inlineStr">
        <is>
          <t>NSW</t>
        </is>
      </c>
      <c r="R267" t="inlineStr">
        <is>
          <t>313 (269 - 356)</t>
        </is>
      </c>
    </row>
    <row r="268">
      <c r="A268" t="inlineStr">
        <is>
          <t>Pathologists</t>
        </is>
      </c>
      <c r="B268" s="44" t="inlineStr">
        <is>
          <t xml:space="preserve">Leave Loading (%)		</t>
        </is>
      </c>
      <c r="C268" t="inlineStr">
        <is>
          <t>QLD</t>
        </is>
      </c>
      <c r="D268" s="44" t="n">
        <v>285.7802825443786</v>
      </c>
      <c r="E268" s="44" t="n">
        <v>338.5262645593273</v>
      </c>
      <c r="F268" s="44" t="n">
        <v>391.2722465742759</v>
      </c>
      <c r="I268">
        <f>A268</f>
        <v/>
      </c>
      <c r="J268">
        <f>B268</f>
        <v/>
      </c>
      <c r="K268">
        <f>C268</f>
        <v/>
      </c>
      <c r="L268">
        <f>TEXT(E268, "0,0") &amp; " (" &amp; TEXT(D268, "0,0") &amp; " - " &amp; TEXT(F268, "0,0") &amp; ")"</f>
        <v/>
      </c>
      <c r="O268" t="inlineStr">
        <is>
          <t>Pathologists</t>
        </is>
      </c>
      <c r="P268" t="inlineStr">
        <is>
          <t xml:space="preserve">Leave Loading (%)		</t>
        </is>
      </c>
      <c r="Q268" t="inlineStr">
        <is>
          <t>QLD</t>
        </is>
      </c>
      <c r="R268" t="inlineStr">
        <is>
          <t>339 (286 - 391)</t>
        </is>
      </c>
    </row>
    <row r="269">
      <c r="A269" t="inlineStr">
        <is>
          <t>Pathologists</t>
        </is>
      </c>
      <c r="B269" s="44" t="inlineStr">
        <is>
          <t xml:space="preserve">Leave Loading (%)		</t>
        </is>
      </c>
      <c r="C269" t="inlineStr">
        <is>
          <t>SA</t>
        </is>
      </c>
      <c r="D269" s="44" t="n">
        <v>369.7024676308004</v>
      </c>
      <c r="E269" s="44" t="n">
        <v>426.3296713786594</v>
      </c>
      <c r="F269" s="44" t="n">
        <v>482.9568751265182</v>
      </c>
      <c r="I269">
        <f>A269</f>
        <v/>
      </c>
      <c r="J269">
        <f>B269</f>
        <v/>
      </c>
      <c r="K269">
        <f>C269</f>
        <v/>
      </c>
      <c r="L269">
        <f>TEXT(E269, "0,0") &amp; " (" &amp; TEXT(D269, "0,0") &amp; " - " &amp; TEXT(F269, "0,0") &amp; ")"</f>
        <v/>
      </c>
      <c r="O269" t="inlineStr">
        <is>
          <t>Pathologists</t>
        </is>
      </c>
      <c r="P269" t="inlineStr">
        <is>
          <t xml:space="preserve">Leave Loading (%)		</t>
        </is>
      </c>
      <c r="Q269" t="inlineStr">
        <is>
          <t>SA</t>
        </is>
      </c>
      <c r="R269" t="inlineStr">
        <is>
          <t>426 (370 - 483)</t>
        </is>
      </c>
    </row>
    <row r="270">
      <c r="A270" t="inlineStr">
        <is>
          <t>Pathologists</t>
        </is>
      </c>
      <c r="B270" s="44" t="inlineStr">
        <is>
          <t xml:space="preserve">Leave Loading (%)		</t>
        </is>
      </c>
      <c r="C270" t="inlineStr">
        <is>
          <t>VIC</t>
        </is>
      </c>
      <c r="D270" s="44" t="n">
        <v>337.4197520242915</v>
      </c>
      <c r="E270" s="44" t="n">
        <v>397.9371122975709</v>
      </c>
      <c r="F270" s="44" t="n">
        <v>458.4544725708502</v>
      </c>
      <c r="I270">
        <f>A270</f>
        <v/>
      </c>
      <c r="J270">
        <f>B270</f>
        <v/>
      </c>
      <c r="K270">
        <f>C270</f>
        <v/>
      </c>
      <c r="L270">
        <f>TEXT(E270, "0,0") &amp; " (" &amp; TEXT(D270, "0,0") &amp; " - " &amp; TEXT(F270, "0,0") &amp; ")"</f>
        <v/>
      </c>
      <c r="O270" t="inlineStr">
        <is>
          <t>Pathologists</t>
        </is>
      </c>
      <c r="P270" t="inlineStr">
        <is>
          <t xml:space="preserve">Leave Loading (%)		</t>
        </is>
      </c>
      <c r="Q270" t="inlineStr">
        <is>
          <t>VIC</t>
        </is>
      </c>
      <c r="R270" t="inlineStr">
        <is>
          <t>398 (337 - 458)</t>
        </is>
      </c>
    </row>
    <row r="271">
      <c r="A271" t="inlineStr">
        <is>
          <t>Pathologists</t>
        </is>
      </c>
      <c r="B271" s="44" t="inlineStr">
        <is>
          <t xml:space="preserve">Leave Loading (%)		</t>
        </is>
      </c>
      <c r="C271" t="inlineStr">
        <is>
          <t>WA</t>
        </is>
      </c>
      <c r="D271" s="44" t="n">
        <v>371.444671870134</v>
      </c>
      <c r="E271" s="44" t="n">
        <v>424.6258754282155</v>
      </c>
      <c r="F271" s="44" t="n">
        <v>477.807078986297</v>
      </c>
      <c r="I271">
        <f>A271</f>
        <v/>
      </c>
      <c r="J271">
        <f>B271</f>
        <v/>
      </c>
      <c r="K271">
        <f>C271</f>
        <v/>
      </c>
      <c r="L271">
        <f>TEXT(E271, "0,0") &amp; " (" &amp; TEXT(D271, "0,0") &amp; " - " &amp; TEXT(F271, "0,0") &amp; ")"</f>
        <v/>
      </c>
      <c r="O271" t="inlineStr">
        <is>
          <t>Pathologists</t>
        </is>
      </c>
      <c r="P271" t="inlineStr">
        <is>
          <t xml:space="preserve">Leave Loading (%)		</t>
        </is>
      </c>
      <c r="Q271" t="inlineStr">
        <is>
          <t>WA</t>
        </is>
      </c>
      <c r="R271" t="inlineStr">
        <is>
          <t>425 (371 - 478)</t>
        </is>
      </c>
    </row>
    <row r="272">
      <c r="A272" t="inlineStr">
        <is>
          <t>Pathologists</t>
        </is>
      </c>
      <c r="B272" s="44" t="inlineStr">
        <is>
          <t>Private Practice Loading</t>
        </is>
      </c>
      <c r="C272" t="inlineStr">
        <is>
          <t>ALL</t>
        </is>
      </c>
      <c r="D272" s="44" t="n">
        <v>263.3364146761134</v>
      </c>
      <c r="E272" s="44" t="n">
        <v>384.4609838076923</v>
      </c>
      <c r="F272" s="44" t="n">
        <v>551.4281955971659</v>
      </c>
      <c r="I272">
        <f>A272</f>
        <v/>
      </c>
      <c r="J272">
        <f>B272</f>
        <v/>
      </c>
      <c r="K272">
        <f>C272</f>
        <v/>
      </c>
      <c r="L272">
        <f>TEXT(E272, "0,0") &amp; " (" &amp; TEXT(D272, "0,0") &amp; " - " &amp; TEXT(F272, "0,0") &amp; ")"</f>
        <v/>
      </c>
      <c r="O272" t="inlineStr">
        <is>
          <t>Pathologists</t>
        </is>
      </c>
      <c r="P272" t="inlineStr">
        <is>
          <t>Private Practice Loading</t>
        </is>
      </c>
      <c r="Q272" t="inlineStr">
        <is>
          <t>ALL</t>
        </is>
      </c>
      <c r="R272" t="inlineStr">
        <is>
          <t>384 (263 - 551)</t>
        </is>
      </c>
    </row>
    <row r="273">
      <c r="A273" t="inlineStr">
        <is>
          <t>Pathologists</t>
        </is>
      </c>
      <c r="B273" s="44" t="inlineStr">
        <is>
          <t>Private Practice Loading</t>
        </is>
      </c>
      <c r="C273" t="inlineStr">
        <is>
          <t>NSW</t>
        </is>
      </c>
      <c r="D273" s="44" t="n">
        <v>268.7238310689816</v>
      </c>
      <c r="E273" s="44" t="n">
        <v>312.5137797317814</v>
      </c>
      <c r="F273" s="44" t="n">
        <v>356.3037283945811</v>
      </c>
      <c r="I273">
        <f>A273</f>
        <v/>
      </c>
      <c r="J273">
        <f>B273</f>
        <v/>
      </c>
      <c r="K273">
        <f>C273</f>
        <v/>
      </c>
      <c r="L273">
        <f>TEXT(E273, "0,0") &amp; " (" &amp; TEXT(D273, "0,0") &amp; " - " &amp; TEXT(F273, "0,0") &amp; ")"</f>
        <v/>
      </c>
      <c r="O273" t="inlineStr">
        <is>
          <t>Pathologists</t>
        </is>
      </c>
      <c r="P273" t="inlineStr">
        <is>
          <t>Private Practice Loading</t>
        </is>
      </c>
      <c r="Q273" t="inlineStr">
        <is>
          <t>NSW</t>
        </is>
      </c>
      <c r="R273" t="inlineStr">
        <is>
          <t>313 (269 - 356)</t>
        </is>
      </c>
    </row>
    <row r="274">
      <c r="A274" t="inlineStr">
        <is>
          <t>Pathologists</t>
        </is>
      </c>
      <c r="B274" s="44" t="inlineStr">
        <is>
          <t>Private Practice Loading</t>
        </is>
      </c>
      <c r="C274" t="inlineStr">
        <is>
          <t>QLD</t>
        </is>
      </c>
      <c r="D274" s="44" t="n">
        <v>285.7802825443786</v>
      </c>
      <c r="E274" s="44" t="n">
        <v>338.5262645593273</v>
      </c>
      <c r="F274" s="44" t="n">
        <v>391.2722465742759</v>
      </c>
      <c r="I274">
        <f>A274</f>
        <v/>
      </c>
      <c r="J274">
        <f>B274</f>
        <v/>
      </c>
      <c r="K274">
        <f>C274</f>
        <v/>
      </c>
      <c r="L274">
        <f>TEXT(E274, "0,0") &amp; " (" &amp; TEXT(D274, "0,0") &amp; " - " &amp; TEXT(F274, "0,0") &amp; ")"</f>
        <v/>
      </c>
      <c r="O274" t="inlineStr">
        <is>
          <t>Pathologists</t>
        </is>
      </c>
      <c r="P274" t="inlineStr">
        <is>
          <t>Private Practice Loading</t>
        </is>
      </c>
      <c r="Q274" t="inlineStr">
        <is>
          <t>QLD</t>
        </is>
      </c>
      <c r="R274" t="inlineStr">
        <is>
          <t>339 (286 - 391)</t>
        </is>
      </c>
    </row>
    <row r="275">
      <c r="A275" t="inlineStr">
        <is>
          <t>Pathologists</t>
        </is>
      </c>
      <c r="B275" s="44" t="inlineStr">
        <is>
          <t>Private Practice Loading</t>
        </is>
      </c>
      <c r="C275" t="inlineStr">
        <is>
          <t>SA</t>
        </is>
      </c>
      <c r="D275" s="44" t="n">
        <v>369.7024676308004</v>
      </c>
      <c r="E275" s="44" t="n">
        <v>426.3296713786594</v>
      </c>
      <c r="F275" s="44" t="n">
        <v>482.9568751265182</v>
      </c>
      <c r="I275">
        <f>A275</f>
        <v/>
      </c>
      <c r="J275">
        <f>B275</f>
        <v/>
      </c>
      <c r="K275">
        <f>C275</f>
        <v/>
      </c>
      <c r="L275">
        <f>TEXT(E275, "0,0") &amp; " (" &amp; TEXT(D275, "0,0") &amp; " - " &amp; TEXT(F275, "0,0") &amp; ")"</f>
        <v/>
      </c>
      <c r="O275" t="inlineStr">
        <is>
          <t>Pathologists</t>
        </is>
      </c>
      <c r="P275" t="inlineStr">
        <is>
          <t>Private Practice Loading</t>
        </is>
      </c>
      <c r="Q275" t="inlineStr">
        <is>
          <t>SA</t>
        </is>
      </c>
      <c r="R275" t="inlineStr">
        <is>
          <t>426 (370 - 483)</t>
        </is>
      </c>
    </row>
    <row r="276">
      <c r="A276" t="inlineStr">
        <is>
          <t>Pathologists</t>
        </is>
      </c>
      <c r="B276" s="44" t="inlineStr">
        <is>
          <t>Private Practice Loading</t>
        </is>
      </c>
      <c r="C276" t="inlineStr">
        <is>
          <t>VIC</t>
        </is>
      </c>
      <c r="D276" s="44" t="n">
        <v>337.4197520242915</v>
      </c>
      <c r="E276" s="44" t="n">
        <v>397.9371122975709</v>
      </c>
      <c r="F276" s="44" t="n">
        <v>458.4544725708502</v>
      </c>
      <c r="I276">
        <f>A276</f>
        <v/>
      </c>
      <c r="J276">
        <f>B276</f>
        <v/>
      </c>
      <c r="K276">
        <f>C276</f>
        <v/>
      </c>
      <c r="L276">
        <f>TEXT(E276, "0,0") &amp; " (" &amp; TEXT(D276, "0,0") &amp; " - " &amp; TEXT(F276, "0,0") &amp; ")"</f>
        <v/>
      </c>
      <c r="O276" t="inlineStr">
        <is>
          <t>Pathologists</t>
        </is>
      </c>
      <c r="P276" t="inlineStr">
        <is>
          <t>Private Practice Loading</t>
        </is>
      </c>
      <c r="Q276" t="inlineStr">
        <is>
          <t>VIC</t>
        </is>
      </c>
      <c r="R276" t="inlineStr">
        <is>
          <t>398 (337 - 458)</t>
        </is>
      </c>
    </row>
    <row r="277">
      <c r="A277" t="inlineStr">
        <is>
          <t>Pathologists</t>
        </is>
      </c>
      <c r="B277" s="44" t="inlineStr">
        <is>
          <t>Private Practice Loading</t>
        </is>
      </c>
      <c r="C277" t="inlineStr">
        <is>
          <t>WA</t>
        </is>
      </c>
      <c r="D277" s="44" t="n">
        <v>371.444671870134</v>
      </c>
      <c r="E277" s="44" t="n">
        <v>424.6258754282155</v>
      </c>
      <c r="F277" s="44" t="n">
        <v>477.807078986297</v>
      </c>
      <c r="I277">
        <f>A277</f>
        <v/>
      </c>
      <c r="J277">
        <f>B277</f>
        <v/>
      </c>
      <c r="K277">
        <f>C277</f>
        <v/>
      </c>
      <c r="L277">
        <f>TEXT(E277, "0,0") &amp; " (" &amp; TEXT(D277, "0,0") &amp; " - " &amp; TEXT(F277, "0,0") &amp; ")"</f>
        <v/>
      </c>
      <c r="O277" t="inlineStr">
        <is>
          <t>Pathologists</t>
        </is>
      </c>
      <c r="P277" t="inlineStr">
        <is>
          <t>Private Practice Loading</t>
        </is>
      </c>
      <c r="Q277" t="inlineStr">
        <is>
          <t>WA</t>
        </is>
      </c>
      <c r="R277" t="inlineStr">
        <is>
          <t>425 (371 - 478)</t>
        </is>
      </c>
    </row>
    <row r="278">
      <c r="A278" t="inlineStr">
        <is>
          <t>Pathologists</t>
        </is>
      </c>
      <c r="B278" s="44" t="inlineStr">
        <is>
          <t>Professional Development Allowance</t>
        </is>
      </c>
      <c r="C278" t="inlineStr">
        <is>
          <t>ALL</t>
        </is>
      </c>
      <c r="D278" s="44" t="n">
        <v>263.3364146761134</v>
      </c>
      <c r="E278" s="44" t="n">
        <v>384.4609838076923</v>
      </c>
      <c r="F278" s="44" t="n">
        <v>551.4281955971659</v>
      </c>
      <c r="I278">
        <f>A278</f>
        <v/>
      </c>
      <c r="J278">
        <f>B278</f>
        <v/>
      </c>
      <c r="K278">
        <f>C278</f>
        <v/>
      </c>
      <c r="L278">
        <f>TEXT(E278, "0,0") &amp; " (" &amp; TEXT(D278, "0,0") &amp; " - " &amp; TEXT(F278, "0,0") &amp; ")"</f>
        <v/>
      </c>
      <c r="O278" t="inlineStr">
        <is>
          <t>Pathologists</t>
        </is>
      </c>
      <c r="P278" t="inlineStr">
        <is>
          <t>Professional Development Allowance</t>
        </is>
      </c>
      <c r="Q278" t="inlineStr">
        <is>
          <t>ALL</t>
        </is>
      </c>
      <c r="R278" t="inlineStr">
        <is>
          <t>384 (263 - 551)</t>
        </is>
      </c>
    </row>
    <row r="279">
      <c r="A279" t="inlineStr">
        <is>
          <t>Pathologists</t>
        </is>
      </c>
      <c r="B279" s="44" t="inlineStr">
        <is>
          <t>Professional Development Allowance</t>
        </is>
      </c>
      <c r="C279" t="inlineStr">
        <is>
          <t>NSW</t>
        </is>
      </c>
      <c r="D279" s="44" t="n">
        <v>268.7238310689816</v>
      </c>
      <c r="E279" s="44" t="n">
        <v>312.5137797317814</v>
      </c>
      <c r="F279" s="44" t="n">
        <v>356.3037283945811</v>
      </c>
      <c r="I279">
        <f>A279</f>
        <v/>
      </c>
      <c r="J279">
        <f>B279</f>
        <v/>
      </c>
      <c r="K279">
        <f>C279</f>
        <v/>
      </c>
      <c r="L279">
        <f>TEXT(E279, "0,0") &amp; " (" &amp; TEXT(D279, "0,0") &amp; " - " &amp; TEXT(F279, "0,0") &amp; ")"</f>
        <v/>
      </c>
      <c r="O279" t="inlineStr">
        <is>
          <t>Pathologists</t>
        </is>
      </c>
      <c r="P279" t="inlineStr">
        <is>
          <t>Professional Development Allowance</t>
        </is>
      </c>
      <c r="Q279" t="inlineStr">
        <is>
          <t>NSW</t>
        </is>
      </c>
      <c r="R279" t="inlineStr">
        <is>
          <t>313 (269 - 356)</t>
        </is>
      </c>
    </row>
    <row r="280">
      <c r="A280" t="inlineStr">
        <is>
          <t>Pathologists</t>
        </is>
      </c>
      <c r="B280" s="44" t="inlineStr">
        <is>
          <t>Professional Development Allowance</t>
        </is>
      </c>
      <c r="C280" t="inlineStr">
        <is>
          <t>QLD</t>
        </is>
      </c>
      <c r="D280" s="44" t="n">
        <v>285.7802825443786</v>
      </c>
      <c r="E280" s="44" t="n">
        <v>338.5262645593273</v>
      </c>
      <c r="F280" s="44" t="n">
        <v>391.2722465742759</v>
      </c>
      <c r="I280">
        <f>A280</f>
        <v/>
      </c>
      <c r="J280">
        <f>B280</f>
        <v/>
      </c>
      <c r="K280">
        <f>C280</f>
        <v/>
      </c>
      <c r="L280">
        <f>TEXT(E280, "0,0") &amp; " (" &amp; TEXT(D280, "0,0") &amp; " - " &amp; TEXT(F280, "0,0") &amp; ")"</f>
        <v/>
      </c>
      <c r="O280" t="inlineStr">
        <is>
          <t>Pathologists</t>
        </is>
      </c>
      <c r="P280" t="inlineStr">
        <is>
          <t>Professional Development Allowance</t>
        </is>
      </c>
      <c r="Q280" t="inlineStr">
        <is>
          <t>QLD</t>
        </is>
      </c>
      <c r="R280" t="inlineStr">
        <is>
          <t>339 (286 - 391)</t>
        </is>
      </c>
    </row>
    <row r="281">
      <c r="A281" t="inlineStr">
        <is>
          <t>Pathologists</t>
        </is>
      </c>
      <c r="B281" s="44" t="inlineStr">
        <is>
          <t>Professional Development Allowance</t>
        </is>
      </c>
      <c r="C281" t="inlineStr">
        <is>
          <t>SA</t>
        </is>
      </c>
      <c r="D281" s="44" t="n">
        <v>369.7024676308004</v>
      </c>
      <c r="E281" s="44" t="n">
        <v>426.3296713786594</v>
      </c>
      <c r="F281" s="44" t="n">
        <v>482.9568751265182</v>
      </c>
      <c r="I281">
        <f>A281</f>
        <v/>
      </c>
      <c r="J281">
        <f>B281</f>
        <v/>
      </c>
      <c r="K281">
        <f>C281</f>
        <v/>
      </c>
      <c r="L281">
        <f>TEXT(E281, "0,0") &amp; " (" &amp; TEXT(D281, "0,0") &amp; " - " &amp; TEXT(F281, "0,0") &amp; ")"</f>
        <v/>
      </c>
      <c r="O281" t="inlineStr">
        <is>
          <t>Pathologists</t>
        </is>
      </c>
      <c r="P281" t="inlineStr">
        <is>
          <t>Professional Development Allowance</t>
        </is>
      </c>
      <c r="Q281" t="inlineStr">
        <is>
          <t>SA</t>
        </is>
      </c>
      <c r="R281" t="inlineStr">
        <is>
          <t>426 (370 - 483)</t>
        </is>
      </c>
    </row>
    <row r="282">
      <c r="A282" t="inlineStr">
        <is>
          <t>Pathologists</t>
        </is>
      </c>
      <c r="B282" s="44" t="inlineStr">
        <is>
          <t>Professional Development Allowance</t>
        </is>
      </c>
      <c r="C282" t="inlineStr">
        <is>
          <t>VIC</t>
        </is>
      </c>
      <c r="D282" s="44" t="n">
        <v>337.4197520242915</v>
      </c>
      <c r="E282" s="44" t="n">
        <v>397.9371122975709</v>
      </c>
      <c r="F282" s="44" t="n">
        <v>458.4544725708502</v>
      </c>
      <c r="I282">
        <f>A282</f>
        <v/>
      </c>
      <c r="J282">
        <f>B282</f>
        <v/>
      </c>
      <c r="K282">
        <f>C282</f>
        <v/>
      </c>
      <c r="L282">
        <f>TEXT(E282, "0,0") &amp; " (" &amp; TEXT(D282, "0,0") &amp; " - " &amp; TEXT(F282, "0,0") &amp; ")"</f>
        <v/>
      </c>
      <c r="O282" t="inlineStr">
        <is>
          <t>Pathologists</t>
        </is>
      </c>
      <c r="P282" t="inlineStr">
        <is>
          <t>Professional Development Allowance</t>
        </is>
      </c>
      <c r="Q282" t="inlineStr">
        <is>
          <t>VIC</t>
        </is>
      </c>
      <c r="R282" t="inlineStr">
        <is>
          <t>398 (337 - 458)</t>
        </is>
      </c>
    </row>
    <row r="283">
      <c r="A283" t="inlineStr">
        <is>
          <t>Pathologists</t>
        </is>
      </c>
      <c r="B283" s="44" t="inlineStr">
        <is>
          <t>Professional Development Allowance</t>
        </is>
      </c>
      <c r="C283" t="inlineStr">
        <is>
          <t>WA</t>
        </is>
      </c>
      <c r="D283" s="44" t="n">
        <v>371.444671870134</v>
      </c>
      <c r="E283" s="44" t="n">
        <v>424.6258754282155</v>
      </c>
      <c r="F283" s="44" t="n">
        <v>477.807078986297</v>
      </c>
      <c r="I283">
        <f>A283</f>
        <v/>
      </c>
      <c r="J283">
        <f>B283</f>
        <v/>
      </c>
      <c r="K283">
        <f>C283</f>
        <v/>
      </c>
      <c r="L283">
        <f>TEXT(E283, "0,0") &amp; " (" &amp; TEXT(D283, "0,0") &amp; " - " &amp; TEXT(F283, "0,0") &amp; ")"</f>
        <v/>
      </c>
      <c r="O283" t="inlineStr">
        <is>
          <t>Pathologists</t>
        </is>
      </c>
      <c r="P283" t="inlineStr">
        <is>
          <t>Professional Development Allowance</t>
        </is>
      </c>
      <c r="Q283" t="inlineStr">
        <is>
          <t>WA</t>
        </is>
      </c>
      <c r="R283" t="inlineStr">
        <is>
          <t>425 (371 - 478)</t>
        </is>
      </c>
    </row>
    <row r="284">
      <c r="A284" t="inlineStr">
        <is>
          <t>Pathologists</t>
        </is>
      </c>
      <c r="B284" s="44" t="inlineStr">
        <is>
          <t>Public Holiday Penalty</t>
        </is>
      </c>
      <c r="C284" t="inlineStr">
        <is>
          <t>ALL</t>
        </is>
      </c>
      <c r="D284" s="44" t="n">
        <v>262.8379688259109</v>
      </c>
      <c r="E284" s="44" t="n">
        <v>384.4609838076923</v>
      </c>
      <c r="F284" s="44" t="n">
        <v>552.4062193825911</v>
      </c>
      <c r="I284">
        <f>A284</f>
        <v/>
      </c>
      <c r="J284">
        <f>B284</f>
        <v/>
      </c>
      <c r="K284">
        <f>C284</f>
        <v/>
      </c>
      <c r="L284">
        <f>TEXT(E284, "0,0") &amp; " (" &amp; TEXT(D284, "0,0") &amp; " - " &amp; TEXT(F284, "0,0") &amp; ")"</f>
        <v/>
      </c>
      <c r="O284" t="inlineStr">
        <is>
          <t>Pathologists</t>
        </is>
      </c>
      <c r="P284" t="inlineStr">
        <is>
          <t>Public Holiday Penalty</t>
        </is>
      </c>
      <c r="Q284" t="inlineStr">
        <is>
          <t>ALL</t>
        </is>
      </c>
      <c r="R284" t="inlineStr">
        <is>
          <t>384 (263 - 552)</t>
        </is>
      </c>
    </row>
    <row r="285">
      <c r="A285" t="inlineStr">
        <is>
          <t>Pathologists</t>
        </is>
      </c>
      <c r="B285" s="44" t="inlineStr">
        <is>
          <t>Public Holiday Penalty</t>
        </is>
      </c>
      <c r="C285" t="inlineStr">
        <is>
          <t>NSW</t>
        </is>
      </c>
      <c r="D285" s="44" t="n">
        <v>268.2253852187791</v>
      </c>
      <c r="E285" s="44" t="n">
        <v>312.5137797317814</v>
      </c>
      <c r="F285" s="44" t="n">
        <v>356.9159247508564</v>
      </c>
      <c r="I285">
        <f>A285</f>
        <v/>
      </c>
      <c r="J285">
        <f>B285</f>
        <v/>
      </c>
      <c r="K285">
        <f>C285</f>
        <v/>
      </c>
      <c r="L285">
        <f>TEXT(E285, "0,0") &amp; " (" &amp; TEXT(D285, "0,0") &amp; " - " &amp; TEXT(F285, "0,0") &amp; ")"</f>
        <v/>
      </c>
      <c r="O285" t="inlineStr">
        <is>
          <t>Pathologists</t>
        </is>
      </c>
      <c r="P285" t="inlineStr">
        <is>
          <t>Public Holiday Penalty</t>
        </is>
      </c>
      <c r="Q285" t="inlineStr">
        <is>
          <t>NSW</t>
        </is>
      </c>
      <c r="R285" t="inlineStr">
        <is>
          <t>313 (268 - 357)</t>
        </is>
      </c>
    </row>
    <row r="286">
      <c r="A286" t="inlineStr">
        <is>
          <t>Pathologists</t>
        </is>
      </c>
      <c r="B286" s="44" t="inlineStr">
        <is>
          <t>Public Holiday Penalty</t>
        </is>
      </c>
      <c r="C286" t="inlineStr">
        <is>
          <t>QLD</t>
        </is>
      </c>
      <c r="D286" s="44" t="n">
        <v>285.2530897306135</v>
      </c>
      <c r="E286" s="44" t="n">
        <v>338.5262645593273</v>
      </c>
      <c r="F286" s="44" t="n">
        <v>391.9354297726564</v>
      </c>
      <c r="I286">
        <f>A286</f>
        <v/>
      </c>
      <c r="J286">
        <f>B286</f>
        <v/>
      </c>
      <c r="K286">
        <f>C286</f>
        <v/>
      </c>
      <c r="L286">
        <f>TEXT(E286, "0,0") &amp; " (" &amp; TEXT(D286, "0,0") &amp; " - " &amp; TEXT(F286, "0,0") &amp; ")"</f>
        <v/>
      </c>
      <c r="O286" t="inlineStr">
        <is>
          <t>Pathologists</t>
        </is>
      </c>
      <c r="P286" t="inlineStr">
        <is>
          <t>Public Holiday Penalty</t>
        </is>
      </c>
      <c r="Q286" t="inlineStr">
        <is>
          <t>QLD</t>
        </is>
      </c>
      <c r="R286" t="inlineStr">
        <is>
          <t>339 (285 - 392)</t>
        </is>
      </c>
    </row>
    <row r="287">
      <c r="A287" t="inlineStr">
        <is>
          <t>Pathologists</t>
        </is>
      </c>
      <c r="B287" s="44" t="inlineStr">
        <is>
          <t>Public Holiday Penalty</t>
        </is>
      </c>
      <c r="C287" t="inlineStr">
        <is>
          <t>SA</t>
        </is>
      </c>
      <c r="D287" s="44" t="n">
        <v>369.0856047765494</v>
      </c>
      <c r="E287" s="44" t="n">
        <v>426.3296713786594</v>
      </c>
      <c r="F287" s="44" t="n">
        <v>483.6957896002024</v>
      </c>
      <c r="I287">
        <f>A287</f>
        <v/>
      </c>
      <c r="J287">
        <f>B287</f>
        <v/>
      </c>
      <c r="K287">
        <f>C287</f>
        <v/>
      </c>
      <c r="L287">
        <f>TEXT(E287, "0,0") &amp; " (" &amp; TEXT(D287, "0,0") &amp; " - " &amp; TEXT(F287, "0,0") &amp; ")"</f>
        <v/>
      </c>
      <c r="O287" t="inlineStr">
        <is>
          <t>Pathologists</t>
        </is>
      </c>
      <c r="P287" t="inlineStr">
        <is>
          <t>Public Holiday Penalty</t>
        </is>
      </c>
      <c r="Q287" t="inlineStr">
        <is>
          <t>SA</t>
        </is>
      </c>
      <c r="R287" t="inlineStr">
        <is>
          <t>426 (369 - 484)</t>
        </is>
      </c>
    </row>
    <row r="288">
      <c r="A288" t="inlineStr">
        <is>
          <t>Pathologists</t>
        </is>
      </c>
      <c r="B288" s="44" t="inlineStr">
        <is>
          <t>Public Holiday Penalty</t>
        </is>
      </c>
      <c r="C288" t="inlineStr">
        <is>
          <t>VIC</t>
        </is>
      </c>
      <c r="D288" s="44" t="n">
        <v>336.7253770242915</v>
      </c>
      <c r="E288" s="44" t="n">
        <v>397.9371122975709</v>
      </c>
      <c r="F288" s="44" t="n">
        <v>459.3224528340081</v>
      </c>
      <c r="I288">
        <f>A288</f>
        <v/>
      </c>
      <c r="J288">
        <f>B288</f>
        <v/>
      </c>
      <c r="K288">
        <f>C288</f>
        <v/>
      </c>
      <c r="L288">
        <f>TEXT(E288, "0,0") &amp; " (" &amp; TEXT(D288, "0,0") &amp; " - " &amp; TEXT(F288, "0,0") &amp; ")"</f>
        <v/>
      </c>
      <c r="O288" t="inlineStr">
        <is>
          <t>Pathologists</t>
        </is>
      </c>
      <c r="P288" t="inlineStr">
        <is>
          <t>Public Holiday Penalty</t>
        </is>
      </c>
      <c r="Q288" t="inlineStr">
        <is>
          <t>VIC</t>
        </is>
      </c>
      <c r="R288" t="inlineStr">
        <is>
          <t>398 (337 - 459)</t>
        </is>
      </c>
    </row>
    <row r="289">
      <c r="A289" t="inlineStr">
        <is>
          <t>Pathologists</t>
        </is>
      </c>
      <c r="B289" s="44" t="inlineStr">
        <is>
          <t>Public Holiday Penalty</t>
        </is>
      </c>
      <c r="C289" t="inlineStr">
        <is>
          <t>WA</t>
        </is>
      </c>
      <c r="D289" s="44" t="n">
        <v>370.6158947952351</v>
      </c>
      <c r="E289" s="44" t="n">
        <v>424.6258754282155</v>
      </c>
      <c r="F289" s="44" t="n">
        <v>478.7851027717222</v>
      </c>
      <c r="I289">
        <f>A289</f>
        <v/>
      </c>
      <c r="J289">
        <f>B289</f>
        <v/>
      </c>
      <c r="K289">
        <f>C289</f>
        <v/>
      </c>
      <c r="L289">
        <f>TEXT(E289, "0,0") &amp; " (" &amp; TEXT(D289, "0,0") &amp; " - " &amp; TEXT(F289, "0,0") &amp; ")"</f>
        <v/>
      </c>
      <c r="O289" t="inlineStr">
        <is>
          <t>Pathologists</t>
        </is>
      </c>
      <c r="P289" t="inlineStr">
        <is>
          <t>Public Holiday Penalty</t>
        </is>
      </c>
      <c r="Q289" t="inlineStr">
        <is>
          <t>WA</t>
        </is>
      </c>
      <c r="R289" t="inlineStr">
        <is>
          <t>425 (371 - 479)</t>
        </is>
      </c>
    </row>
    <row r="290">
      <c r="A290" t="inlineStr">
        <is>
          <t>Pathologists</t>
        </is>
      </c>
      <c r="B290" s="44" t="inlineStr">
        <is>
          <t>Sick Leave</t>
        </is>
      </c>
      <c r="C290" t="inlineStr">
        <is>
          <t>ALL</t>
        </is>
      </c>
      <c r="D290" s="44" t="n">
        <v>263.3364146761134</v>
      </c>
      <c r="E290" s="44" t="n">
        <v>384.4609838076923</v>
      </c>
      <c r="F290" s="44" t="n">
        <v>551.4281955971659</v>
      </c>
      <c r="I290">
        <f>A290</f>
        <v/>
      </c>
      <c r="J290">
        <f>B290</f>
        <v/>
      </c>
      <c r="K290">
        <f>C290</f>
        <v/>
      </c>
      <c r="L290">
        <f>TEXT(E290, "0,0") &amp; " (" &amp; TEXT(D290, "0,0") &amp; " - " &amp; TEXT(F290, "0,0") &amp; ")"</f>
        <v/>
      </c>
      <c r="O290" t="inlineStr">
        <is>
          <t>Pathologists</t>
        </is>
      </c>
      <c r="P290" t="inlineStr">
        <is>
          <t>Sick Leave</t>
        </is>
      </c>
      <c r="Q290" t="inlineStr">
        <is>
          <t>ALL</t>
        </is>
      </c>
      <c r="R290" t="inlineStr">
        <is>
          <t>384 (263 - 551)</t>
        </is>
      </c>
    </row>
    <row r="291">
      <c r="A291" t="inlineStr">
        <is>
          <t>Pathologists</t>
        </is>
      </c>
      <c r="B291" s="44" t="inlineStr">
        <is>
          <t>Sick Leave</t>
        </is>
      </c>
      <c r="C291" t="inlineStr">
        <is>
          <t>NSW</t>
        </is>
      </c>
      <c r="D291" s="44" t="n">
        <v>268.7238310689816</v>
      </c>
      <c r="E291" s="44" t="n">
        <v>312.5137797317814</v>
      </c>
      <c r="F291" s="44" t="n">
        <v>356.3037283945811</v>
      </c>
      <c r="I291">
        <f>A291</f>
        <v/>
      </c>
      <c r="J291">
        <f>B291</f>
        <v/>
      </c>
      <c r="K291">
        <f>C291</f>
        <v/>
      </c>
      <c r="L291">
        <f>TEXT(E291, "0,0") &amp; " (" &amp; TEXT(D291, "0,0") &amp; " - " &amp; TEXT(F291, "0,0") &amp; ")"</f>
        <v/>
      </c>
      <c r="O291" t="inlineStr">
        <is>
          <t>Pathologists</t>
        </is>
      </c>
      <c r="P291" t="inlineStr">
        <is>
          <t>Sick Leave</t>
        </is>
      </c>
      <c r="Q291" t="inlineStr">
        <is>
          <t>NSW</t>
        </is>
      </c>
      <c r="R291" t="inlineStr">
        <is>
          <t>313 (269 - 356)</t>
        </is>
      </c>
    </row>
    <row r="292">
      <c r="A292" t="inlineStr">
        <is>
          <t>Pathologists</t>
        </is>
      </c>
      <c r="B292" s="44" t="inlineStr">
        <is>
          <t>Sick Leave</t>
        </is>
      </c>
      <c r="C292" t="inlineStr">
        <is>
          <t>QLD</t>
        </is>
      </c>
      <c r="D292" s="44" t="n">
        <v>285.7802825443786</v>
      </c>
      <c r="E292" s="44" t="n">
        <v>338.5262645593273</v>
      </c>
      <c r="F292" s="44" t="n">
        <v>391.2722465742759</v>
      </c>
      <c r="I292">
        <f>A292</f>
        <v/>
      </c>
      <c r="J292">
        <f>B292</f>
        <v/>
      </c>
      <c r="K292">
        <f>C292</f>
        <v/>
      </c>
      <c r="L292">
        <f>TEXT(E292, "0,0") &amp; " (" &amp; TEXT(D292, "0,0") &amp; " - " &amp; TEXT(F292, "0,0") &amp; ")"</f>
        <v/>
      </c>
      <c r="O292" t="inlineStr">
        <is>
          <t>Pathologists</t>
        </is>
      </c>
      <c r="P292" t="inlineStr">
        <is>
          <t>Sick Leave</t>
        </is>
      </c>
      <c r="Q292" t="inlineStr">
        <is>
          <t>QLD</t>
        </is>
      </c>
      <c r="R292" t="inlineStr">
        <is>
          <t>339 (286 - 391)</t>
        </is>
      </c>
    </row>
    <row r="293">
      <c r="A293" t="inlineStr">
        <is>
          <t>Pathologists</t>
        </is>
      </c>
      <c r="B293" s="44" t="inlineStr">
        <is>
          <t>Sick Leave</t>
        </is>
      </c>
      <c r="C293" t="inlineStr">
        <is>
          <t>SA</t>
        </is>
      </c>
      <c r="D293" s="44" t="n">
        <v>369.7024676308004</v>
      </c>
      <c r="E293" s="44" t="n">
        <v>426.3296713786594</v>
      </c>
      <c r="F293" s="44" t="n">
        <v>482.9568751265182</v>
      </c>
      <c r="I293">
        <f>A293</f>
        <v/>
      </c>
      <c r="J293">
        <f>B293</f>
        <v/>
      </c>
      <c r="K293">
        <f>C293</f>
        <v/>
      </c>
      <c r="L293">
        <f>TEXT(E293, "0,0") &amp; " (" &amp; TEXT(D293, "0,0") &amp; " - " &amp; TEXT(F293, "0,0") &amp; ")"</f>
        <v/>
      </c>
      <c r="O293" t="inlineStr">
        <is>
          <t>Pathologists</t>
        </is>
      </c>
      <c r="P293" t="inlineStr">
        <is>
          <t>Sick Leave</t>
        </is>
      </c>
      <c r="Q293" t="inlineStr">
        <is>
          <t>SA</t>
        </is>
      </c>
      <c r="R293" t="inlineStr">
        <is>
          <t>426 (370 - 483)</t>
        </is>
      </c>
    </row>
    <row r="294">
      <c r="A294" t="inlineStr">
        <is>
          <t>Pathologists</t>
        </is>
      </c>
      <c r="B294" s="44" t="inlineStr">
        <is>
          <t>Sick Leave</t>
        </is>
      </c>
      <c r="C294" t="inlineStr">
        <is>
          <t>VIC</t>
        </is>
      </c>
      <c r="D294" s="44" t="n">
        <v>337.4197520242915</v>
      </c>
      <c r="E294" s="44" t="n">
        <v>397.9371122975709</v>
      </c>
      <c r="F294" s="44" t="n">
        <v>458.4544725708502</v>
      </c>
      <c r="I294">
        <f>A294</f>
        <v/>
      </c>
      <c r="J294">
        <f>B294</f>
        <v/>
      </c>
      <c r="K294">
        <f>C294</f>
        <v/>
      </c>
      <c r="L294">
        <f>TEXT(E294, "0,0") &amp; " (" &amp; TEXT(D294, "0,0") &amp; " - " &amp; TEXT(F294, "0,0") &amp; ")"</f>
        <v/>
      </c>
      <c r="O294" t="inlineStr">
        <is>
          <t>Pathologists</t>
        </is>
      </c>
      <c r="P294" t="inlineStr">
        <is>
          <t>Sick Leave</t>
        </is>
      </c>
      <c r="Q294" t="inlineStr">
        <is>
          <t>VIC</t>
        </is>
      </c>
      <c r="R294" t="inlineStr">
        <is>
          <t>398 (337 - 458)</t>
        </is>
      </c>
    </row>
    <row r="295">
      <c r="A295" t="inlineStr">
        <is>
          <t>Pathologists</t>
        </is>
      </c>
      <c r="B295" s="44" t="inlineStr">
        <is>
          <t>Sick Leave</t>
        </is>
      </c>
      <c r="C295" t="inlineStr">
        <is>
          <t>WA</t>
        </is>
      </c>
      <c r="D295" s="44" t="n">
        <v>371.444671870134</v>
      </c>
      <c r="E295" s="44" t="n">
        <v>424.6258754282155</v>
      </c>
      <c r="F295" s="44" t="n">
        <v>477.807078986297</v>
      </c>
      <c r="I295">
        <f>A295</f>
        <v/>
      </c>
      <c r="J295">
        <f>B295</f>
        <v/>
      </c>
      <c r="K295">
        <f>C295</f>
        <v/>
      </c>
      <c r="L295">
        <f>TEXT(E295, "0,0") &amp; " (" &amp; TEXT(D295, "0,0") &amp; " - " &amp; TEXT(F295, "0,0") &amp; ")"</f>
        <v/>
      </c>
      <c r="O295" t="inlineStr">
        <is>
          <t>Pathologists</t>
        </is>
      </c>
      <c r="P295" t="inlineStr">
        <is>
          <t>Sick Leave</t>
        </is>
      </c>
      <c r="Q295" t="inlineStr">
        <is>
          <t>WA</t>
        </is>
      </c>
      <c r="R295" t="inlineStr">
        <is>
          <t>425 (371 - 478)</t>
        </is>
      </c>
    </row>
    <row r="296">
      <c r="A296" t="inlineStr">
        <is>
          <t>Pathologists</t>
        </is>
      </c>
      <c r="B296" s="44" t="inlineStr">
        <is>
          <t>Superannuation</t>
        </is>
      </c>
      <c r="C296" t="inlineStr">
        <is>
          <t>ALL</t>
        </is>
      </c>
      <c r="D296" s="44" t="n">
        <v>262.8832820850203</v>
      </c>
      <c r="E296" s="44" t="n">
        <v>384.4609838076923</v>
      </c>
      <c r="F296" s="44" t="n">
        <v>554.8512788461537</v>
      </c>
      <c r="I296">
        <f>A296</f>
        <v/>
      </c>
      <c r="J296">
        <f>B296</f>
        <v/>
      </c>
      <c r="K296">
        <f>C296</f>
        <v/>
      </c>
      <c r="L296">
        <f>TEXT(E296, "0,0") &amp; " (" &amp; TEXT(D296, "0,0") &amp; " - " &amp; TEXT(F296, "0,0") &amp; ")"</f>
        <v/>
      </c>
      <c r="O296" t="inlineStr">
        <is>
          <t>Pathologists</t>
        </is>
      </c>
      <c r="P296" t="inlineStr">
        <is>
          <t>Superannuation</t>
        </is>
      </c>
      <c r="Q296" t="inlineStr">
        <is>
          <t>ALL</t>
        </is>
      </c>
      <c r="R296" t="inlineStr">
        <is>
          <t>384 (263 - 555)</t>
        </is>
      </c>
    </row>
    <row r="297">
      <c r="A297" t="inlineStr">
        <is>
          <t>Pathologists</t>
        </is>
      </c>
      <c r="B297" s="44" t="inlineStr">
        <is>
          <t>Superannuation</t>
        </is>
      </c>
      <c r="C297" t="inlineStr">
        <is>
          <t>NSW</t>
        </is>
      </c>
      <c r="D297" s="44" t="n">
        <v>268.2706984778886</v>
      </c>
      <c r="E297" s="44" t="n">
        <v>312.5137797317814</v>
      </c>
      <c r="F297" s="44" t="n">
        <v>358.4464156415447</v>
      </c>
      <c r="I297">
        <f>A297</f>
        <v/>
      </c>
      <c r="J297">
        <f>B297</f>
        <v/>
      </c>
      <c r="K297">
        <f>C297</f>
        <v/>
      </c>
      <c r="L297">
        <f>TEXT(E297, "0,0") &amp; " (" &amp; TEXT(D297, "0,0") &amp; " - " &amp; TEXT(F297, "0,0") &amp; ")"</f>
        <v/>
      </c>
      <c r="O297" t="inlineStr">
        <is>
          <t>Pathologists</t>
        </is>
      </c>
      <c r="P297" t="inlineStr">
        <is>
          <t>Superannuation</t>
        </is>
      </c>
      <c r="Q297" t="inlineStr">
        <is>
          <t>NSW</t>
        </is>
      </c>
      <c r="R297" t="inlineStr">
        <is>
          <t>313 (268 - 358)</t>
        </is>
      </c>
    </row>
    <row r="298">
      <c r="A298" t="inlineStr">
        <is>
          <t>Pathologists</t>
        </is>
      </c>
      <c r="B298" s="44" t="inlineStr">
        <is>
          <t>Superannuation</t>
        </is>
      </c>
      <c r="C298" t="inlineStr">
        <is>
          <t>QLD</t>
        </is>
      </c>
      <c r="D298" s="44" t="n">
        <v>285.3010163500467</v>
      </c>
      <c r="E298" s="44" t="n">
        <v>338.5262645593273</v>
      </c>
      <c r="F298" s="44" t="n">
        <v>393.5933877686079</v>
      </c>
      <c r="I298">
        <f>A298</f>
        <v/>
      </c>
      <c r="J298">
        <f>B298</f>
        <v/>
      </c>
      <c r="K298">
        <f>C298</f>
        <v/>
      </c>
      <c r="L298">
        <f>TEXT(E298, "0,0") &amp; " (" &amp; TEXT(D298, "0,0") &amp; " - " &amp; TEXT(F298, "0,0") &amp; ")"</f>
        <v/>
      </c>
      <c r="O298" t="inlineStr">
        <is>
          <t>Pathologists</t>
        </is>
      </c>
      <c r="P298" t="inlineStr">
        <is>
          <t>Superannuation</t>
        </is>
      </c>
      <c r="Q298" t="inlineStr">
        <is>
          <t>QLD</t>
        </is>
      </c>
      <c r="R298" t="inlineStr">
        <is>
          <t>339 (285 - 394)</t>
        </is>
      </c>
    </row>
    <row r="299">
      <c r="A299" t="inlineStr">
        <is>
          <t>Pathologists</t>
        </is>
      </c>
      <c r="B299" s="44" t="inlineStr">
        <is>
          <t>Superannuation</t>
        </is>
      </c>
      <c r="C299" t="inlineStr">
        <is>
          <t>SA</t>
        </is>
      </c>
      <c r="D299" s="44" t="n">
        <v>369.1416832178449</v>
      </c>
      <c r="E299" s="44" t="n">
        <v>426.3296713786594</v>
      </c>
      <c r="F299" s="44" t="n">
        <v>485.5430757844129</v>
      </c>
      <c r="I299">
        <f>A299</f>
        <v/>
      </c>
      <c r="J299">
        <f>B299</f>
        <v/>
      </c>
      <c r="K299">
        <f>C299</f>
        <v/>
      </c>
      <c r="L299">
        <f>TEXT(E299, "0,0") &amp; " (" &amp; TEXT(D299, "0,0") &amp; " - " &amp; TEXT(F299, "0,0") &amp; ")"</f>
        <v/>
      </c>
      <c r="O299" t="inlineStr">
        <is>
          <t>Pathologists</t>
        </is>
      </c>
      <c r="P299" t="inlineStr">
        <is>
          <t>Superannuation</t>
        </is>
      </c>
      <c r="Q299" t="inlineStr">
        <is>
          <t>SA</t>
        </is>
      </c>
      <c r="R299" t="inlineStr">
        <is>
          <t>426 (369 - 486)</t>
        </is>
      </c>
    </row>
    <row r="300">
      <c r="A300" t="inlineStr">
        <is>
          <t>Pathologists</t>
        </is>
      </c>
      <c r="B300" s="44" t="inlineStr">
        <is>
          <t>Superannuation</t>
        </is>
      </c>
      <c r="C300" t="inlineStr">
        <is>
          <t>VIC</t>
        </is>
      </c>
      <c r="D300" s="44" t="n">
        <v>336.7885020242915</v>
      </c>
      <c r="E300" s="44" t="n">
        <v>397.9371122975709</v>
      </c>
      <c r="F300" s="44" t="n">
        <v>461.4924034919028</v>
      </c>
      <c r="I300">
        <f>A300</f>
        <v/>
      </c>
      <c r="J300">
        <f>B300</f>
        <v/>
      </c>
      <c r="K300">
        <f>C300</f>
        <v/>
      </c>
      <c r="L300">
        <f>TEXT(E300, "0,0") &amp; " (" &amp; TEXT(D300, "0,0") &amp; " - " &amp; TEXT(F300, "0,0") &amp; ")"</f>
        <v/>
      </c>
      <c r="O300" t="inlineStr">
        <is>
          <t>Pathologists</t>
        </is>
      </c>
      <c r="P300" t="inlineStr">
        <is>
          <t>Superannuation</t>
        </is>
      </c>
      <c r="Q300" t="inlineStr">
        <is>
          <t>VIC</t>
        </is>
      </c>
      <c r="R300" t="inlineStr">
        <is>
          <t>398 (337 - 461)</t>
        </is>
      </c>
    </row>
    <row r="301">
      <c r="A301" t="inlineStr">
        <is>
          <t>Pathologists</t>
        </is>
      </c>
      <c r="B301" s="44" t="inlineStr">
        <is>
          <t>Superannuation</t>
        </is>
      </c>
      <c r="C301" t="inlineStr">
        <is>
          <t>WA</t>
        </is>
      </c>
      <c r="D301" s="44" t="n">
        <v>370.6912381656804</v>
      </c>
      <c r="E301" s="44" t="n">
        <v>424.6258754282155</v>
      </c>
      <c r="F301" s="44" t="n">
        <v>481.2301622352849</v>
      </c>
      <c r="I301">
        <f>A301</f>
        <v/>
      </c>
      <c r="J301">
        <f>B301</f>
        <v/>
      </c>
      <c r="K301">
        <f>C301</f>
        <v/>
      </c>
      <c r="L301">
        <f>TEXT(E301, "0,0") &amp; " (" &amp; TEXT(D301, "0,0") &amp; " - " &amp; TEXT(F301, "0,0") &amp; ")"</f>
        <v/>
      </c>
      <c r="O301" t="inlineStr">
        <is>
          <t>Pathologists</t>
        </is>
      </c>
      <c r="P301" t="inlineStr">
        <is>
          <t>Superannuation</t>
        </is>
      </c>
      <c r="Q301" t="inlineStr">
        <is>
          <t>WA</t>
        </is>
      </c>
      <c r="R301" t="inlineStr">
        <is>
          <t>425 (371 - 481)</t>
        </is>
      </c>
    </row>
  </sheetData>
  <autoFilter ref="A1:F1"/>
  <mergeCells count="3">
    <mergeCell ref="T2:T3"/>
    <mergeCell ref="V1:AA1"/>
    <mergeCell ref="V3:AA3"/>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331"/>
  <sheetViews>
    <sheetView topLeftCell="D1" workbookViewId="0">
      <selection activeCell="D1" sqref="D1"/>
    </sheetView>
  </sheetViews>
  <sheetFormatPr baseColWidth="10" defaultColWidth="11" defaultRowHeight="16"/>
  <cols>
    <col width="10.83203125" customWidth="1" style="79" min="4" max="6"/>
  </cols>
  <sheetData>
    <row r="1">
      <c r="A1" t="inlineStr">
        <is>
          <t>Personnel type</t>
        </is>
      </c>
      <c r="B1" t="inlineStr">
        <is>
          <t>Jurisdiction</t>
        </is>
      </c>
      <c r="C1" t="inlineStr">
        <is>
          <t>Variable</t>
        </is>
      </c>
      <c r="D1" s="79" t="inlineStr">
        <is>
          <t>LL</t>
        </is>
      </c>
      <c r="E1" s="79" t="inlineStr">
        <is>
          <t>MP</t>
        </is>
      </c>
      <c r="F1" s="79" t="inlineStr">
        <is>
          <t>UL</t>
        </is>
      </c>
    </row>
    <row r="2">
      <c r="A2" t="inlineStr">
        <is>
          <t>Admin staff</t>
        </is>
      </c>
      <c r="B2" t="inlineStr">
        <is>
          <t>ALL</t>
        </is>
      </c>
      <c r="C2" s="44" t="inlineStr">
        <is>
          <t>Annual Leave</t>
        </is>
      </c>
      <c r="D2" s="79" t="n">
        <v>117177.6178461539</v>
      </c>
      <c r="E2" s="79" t="n">
        <v>160026.8339790769</v>
      </c>
      <c r="F2" s="79" t="n">
        <v>224322.5984615385</v>
      </c>
    </row>
    <row r="3">
      <c r="A3" t="inlineStr">
        <is>
          <t>Admin staff</t>
        </is>
      </c>
      <c r="B3" t="inlineStr">
        <is>
          <t>NSW</t>
        </is>
      </c>
      <c r="C3" s="44" t="inlineStr">
        <is>
          <t>Annual Leave</t>
        </is>
      </c>
      <c r="D3" s="79" t="n">
        <v>114089.18592</v>
      </c>
      <c r="E3" s="79" t="n">
        <v>137204.75628</v>
      </c>
      <c r="F3" s="79" t="n">
        <v>160320.32664</v>
      </c>
    </row>
    <row r="4">
      <c r="A4" t="inlineStr">
        <is>
          <t>Admin staff</t>
        </is>
      </c>
      <c r="B4" t="inlineStr">
        <is>
          <t>QLD</t>
        </is>
      </c>
      <c r="C4" s="44" t="inlineStr">
        <is>
          <t>Annual Leave</t>
        </is>
      </c>
      <c r="D4" s="79" t="n">
        <v>114785.4024615385</v>
      </c>
      <c r="E4" s="79" t="n">
        <v>152905.4121153846</v>
      </c>
      <c r="F4" s="79" t="n">
        <v>191025.4217692308</v>
      </c>
    </row>
    <row r="5">
      <c r="A5" t="inlineStr">
        <is>
          <t>Admin staff</t>
        </is>
      </c>
      <c r="B5" t="inlineStr">
        <is>
          <t>SA</t>
        </is>
      </c>
      <c r="C5" s="44" t="inlineStr">
        <is>
          <t>Annual Leave</t>
        </is>
      </c>
      <c r="D5" s="79" t="n">
        <v>134772.7098461539</v>
      </c>
      <c r="E5" s="79" t="n">
        <v>150064.7570769231</v>
      </c>
      <c r="F5" s="79" t="n">
        <v>165356.8043076923</v>
      </c>
    </row>
    <row r="6">
      <c r="A6" t="inlineStr">
        <is>
          <t>Admin staff</t>
        </is>
      </c>
      <c r="B6" t="inlineStr">
        <is>
          <t>VIC</t>
        </is>
      </c>
      <c r="C6" s="44" t="inlineStr">
        <is>
          <t>Annual Leave</t>
        </is>
      </c>
      <c r="D6" s="79" t="n">
        <v>162844.2563846154</v>
      </c>
      <c r="E6" s="79" t="n">
        <v>198325.5966538462</v>
      </c>
      <c r="F6" s="79" t="n">
        <v>233806.9369230769</v>
      </c>
    </row>
    <row r="7">
      <c r="A7" t="inlineStr">
        <is>
          <t>Admin staff</t>
        </is>
      </c>
      <c r="B7" t="inlineStr">
        <is>
          <t>WA</t>
        </is>
      </c>
      <c r="C7" s="44" t="inlineStr">
        <is>
          <t>Annual Leave</t>
        </is>
      </c>
      <c r="D7" s="79" t="n">
        <v>148744.2736153846</v>
      </c>
      <c r="E7" s="79" t="n">
        <v>163559.5432307692</v>
      </c>
      <c r="F7" s="79" t="n">
        <v>178374.8128461538</v>
      </c>
    </row>
    <row r="8">
      <c r="A8" t="inlineStr">
        <is>
          <t>Admin staff</t>
        </is>
      </c>
      <c r="B8" t="inlineStr">
        <is>
          <t>ALL</t>
        </is>
      </c>
      <c r="C8" s="44" t="inlineStr">
        <is>
          <t>Attraction and Retention Allowance</t>
        </is>
      </c>
      <c r="D8" s="79" t="n">
        <v>117177.6178461539</v>
      </c>
      <c r="E8" s="79" t="n">
        <v>160026.8339790769</v>
      </c>
      <c r="F8" s="79" t="n">
        <v>224322.5984615385</v>
      </c>
    </row>
    <row r="9">
      <c r="A9" t="inlineStr">
        <is>
          <t>Admin staff</t>
        </is>
      </c>
      <c r="B9" t="inlineStr">
        <is>
          <t>NSW</t>
        </is>
      </c>
      <c r="C9" s="44" t="inlineStr">
        <is>
          <t>Attraction and Retention Allowance</t>
        </is>
      </c>
      <c r="D9" s="79" t="n">
        <v>114089.18592</v>
      </c>
      <c r="E9" s="79" t="n">
        <v>137204.75628</v>
      </c>
      <c r="F9" s="79" t="n">
        <v>160320.32664</v>
      </c>
    </row>
    <row r="10">
      <c r="A10" t="inlineStr">
        <is>
          <t>Admin staff</t>
        </is>
      </c>
      <c r="B10" t="inlineStr">
        <is>
          <t>QLD</t>
        </is>
      </c>
      <c r="C10" s="44" t="inlineStr">
        <is>
          <t>Attraction and Retention Allowance</t>
        </is>
      </c>
      <c r="D10" s="79" t="n">
        <v>114785.4024615385</v>
      </c>
      <c r="E10" s="79" t="n">
        <v>152905.4121153846</v>
      </c>
      <c r="F10" s="79" t="n">
        <v>191025.4217692308</v>
      </c>
    </row>
    <row r="11">
      <c r="A11" t="inlineStr">
        <is>
          <t>Admin staff</t>
        </is>
      </c>
      <c r="B11" t="inlineStr">
        <is>
          <t>SA</t>
        </is>
      </c>
      <c r="C11" s="44" t="inlineStr">
        <is>
          <t>Attraction and Retention Allowance</t>
        </is>
      </c>
      <c r="D11" s="79" t="n">
        <v>134772.7098461539</v>
      </c>
      <c r="E11" s="79" t="n">
        <v>150064.7570769231</v>
      </c>
      <c r="F11" s="79" t="n">
        <v>165356.8043076923</v>
      </c>
    </row>
    <row r="12">
      <c r="A12" t="inlineStr">
        <is>
          <t>Admin staff</t>
        </is>
      </c>
      <c r="B12" t="inlineStr">
        <is>
          <t>VIC</t>
        </is>
      </c>
      <c r="C12" s="44" t="inlineStr">
        <is>
          <t>Attraction and Retention Allowance</t>
        </is>
      </c>
      <c r="D12" s="79" t="n">
        <v>162844.2563846154</v>
      </c>
      <c r="E12" s="79" t="n">
        <v>198325.5966538462</v>
      </c>
      <c r="F12" s="79" t="n">
        <v>233806.9369230769</v>
      </c>
    </row>
    <row r="13">
      <c r="A13" t="inlineStr">
        <is>
          <t>Admin staff</t>
        </is>
      </c>
      <c r="B13" t="inlineStr">
        <is>
          <t>WA</t>
        </is>
      </c>
      <c r="C13" s="44" t="inlineStr">
        <is>
          <t>Attraction and Retention Allowance</t>
        </is>
      </c>
      <c r="D13" s="79" t="n">
        <v>148744.2736153846</v>
      </c>
      <c r="E13" s="79" t="n">
        <v>163559.5432307692</v>
      </c>
      <c r="F13" s="79" t="n">
        <v>178374.8128461538</v>
      </c>
    </row>
    <row r="14">
      <c r="A14" t="inlineStr">
        <is>
          <t>Admin staff</t>
        </is>
      </c>
      <c r="B14" t="inlineStr">
        <is>
          <t>ALL</t>
        </is>
      </c>
      <c r="C14" s="44" t="inlineStr">
        <is>
          <t>Average Penalties</t>
        </is>
      </c>
      <c r="D14" s="79" t="n">
        <v>112407.2178461538</v>
      </c>
      <c r="E14" s="79" t="n">
        <v>160026.8339790769</v>
      </c>
      <c r="F14" s="79" t="n">
        <v>242614.5984615385</v>
      </c>
    </row>
    <row r="15">
      <c r="A15" t="inlineStr">
        <is>
          <t>Admin staff</t>
        </is>
      </c>
      <c r="B15" t="inlineStr">
        <is>
          <t>NSW</t>
        </is>
      </c>
      <c r="C15" s="44" t="inlineStr">
        <is>
          <t>Average Penalties</t>
        </is>
      </c>
      <c r="D15" s="79" t="n">
        <v>109271.07392</v>
      </c>
      <c r="E15" s="79" t="n">
        <v>137204.75628</v>
      </c>
      <c r="F15" s="79" t="n">
        <v>173861.33464</v>
      </c>
    </row>
    <row r="16">
      <c r="A16" t="inlineStr">
        <is>
          <t>Admin staff</t>
        </is>
      </c>
      <c r="B16" t="inlineStr">
        <is>
          <t>QLD</t>
        </is>
      </c>
      <c r="C16" s="44" t="inlineStr">
        <is>
          <t>Average Penalties</t>
        </is>
      </c>
      <c r="D16" s="79" t="n">
        <v>110015.0024615385</v>
      </c>
      <c r="E16" s="79" t="n">
        <v>152905.4121153846</v>
      </c>
      <c r="F16" s="79" t="n">
        <v>207005.6217692308</v>
      </c>
    </row>
    <row r="17">
      <c r="A17" t="inlineStr">
        <is>
          <t>Admin staff</t>
        </is>
      </c>
      <c r="B17" t="inlineStr">
        <is>
          <t>SA</t>
        </is>
      </c>
      <c r="C17" s="44" t="inlineStr">
        <is>
          <t>Average Penalties</t>
        </is>
      </c>
      <c r="D17" s="79" t="n">
        <v>129081.1098461538</v>
      </c>
      <c r="E17" s="79" t="n">
        <v>150064.7570769231</v>
      </c>
      <c r="F17" s="79" t="n">
        <v>179323.2043076923</v>
      </c>
    </row>
    <row r="18">
      <c r="A18" t="inlineStr">
        <is>
          <t>Admin staff</t>
        </is>
      </c>
      <c r="B18" t="inlineStr">
        <is>
          <t>VIC</t>
        </is>
      </c>
      <c r="C18" s="44" t="inlineStr">
        <is>
          <t>Average Penalties</t>
        </is>
      </c>
      <c r="D18" s="79" t="n">
        <v>156474.1563846154</v>
      </c>
      <c r="E18" s="79" t="n">
        <v>198325.5966538462</v>
      </c>
      <c r="F18" s="79" t="n">
        <v>252098.9369230769</v>
      </c>
    </row>
    <row r="19">
      <c r="A19" t="inlineStr">
        <is>
          <t>Admin staff</t>
        </is>
      </c>
      <c r="B19" t="inlineStr">
        <is>
          <t>WA</t>
        </is>
      </c>
      <c r="C19" s="44" t="inlineStr">
        <is>
          <t>Average Penalties</t>
        </is>
      </c>
      <c r="D19" s="79" t="n">
        <v>142986.3736153846</v>
      </c>
      <c r="E19" s="79" t="n">
        <v>163559.5432307692</v>
      </c>
      <c r="F19" s="79" t="n">
        <v>192184.6128461538</v>
      </c>
    </row>
    <row r="20">
      <c r="A20" t="inlineStr">
        <is>
          <t>Admin staff</t>
        </is>
      </c>
      <c r="B20" t="inlineStr">
        <is>
          <t>ALL</t>
        </is>
      </c>
      <c r="C20" s="44" t="inlineStr">
        <is>
          <t>Base Case</t>
        </is>
      </c>
      <c r="D20" s="79" t="n">
        <v>114089.18592</v>
      </c>
      <c r="E20" s="79" t="n">
        <v>160412.0130713846</v>
      </c>
      <c r="F20" s="79" t="n">
        <v>233806.9369230769</v>
      </c>
    </row>
    <row r="21">
      <c r="A21" t="inlineStr">
        <is>
          <t>Admin staff</t>
        </is>
      </c>
      <c r="B21" t="inlineStr">
        <is>
          <t>NSW</t>
        </is>
      </c>
      <c r="C21" s="44" t="inlineStr">
        <is>
          <t>Base Case</t>
        </is>
      </c>
      <c r="D21" s="79" t="n">
        <v>114089.18592</v>
      </c>
      <c r="E21" s="79" t="n">
        <v>137204.75628</v>
      </c>
      <c r="F21" s="79" t="n">
        <v>160320.32664</v>
      </c>
    </row>
    <row r="22">
      <c r="A22" t="inlineStr">
        <is>
          <t>Admin staff</t>
        </is>
      </c>
      <c r="B22" t="inlineStr">
        <is>
          <t>QLD</t>
        </is>
      </c>
      <c r="C22" s="44" t="inlineStr">
        <is>
          <t>Base Case</t>
        </is>
      </c>
      <c r="D22" s="79" t="n">
        <v>114785.4024615385</v>
      </c>
      <c r="E22" s="79" t="n">
        <v>152905.4121153846</v>
      </c>
      <c r="F22" s="79" t="n">
        <v>191025.4217692308</v>
      </c>
    </row>
    <row r="23">
      <c r="A23" t="inlineStr">
        <is>
          <t>Admin staff</t>
        </is>
      </c>
      <c r="B23" t="inlineStr">
        <is>
          <t>SA</t>
        </is>
      </c>
      <c r="C23" s="44" t="inlineStr">
        <is>
          <t>Base Case</t>
        </is>
      </c>
      <c r="D23" s="79" t="n">
        <v>134772.7098461539</v>
      </c>
      <c r="E23" s="79" t="n">
        <v>150064.7570769231</v>
      </c>
      <c r="F23" s="79" t="n">
        <v>165356.8043076923</v>
      </c>
    </row>
    <row r="24">
      <c r="A24" t="inlineStr">
        <is>
          <t>Admin staff</t>
        </is>
      </c>
      <c r="B24" t="inlineStr">
        <is>
          <t>VIC</t>
        </is>
      </c>
      <c r="C24" s="44" t="inlineStr">
        <is>
          <t>Base Case</t>
        </is>
      </c>
      <c r="D24" s="79" t="n">
        <v>162844.2563846154</v>
      </c>
      <c r="E24" s="79" t="n">
        <v>198325.5966538462</v>
      </c>
      <c r="F24" s="79" t="n">
        <v>233806.9369230769</v>
      </c>
    </row>
    <row r="25">
      <c r="A25" t="inlineStr">
        <is>
          <t>Admin staff</t>
        </is>
      </c>
      <c r="B25" t="inlineStr">
        <is>
          <t>WA</t>
        </is>
      </c>
      <c r="C25" s="44" t="inlineStr">
        <is>
          <t>Base Case</t>
        </is>
      </c>
      <c r="D25" s="79" t="n">
        <v>148744.2736153846</v>
      </c>
      <c r="E25" s="79" t="n">
        <v>163559.5432307692</v>
      </c>
      <c r="F25" s="79" t="n">
        <v>178374.8128461538</v>
      </c>
    </row>
    <row r="26">
      <c r="A26" t="inlineStr">
        <is>
          <t>Admin staff</t>
        </is>
      </c>
      <c r="B26" t="inlineStr">
        <is>
          <t>ALL</t>
        </is>
      </c>
      <c r="C26" s="44" t="inlineStr">
        <is>
          <t>Hours worked</t>
        </is>
      </c>
      <c r="D26" s="79" t="n">
        <v>117177.6178461539</v>
      </c>
      <c r="E26" s="79" t="n">
        <v>160026.8339790769</v>
      </c>
      <c r="F26" s="79" t="n">
        <v>224322.5984615385</v>
      </c>
    </row>
    <row r="27">
      <c r="A27" t="inlineStr">
        <is>
          <t>Admin staff</t>
        </is>
      </c>
      <c r="B27" t="inlineStr">
        <is>
          <t>NSW</t>
        </is>
      </c>
      <c r="C27" s="44" t="inlineStr">
        <is>
          <t>Hours worked</t>
        </is>
      </c>
      <c r="D27" s="79" t="n">
        <v>114089.18592</v>
      </c>
      <c r="E27" s="79" t="n">
        <v>137204.75628</v>
      </c>
      <c r="F27" s="79" t="n">
        <v>160320.32664</v>
      </c>
    </row>
    <row r="28">
      <c r="A28" t="inlineStr">
        <is>
          <t>Admin staff</t>
        </is>
      </c>
      <c r="B28" t="inlineStr">
        <is>
          <t>QLD</t>
        </is>
      </c>
      <c r="C28" s="44" t="inlineStr">
        <is>
          <t>Hours worked</t>
        </is>
      </c>
      <c r="D28" s="79" t="n">
        <v>114785.4024615385</v>
      </c>
      <c r="E28" s="79" t="n">
        <v>152905.4121153846</v>
      </c>
      <c r="F28" s="79" t="n">
        <v>191025.4217692308</v>
      </c>
    </row>
    <row r="29">
      <c r="A29" t="inlineStr">
        <is>
          <t>Admin staff</t>
        </is>
      </c>
      <c r="B29" t="inlineStr">
        <is>
          <t>SA</t>
        </is>
      </c>
      <c r="C29" s="44" t="inlineStr">
        <is>
          <t>Hours worked</t>
        </is>
      </c>
      <c r="D29" s="79" t="n">
        <v>134772.7098461539</v>
      </c>
      <c r="E29" s="79" t="n">
        <v>150064.7570769231</v>
      </c>
      <c r="F29" s="79" t="n">
        <v>165356.8043076923</v>
      </c>
    </row>
    <row r="30">
      <c r="A30" t="inlineStr">
        <is>
          <t>Admin staff</t>
        </is>
      </c>
      <c r="B30" t="inlineStr">
        <is>
          <t>VIC</t>
        </is>
      </c>
      <c r="C30" s="44" t="inlineStr">
        <is>
          <t>Hours worked</t>
        </is>
      </c>
      <c r="D30" s="79" t="n">
        <v>162844.2563846154</v>
      </c>
      <c r="E30" s="79" t="n">
        <v>198325.5966538462</v>
      </c>
      <c r="F30" s="79" t="n">
        <v>233806.9369230769</v>
      </c>
    </row>
    <row r="31">
      <c r="A31" t="inlineStr">
        <is>
          <t>Admin staff</t>
        </is>
      </c>
      <c r="B31" t="inlineStr">
        <is>
          <t>WA</t>
        </is>
      </c>
      <c r="C31" s="44" t="inlineStr">
        <is>
          <t>Hours worked</t>
        </is>
      </c>
      <c r="D31" s="79" t="n">
        <v>148744.2736153846</v>
      </c>
      <c r="E31" s="79" t="n">
        <v>163559.5432307692</v>
      </c>
      <c r="F31" s="79" t="n">
        <v>178374.8128461538</v>
      </c>
    </row>
    <row r="32">
      <c r="A32" t="inlineStr">
        <is>
          <t>Admin staff</t>
        </is>
      </c>
      <c r="B32" t="inlineStr">
        <is>
          <t>ALL</t>
        </is>
      </c>
      <c r="C32" s="44" t="inlineStr">
        <is>
          <t xml:space="preserve">Leave Loading (%)		</t>
        </is>
      </c>
      <c r="D32" s="79" t="n">
        <v>117177.6178461539</v>
      </c>
      <c r="E32" s="79" t="n">
        <v>160026.8339790769</v>
      </c>
      <c r="F32" s="79" t="n">
        <v>224322.5984615385</v>
      </c>
    </row>
    <row r="33">
      <c r="A33" t="inlineStr">
        <is>
          <t>Admin staff</t>
        </is>
      </c>
      <c r="B33" t="inlineStr">
        <is>
          <t>NSW</t>
        </is>
      </c>
      <c r="C33" s="44" t="inlineStr">
        <is>
          <t xml:space="preserve">Leave Loading (%)		</t>
        </is>
      </c>
      <c r="D33" s="79" t="n">
        <v>114089.18592</v>
      </c>
      <c r="E33" s="79" t="n">
        <v>137204.75628</v>
      </c>
      <c r="F33" s="79" t="n">
        <v>160320.32664</v>
      </c>
    </row>
    <row r="34">
      <c r="A34" t="inlineStr">
        <is>
          <t>Admin staff</t>
        </is>
      </c>
      <c r="B34" t="inlineStr">
        <is>
          <t>QLD</t>
        </is>
      </c>
      <c r="C34" s="44" t="inlineStr">
        <is>
          <t xml:space="preserve">Leave Loading (%)		</t>
        </is>
      </c>
      <c r="D34" s="79" t="n">
        <v>114785.4024615385</v>
      </c>
      <c r="E34" s="79" t="n">
        <v>152905.4121153846</v>
      </c>
      <c r="F34" s="79" t="n">
        <v>191025.4217692308</v>
      </c>
    </row>
    <row r="35">
      <c r="A35" t="inlineStr">
        <is>
          <t>Admin staff</t>
        </is>
      </c>
      <c r="B35" t="inlineStr">
        <is>
          <t>SA</t>
        </is>
      </c>
      <c r="C35" s="44" t="inlineStr">
        <is>
          <t xml:space="preserve">Leave Loading (%)		</t>
        </is>
      </c>
      <c r="D35" s="79" t="n">
        <v>134772.7098461539</v>
      </c>
      <c r="E35" s="79" t="n">
        <v>150064.7570769231</v>
      </c>
      <c r="F35" s="79" t="n">
        <v>165356.8043076923</v>
      </c>
    </row>
    <row r="36">
      <c r="A36" t="inlineStr">
        <is>
          <t>Admin staff</t>
        </is>
      </c>
      <c r="B36" t="inlineStr">
        <is>
          <t>VIC</t>
        </is>
      </c>
      <c r="C36" s="44" t="inlineStr">
        <is>
          <t xml:space="preserve">Leave Loading (%)		</t>
        </is>
      </c>
      <c r="D36" s="79" t="n">
        <v>162844.2563846154</v>
      </c>
      <c r="E36" s="79" t="n">
        <v>198325.5966538462</v>
      </c>
      <c r="F36" s="79" t="n">
        <v>233806.9369230769</v>
      </c>
    </row>
    <row r="37">
      <c r="A37" t="inlineStr">
        <is>
          <t>Admin staff</t>
        </is>
      </c>
      <c r="B37" t="inlineStr">
        <is>
          <t>WA</t>
        </is>
      </c>
      <c r="C37" s="44" t="inlineStr">
        <is>
          <t xml:space="preserve">Leave Loading (%)		</t>
        </is>
      </c>
      <c r="D37" s="79" t="n">
        <v>148744.2736153846</v>
      </c>
      <c r="E37" s="79" t="n">
        <v>163559.5432307692</v>
      </c>
      <c r="F37" s="79" t="n">
        <v>178374.8128461538</v>
      </c>
    </row>
    <row r="38">
      <c r="A38" t="inlineStr">
        <is>
          <t>Admin staff</t>
        </is>
      </c>
      <c r="B38" t="inlineStr">
        <is>
          <t>ALL</t>
        </is>
      </c>
      <c r="C38" s="44" t="inlineStr">
        <is>
          <t>Private Practice Loading</t>
        </is>
      </c>
      <c r="D38" s="79" t="n">
        <v>117177.6178461539</v>
      </c>
      <c r="E38" s="79" t="n">
        <v>160026.8339790769</v>
      </c>
      <c r="F38" s="79" t="n">
        <v>224322.5984615385</v>
      </c>
    </row>
    <row r="39">
      <c r="A39" t="inlineStr">
        <is>
          <t>Admin staff</t>
        </is>
      </c>
      <c r="B39" t="inlineStr">
        <is>
          <t>NSW</t>
        </is>
      </c>
      <c r="C39" s="44" t="inlineStr">
        <is>
          <t>Private Practice Loading</t>
        </is>
      </c>
      <c r="D39" s="79" t="n">
        <v>114089.18592</v>
      </c>
      <c r="E39" s="79" t="n">
        <v>137204.75628</v>
      </c>
      <c r="F39" s="79" t="n">
        <v>160320.32664</v>
      </c>
    </row>
    <row r="40">
      <c r="A40" t="inlineStr">
        <is>
          <t>Admin staff</t>
        </is>
      </c>
      <c r="B40" t="inlineStr">
        <is>
          <t>QLD</t>
        </is>
      </c>
      <c r="C40" s="44" t="inlineStr">
        <is>
          <t>Private Practice Loading</t>
        </is>
      </c>
      <c r="D40" s="79" t="n">
        <v>114785.4024615385</v>
      </c>
      <c r="E40" s="79" t="n">
        <v>152905.4121153846</v>
      </c>
      <c r="F40" s="79" t="n">
        <v>191025.4217692308</v>
      </c>
    </row>
    <row r="41">
      <c r="A41" t="inlineStr">
        <is>
          <t>Admin staff</t>
        </is>
      </c>
      <c r="B41" t="inlineStr">
        <is>
          <t>SA</t>
        </is>
      </c>
      <c r="C41" s="44" t="inlineStr">
        <is>
          <t>Private Practice Loading</t>
        </is>
      </c>
      <c r="D41" s="79" t="n">
        <v>134772.7098461539</v>
      </c>
      <c r="E41" s="79" t="n">
        <v>150064.7570769231</v>
      </c>
      <c r="F41" s="79" t="n">
        <v>165356.8043076923</v>
      </c>
    </row>
    <row r="42">
      <c r="A42" t="inlineStr">
        <is>
          <t>Admin staff</t>
        </is>
      </c>
      <c r="B42" t="inlineStr">
        <is>
          <t>VIC</t>
        </is>
      </c>
      <c r="C42" s="44" t="inlineStr">
        <is>
          <t>Private Practice Loading</t>
        </is>
      </c>
      <c r="D42" s="79" t="n">
        <v>162844.2563846154</v>
      </c>
      <c r="E42" s="79" t="n">
        <v>198325.5966538462</v>
      </c>
      <c r="F42" s="79" t="n">
        <v>233806.9369230769</v>
      </c>
    </row>
    <row r="43">
      <c r="A43" t="inlineStr">
        <is>
          <t>Admin staff</t>
        </is>
      </c>
      <c r="B43" t="inlineStr">
        <is>
          <t>WA</t>
        </is>
      </c>
      <c r="C43" s="44" t="inlineStr">
        <is>
          <t>Private Practice Loading</t>
        </is>
      </c>
      <c r="D43" s="79" t="n">
        <v>148744.2736153846</v>
      </c>
      <c r="E43" s="79" t="n">
        <v>163559.5432307692</v>
      </c>
      <c r="F43" s="79" t="n">
        <v>178374.8128461538</v>
      </c>
    </row>
    <row r="44">
      <c r="A44" t="inlineStr">
        <is>
          <t>Admin staff</t>
        </is>
      </c>
      <c r="B44" t="inlineStr">
        <is>
          <t>ALL</t>
        </is>
      </c>
      <c r="C44" s="44" t="inlineStr">
        <is>
          <t>Professional Development Allowance</t>
        </is>
      </c>
      <c r="D44" s="79" t="n">
        <v>117177.6178461539</v>
      </c>
      <c r="E44" s="79" t="n">
        <v>160026.8339790769</v>
      </c>
      <c r="F44" s="79" t="n">
        <v>224322.5984615385</v>
      </c>
    </row>
    <row r="45">
      <c r="A45" t="inlineStr">
        <is>
          <t>Admin staff</t>
        </is>
      </c>
      <c r="B45" t="inlineStr">
        <is>
          <t>NSW</t>
        </is>
      </c>
      <c r="C45" s="44" t="inlineStr">
        <is>
          <t>Professional Development Allowance</t>
        </is>
      </c>
      <c r="D45" s="79" t="n">
        <v>114089.18592</v>
      </c>
      <c r="E45" s="79" t="n">
        <v>137204.75628</v>
      </c>
      <c r="F45" s="79" t="n">
        <v>160320.32664</v>
      </c>
    </row>
    <row r="46">
      <c r="A46" t="inlineStr">
        <is>
          <t>Admin staff</t>
        </is>
      </c>
      <c r="B46" t="inlineStr">
        <is>
          <t>QLD</t>
        </is>
      </c>
      <c r="C46" s="44" t="inlineStr">
        <is>
          <t>Professional Development Allowance</t>
        </is>
      </c>
      <c r="D46" s="79" t="n">
        <v>114785.4024615385</v>
      </c>
      <c r="E46" s="79" t="n">
        <v>152905.4121153846</v>
      </c>
      <c r="F46" s="79" t="n">
        <v>191025.4217692308</v>
      </c>
    </row>
    <row r="47">
      <c r="A47" t="inlineStr">
        <is>
          <t>Admin staff</t>
        </is>
      </c>
      <c r="B47" t="inlineStr">
        <is>
          <t>SA</t>
        </is>
      </c>
      <c r="C47" s="44" t="inlineStr">
        <is>
          <t>Professional Development Allowance</t>
        </is>
      </c>
      <c r="D47" s="79" t="n">
        <v>134772.7098461539</v>
      </c>
      <c r="E47" s="79" t="n">
        <v>150064.7570769231</v>
      </c>
      <c r="F47" s="79" t="n">
        <v>165356.8043076923</v>
      </c>
    </row>
    <row r="48">
      <c r="A48" t="inlineStr">
        <is>
          <t>Admin staff</t>
        </is>
      </c>
      <c r="B48" t="inlineStr">
        <is>
          <t>VIC</t>
        </is>
      </c>
      <c r="C48" s="44" t="inlineStr">
        <is>
          <t>Professional Development Allowance</t>
        </is>
      </c>
      <c r="D48" s="79" t="n">
        <v>162844.2563846154</v>
      </c>
      <c r="E48" s="79" t="n">
        <v>198325.5966538462</v>
      </c>
      <c r="F48" s="79" t="n">
        <v>233806.9369230769</v>
      </c>
    </row>
    <row r="49">
      <c r="A49" t="inlineStr">
        <is>
          <t>Admin staff</t>
        </is>
      </c>
      <c r="B49" t="inlineStr">
        <is>
          <t>WA</t>
        </is>
      </c>
      <c r="C49" s="44" t="inlineStr">
        <is>
          <t>Professional Development Allowance</t>
        </is>
      </c>
      <c r="D49" s="79" t="n">
        <v>148744.2736153846</v>
      </c>
      <c r="E49" s="79" t="n">
        <v>163559.5432307692</v>
      </c>
      <c r="F49" s="79" t="n">
        <v>178374.8128461538</v>
      </c>
    </row>
    <row r="50">
      <c r="A50" t="inlineStr">
        <is>
          <t>Admin staff</t>
        </is>
      </c>
      <c r="B50" t="inlineStr">
        <is>
          <t>ALL</t>
        </is>
      </c>
      <c r="C50" s="44" t="inlineStr">
        <is>
          <t>Public Holiday Penalty</t>
        </is>
      </c>
      <c r="D50" s="79" t="n">
        <v>116915.2458461538</v>
      </c>
      <c r="E50" s="79" t="n">
        <v>160026.8339790769</v>
      </c>
      <c r="F50" s="79" t="n">
        <v>224779.8984615385</v>
      </c>
    </row>
    <row r="51">
      <c r="A51" t="inlineStr">
        <is>
          <t>Admin staff</t>
        </is>
      </c>
      <c r="B51" t="inlineStr">
        <is>
          <t>NSW</t>
        </is>
      </c>
      <c r="C51" s="44" t="inlineStr">
        <is>
          <t>Public Holiday Penalty</t>
        </is>
      </c>
      <c r="D51" s="79" t="n">
        <v>113824.18976</v>
      </c>
      <c r="E51" s="79" t="n">
        <v>137204.75628</v>
      </c>
      <c r="F51" s="79" t="n">
        <v>160658.85184</v>
      </c>
    </row>
    <row r="52">
      <c r="A52" t="inlineStr">
        <is>
          <t>Admin staff</t>
        </is>
      </c>
      <c r="B52" t="inlineStr">
        <is>
          <t>QLD</t>
        </is>
      </c>
      <c r="C52" s="44" t="inlineStr">
        <is>
          <t>Public Holiday Penalty</t>
        </is>
      </c>
      <c r="D52" s="79" t="n">
        <v>114523.0304615385</v>
      </c>
      <c r="E52" s="79" t="n">
        <v>152905.4121153846</v>
      </c>
      <c r="F52" s="79" t="n">
        <v>191424.9267692307</v>
      </c>
    </row>
    <row r="53">
      <c r="A53" t="inlineStr">
        <is>
          <t>Admin staff</t>
        </is>
      </c>
      <c r="B53" t="inlineStr">
        <is>
          <t>SA</t>
        </is>
      </c>
      <c r="C53" s="44" t="inlineStr">
        <is>
          <t>Public Holiday Penalty</t>
        </is>
      </c>
      <c r="D53" s="79" t="n">
        <v>134459.6718461539</v>
      </c>
      <c r="E53" s="79" t="n">
        <v>150064.7570769231</v>
      </c>
      <c r="F53" s="79" t="n">
        <v>165705.9643076923</v>
      </c>
    </row>
    <row r="54">
      <c r="A54" t="inlineStr">
        <is>
          <t>Admin staff</t>
        </is>
      </c>
      <c r="B54" t="inlineStr">
        <is>
          <t>VIC</t>
        </is>
      </c>
      <c r="C54" s="44" t="inlineStr">
        <is>
          <t>Public Holiday Penalty</t>
        </is>
      </c>
      <c r="D54" s="79" t="n">
        <v>162493.9008846154</v>
      </c>
      <c r="E54" s="79" t="n">
        <v>198325.5966538462</v>
      </c>
      <c r="F54" s="79" t="n">
        <v>234264.2369230769</v>
      </c>
    </row>
    <row r="55">
      <c r="A55" t="inlineStr">
        <is>
          <t>Admin staff</t>
        </is>
      </c>
      <c r="B55" t="inlineStr">
        <is>
          <t>WA</t>
        </is>
      </c>
      <c r="C55" s="44" t="inlineStr">
        <is>
          <t>Public Holiday Penalty</t>
        </is>
      </c>
      <c r="D55" s="79" t="n">
        <v>148427.5891153846</v>
      </c>
      <c r="E55" s="79" t="n">
        <v>163559.5432307692</v>
      </c>
      <c r="F55" s="79" t="n">
        <v>178720.0578461539</v>
      </c>
    </row>
    <row r="56">
      <c r="A56" t="inlineStr">
        <is>
          <t>Admin staff</t>
        </is>
      </c>
      <c r="B56" t="inlineStr">
        <is>
          <t>ALL</t>
        </is>
      </c>
      <c r="C56" s="44" t="inlineStr">
        <is>
          <t>Sick Leave</t>
        </is>
      </c>
      <c r="D56" s="79" t="n">
        <v>117177.6178461539</v>
      </c>
      <c r="E56" s="79" t="n">
        <v>160026.8339790769</v>
      </c>
      <c r="F56" s="79" t="n">
        <v>224322.5984615385</v>
      </c>
    </row>
    <row r="57">
      <c r="A57" t="inlineStr">
        <is>
          <t>Admin staff</t>
        </is>
      </c>
      <c r="B57" t="inlineStr">
        <is>
          <t>NSW</t>
        </is>
      </c>
      <c r="C57" s="44" t="inlineStr">
        <is>
          <t>Sick Leave</t>
        </is>
      </c>
      <c r="D57" s="79" t="n">
        <v>114089.18592</v>
      </c>
      <c r="E57" s="79" t="n">
        <v>137204.75628</v>
      </c>
      <c r="F57" s="79" t="n">
        <v>160320.32664</v>
      </c>
    </row>
    <row r="58">
      <c r="A58" t="inlineStr">
        <is>
          <t>Admin staff</t>
        </is>
      </c>
      <c r="B58" t="inlineStr">
        <is>
          <t>QLD</t>
        </is>
      </c>
      <c r="C58" s="44" t="inlineStr">
        <is>
          <t>Sick Leave</t>
        </is>
      </c>
      <c r="D58" s="79" t="n">
        <v>114785.4024615385</v>
      </c>
      <c r="E58" s="79" t="n">
        <v>152905.4121153846</v>
      </c>
      <c r="F58" s="79" t="n">
        <v>191025.4217692308</v>
      </c>
    </row>
    <row r="59">
      <c r="A59" t="inlineStr">
        <is>
          <t>Admin staff</t>
        </is>
      </c>
      <c r="B59" t="inlineStr">
        <is>
          <t>SA</t>
        </is>
      </c>
      <c r="C59" s="44" t="inlineStr">
        <is>
          <t>Sick Leave</t>
        </is>
      </c>
      <c r="D59" s="79" t="n">
        <v>134772.7098461539</v>
      </c>
      <c r="E59" s="79" t="n">
        <v>150064.7570769231</v>
      </c>
      <c r="F59" s="79" t="n">
        <v>165356.8043076923</v>
      </c>
    </row>
    <row r="60">
      <c r="A60" t="inlineStr">
        <is>
          <t>Admin staff</t>
        </is>
      </c>
      <c r="B60" t="inlineStr">
        <is>
          <t>VIC</t>
        </is>
      </c>
      <c r="C60" s="44" t="inlineStr">
        <is>
          <t>Sick Leave</t>
        </is>
      </c>
      <c r="D60" s="79" t="n">
        <v>162844.2563846154</v>
      </c>
      <c r="E60" s="79" t="n">
        <v>198325.5966538462</v>
      </c>
      <c r="F60" s="79" t="n">
        <v>233806.9369230769</v>
      </c>
    </row>
    <row r="61">
      <c r="A61" t="inlineStr">
        <is>
          <t>Admin staff</t>
        </is>
      </c>
      <c r="B61" t="inlineStr">
        <is>
          <t>WA</t>
        </is>
      </c>
      <c r="C61" s="44" t="inlineStr">
        <is>
          <t>Sick Leave</t>
        </is>
      </c>
      <c r="D61" s="79" t="n">
        <v>148744.2736153846</v>
      </c>
      <c r="E61" s="79" t="n">
        <v>163559.5432307692</v>
      </c>
      <c r="F61" s="79" t="n">
        <v>178374.8128461538</v>
      </c>
    </row>
    <row r="62">
      <c r="A62" t="inlineStr">
        <is>
          <t>Admin staff</t>
        </is>
      </c>
      <c r="B62" t="inlineStr">
        <is>
          <t>ALL</t>
        </is>
      </c>
      <c r="C62" s="44" t="inlineStr">
        <is>
          <t>Superannuation</t>
        </is>
      </c>
      <c r="D62" s="79" t="n">
        <v>116939.0978461538</v>
      </c>
      <c r="E62" s="79" t="n">
        <v>160026.8339790769</v>
      </c>
      <c r="F62" s="79" t="n">
        <v>225923.1484615385</v>
      </c>
    </row>
    <row r="63">
      <c r="A63" t="inlineStr">
        <is>
          <t>Admin staff</t>
        </is>
      </c>
      <c r="B63" t="inlineStr">
        <is>
          <t>NSW</t>
        </is>
      </c>
      <c r="C63" s="44" t="inlineStr">
        <is>
          <t>Superannuation</t>
        </is>
      </c>
      <c r="D63" s="79" t="n">
        <v>113848.28032</v>
      </c>
      <c r="E63" s="79" t="n">
        <v>137204.75628</v>
      </c>
      <c r="F63" s="79" t="n">
        <v>161505.16484</v>
      </c>
    </row>
    <row r="64">
      <c r="A64" t="inlineStr">
        <is>
          <t>Admin staff</t>
        </is>
      </c>
      <c r="B64" t="inlineStr">
        <is>
          <t>QLD</t>
        </is>
      </c>
      <c r="C64" s="44" t="inlineStr">
        <is>
          <t>Superannuation</t>
        </is>
      </c>
      <c r="D64" s="79" t="n">
        <v>114546.8824615385</v>
      </c>
      <c r="E64" s="79" t="n">
        <v>152905.4121153846</v>
      </c>
      <c r="F64" s="79" t="n">
        <v>192423.6892692308</v>
      </c>
    </row>
    <row r="65">
      <c r="A65" t="inlineStr">
        <is>
          <t>Admin staff</t>
        </is>
      </c>
      <c r="B65" t="inlineStr">
        <is>
          <t>SA</t>
        </is>
      </c>
      <c r="C65" s="44" t="inlineStr">
        <is>
          <t>Superannuation</t>
        </is>
      </c>
      <c r="D65" s="79" t="n">
        <v>134488.1298461538</v>
      </c>
      <c r="E65" s="79" t="n">
        <v>150064.7570769231</v>
      </c>
      <c r="F65" s="79" t="n">
        <v>166578.8643076923</v>
      </c>
    </row>
    <row r="66">
      <c r="A66" t="inlineStr">
        <is>
          <t>Admin staff</t>
        </is>
      </c>
      <c r="B66" t="inlineStr">
        <is>
          <t>VIC</t>
        </is>
      </c>
      <c r="C66" s="44" t="inlineStr">
        <is>
          <t>Superannuation</t>
        </is>
      </c>
      <c r="D66" s="79" t="n">
        <v>162525.7513846154</v>
      </c>
      <c r="E66" s="79" t="n">
        <v>198325.5966538462</v>
      </c>
      <c r="F66" s="79" t="n">
        <v>235407.4869230769</v>
      </c>
    </row>
    <row r="67">
      <c r="A67" t="inlineStr">
        <is>
          <t>Admin staff</t>
        </is>
      </c>
      <c r="B67" t="inlineStr">
        <is>
          <t>WA</t>
        </is>
      </c>
      <c r="C67" s="44" t="inlineStr">
        <is>
          <t>Superannuation</t>
        </is>
      </c>
      <c r="D67" s="79" t="n">
        <v>148456.3786153846</v>
      </c>
      <c r="E67" s="79" t="n">
        <v>163559.5432307692</v>
      </c>
      <c r="F67" s="79" t="n">
        <v>179583.1703461538</v>
      </c>
    </row>
    <row r="68">
      <c r="A68" t="inlineStr">
        <is>
          <t>Bioinformatics staff</t>
        </is>
      </c>
      <c r="B68" t="inlineStr">
        <is>
          <t>ALL</t>
        </is>
      </c>
      <c r="C68" s="44" t="inlineStr">
        <is>
          <t>Annual Leave</t>
        </is>
      </c>
      <c r="D68" s="79" t="n">
        <v>164730.1413846154</v>
      </c>
      <c r="E68" s="79" t="n">
        <v>236555.5769615385</v>
      </c>
      <c r="F68" s="79" t="n">
        <v>347404.8190769231</v>
      </c>
    </row>
    <row r="69">
      <c r="A69" t="inlineStr">
        <is>
          <t>Bioinformatics staff</t>
        </is>
      </c>
      <c r="B69" t="inlineStr">
        <is>
          <t>NSW</t>
        </is>
      </c>
      <c r="C69" s="44" t="inlineStr">
        <is>
          <t>Annual Leave</t>
        </is>
      </c>
      <c r="D69" s="79" t="n">
        <v>168992.3613846154</v>
      </c>
      <c r="E69" s="79" t="n">
        <v>231185.3645</v>
      </c>
      <c r="F69" s="79" t="n">
        <v>293378.3676153846</v>
      </c>
    </row>
    <row r="70">
      <c r="A70" t="inlineStr">
        <is>
          <t>Bioinformatics staff</t>
        </is>
      </c>
      <c r="B70" t="inlineStr">
        <is>
          <t>QLD</t>
        </is>
      </c>
      <c r="C70" s="44" t="inlineStr">
        <is>
          <t>Annual Leave</t>
        </is>
      </c>
      <c r="D70" s="79" t="n">
        <v>165286.0979230769</v>
      </c>
      <c r="E70" s="79" t="n">
        <v>248808.6646538461</v>
      </c>
      <c r="F70" s="79" t="n">
        <v>332331.2313846154</v>
      </c>
    </row>
    <row r="71">
      <c r="A71" t="inlineStr">
        <is>
          <t>Bioinformatics staff</t>
        </is>
      </c>
      <c r="B71" t="inlineStr">
        <is>
          <t>SA</t>
        </is>
      </c>
      <c r="C71" s="44" t="inlineStr">
        <is>
          <t>Annual Leave</t>
        </is>
      </c>
      <c r="D71" s="79" t="n">
        <v>157196.9413846154</v>
      </c>
      <c r="E71" s="79" t="n">
        <v>216872.1548076923</v>
      </c>
      <c r="F71" s="79" t="n">
        <v>276547.3682307692</v>
      </c>
    </row>
    <row r="72">
      <c r="A72" t="inlineStr">
        <is>
          <t>Bioinformatics staff</t>
        </is>
      </c>
      <c r="B72" t="inlineStr">
        <is>
          <t>VIC</t>
        </is>
      </c>
      <c r="C72" s="44" t="inlineStr">
        <is>
          <t>Annual Leave</t>
        </is>
      </c>
      <c r="D72" s="79" t="n">
        <v>203549.5686153846</v>
      </c>
      <c r="E72" s="79" t="n">
        <v>260395.8933076923</v>
      </c>
      <c r="F72" s="79" t="n">
        <v>317242.218</v>
      </c>
    </row>
    <row r="73">
      <c r="A73" t="inlineStr">
        <is>
          <t>Bioinformatics staff</t>
        </is>
      </c>
      <c r="B73" t="inlineStr">
        <is>
          <t>WA</t>
        </is>
      </c>
      <c r="C73" s="44" t="inlineStr">
        <is>
          <t>Annual Leave</t>
        </is>
      </c>
      <c r="D73" s="79" t="n">
        <v>206401.118</v>
      </c>
      <c r="E73" s="79" t="n">
        <v>224182.0248461539</v>
      </c>
      <c r="F73" s="79" t="n">
        <v>241962.9316923077</v>
      </c>
    </row>
    <row r="74">
      <c r="A74" t="inlineStr">
        <is>
          <t>Bioinformatics staff</t>
        </is>
      </c>
      <c r="B74" t="inlineStr">
        <is>
          <t>ALL</t>
        </is>
      </c>
      <c r="C74" s="44" t="inlineStr">
        <is>
          <t>Attraction and Retention Allowance</t>
        </is>
      </c>
      <c r="D74" s="79" t="n">
        <v>164730.1413846154</v>
      </c>
      <c r="E74" s="79" t="n">
        <v>236555.5769615385</v>
      </c>
      <c r="F74" s="79" t="n">
        <v>347404.8190769231</v>
      </c>
    </row>
    <row r="75">
      <c r="A75" t="inlineStr">
        <is>
          <t>Bioinformatics staff</t>
        </is>
      </c>
      <c r="B75" t="inlineStr">
        <is>
          <t>NSW</t>
        </is>
      </c>
      <c r="C75" s="44" t="inlineStr">
        <is>
          <t>Attraction and Retention Allowance</t>
        </is>
      </c>
      <c r="D75" s="79" t="n">
        <v>168992.3613846154</v>
      </c>
      <c r="E75" s="79" t="n">
        <v>231185.3645</v>
      </c>
      <c r="F75" s="79" t="n">
        <v>293378.3676153846</v>
      </c>
    </row>
    <row r="76">
      <c r="A76" t="inlineStr">
        <is>
          <t>Bioinformatics staff</t>
        </is>
      </c>
      <c r="B76" t="inlineStr">
        <is>
          <t>QLD</t>
        </is>
      </c>
      <c r="C76" s="44" t="inlineStr">
        <is>
          <t>Attraction and Retention Allowance</t>
        </is>
      </c>
      <c r="D76" s="79" t="n">
        <v>165286.0979230769</v>
      </c>
      <c r="E76" s="79" t="n">
        <v>248808.6646538461</v>
      </c>
      <c r="F76" s="79" t="n">
        <v>332331.2313846154</v>
      </c>
    </row>
    <row r="77">
      <c r="A77" t="inlineStr">
        <is>
          <t>Bioinformatics staff</t>
        </is>
      </c>
      <c r="B77" t="inlineStr">
        <is>
          <t>SA</t>
        </is>
      </c>
      <c r="C77" s="44" t="inlineStr">
        <is>
          <t>Attraction and Retention Allowance</t>
        </is>
      </c>
      <c r="D77" s="79" t="n">
        <v>157196.9413846154</v>
      </c>
      <c r="E77" s="79" t="n">
        <v>216872.1548076923</v>
      </c>
      <c r="F77" s="79" t="n">
        <v>276547.3682307692</v>
      </c>
    </row>
    <row r="78">
      <c r="A78" t="inlineStr">
        <is>
          <t>Bioinformatics staff</t>
        </is>
      </c>
      <c r="B78" t="inlineStr">
        <is>
          <t>VIC</t>
        </is>
      </c>
      <c r="C78" s="44" t="inlineStr">
        <is>
          <t>Attraction and Retention Allowance</t>
        </is>
      </c>
      <c r="D78" s="79" t="n">
        <v>203549.5686153846</v>
      </c>
      <c r="E78" s="79" t="n">
        <v>260395.8933076923</v>
      </c>
      <c r="F78" s="79" t="n">
        <v>317242.218</v>
      </c>
    </row>
    <row r="79">
      <c r="A79" t="inlineStr">
        <is>
          <t>Bioinformatics staff</t>
        </is>
      </c>
      <c r="B79" t="inlineStr">
        <is>
          <t>WA</t>
        </is>
      </c>
      <c r="C79" s="44" t="inlineStr">
        <is>
          <t>Attraction and Retention Allowance</t>
        </is>
      </c>
      <c r="D79" s="79" t="n">
        <v>206401.118</v>
      </c>
      <c r="E79" s="79" t="n">
        <v>224182.0248461539</v>
      </c>
      <c r="F79" s="79" t="n">
        <v>241962.9316923077</v>
      </c>
    </row>
    <row r="80">
      <c r="A80" t="inlineStr">
        <is>
          <t>Bioinformatics staff</t>
        </is>
      </c>
      <c r="B80" t="inlineStr">
        <is>
          <t>ALL</t>
        </is>
      </c>
      <c r="C80" s="44" t="inlineStr">
        <is>
          <t>Average Penalties</t>
        </is>
      </c>
      <c r="D80" s="79" t="n">
        <v>158119.5413846154</v>
      </c>
      <c r="E80" s="79" t="n">
        <v>236555.5769615385</v>
      </c>
      <c r="F80" s="79" t="n">
        <v>375320.0190769231</v>
      </c>
    </row>
    <row r="81">
      <c r="A81" t="inlineStr">
        <is>
          <t>Bioinformatics staff</t>
        </is>
      </c>
      <c r="B81" t="inlineStr">
        <is>
          <t>NSW</t>
        </is>
      </c>
      <c r="C81" s="44" t="inlineStr">
        <is>
          <t>Average Penalties</t>
        </is>
      </c>
      <c r="D81" s="79" t="n">
        <v>162381.7613846154</v>
      </c>
      <c r="E81" s="79" t="n">
        <v>231185.3645</v>
      </c>
      <c r="F81" s="79" t="n">
        <v>316330.9676153846</v>
      </c>
    </row>
    <row r="82">
      <c r="A82" t="inlineStr">
        <is>
          <t>Bioinformatics staff</t>
        </is>
      </c>
      <c r="B82" t="inlineStr">
        <is>
          <t>QLD</t>
        </is>
      </c>
      <c r="C82" s="44" t="inlineStr">
        <is>
          <t>Average Penalties</t>
        </is>
      </c>
      <c r="D82" s="79" t="n">
        <v>158382.9979230769</v>
      </c>
      <c r="E82" s="79" t="n">
        <v>248808.6646538461</v>
      </c>
      <c r="F82" s="79" t="n">
        <v>360246.4313846154</v>
      </c>
    </row>
    <row r="83">
      <c r="A83" t="inlineStr">
        <is>
          <t>Bioinformatics staff</t>
        </is>
      </c>
      <c r="B83" t="inlineStr">
        <is>
          <t>SA</t>
        </is>
      </c>
      <c r="C83" s="44" t="inlineStr">
        <is>
          <t>Average Penalties</t>
        </is>
      </c>
      <c r="D83" s="79" t="n">
        <v>150558.3413846154</v>
      </c>
      <c r="E83" s="79" t="n">
        <v>216872.1548076923</v>
      </c>
      <c r="F83" s="79" t="n">
        <v>299905.1682307692</v>
      </c>
    </row>
    <row r="84">
      <c r="A84" t="inlineStr">
        <is>
          <t>Bioinformatics staff</t>
        </is>
      </c>
      <c r="B84" t="inlineStr">
        <is>
          <t>VIC</t>
        </is>
      </c>
      <c r="C84" s="44" t="inlineStr">
        <is>
          <t>Average Penalties</t>
        </is>
      </c>
      <c r="D84" s="79" t="n">
        <v>195587.1686153846</v>
      </c>
      <c r="E84" s="79" t="n">
        <v>260395.8933076923</v>
      </c>
      <c r="F84" s="79" t="n">
        <v>342061.818</v>
      </c>
    </row>
    <row r="85">
      <c r="A85" t="inlineStr">
        <is>
          <t>Bioinformatics staff</t>
        </is>
      </c>
      <c r="B85" t="inlineStr">
        <is>
          <t>WA</t>
        </is>
      </c>
      <c r="C85" s="44" t="inlineStr">
        <is>
          <t>Average Penalties</t>
        </is>
      </c>
      <c r="D85" s="79" t="n">
        <v>198411.318</v>
      </c>
      <c r="E85" s="79" t="n">
        <v>224182.0248461539</v>
      </c>
      <c r="F85" s="79" t="n">
        <v>260695.7316923077</v>
      </c>
    </row>
    <row r="86">
      <c r="A86" t="inlineStr">
        <is>
          <t>Bioinformatics staff</t>
        </is>
      </c>
      <c r="B86" t="inlineStr">
        <is>
          <t>ALL</t>
        </is>
      </c>
      <c r="C86" s="44" t="inlineStr">
        <is>
          <t>Base Case</t>
        </is>
      </c>
      <c r="D86" s="79" t="n">
        <v>157196.9413846154</v>
      </c>
      <c r="E86" s="79" t="n">
        <v>236288.8204230769</v>
      </c>
      <c r="F86" s="79" t="n">
        <v>332331.2313846154</v>
      </c>
    </row>
    <row r="87">
      <c r="A87" t="inlineStr">
        <is>
          <t>Bioinformatics staff</t>
        </is>
      </c>
      <c r="B87" t="inlineStr">
        <is>
          <t>NSW</t>
        </is>
      </c>
      <c r="C87" s="44" t="inlineStr">
        <is>
          <t>Base Case</t>
        </is>
      </c>
      <c r="D87" s="79" t="n">
        <v>168992.3613846154</v>
      </c>
      <c r="E87" s="79" t="n">
        <v>231185.3645</v>
      </c>
      <c r="F87" s="79" t="n">
        <v>293378.3676153846</v>
      </c>
    </row>
    <row r="88">
      <c r="A88" t="inlineStr">
        <is>
          <t>Bioinformatics staff</t>
        </is>
      </c>
      <c r="B88" t="inlineStr">
        <is>
          <t>QLD</t>
        </is>
      </c>
      <c r="C88" s="44" t="inlineStr">
        <is>
          <t>Base Case</t>
        </is>
      </c>
      <c r="D88" s="79" t="n">
        <v>165286.0979230769</v>
      </c>
      <c r="E88" s="79" t="n">
        <v>248808.6646538461</v>
      </c>
      <c r="F88" s="79" t="n">
        <v>332331.2313846154</v>
      </c>
    </row>
    <row r="89">
      <c r="A89" t="inlineStr">
        <is>
          <t>Bioinformatics staff</t>
        </is>
      </c>
      <c r="B89" t="inlineStr">
        <is>
          <t>SA</t>
        </is>
      </c>
      <c r="C89" s="44" t="inlineStr">
        <is>
          <t>Base Case</t>
        </is>
      </c>
      <c r="D89" s="79" t="n">
        <v>157196.9413846154</v>
      </c>
      <c r="E89" s="79" t="n">
        <v>216872.1548076923</v>
      </c>
      <c r="F89" s="79" t="n">
        <v>276547.3682307692</v>
      </c>
    </row>
    <row r="90">
      <c r="A90" t="inlineStr">
        <is>
          <t>Bioinformatics staff</t>
        </is>
      </c>
      <c r="B90" t="inlineStr">
        <is>
          <t>VIC</t>
        </is>
      </c>
      <c r="C90" s="44" t="inlineStr">
        <is>
          <t>Base Case</t>
        </is>
      </c>
      <c r="D90" s="79" t="n">
        <v>203549.5686153846</v>
      </c>
      <c r="E90" s="79" t="n">
        <v>260395.8933076923</v>
      </c>
      <c r="F90" s="79" t="n">
        <v>317242.218</v>
      </c>
    </row>
    <row r="91">
      <c r="A91" t="inlineStr">
        <is>
          <t>Bioinformatics staff</t>
        </is>
      </c>
      <c r="B91" t="inlineStr">
        <is>
          <t>WA</t>
        </is>
      </c>
      <c r="C91" s="44" t="inlineStr">
        <is>
          <t>Base Case</t>
        </is>
      </c>
      <c r="D91" s="79" t="n">
        <v>206401.118</v>
      </c>
      <c r="E91" s="79" t="n">
        <v>224182.0248461539</v>
      </c>
      <c r="F91" s="79" t="n">
        <v>241962.9316923077</v>
      </c>
    </row>
    <row r="92">
      <c r="A92" t="inlineStr">
        <is>
          <t>Bioinformatics staff</t>
        </is>
      </c>
      <c r="B92" t="inlineStr">
        <is>
          <t>ALL</t>
        </is>
      </c>
      <c r="C92" s="44" t="inlineStr">
        <is>
          <t>Hours worked</t>
        </is>
      </c>
      <c r="D92" s="79" t="n">
        <v>164730.1413846154</v>
      </c>
      <c r="E92" s="79" t="n">
        <v>236555.5769615385</v>
      </c>
      <c r="F92" s="79" t="n">
        <v>347404.8190769231</v>
      </c>
    </row>
    <row r="93">
      <c r="A93" t="inlineStr">
        <is>
          <t>Bioinformatics staff</t>
        </is>
      </c>
      <c r="B93" t="inlineStr">
        <is>
          <t>NSW</t>
        </is>
      </c>
      <c r="C93" s="44" t="inlineStr">
        <is>
          <t>Hours worked</t>
        </is>
      </c>
      <c r="D93" s="79" t="n">
        <v>168992.3613846154</v>
      </c>
      <c r="E93" s="79" t="n">
        <v>231185.3645</v>
      </c>
      <c r="F93" s="79" t="n">
        <v>293378.3676153846</v>
      </c>
    </row>
    <row r="94">
      <c r="A94" t="inlineStr">
        <is>
          <t>Bioinformatics staff</t>
        </is>
      </c>
      <c r="B94" t="inlineStr">
        <is>
          <t>QLD</t>
        </is>
      </c>
      <c r="C94" s="44" t="inlineStr">
        <is>
          <t>Hours worked</t>
        </is>
      </c>
      <c r="D94" s="79" t="n">
        <v>165286.0979230769</v>
      </c>
      <c r="E94" s="79" t="n">
        <v>248808.6646538461</v>
      </c>
      <c r="F94" s="79" t="n">
        <v>332331.2313846154</v>
      </c>
    </row>
    <row r="95">
      <c r="A95" t="inlineStr">
        <is>
          <t>Bioinformatics staff</t>
        </is>
      </c>
      <c r="B95" t="inlineStr">
        <is>
          <t>SA</t>
        </is>
      </c>
      <c r="C95" s="44" t="inlineStr">
        <is>
          <t>Hours worked</t>
        </is>
      </c>
      <c r="D95" s="79" t="n">
        <v>157196.9413846154</v>
      </c>
      <c r="E95" s="79" t="n">
        <v>216872.1548076923</v>
      </c>
      <c r="F95" s="79" t="n">
        <v>276547.3682307692</v>
      </c>
    </row>
    <row r="96">
      <c r="A96" t="inlineStr">
        <is>
          <t>Bioinformatics staff</t>
        </is>
      </c>
      <c r="B96" t="inlineStr">
        <is>
          <t>VIC</t>
        </is>
      </c>
      <c r="C96" s="44" t="inlineStr">
        <is>
          <t>Hours worked</t>
        </is>
      </c>
      <c r="D96" s="79" t="n">
        <v>203549.5686153846</v>
      </c>
      <c r="E96" s="79" t="n">
        <v>260395.8933076923</v>
      </c>
      <c r="F96" s="79" t="n">
        <v>317242.218</v>
      </c>
    </row>
    <row r="97">
      <c r="A97" t="inlineStr">
        <is>
          <t>Bioinformatics staff</t>
        </is>
      </c>
      <c r="B97" t="inlineStr">
        <is>
          <t>WA</t>
        </is>
      </c>
      <c r="C97" s="44" t="inlineStr">
        <is>
          <t>Hours worked</t>
        </is>
      </c>
      <c r="D97" s="79" t="n">
        <v>206401.118</v>
      </c>
      <c r="E97" s="79" t="n">
        <v>224182.0248461539</v>
      </c>
      <c r="F97" s="79" t="n">
        <v>241962.9316923077</v>
      </c>
    </row>
    <row r="98">
      <c r="A98" t="inlineStr">
        <is>
          <t>Bioinformatics staff</t>
        </is>
      </c>
      <c r="B98" t="inlineStr">
        <is>
          <t>ALL</t>
        </is>
      </c>
      <c r="C98" s="44" t="inlineStr">
        <is>
          <t xml:space="preserve">Leave Loading (%)		</t>
        </is>
      </c>
      <c r="D98" s="79" t="n">
        <v>164730.1413846154</v>
      </c>
      <c r="E98" s="79" t="n">
        <v>236555.5769615385</v>
      </c>
      <c r="F98" s="79" t="n">
        <v>347404.8190769231</v>
      </c>
    </row>
    <row r="99">
      <c r="A99" t="inlineStr">
        <is>
          <t>Bioinformatics staff</t>
        </is>
      </c>
      <c r="B99" t="inlineStr">
        <is>
          <t>NSW</t>
        </is>
      </c>
      <c r="C99" s="44" t="inlineStr">
        <is>
          <t xml:space="preserve">Leave Loading (%)		</t>
        </is>
      </c>
      <c r="D99" s="79" t="n">
        <v>168992.3613846154</v>
      </c>
      <c r="E99" s="79" t="n">
        <v>231185.3645</v>
      </c>
      <c r="F99" s="79" t="n">
        <v>293378.3676153846</v>
      </c>
    </row>
    <row r="100">
      <c r="A100" t="inlineStr">
        <is>
          <t>Bioinformatics staff</t>
        </is>
      </c>
      <c r="B100" t="inlineStr">
        <is>
          <t>QLD</t>
        </is>
      </c>
      <c r="C100" s="44" t="inlineStr">
        <is>
          <t xml:space="preserve">Leave Loading (%)		</t>
        </is>
      </c>
      <c r="D100" s="79" t="n">
        <v>165286.0979230769</v>
      </c>
      <c r="E100" s="79" t="n">
        <v>248808.6646538461</v>
      </c>
      <c r="F100" s="79" t="n">
        <v>332331.2313846154</v>
      </c>
    </row>
    <row r="101">
      <c r="A101" t="inlineStr">
        <is>
          <t>Bioinformatics staff</t>
        </is>
      </c>
      <c r="B101" t="inlineStr">
        <is>
          <t>SA</t>
        </is>
      </c>
      <c r="C101" s="44" t="inlineStr">
        <is>
          <t xml:space="preserve">Leave Loading (%)		</t>
        </is>
      </c>
      <c r="D101" s="79" t="n">
        <v>157196.9413846154</v>
      </c>
      <c r="E101" s="79" t="n">
        <v>216872.1548076923</v>
      </c>
      <c r="F101" s="79" t="n">
        <v>276547.3682307692</v>
      </c>
    </row>
    <row r="102">
      <c r="A102" t="inlineStr">
        <is>
          <t>Bioinformatics staff</t>
        </is>
      </c>
      <c r="B102" t="inlineStr">
        <is>
          <t>VIC</t>
        </is>
      </c>
      <c r="C102" s="44" t="inlineStr">
        <is>
          <t xml:space="preserve">Leave Loading (%)		</t>
        </is>
      </c>
      <c r="D102" s="79" t="n">
        <v>203549.5686153846</v>
      </c>
      <c r="E102" s="79" t="n">
        <v>260395.8933076923</v>
      </c>
      <c r="F102" s="79" t="n">
        <v>317242.218</v>
      </c>
    </row>
    <row r="103">
      <c r="A103" t="inlineStr">
        <is>
          <t>Bioinformatics staff</t>
        </is>
      </c>
      <c r="B103" t="inlineStr">
        <is>
          <t>WA</t>
        </is>
      </c>
      <c r="C103" s="44" t="inlineStr">
        <is>
          <t xml:space="preserve">Leave Loading (%)		</t>
        </is>
      </c>
      <c r="D103" s="79" t="n">
        <v>206401.118</v>
      </c>
      <c r="E103" s="79" t="n">
        <v>224182.0248461539</v>
      </c>
      <c r="F103" s="79" t="n">
        <v>241962.9316923077</v>
      </c>
    </row>
    <row r="104">
      <c r="A104" t="inlineStr">
        <is>
          <t>Bioinformatics staff</t>
        </is>
      </c>
      <c r="B104" t="inlineStr">
        <is>
          <t>ALL</t>
        </is>
      </c>
      <c r="C104" s="44" t="inlineStr">
        <is>
          <t>Private Practice Loading</t>
        </is>
      </c>
      <c r="D104" s="79" t="n">
        <v>164730.1413846154</v>
      </c>
      <c r="E104" s="79" t="n">
        <v>236555.5769615385</v>
      </c>
      <c r="F104" s="79" t="n">
        <v>347404.8190769231</v>
      </c>
    </row>
    <row r="105">
      <c r="A105" t="inlineStr">
        <is>
          <t>Bioinformatics staff</t>
        </is>
      </c>
      <c r="B105" t="inlineStr">
        <is>
          <t>NSW</t>
        </is>
      </c>
      <c r="C105" s="44" t="inlineStr">
        <is>
          <t>Private Practice Loading</t>
        </is>
      </c>
      <c r="D105" s="79" t="n">
        <v>168992.3613846154</v>
      </c>
      <c r="E105" s="79" t="n">
        <v>231185.3645</v>
      </c>
      <c r="F105" s="79" t="n">
        <v>293378.3676153846</v>
      </c>
    </row>
    <row r="106">
      <c r="A106" t="inlineStr">
        <is>
          <t>Bioinformatics staff</t>
        </is>
      </c>
      <c r="B106" t="inlineStr">
        <is>
          <t>QLD</t>
        </is>
      </c>
      <c r="C106" s="44" t="inlineStr">
        <is>
          <t>Private Practice Loading</t>
        </is>
      </c>
      <c r="D106" s="79" t="n">
        <v>165286.0979230769</v>
      </c>
      <c r="E106" s="79" t="n">
        <v>248808.6646538461</v>
      </c>
      <c r="F106" s="79" t="n">
        <v>332331.2313846154</v>
      </c>
    </row>
    <row r="107">
      <c r="A107" t="inlineStr">
        <is>
          <t>Bioinformatics staff</t>
        </is>
      </c>
      <c r="B107" t="inlineStr">
        <is>
          <t>SA</t>
        </is>
      </c>
      <c r="C107" s="44" t="inlineStr">
        <is>
          <t>Private Practice Loading</t>
        </is>
      </c>
      <c r="D107" s="79" t="n">
        <v>157196.9413846154</v>
      </c>
      <c r="E107" s="79" t="n">
        <v>216872.1548076923</v>
      </c>
      <c r="F107" s="79" t="n">
        <v>276547.3682307692</v>
      </c>
    </row>
    <row r="108">
      <c r="A108" t="inlineStr">
        <is>
          <t>Bioinformatics staff</t>
        </is>
      </c>
      <c r="B108" t="inlineStr">
        <is>
          <t>VIC</t>
        </is>
      </c>
      <c r="C108" s="44" t="inlineStr">
        <is>
          <t>Private Practice Loading</t>
        </is>
      </c>
      <c r="D108" s="79" t="n">
        <v>203549.5686153846</v>
      </c>
      <c r="E108" s="79" t="n">
        <v>260395.8933076923</v>
      </c>
      <c r="F108" s="79" t="n">
        <v>317242.218</v>
      </c>
    </row>
    <row r="109">
      <c r="A109" t="inlineStr">
        <is>
          <t>Bioinformatics staff</t>
        </is>
      </c>
      <c r="B109" t="inlineStr">
        <is>
          <t>WA</t>
        </is>
      </c>
      <c r="C109" s="44" t="inlineStr">
        <is>
          <t>Private Practice Loading</t>
        </is>
      </c>
      <c r="D109" s="79" t="n">
        <v>206401.118</v>
      </c>
      <c r="E109" s="79" t="n">
        <v>224182.0248461539</v>
      </c>
      <c r="F109" s="79" t="n">
        <v>241962.9316923077</v>
      </c>
    </row>
    <row r="110">
      <c r="A110" t="inlineStr">
        <is>
          <t>Bioinformatics staff</t>
        </is>
      </c>
      <c r="B110" t="inlineStr">
        <is>
          <t>ALL</t>
        </is>
      </c>
      <c r="C110" s="44" t="inlineStr">
        <is>
          <t>Professional Development Allowance</t>
        </is>
      </c>
      <c r="D110" s="79" t="n">
        <v>164730.1413846154</v>
      </c>
      <c r="E110" s="79" t="n">
        <v>236555.5769615385</v>
      </c>
      <c r="F110" s="79" t="n">
        <v>347404.8190769231</v>
      </c>
    </row>
    <row r="111">
      <c r="A111" t="inlineStr">
        <is>
          <t>Bioinformatics staff</t>
        </is>
      </c>
      <c r="B111" t="inlineStr">
        <is>
          <t>NSW</t>
        </is>
      </c>
      <c r="C111" s="44" t="inlineStr">
        <is>
          <t>Professional Development Allowance</t>
        </is>
      </c>
      <c r="D111" s="79" t="n">
        <v>168992.3613846154</v>
      </c>
      <c r="E111" s="79" t="n">
        <v>231185.3645</v>
      </c>
      <c r="F111" s="79" t="n">
        <v>293378.3676153846</v>
      </c>
    </row>
    <row r="112">
      <c r="A112" t="inlineStr">
        <is>
          <t>Bioinformatics staff</t>
        </is>
      </c>
      <c r="B112" t="inlineStr">
        <is>
          <t>QLD</t>
        </is>
      </c>
      <c r="C112" s="44" t="inlineStr">
        <is>
          <t>Professional Development Allowance</t>
        </is>
      </c>
      <c r="D112" s="79" t="n">
        <v>165286.0979230769</v>
      </c>
      <c r="E112" s="79" t="n">
        <v>248808.6646538461</v>
      </c>
      <c r="F112" s="79" t="n">
        <v>332331.2313846154</v>
      </c>
    </row>
    <row r="113">
      <c r="A113" t="inlineStr">
        <is>
          <t>Bioinformatics staff</t>
        </is>
      </c>
      <c r="B113" t="inlineStr">
        <is>
          <t>SA</t>
        </is>
      </c>
      <c r="C113" s="44" t="inlineStr">
        <is>
          <t>Professional Development Allowance</t>
        </is>
      </c>
      <c r="D113" s="79" t="n">
        <v>157196.9413846154</v>
      </c>
      <c r="E113" s="79" t="n">
        <v>216872.1548076923</v>
      </c>
      <c r="F113" s="79" t="n">
        <v>276547.3682307692</v>
      </c>
    </row>
    <row r="114">
      <c r="A114" t="inlineStr">
        <is>
          <t>Bioinformatics staff</t>
        </is>
      </c>
      <c r="B114" t="inlineStr">
        <is>
          <t>VIC</t>
        </is>
      </c>
      <c r="C114" s="44" t="inlineStr">
        <is>
          <t>Professional Development Allowance</t>
        </is>
      </c>
      <c r="D114" s="79" t="n">
        <v>203549.5686153846</v>
      </c>
      <c r="E114" s="79" t="n">
        <v>260395.8933076923</v>
      </c>
      <c r="F114" s="79" t="n">
        <v>317242.218</v>
      </c>
    </row>
    <row r="115">
      <c r="A115" t="inlineStr">
        <is>
          <t>Bioinformatics staff</t>
        </is>
      </c>
      <c r="B115" t="inlineStr">
        <is>
          <t>WA</t>
        </is>
      </c>
      <c r="C115" s="44" t="inlineStr">
        <is>
          <t>Professional Development Allowance</t>
        </is>
      </c>
      <c r="D115" s="79" t="n">
        <v>206401.118</v>
      </c>
      <c r="E115" s="79" t="n">
        <v>224182.0248461539</v>
      </c>
      <c r="F115" s="79" t="n">
        <v>241962.9316923077</v>
      </c>
    </row>
    <row r="116">
      <c r="A116" t="inlineStr">
        <is>
          <t>Bioinformatics staff</t>
        </is>
      </c>
      <c r="B116" t="inlineStr">
        <is>
          <t>ALL</t>
        </is>
      </c>
      <c r="C116" s="44" t="inlineStr">
        <is>
          <t>Public Holiday Penalty</t>
        </is>
      </c>
      <c r="D116" s="79" t="n">
        <v>164366.5583846154</v>
      </c>
      <c r="E116" s="79" t="n">
        <v>236555.5769615385</v>
      </c>
      <c r="F116" s="79" t="n">
        <v>348102.6990769231</v>
      </c>
    </row>
    <row r="117">
      <c r="A117" t="inlineStr">
        <is>
          <t>Bioinformatics staff</t>
        </is>
      </c>
      <c r="B117" t="inlineStr">
        <is>
          <t>NSW</t>
        </is>
      </c>
      <c r="C117" s="44" t="inlineStr">
        <is>
          <t>Public Holiday Penalty</t>
        </is>
      </c>
      <c r="D117" s="79" t="n">
        <v>168628.7783846154</v>
      </c>
      <c r="E117" s="79" t="n">
        <v>231185.3645</v>
      </c>
      <c r="F117" s="79" t="n">
        <v>293952.1826153846</v>
      </c>
    </row>
    <row r="118">
      <c r="A118" t="inlineStr">
        <is>
          <t>Bioinformatics staff</t>
        </is>
      </c>
      <c r="B118" t="inlineStr">
        <is>
          <t>QLD</t>
        </is>
      </c>
      <c r="C118" s="44" t="inlineStr">
        <is>
          <t>Public Holiday Penalty</t>
        </is>
      </c>
      <c r="D118" s="79" t="n">
        <v>164906.4274230769</v>
      </c>
      <c r="E118" s="79" t="n">
        <v>248808.6646538461</v>
      </c>
      <c r="F118" s="79" t="n">
        <v>333029.1113846154</v>
      </c>
    </row>
    <row r="119">
      <c r="A119" t="inlineStr">
        <is>
          <t>Bioinformatics staff</t>
        </is>
      </c>
      <c r="B119" t="inlineStr">
        <is>
          <t>SA</t>
        </is>
      </c>
      <c r="C119" s="44" t="inlineStr">
        <is>
          <t>Public Holiday Penalty</t>
        </is>
      </c>
      <c r="D119" s="79" t="n">
        <v>156831.8183846154</v>
      </c>
      <c r="E119" s="79" t="n">
        <v>216872.1548076923</v>
      </c>
      <c r="F119" s="79" t="n">
        <v>277131.3132307692</v>
      </c>
    </row>
    <row r="120">
      <c r="A120" t="inlineStr">
        <is>
          <t>Bioinformatics staff</t>
        </is>
      </c>
      <c r="B120" t="inlineStr">
        <is>
          <t>VIC</t>
        </is>
      </c>
      <c r="C120" s="44" t="inlineStr">
        <is>
          <t>Public Holiday Penalty</t>
        </is>
      </c>
      <c r="D120" s="79" t="n">
        <v>203111.6366153846</v>
      </c>
      <c r="E120" s="79" t="n">
        <v>260395.8933076923</v>
      </c>
      <c r="F120" s="79" t="n">
        <v>317862.708</v>
      </c>
    </row>
    <row r="121">
      <c r="A121" t="inlineStr">
        <is>
          <t>Bioinformatics staff</t>
        </is>
      </c>
      <c r="B121" t="inlineStr">
        <is>
          <t>WA</t>
        </is>
      </c>
      <c r="C121" s="44" t="inlineStr">
        <is>
          <t>Public Holiday Penalty</t>
        </is>
      </c>
      <c r="D121" s="79" t="n">
        <v>205961.679</v>
      </c>
      <c r="E121" s="79" t="n">
        <v>224182.0248461539</v>
      </c>
      <c r="F121" s="79" t="n">
        <v>242431.2516923077</v>
      </c>
    </row>
    <row r="122">
      <c r="A122" t="inlineStr">
        <is>
          <t>Bioinformatics staff</t>
        </is>
      </c>
      <c r="B122" t="inlineStr">
        <is>
          <t>ALL</t>
        </is>
      </c>
      <c r="C122" s="44" t="inlineStr">
        <is>
          <t>Sick Leave</t>
        </is>
      </c>
      <c r="D122" s="79" t="n">
        <v>164730.1413846154</v>
      </c>
      <c r="E122" s="79" t="n">
        <v>236555.5769615385</v>
      </c>
      <c r="F122" s="79" t="n">
        <v>347404.8190769231</v>
      </c>
    </row>
    <row r="123">
      <c r="A123" t="inlineStr">
        <is>
          <t>Bioinformatics staff</t>
        </is>
      </c>
      <c r="B123" t="inlineStr">
        <is>
          <t>NSW</t>
        </is>
      </c>
      <c r="C123" s="44" t="inlineStr">
        <is>
          <t>Sick Leave</t>
        </is>
      </c>
      <c r="D123" s="79" t="n">
        <v>168992.3613846154</v>
      </c>
      <c r="E123" s="79" t="n">
        <v>231185.3645</v>
      </c>
      <c r="F123" s="79" t="n">
        <v>293378.3676153846</v>
      </c>
    </row>
    <row r="124">
      <c r="A124" t="inlineStr">
        <is>
          <t>Bioinformatics staff</t>
        </is>
      </c>
      <c r="B124" t="inlineStr">
        <is>
          <t>QLD</t>
        </is>
      </c>
      <c r="C124" s="44" t="inlineStr">
        <is>
          <t>Sick Leave</t>
        </is>
      </c>
      <c r="D124" s="79" t="n">
        <v>165286.0979230769</v>
      </c>
      <c r="E124" s="79" t="n">
        <v>248808.6646538461</v>
      </c>
      <c r="F124" s="79" t="n">
        <v>332331.2313846154</v>
      </c>
    </row>
    <row r="125">
      <c r="A125" t="inlineStr">
        <is>
          <t>Bioinformatics staff</t>
        </is>
      </c>
      <c r="B125" t="inlineStr">
        <is>
          <t>SA</t>
        </is>
      </c>
      <c r="C125" s="44" t="inlineStr">
        <is>
          <t>Sick Leave</t>
        </is>
      </c>
      <c r="D125" s="79" t="n">
        <v>157196.9413846154</v>
      </c>
      <c r="E125" s="79" t="n">
        <v>216872.1548076923</v>
      </c>
      <c r="F125" s="79" t="n">
        <v>276547.3682307692</v>
      </c>
    </row>
    <row r="126">
      <c r="A126" t="inlineStr">
        <is>
          <t>Bioinformatics staff</t>
        </is>
      </c>
      <c r="B126" t="inlineStr">
        <is>
          <t>VIC</t>
        </is>
      </c>
      <c r="C126" s="44" t="inlineStr">
        <is>
          <t>Sick Leave</t>
        </is>
      </c>
      <c r="D126" s="79" t="n">
        <v>203549.5686153846</v>
      </c>
      <c r="E126" s="79" t="n">
        <v>260395.8933076923</v>
      </c>
      <c r="F126" s="79" t="n">
        <v>317242.218</v>
      </c>
    </row>
    <row r="127">
      <c r="A127" t="inlineStr">
        <is>
          <t>Bioinformatics staff</t>
        </is>
      </c>
      <c r="B127" t="inlineStr">
        <is>
          <t>WA</t>
        </is>
      </c>
      <c r="C127" s="44" t="inlineStr">
        <is>
          <t>Sick Leave</t>
        </is>
      </c>
      <c r="D127" s="79" t="n">
        <v>206401.118</v>
      </c>
      <c r="E127" s="79" t="n">
        <v>224182.0248461539</v>
      </c>
      <c r="F127" s="79" t="n">
        <v>241962.9316923077</v>
      </c>
    </row>
    <row r="128">
      <c r="A128" t="inlineStr">
        <is>
          <t>Bioinformatics staff</t>
        </is>
      </c>
      <c r="B128" t="inlineStr">
        <is>
          <t>ALL</t>
        </is>
      </c>
      <c r="C128" s="44" t="inlineStr">
        <is>
          <t>Superannuation</t>
        </is>
      </c>
      <c r="D128" s="79" t="n">
        <v>164399.6113846154</v>
      </c>
      <c r="E128" s="79" t="n">
        <v>236555.5769615385</v>
      </c>
      <c r="F128" s="79" t="n">
        <v>349847.3990769231</v>
      </c>
    </row>
    <row r="129">
      <c r="A129" t="inlineStr">
        <is>
          <t>Bioinformatics staff</t>
        </is>
      </c>
      <c r="B129" t="inlineStr">
        <is>
          <t>NSW</t>
        </is>
      </c>
      <c r="C129" s="44" t="inlineStr">
        <is>
          <t>Superannuation</t>
        </is>
      </c>
      <c r="D129" s="79" t="n">
        <v>168661.8313846154</v>
      </c>
      <c r="E129" s="79" t="n">
        <v>231185.3645</v>
      </c>
      <c r="F129" s="79" t="n">
        <v>295386.7201153846</v>
      </c>
    </row>
    <row r="130">
      <c r="A130" t="inlineStr">
        <is>
          <t>Bioinformatics staff</t>
        </is>
      </c>
      <c r="B130" t="inlineStr">
        <is>
          <t>QLD</t>
        </is>
      </c>
      <c r="C130" s="44" t="inlineStr">
        <is>
          <t>Superannuation</t>
        </is>
      </c>
      <c r="D130" s="79" t="n">
        <v>164940.9429230769</v>
      </c>
      <c r="E130" s="79" t="n">
        <v>248808.6646538461</v>
      </c>
      <c r="F130" s="79" t="n">
        <v>334773.8113846154</v>
      </c>
    </row>
    <row r="131">
      <c r="A131" t="inlineStr">
        <is>
          <t>Bioinformatics staff</t>
        </is>
      </c>
      <c r="B131" t="inlineStr">
        <is>
          <t>SA</t>
        </is>
      </c>
      <c r="C131" s="44" t="inlineStr">
        <is>
          <t>Superannuation</t>
        </is>
      </c>
      <c r="D131" s="79" t="n">
        <v>156865.0113846154</v>
      </c>
      <c r="E131" s="79" t="n">
        <v>216872.1548076923</v>
      </c>
      <c r="F131" s="79" t="n">
        <v>278591.1757307692</v>
      </c>
    </row>
    <row r="132">
      <c r="A132" t="inlineStr">
        <is>
          <t>Bioinformatics staff</t>
        </is>
      </c>
      <c r="B132" t="inlineStr">
        <is>
          <t>VIC</t>
        </is>
      </c>
      <c r="C132" s="44" t="inlineStr">
        <is>
          <t>Superannuation</t>
        </is>
      </c>
      <c r="D132" s="79" t="n">
        <v>203151.4486153846</v>
      </c>
      <c r="E132" s="79" t="n">
        <v>260395.8933076923</v>
      </c>
      <c r="F132" s="79" t="n">
        <v>319413.933</v>
      </c>
    </row>
    <row r="133">
      <c r="A133" t="inlineStr">
        <is>
          <t>Bioinformatics staff</t>
        </is>
      </c>
      <c r="B133" t="inlineStr">
        <is>
          <t>WA</t>
        </is>
      </c>
      <c r="C133" s="44" t="inlineStr">
        <is>
          <t>Superannuation</t>
        </is>
      </c>
      <c r="D133" s="79" t="n">
        <v>206001.628</v>
      </c>
      <c r="E133" s="79" t="n">
        <v>224182.0248461539</v>
      </c>
      <c r="F133" s="79" t="n">
        <v>243602.0516923077</v>
      </c>
    </row>
    <row r="134">
      <c r="A134" t="inlineStr">
        <is>
          <t>Lab technician</t>
        </is>
      </c>
      <c r="B134" t="inlineStr">
        <is>
          <t>ALL</t>
        </is>
      </c>
      <c r="C134" s="44" t="inlineStr">
        <is>
          <t>Annual Leave</t>
        </is>
      </c>
      <c r="D134" s="79" t="n">
        <v>119254.1089230769</v>
      </c>
      <c r="E134" s="79" t="n">
        <v>192266.0622381538</v>
      </c>
      <c r="F134" s="79" t="n">
        <v>270490.2432307692</v>
      </c>
    </row>
    <row r="135">
      <c r="A135" t="inlineStr">
        <is>
          <t>Lab technician</t>
        </is>
      </c>
      <c r="B135" t="inlineStr">
        <is>
          <t>NSW</t>
        </is>
      </c>
      <c r="C135" s="44" t="inlineStr">
        <is>
          <t>Annual Leave</t>
        </is>
      </c>
      <c r="D135" s="79" t="n">
        <v>142117.72308</v>
      </c>
      <c r="E135" s="79" t="n">
        <v>183839.76996</v>
      </c>
      <c r="F135" s="79" t="n">
        <v>225561.81684</v>
      </c>
    </row>
    <row r="136">
      <c r="A136" t="inlineStr">
        <is>
          <t>Lab technician</t>
        </is>
      </c>
      <c r="B136" t="inlineStr">
        <is>
          <t>QLD</t>
        </is>
      </c>
      <c r="C136" s="44" t="inlineStr">
        <is>
          <t>Annual Leave</t>
        </is>
      </c>
      <c r="D136" s="79" t="n">
        <v>116793.4012307692</v>
      </c>
      <c r="E136" s="79" t="n">
        <v>168044.7283076923</v>
      </c>
      <c r="F136" s="79" t="n">
        <v>219296.0553846154</v>
      </c>
    </row>
    <row r="137">
      <c r="A137" t="inlineStr">
        <is>
          <t>Lab technician</t>
        </is>
      </c>
      <c r="B137" t="inlineStr">
        <is>
          <t>SA</t>
        </is>
      </c>
      <c r="C137" s="44" t="inlineStr">
        <is>
          <t>Annual Leave</t>
        </is>
      </c>
      <c r="D137" s="79" t="n">
        <v>128729.7701538462</v>
      </c>
      <c r="E137" s="79" t="n">
        <v>183923.6891538462</v>
      </c>
      <c r="F137" s="79" t="n">
        <v>239117.6081538461</v>
      </c>
    </row>
    <row r="138">
      <c r="A138" t="inlineStr">
        <is>
          <t>Lab technician</t>
        </is>
      </c>
      <c r="B138" t="inlineStr">
        <is>
          <t>VIC</t>
        </is>
      </c>
      <c r="C138" s="44" t="inlineStr">
        <is>
          <t>Annual Leave</t>
        </is>
      </c>
      <c r="D138" s="79" t="n">
        <v>203549.5686153846</v>
      </c>
      <c r="E138" s="79" t="n">
        <v>242777.2905384615</v>
      </c>
      <c r="F138" s="79" t="n">
        <v>282005.0124615384</v>
      </c>
    </row>
    <row r="139">
      <c r="A139" t="inlineStr">
        <is>
          <t>Lab technician</t>
        </is>
      </c>
      <c r="B139" t="inlineStr">
        <is>
          <t>WA</t>
        </is>
      </c>
      <c r="C139" s="44" t="inlineStr">
        <is>
          <t>Annual Leave</t>
        </is>
      </c>
      <c r="D139" s="79" t="n">
        <v>148744.2736153846</v>
      </c>
      <c r="E139" s="79" t="n">
        <v>184365.5033846154</v>
      </c>
      <c r="F139" s="79" t="n">
        <v>219986.7331538461</v>
      </c>
    </row>
    <row r="140">
      <c r="A140" t="inlineStr">
        <is>
          <t>Lab technician</t>
        </is>
      </c>
      <c r="B140" t="inlineStr">
        <is>
          <t>ALL</t>
        </is>
      </c>
      <c r="C140" s="44" t="inlineStr">
        <is>
          <t>Attraction and Retention Allowance</t>
        </is>
      </c>
      <c r="D140" s="79" t="n">
        <v>119254.1089230769</v>
      </c>
      <c r="E140" s="79" t="n">
        <v>192266.0622381538</v>
      </c>
      <c r="F140" s="79" t="n">
        <v>270490.2432307692</v>
      </c>
    </row>
    <row r="141">
      <c r="A141" t="inlineStr">
        <is>
          <t>Lab technician</t>
        </is>
      </c>
      <c r="B141" t="inlineStr">
        <is>
          <t>NSW</t>
        </is>
      </c>
      <c r="C141" s="44" t="inlineStr">
        <is>
          <t>Attraction and Retention Allowance</t>
        </is>
      </c>
      <c r="D141" s="79" t="n">
        <v>142117.72308</v>
      </c>
      <c r="E141" s="79" t="n">
        <v>183839.76996</v>
      </c>
      <c r="F141" s="79" t="n">
        <v>225561.81684</v>
      </c>
    </row>
    <row r="142">
      <c r="A142" t="inlineStr">
        <is>
          <t>Lab technician</t>
        </is>
      </c>
      <c r="B142" t="inlineStr">
        <is>
          <t>QLD</t>
        </is>
      </c>
      <c r="C142" s="44" t="inlineStr">
        <is>
          <t>Attraction and Retention Allowance</t>
        </is>
      </c>
      <c r="D142" s="79" t="n">
        <v>116793.4012307692</v>
      </c>
      <c r="E142" s="79" t="n">
        <v>168044.7283076923</v>
      </c>
      <c r="F142" s="79" t="n">
        <v>219296.0553846154</v>
      </c>
    </row>
    <row r="143">
      <c r="A143" t="inlineStr">
        <is>
          <t>Lab technician</t>
        </is>
      </c>
      <c r="B143" t="inlineStr">
        <is>
          <t>SA</t>
        </is>
      </c>
      <c r="C143" s="44" t="inlineStr">
        <is>
          <t>Attraction and Retention Allowance</t>
        </is>
      </c>
      <c r="D143" s="79" t="n">
        <v>128729.7701538462</v>
      </c>
      <c r="E143" s="79" t="n">
        <v>183923.6891538462</v>
      </c>
      <c r="F143" s="79" t="n">
        <v>239117.6081538461</v>
      </c>
    </row>
    <row r="144">
      <c r="A144" t="inlineStr">
        <is>
          <t>Lab technician</t>
        </is>
      </c>
      <c r="B144" t="inlineStr">
        <is>
          <t>VIC</t>
        </is>
      </c>
      <c r="C144" s="44" t="inlineStr">
        <is>
          <t>Attraction and Retention Allowance</t>
        </is>
      </c>
      <c r="D144" s="79" t="n">
        <v>203549.5686153846</v>
      </c>
      <c r="E144" s="79" t="n">
        <v>242777.2905384615</v>
      </c>
      <c r="F144" s="79" t="n">
        <v>282005.0124615384</v>
      </c>
    </row>
    <row r="145">
      <c r="A145" t="inlineStr">
        <is>
          <t>Lab technician</t>
        </is>
      </c>
      <c r="B145" t="inlineStr">
        <is>
          <t>WA</t>
        </is>
      </c>
      <c r="C145" s="44" t="inlineStr">
        <is>
          <t>Attraction and Retention Allowance</t>
        </is>
      </c>
      <c r="D145" s="79" t="n">
        <v>148744.2736153846</v>
      </c>
      <c r="E145" s="79" t="n">
        <v>184365.5033846154</v>
      </c>
      <c r="F145" s="79" t="n">
        <v>219986.7331538461</v>
      </c>
    </row>
    <row r="146">
      <c r="A146" t="inlineStr">
        <is>
          <t>Lab technician</t>
        </is>
      </c>
      <c r="B146" t="inlineStr">
        <is>
          <t>ALL</t>
        </is>
      </c>
      <c r="C146" s="44" t="inlineStr">
        <is>
          <t>Average Penalties</t>
        </is>
      </c>
      <c r="D146" s="79" t="n">
        <v>114398.9089230769</v>
      </c>
      <c r="E146" s="79" t="n">
        <v>192266.0622381538</v>
      </c>
      <c r="F146" s="79" t="n">
        <v>292553.0432307692</v>
      </c>
    </row>
    <row r="147">
      <c r="A147" t="inlineStr">
        <is>
          <t>Lab technician</t>
        </is>
      </c>
      <c r="B147" t="inlineStr">
        <is>
          <t>NSW</t>
        </is>
      </c>
      <c r="C147" s="44" t="inlineStr">
        <is>
          <t>Average Penalties</t>
        </is>
      </c>
      <c r="D147" s="79" t="n">
        <v>136115.93508</v>
      </c>
      <c r="E147" s="79" t="n">
        <v>183839.76996</v>
      </c>
      <c r="F147" s="79" t="n">
        <v>244613.26484</v>
      </c>
    </row>
    <row r="148">
      <c r="A148" t="inlineStr">
        <is>
          <t>Lab technician</t>
        </is>
      </c>
      <c r="B148" t="inlineStr">
        <is>
          <t>QLD</t>
        </is>
      </c>
      <c r="C148" s="44" t="inlineStr">
        <is>
          <t>Average Penalties</t>
        </is>
      </c>
      <c r="D148" s="79" t="n">
        <v>111938.2012307692</v>
      </c>
      <c r="E148" s="79" t="n">
        <v>168044.7283076923</v>
      </c>
      <c r="F148" s="79" t="n">
        <v>237664.0553846154</v>
      </c>
    </row>
    <row r="149">
      <c r="A149" t="inlineStr">
        <is>
          <t>Lab technician</t>
        </is>
      </c>
      <c r="B149" t="inlineStr">
        <is>
          <t>SA</t>
        </is>
      </c>
      <c r="C149" s="44" t="inlineStr">
        <is>
          <t>Average Penalties</t>
        </is>
      </c>
      <c r="D149" s="79" t="n">
        <v>123293.3701538461</v>
      </c>
      <c r="E149" s="79" t="n">
        <v>183923.6891538462</v>
      </c>
      <c r="F149" s="79" t="n">
        <v>259314.0081538461</v>
      </c>
    </row>
    <row r="150">
      <c r="A150" t="inlineStr">
        <is>
          <t>Lab technician</t>
        </is>
      </c>
      <c r="B150" t="inlineStr">
        <is>
          <t>VIC</t>
        </is>
      </c>
      <c r="C150" s="44" t="inlineStr">
        <is>
          <t>Average Penalties</t>
        </is>
      </c>
      <c r="D150" s="79" t="n">
        <v>195587.1686153846</v>
      </c>
      <c r="E150" s="79" t="n">
        <v>242777.2905384615</v>
      </c>
      <c r="F150" s="79" t="n">
        <v>304067.8124615384</v>
      </c>
    </row>
    <row r="151">
      <c r="A151" t="inlineStr">
        <is>
          <t>Lab technician</t>
        </is>
      </c>
      <c r="B151" t="inlineStr">
        <is>
          <t>WA</t>
        </is>
      </c>
      <c r="C151" s="44" t="inlineStr">
        <is>
          <t>Average Penalties</t>
        </is>
      </c>
      <c r="D151" s="79" t="n">
        <v>142986.3736153846</v>
      </c>
      <c r="E151" s="79" t="n">
        <v>184365.5033846154</v>
      </c>
      <c r="F151" s="79" t="n">
        <v>237018.1331538461</v>
      </c>
    </row>
    <row r="152">
      <c r="A152" t="inlineStr">
        <is>
          <t>Lab technician</t>
        </is>
      </c>
      <c r="B152" t="inlineStr">
        <is>
          <t>ALL</t>
        </is>
      </c>
      <c r="C152" s="44" t="inlineStr">
        <is>
          <t>Base Case</t>
        </is>
      </c>
      <c r="D152" s="79" t="n">
        <v>116793.4012307692</v>
      </c>
      <c r="E152" s="79" t="n">
        <v>192590.1962689231</v>
      </c>
      <c r="F152" s="79" t="n">
        <v>282005.0124615384</v>
      </c>
    </row>
    <row r="153">
      <c r="A153" t="inlineStr">
        <is>
          <t>Lab technician</t>
        </is>
      </c>
      <c r="B153" t="inlineStr">
        <is>
          <t>NSW</t>
        </is>
      </c>
      <c r="C153" s="44" t="inlineStr">
        <is>
          <t>Base Case</t>
        </is>
      </c>
      <c r="D153" s="79" t="n">
        <v>142117.72308</v>
      </c>
      <c r="E153" s="79" t="n">
        <v>183839.76996</v>
      </c>
      <c r="F153" s="79" t="n">
        <v>225561.81684</v>
      </c>
    </row>
    <row r="154">
      <c r="A154" t="inlineStr">
        <is>
          <t>Lab technician</t>
        </is>
      </c>
      <c r="B154" t="inlineStr">
        <is>
          <t>QLD</t>
        </is>
      </c>
      <c r="C154" s="44" t="inlineStr">
        <is>
          <t>Base Case</t>
        </is>
      </c>
      <c r="D154" s="79" t="n">
        <v>116793.4012307692</v>
      </c>
      <c r="E154" s="79" t="n">
        <v>168044.7283076923</v>
      </c>
      <c r="F154" s="79" t="n">
        <v>219296.0553846154</v>
      </c>
    </row>
    <row r="155">
      <c r="A155" t="inlineStr">
        <is>
          <t>Lab technician</t>
        </is>
      </c>
      <c r="B155" t="inlineStr">
        <is>
          <t>SA</t>
        </is>
      </c>
      <c r="C155" s="44" t="inlineStr">
        <is>
          <t>Base Case</t>
        </is>
      </c>
      <c r="D155" s="79" t="n">
        <v>128729.7701538462</v>
      </c>
      <c r="E155" s="79" t="n">
        <v>183923.6891538462</v>
      </c>
      <c r="F155" s="79" t="n">
        <v>239117.6081538461</v>
      </c>
    </row>
    <row r="156">
      <c r="A156" t="inlineStr">
        <is>
          <t>Lab technician</t>
        </is>
      </c>
      <c r="B156" t="inlineStr">
        <is>
          <t>VIC</t>
        </is>
      </c>
      <c r="C156" s="44" t="inlineStr">
        <is>
          <t>Base Case</t>
        </is>
      </c>
      <c r="D156" s="79" t="n">
        <v>203549.5686153846</v>
      </c>
      <c r="E156" s="79" t="n">
        <v>242777.2905384615</v>
      </c>
      <c r="F156" s="79" t="n">
        <v>282005.0124615384</v>
      </c>
    </row>
    <row r="157">
      <c r="A157" t="inlineStr">
        <is>
          <t>Lab technician</t>
        </is>
      </c>
      <c r="B157" t="inlineStr">
        <is>
          <t>WA</t>
        </is>
      </c>
      <c r="C157" s="44" t="inlineStr">
        <is>
          <t>Base Case</t>
        </is>
      </c>
      <c r="D157" s="79" t="n">
        <v>148744.2736153846</v>
      </c>
      <c r="E157" s="79" t="n">
        <v>184365.5033846154</v>
      </c>
      <c r="F157" s="79" t="n">
        <v>219986.7331538461</v>
      </c>
    </row>
    <row r="158">
      <c r="A158" t="inlineStr">
        <is>
          <t>Lab technician</t>
        </is>
      </c>
      <c r="B158" t="inlineStr">
        <is>
          <t>ALL</t>
        </is>
      </c>
      <c r="C158" s="44" t="inlineStr">
        <is>
          <t>Hours worked</t>
        </is>
      </c>
      <c r="D158" s="79" t="n">
        <v>119254.1089230769</v>
      </c>
      <c r="E158" s="79" t="n">
        <v>192266.0622381538</v>
      </c>
      <c r="F158" s="79" t="n">
        <v>270490.2432307692</v>
      </c>
    </row>
    <row r="159">
      <c r="A159" t="inlineStr">
        <is>
          <t>Lab technician</t>
        </is>
      </c>
      <c r="B159" t="inlineStr">
        <is>
          <t>NSW</t>
        </is>
      </c>
      <c r="C159" s="44" t="inlineStr">
        <is>
          <t>Hours worked</t>
        </is>
      </c>
      <c r="D159" s="79" t="n">
        <v>142117.72308</v>
      </c>
      <c r="E159" s="79" t="n">
        <v>183839.76996</v>
      </c>
      <c r="F159" s="79" t="n">
        <v>225561.81684</v>
      </c>
    </row>
    <row r="160">
      <c r="A160" t="inlineStr">
        <is>
          <t>Lab technician</t>
        </is>
      </c>
      <c r="B160" t="inlineStr">
        <is>
          <t>QLD</t>
        </is>
      </c>
      <c r="C160" s="44" t="inlineStr">
        <is>
          <t>Hours worked</t>
        </is>
      </c>
      <c r="D160" s="79" t="n">
        <v>116793.4012307692</v>
      </c>
      <c r="E160" s="79" t="n">
        <v>168044.7283076923</v>
      </c>
      <c r="F160" s="79" t="n">
        <v>219296.0553846154</v>
      </c>
    </row>
    <row r="161">
      <c r="A161" t="inlineStr">
        <is>
          <t>Lab technician</t>
        </is>
      </c>
      <c r="B161" t="inlineStr">
        <is>
          <t>SA</t>
        </is>
      </c>
      <c r="C161" s="44" t="inlineStr">
        <is>
          <t>Hours worked</t>
        </is>
      </c>
      <c r="D161" s="79" t="n">
        <v>128729.7701538462</v>
      </c>
      <c r="E161" s="79" t="n">
        <v>183923.6891538462</v>
      </c>
      <c r="F161" s="79" t="n">
        <v>239117.6081538461</v>
      </c>
    </row>
    <row r="162">
      <c r="A162" t="inlineStr">
        <is>
          <t>Lab technician</t>
        </is>
      </c>
      <c r="B162" t="inlineStr">
        <is>
          <t>VIC</t>
        </is>
      </c>
      <c r="C162" s="44" t="inlineStr">
        <is>
          <t>Hours worked</t>
        </is>
      </c>
      <c r="D162" s="79" t="n">
        <v>203549.5686153846</v>
      </c>
      <c r="E162" s="79" t="n">
        <v>242777.2905384615</v>
      </c>
      <c r="F162" s="79" t="n">
        <v>282005.0124615384</v>
      </c>
    </row>
    <row r="163">
      <c r="A163" t="inlineStr">
        <is>
          <t>Lab technician</t>
        </is>
      </c>
      <c r="B163" t="inlineStr">
        <is>
          <t>WA</t>
        </is>
      </c>
      <c r="C163" s="44" t="inlineStr">
        <is>
          <t>Hours worked</t>
        </is>
      </c>
      <c r="D163" s="79" t="n">
        <v>148744.2736153846</v>
      </c>
      <c r="E163" s="79" t="n">
        <v>184365.5033846154</v>
      </c>
      <c r="F163" s="79" t="n">
        <v>219986.7331538461</v>
      </c>
    </row>
    <row r="164">
      <c r="A164" t="inlineStr">
        <is>
          <t>Lab technician</t>
        </is>
      </c>
      <c r="B164" t="inlineStr">
        <is>
          <t>ALL</t>
        </is>
      </c>
      <c r="C164" s="44" t="inlineStr">
        <is>
          <t xml:space="preserve">Leave Loading (%)		</t>
        </is>
      </c>
      <c r="D164" s="79" t="n">
        <v>119254.1089230769</v>
      </c>
      <c r="E164" s="79" t="n">
        <v>192266.0622381538</v>
      </c>
      <c r="F164" s="79" t="n">
        <v>270490.2432307692</v>
      </c>
    </row>
    <row r="165">
      <c r="A165" t="inlineStr">
        <is>
          <t>Lab technician</t>
        </is>
      </c>
      <c r="B165" t="inlineStr">
        <is>
          <t>NSW</t>
        </is>
      </c>
      <c r="C165" s="44" t="inlineStr">
        <is>
          <t xml:space="preserve">Leave Loading (%)		</t>
        </is>
      </c>
      <c r="D165" s="79" t="n">
        <v>142117.72308</v>
      </c>
      <c r="E165" s="79" t="n">
        <v>183839.76996</v>
      </c>
      <c r="F165" s="79" t="n">
        <v>225561.81684</v>
      </c>
    </row>
    <row r="166">
      <c r="A166" t="inlineStr">
        <is>
          <t>Lab technician</t>
        </is>
      </c>
      <c r="B166" t="inlineStr">
        <is>
          <t>QLD</t>
        </is>
      </c>
      <c r="C166" s="44" t="inlineStr">
        <is>
          <t xml:space="preserve">Leave Loading (%)		</t>
        </is>
      </c>
      <c r="D166" s="79" t="n">
        <v>116793.4012307692</v>
      </c>
      <c r="E166" s="79" t="n">
        <v>168044.7283076923</v>
      </c>
      <c r="F166" s="79" t="n">
        <v>219296.0553846154</v>
      </c>
    </row>
    <row r="167">
      <c r="A167" t="inlineStr">
        <is>
          <t>Lab technician</t>
        </is>
      </c>
      <c r="B167" t="inlineStr">
        <is>
          <t>SA</t>
        </is>
      </c>
      <c r="C167" s="44" t="inlineStr">
        <is>
          <t xml:space="preserve">Leave Loading (%)		</t>
        </is>
      </c>
      <c r="D167" s="79" t="n">
        <v>128729.7701538462</v>
      </c>
      <c r="E167" s="79" t="n">
        <v>183923.6891538462</v>
      </c>
      <c r="F167" s="79" t="n">
        <v>239117.6081538461</v>
      </c>
    </row>
    <row r="168">
      <c r="A168" t="inlineStr">
        <is>
          <t>Lab technician</t>
        </is>
      </c>
      <c r="B168" t="inlineStr">
        <is>
          <t>VIC</t>
        </is>
      </c>
      <c r="C168" s="44" t="inlineStr">
        <is>
          <t xml:space="preserve">Leave Loading (%)		</t>
        </is>
      </c>
      <c r="D168" s="79" t="n">
        <v>203549.5686153846</v>
      </c>
      <c r="E168" s="79" t="n">
        <v>242777.2905384615</v>
      </c>
      <c r="F168" s="79" t="n">
        <v>282005.0124615384</v>
      </c>
    </row>
    <row r="169">
      <c r="A169" t="inlineStr">
        <is>
          <t>Lab technician</t>
        </is>
      </c>
      <c r="B169" t="inlineStr">
        <is>
          <t>WA</t>
        </is>
      </c>
      <c r="C169" s="44" t="inlineStr">
        <is>
          <t xml:space="preserve">Leave Loading (%)		</t>
        </is>
      </c>
      <c r="D169" s="79" t="n">
        <v>148744.2736153846</v>
      </c>
      <c r="E169" s="79" t="n">
        <v>184365.5033846154</v>
      </c>
      <c r="F169" s="79" t="n">
        <v>219986.7331538461</v>
      </c>
    </row>
    <row r="170">
      <c r="A170" t="inlineStr">
        <is>
          <t>Lab technician</t>
        </is>
      </c>
      <c r="B170" t="inlineStr">
        <is>
          <t>ALL</t>
        </is>
      </c>
      <c r="C170" s="44" t="inlineStr">
        <is>
          <t>Private Practice Loading</t>
        </is>
      </c>
      <c r="D170" s="79" t="n">
        <v>119254.1089230769</v>
      </c>
      <c r="E170" s="79" t="n">
        <v>192266.0622381538</v>
      </c>
      <c r="F170" s="79" t="n">
        <v>270490.2432307692</v>
      </c>
    </row>
    <row r="171">
      <c r="A171" t="inlineStr">
        <is>
          <t>Lab technician</t>
        </is>
      </c>
      <c r="B171" t="inlineStr">
        <is>
          <t>NSW</t>
        </is>
      </c>
      <c r="C171" s="44" t="inlineStr">
        <is>
          <t>Private Practice Loading</t>
        </is>
      </c>
      <c r="D171" s="79" t="n">
        <v>142117.72308</v>
      </c>
      <c r="E171" s="79" t="n">
        <v>183839.76996</v>
      </c>
      <c r="F171" s="79" t="n">
        <v>225561.81684</v>
      </c>
    </row>
    <row r="172">
      <c r="A172" t="inlineStr">
        <is>
          <t>Lab technician</t>
        </is>
      </c>
      <c r="B172" t="inlineStr">
        <is>
          <t>QLD</t>
        </is>
      </c>
      <c r="C172" s="44" t="inlineStr">
        <is>
          <t>Private Practice Loading</t>
        </is>
      </c>
      <c r="D172" s="79" t="n">
        <v>116793.4012307692</v>
      </c>
      <c r="E172" s="79" t="n">
        <v>168044.7283076923</v>
      </c>
      <c r="F172" s="79" t="n">
        <v>219296.0553846154</v>
      </c>
    </row>
    <row r="173">
      <c r="A173" t="inlineStr">
        <is>
          <t>Lab technician</t>
        </is>
      </c>
      <c r="B173" t="inlineStr">
        <is>
          <t>SA</t>
        </is>
      </c>
      <c r="C173" s="44" t="inlineStr">
        <is>
          <t>Private Practice Loading</t>
        </is>
      </c>
      <c r="D173" s="79" t="n">
        <v>128729.7701538462</v>
      </c>
      <c r="E173" s="79" t="n">
        <v>183923.6891538462</v>
      </c>
      <c r="F173" s="79" t="n">
        <v>239117.6081538461</v>
      </c>
    </row>
    <row r="174">
      <c r="A174" t="inlineStr">
        <is>
          <t>Lab technician</t>
        </is>
      </c>
      <c r="B174" t="inlineStr">
        <is>
          <t>VIC</t>
        </is>
      </c>
      <c r="C174" s="44" t="inlineStr">
        <is>
          <t>Private Practice Loading</t>
        </is>
      </c>
      <c r="D174" s="79" t="n">
        <v>203549.5686153846</v>
      </c>
      <c r="E174" s="79" t="n">
        <v>242777.2905384615</v>
      </c>
      <c r="F174" s="79" t="n">
        <v>282005.0124615384</v>
      </c>
    </row>
    <row r="175">
      <c r="A175" t="inlineStr">
        <is>
          <t>Lab technician</t>
        </is>
      </c>
      <c r="B175" t="inlineStr">
        <is>
          <t>WA</t>
        </is>
      </c>
      <c r="C175" s="44" t="inlineStr">
        <is>
          <t>Private Practice Loading</t>
        </is>
      </c>
      <c r="D175" s="79" t="n">
        <v>148744.2736153846</v>
      </c>
      <c r="E175" s="79" t="n">
        <v>184365.5033846154</v>
      </c>
      <c r="F175" s="79" t="n">
        <v>219986.7331538461</v>
      </c>
    </row>
    <row r="176">
      <c r="A176" t="inlineStr">
        <is>
          <t>Lab technician</t>
        </is>
      </c>
      <c r="B176" t="inlineStr">
        <is>
          <t>ALL</t>
        </is>
      </c>
      <c r="C176" s="44" t="inlineStr">
        <is>
          <t>Professional Development Allowance</t>
        </is>
      </c>
      <c r="D176" s="79" t="n">
        <v>119254.1089230769</v>
      </c>
      <c r="E176" s="79" t="n">
        <v>192266.0622381538</v>
      </c>
      <c r="F176" s="79" t="n">
        <v>270490.2432307692</v>
      </c>
    </row>
    <row r="177">
      <c r="A177" t="inlineStr">
        <is>
          <t>Lab technician</t>
        </is>
      </c>
      <c r="B177" t="inlineStr">
        <is>
          <t>NSW</t>
        </is>
      </c>
      <c r="C177" s="44" t="inlineStr">
        <is>
          <t>Professional Development Allowance</t>
        </is>
      </c>
      <c r="D177" s="79" t="n">
        <v>142117.72308</v>
      </c>
      <c r="E177" s="79" t="n">
        <v>183839.76996</v>
      </c>
      <c r="F177" s="79" t="n">
        <v>225561.81684</v>
      </c>
    </row>
    <row r="178">
      <c r="A178" t="inlineStr">
        <is>
          <t>Lab technician</t>
        </is>
      </c>
      <c r="B178" t="inlineStr">
        <is>
          <t>QLD</t>
        </is>
      </c>
      <c r="C178" s="44" t="inlineStr">
        <is>
          <t>Professional Development Allowance</t>
        </is>
      </c>
      <c r="D178" s="79" t="n">
        <v>116793.4012307692</v>
      </c>
      <c r="E178" s="79" t="n">
        <v>168044.7283076923</v>
      </c>
      <c r="F178" s="79" t="n">
        <v>219296.0553846154</v>
      </c>
    </row>
    <row r="179">
      <c r="A179" t="inlineStr">
        <is>
          <t>Lab technician</t>
        </is>
      </c>
      <c r="B179" t="inlineStr">
        <is>
          <t>SA</t>
        </is>
      </c>
      <c r="C179" s="44" t="inlineStr">
        <is>
          <t>Professional Development Allowance</t>
        </is>
      </c>
      <c r="D179" s="79" t="n">
        <v>128729.7701538462</v>
      </c>
      <c r="E179" s="79" t="n">
        <v>183923.6891538462</v>
      </c>
      <c r="F179" s="79" t="n">
        <v>239117.6081538461</v>
      </c>
    </row>
    <row r="180">
      <c r="A180" t="inlineStr">
        <is>
          <t>Lab technician</t>
        </is>
      </c>
      <c r="B180" t="inlineStr">
        <is>
          <t>VIC</t>
        </is>
      </c>
      <c r="C180" s="44" t="inlineStr">
        <is>
          <t>Professional Development Allowance</t>
        </is>
      </c>
      <c r="D180" s="79" t="n">
        <v>203549.5686153846</v>
      </c>
      <c r="E180" s="79" t="n">
        <v>242777.2905384615</v>
      </c>
      <c r="F180" s="79" t="n">
        <v>282005.0124615384</v>
      </c>
    </row>
    <row r="181">
      <c r="A181" t="inlineStr">
        <is>
          <t>Lab technician</t>
        </is>
      </c>
      <c r="B181" t="inlineStr">
        <is>
          <t>WA</t>
        </is>
      </c>
      <c r="C181" s="44" t="inlineStr">
        <is>
          <t>Professional Development Allowance</t>
        </is>
      </c>
      <c r="D181" s="79" t="n">
        <v>148744.2736153846</v>
      </c>
      <c r="E181" s="79" t="n">
        <v>184365.5033846154</v>
      </c>
      <c r="F181" s="79" t="n">
        <v>219986.7331538461</v>
      </c>
    </row>
    <row r="182">
      <c r="A182" t="inlineStr">
        <is>
          <t>Lab technician</t>
        </is>
      </c>
      <c r="B182" t="inlineStr">
        <is>
          <t>ALL</t>
        </is>
      </c>
      <c r="C182" s="44" t="inlineStr">
        <is>
          <t>Public Holiday Penalty</t>
        </is>
      </c>
      <c r="D182" s="79" t="n">
        <v>118987.0729230769</v>
      </c>
      <c r="E182" s="79" t="n">
        <v>192266.0622381538</v>
      </c>
      <c r="F182" s="79" t="n">
        <v>271041.8132307692</v>
      </c>
    </row>
    <row r="183">
      <c r="A183" t="inlineStr">
        <is>
          <t>Lab technician</t>
        </is>
      </c>
      <c r="B183" t="inlineStr">
        <is>
          <t>NSW</t>
        </is>
      </c>
      <c r="C183" s="44" t="inlineStr">
        <is>
          <t>Public Holiday Penalty</t>
        </is>
      </c>
      <c r="D183" s="79" t="n">
        <v>141787.62474</v>
      </c>
      <c r="E183" s="79" t="n">
        <v>183839.76996</v>
      </c>
      <c r="F183" s="79" t="n">
        <v>226038.10304</v>
      </c>
    </row>
    <row r="184">
      <c r="A184" t="inlineStr">
        <is>
          <t>Lab technician</t>
        </is>
      </c>
      <c r="B184" t="inlineStr">
        <is>
          <t>QLD</t>
        </is>
      </c>
      <c r="C184" s="44" t="inlineStr">
        <is>
          <t>Public Holiday Penalty</t>
        </is>
      </c>
      <c r="D184" s="79" t="n">
        <v>116526.3652307692</v>
      </c>
      <c r="E184" s="79" t="n">
        <v>168044.7283076923</v>
      </c>
      <c r="F184" s="79" t="n">
        <v>219755.2553846154</v>
      </c>
    </row>
    <row r="185">
      <c r="A185" t="inlineStr">
        <is>
          <t>Lab technician</t>
        </is>
      </c>
      <c r="B185" t="inlineStr">
        <is>
          <t>SA</t>
        </is>
      </c>
      <c r="C185" s="44" t="inlineStr">
        <is>
          <t>Public Holiday Penalty</t>
        </is>
      </c>
      <c r="D185" s="79" t="n">
        <v>128430.7681538461</v>
      </c>
      <c r="E185" s="79" t="n">
        <v>183923.6891538462</v>
      </c>
      <c r="F185" s="79" t="n">
        <v>239622.5181538461</v>
      </c>
    </row>
    <row r="186">
      <c r="A186" t="inlineStr">
        <is>
          <t>Lab technician</t>
        </is>
      </c>
      <c r="B186" t="inlineStr">
        <is>
          <t>VIC</t>
        </is>
      </c>
      <c r="C186" s="44" t="inlineStr">
        <is>
          <t>Public Holiday Penalty</t>
        </is>
      </c>
      <c r="D186" s="79" t="n">
        <v>203111.6366153846</v>
      </c>
      <c r="E186" s="79" t="n">
        <v>242777.2905384615</v>
      </c>
      <c r="F186" s="79" t="n">
        <v>282556.5824615384</v>
      </c>
    </row>
    <row r="187">
      <c r="A187" t="inlineStr">
        <is>
          <t>Lab technician</t>
        </is>
      </c>
      <c r="B187" t="inlineStr">
        <is>
          <t>WA</t>
        </is>
      </c>
      <c r="C187" s="44" t="inlineStr">
        <is>
          <t>Public Holiday Penalty</t>
        </is>
      </c>
      <c r="D187" s="79" t="n">
        <v>148427.5891153846</v>
      </c>
      <c r="E187" s="79" t="n">
        <v>184365.5033846154</v>
      </c>
      <c r="F187" s="79" t="n">
        <v>220412.5181538461</v>
      </c>
    </row>
    <row r="188">
      <c r="A188" t="inlineStr">
        <is>
          <t>Lab technician</t>
        </is>
      </c>
      <c r="B188" t="inlineStr">
        <is>
          <t>ALL</t>
        </is>
      </c>
      <c r="C188" s="44" t="inlineStr">
        <is>
          <t>Sick Leave</t>
        </is>
      </c>
      <c r="D188" s="79" t="n">
        <v>119254.1089230769</v>
      </c>
      <c r="E188" s="79" t="n">
        <v>192266.0622381538</v>
      </c>
      <c r="F188" s="79" t="n">
        <v>270490.2432307692</v>
      </c>
    </row>
    <row r="189">
      <c r="A189" t="inlineStr">
        <is>
          <t>Lab technician</t>
        </is>
      </c>
      <c r="B189" t="inlineStr">
        <is>
          <t>NSW</t>
        </is>
      </c>
      <c r="C189" s="44" t="inlineStr">
        <is>
          <t>Sick Leave</t>
        </is>
      </c>
      <c r="D189" s="79" t="n">
        <v>142117.72308</v>
      </c>
      <c r="E189" s="79" t="n">
        <v>183839.76996</v>
      </c>
      <c r="F189" s="79" t="n">
        <v>225561.81684</v>
      </c>
    </row>
    <row r="190">
      <c r="A190" t="inlineStr">
        <is>
          <t>Lab technician</t>
        </is>
      </c>
      <c r="B190" t="inlineStr">
        <is>
          <t>QLD</t>
        </is>
      </c>
      <c r="C190" s="44" t="inlineStr">
        <is>
          <t>Sick Leave</t>
        </is>
      </c>
      <c r="D190" s="79" t="n">
        <v>116793.4012307692</v>
      </c>
      <c r="E190" s="79" t="n">
        <v>168044.7283076923</v>
      </c>
      <c r="F190" s="79" t="n">
        <v>219296.0553846154</v>
      </c>
    </row>
    <row r="191">
      <c r="A191" t="inlineStr">
        <is>
          <t>Lab technician</t>
        </is>
      </c>
      <c r="B191" t="inlineStr">
        <is>
          <t>SA</t>
        </is>
      </c>
      <c r="C191" s="44" t="inlineStr">
        <is>
          <t>Sick Leave</t>
        </is>
      </c>
      <c r="D191" s="79" t="n">
        <v>128729.7701538462</v>
      </c>
      <c r="E191" s="79" t="n">
        <v>183923.6891538462</v>
      </c>
      <c r="F191" s="79" t="n">
        <v>239117.6081538461</v>
      </c>
    </row>
    <row r="192">
      <c r="A192" t="inlineStr">
        <is>
          <t>Lab technician</t>
        </is>
      </c>
      <c r="B192" t="inlineStr">
        <is>
          <t>VIC</t>
        </is>
      </c>
      <c r="C192" s="44" t="inlineStr">
        <is>
          <t>Sick Leave</t>
        </is>
      </c>
      <c r="D192" s="79" t="n">
        <v>203549.5686153846</v>
      </c>
      <c r="E192" s="79" t="n">
        <v>242777.2905384615</v>
      </c>
      <c r="F192" s="79" t="n">
        <v>282005.0124615384</v>
      </c>
    </row>
    <row r="193">
      <c r="A193" t="inlineStr">
        <is>
          <t>Lab technician</t>
        </is>
      </c>
      <c r="B193" t="inlineStr">
        <is>
          <t>WA</t>
        </is>
      </c>
      <c r="C193" s="44" t="inlineStr">
        <is>
          <t>Sick Leave</t>
        </is>
      </c>
      <c r="D193" s="79" t="n">
        <v>148744.2736153846</v>
      </c>
      <c r="E193" s="79" t="n">
        <v>184365.5033846154</v>
      </c>
      <c r="F193" s="79" t="n">
        <v>219986.7331538461</v>
      </c>
    </row>
    <row r="194">
      <c r="A194" t="inlineStr">
        <is>
          <t>Lab technician</t>
        </is>
      </c>
      <c r="B194" t="inlineStr">
        <is>
          <t>ALL</t>
        </is>
      </c>
      <c r="C194" s="44" t="inlineStr">
        <is>
          <t>Superannuation</t>
        </is>
      </c>
      <c r="D194" s="79" t="n">
        <v>119011.3489230769</v>
      </c>
      <c r="E194" s="79" t="n">
        <v>192266.0622381538</v>
      </c>
      <c r="F194" s="79" t="n">
        <v>272420.7382307692</v>
      </c>
    </row>
    <row r="195">
      <c r="A195" t="inlineStr">
        <is>
          <t>Lab technician</t>
        </is>
      </c>
      <c r="B195" t="inlineStr">
        <is>
          <t>NSW</t>
        </is>
      </c>
      <c r="C195" s="44" t="inlineStr">
        <is>
          <t>Superannuation</t>
        </is>
      </c>
      <c r="D195" s="79" t="n">
        <v>141817.63368</v>
      </c>
      <c r="E195" s="79" t="n">
        <v>183839.76996</v>
      </c>
      <c r="F195" s="79" t="n">
        <v>227228.81854</v>
      </c>
    </row>
    <row r="196">
      <c r="A196" t="inlineStr">
        <is>
          <t>Lab technician</t>
        </is>
      </c>
      <c r="B196" t="inlineStr">
        <is>
          <t>QLD</t>
        </is>
      </c>
      <c r="C196" s="44" t="inlineStr">
        <is>
          <t>Superannuation</t>
        </is>
      </c>
      <c r="D196" s="79" t="n">
        <v>116550.6412307692</v>
      </c>
      <c r="E196" s="79" t="n">
        <v>168044.7283076923</v>
      </c>
      <c r="F196" s="79" t="n">
        <v>220903.2553846154</v>
      </c>
    </row>
    <row r="197">
      <c r="A197" t="inlineStr">
        <is>
          <t>Lab technician</t>
        </is>
      </c>
      <c r="B197" t="inlineStr">
        <is>
          <t>SA</t>
        </is>
      </c>
      <c r="C197" s="44" t="inlineStr">
        <is>
          <t>Superannuation</t>
        </is>
      </c>
      <c r="D197" s="79" t="n">
        <v>128457.9501538461</v>
      </c>
      <c r="E197" s="79" t="n">
        <v>183923.6891538462</v>
      </c>
      <c r="F197" s="79" t="n">
        <v>240884.7931538461</v>
      </c>
    </row>
    <row r="198">
      <c r="A198" t="inlineStr">
        <is>
          <t>Lab technician</t>
        </is>
      </c>
      <c r="B198" t="inlineStr">
        <is>
          <t>VIC</t>
        </is>
      </c>
      <c r="C198" s="44" t="inlineStr">
        <is>
          <t>Superannuation</t>
        </is>
      </c>
      <c r="D198" s="79" t="n">
        <v>203151.4486153846</v>
      </c>
      <c r="E198" s="79" t="n">
        <v>242777.2905384615</v>
      </c>
      <c r="F198" s="79" t="n">
        <v>283935.5074615384</v>
      </c>
    </row>
    <row r="199">
      <c r="A199" t="inlineStr">
        <is>
          <t>Lab technician</t>
        </is>
      </c>
      <c r="B199" t="inlineStr">
        <is>
          <t>WA</t>
        </is>
      </c>
      <c r="C199" s="44" t="inlineStr">
        <is>
          <t>Superannuation</t>
        </is>
      </c>
      <c r="D199" s="79" t="n">
        <v>148456.3786153846</v>
      </c>
      <c r="E199" s="79" t="n">
        <v>184365.5033846154</v>
      </c>
      <c r="F199" s="79" t="n">
        <v>221476.9806538461</v>
      </c>
    </row>
    <row r="200">
      <c r="A200" t="inlineStr">
        <is>
          <t>Medical scientist</t>
        </is>
      </c>
      <c r="B200" t="inlineStr">
        <is>
          <t>ALL</t>
        </is>
      </c>
      <c r="C200" s="44" t="inlineStr">
        <is>
          <t>Annual Leave</t>
        </is>
      </c>
      <c r="D200" s="79" t="n">
        <v>153064.472</v>
      </c>
      <c r="E200" s="79" t="n">
        <v>261015.0931033847</v>
      </c>
      <c r="F200" s="79" t="n">
        <v>356023.4704</v>
      </c>
    </row>
    <row r="201">
      <c r="A201" t="inlineStr">
        <is>
          <t>Medical scientist</t>
        </is>
      </c>
      <c r="B201" t="inlineStr">
        <is>
          <t>NSW</t>
        </is>
      </c>
      <c r="C201" s="44" t="inlineStr">
        <is>
          <t>Annual Leave</t>
        </is>
      </c>
      <c r="D201" s="79" t="n">
        <v>171850.50164</v>
      </c>
      <c r="E201" s="79" t="n">
        <v>263051.15888</v>
      </c>
      <c r="F201" s="79" t="n">
        <v>354251.81612</v>
      </c>
    </row>
    <row r="202">
      <c r="A202" t="inlineStr">
        <is>
          <t>Medical scientist</t>
        </is>
      </c>
      <c r="B202" t="inlineStr">
        <is>
          <t>QLD</t>
        </is>
      </c>
      <c r="C202" s="44" t="inlineStr">
        <is>
          <t>Annual Leave</t>
        </is>
      </c>
      <c r="D202" s="79" t="n">
        <v>165286.0979230769</v>
      </c>
      <c r="E202" s="79" t="n">
        <v>248808.6646538461</v>
      </c>
      <c r="F202" s="79" t="n">
        <v>332331.2313846154</v>
      </c>
    </row>
    <row r="203">
      <c r="A203" t="inlineStr">
        <is>
          <t>Medical scientist</t>
        </is>
      </c>
      <c r="B203" t="inlineStr">
        <is>
          <t>SA</t>
        </is>
      </c>
      <c r="C203" s="44" t="inlineStr">
        <is>
          <t>Annual Leave</t>
        </is>
      </c>
      <c r="D203" s="79" t="n">
        <v>158473.5952307692</v>
      </c>
      <c r="E203" s="79" t="n">
        <v>248832.1426153846</v>
      </c>
      <c r="F203" s="79" t="n">
        <v>339190.6900000001</v>
      </c>
    </row>
    <row r="204">
      <c r="A204" t="inlineStr">
        <is>
          <t>Medical scientist</t>
        </is>
      </c>
      <c r="B204" t="inlineStr">
        <is>
          <t>VIC</t>
        </is>
      </c>
      <c r="C204" s="44" t="inlineStr">
        <is>
          <t>Annual Leave</t>
        </is>
      </c>
      <c r="D204" s="79" t="n">
        <v>157843.939</v>
      </c>
      <c r="E204" s="79" t="n">
        <v>262742.4344</v>
      </c>
      <c r="F204" s="79" t="n">
        <v>367640.9298</v>
      </c>
    </row>
    <row r="205">
      <c r="A205" t="inlineStr">
        <is>
          <t>Medical scientist</t>
        </is>
      </c>
      <c r="B205" t="inlineStr">
        <is>
          <t>WA</t>
        </is>
      </c>
      <c r="C205" s="44" t="inlineStr">
        <is>
          <t>Annual Leave</t>
        </is>
      </c>
      <c r="D205" s="79" t="n">
        <v>201066.5876153846</v>
      </c>
      <c r="E205" s="79" t="n">
        <v>281686.4540769231</v>
      </c>
      <c r="F205" s="79" t="n">
        <v>362306.3205384615</v>
      </c>
    </row>
    <row r="206">
      <c r="A206" t="inlineStr">
        <is>
          <t>Medical scientist</t>
        </is>
      </c>
      <c r="B206" t="inlineStr">
        <is>
          <t>ALL</t>
        </is>
      </c>
      <c r="C206" s="44" t="inlineStr">
        <is>
          <t>Attraction and Retention Allowance</t>
        </is>
      </c>
      <c r="D206" s="79" t="n">
        <v>153064.472</v>
      </c>
      <c r="E206" s="79" t="n">
        <v>261015.0931033847</v>
      </c>
      <c r="F206" s="79" t="n">
        <v>356023.4704</v>
      </c>
    </row>
    <row r="207">
      <c r="A207" t="inlineStr">
        <is>
          <t>Medical scientist</t>
        </is>
      </c>
      <c r="B207" t="inlineStr">
        <is>
          <t>NSW</t>
        </is>
      </c>
      <c r="C207" s="44" t="inlineStr">
        <is>
          <t>Attraction and Retention Allowance</t>
        </is>
      </c>
      <c r="D207" s="79" t="n">
        <v>171850.50164</v>
      </c>
      <c r="E207" s="79" t="n">
        <v>263051.15888</v>
      </c>
      <c r="F207" s="79" t="n">
        <v>354251.81612</v>
      </c>
    </row>
    <row r="208">
      <c r="A208" t="inlineStr">
        <is>
          <t>Medical scientist</t>
        </is>
      </c>
      <c r="B208" t="inlineStr">
        <is>
          <t>QLD</t>
        </is>
      </c>
      <c r="C208" s="44" t="inlineStr">
        <is>
          <t>Attraction and Retention Allowance</t>
        </is>
      </c>
      <c r="D208" s="79" t="n">
        <v>165286.0979230769</v>
      </c>
      <c r="E208" s="79" t="n">
        <v>248808.6646538461</v>
      </c>
      <c r="F208" s="79" t="n">
        <v>332331.2313846154</v>
      </c>
    </row>
    <row r="209">
      <c r="A209" t="inlineStr">
        <is>
          <t>Medical scientist</t>
        </is>
      </c>
      <c r="B209" t="inlineStr">
        <is>
          <t>SA</t>
        </is>
      </c>
      <c r="C209" s="44" t="inlineStr">
        <is>
          <t>Attraction and Retention Allowance</t>
        </is>
      </c>
      <c r="D209" s="79" t="n">
        <v>158473.5952307692</v>
      </c>
      <c r="E209" s="79" t="n">
        <v>248832.1426153846</v>
      </c>
      <c r="F209" s="79" t="n">
        <v>339190.6900000001</v>
      </c>
    </row>
    <row r="210">
      <c r="A210" t="inlineStr">
        <is>
          <t>Medical scientist</t>
        </is>
      </c>
      <c r="B210" t="inlineStr">
        <is>
          <t>VIC</t>
        </is>
      </c>
      <c r="C210" s="44" t="inlineStr">
        <is>
          <t>Attraction and Retention Allowance</t>
        </is>
      </c>
      <c r="D210" s="79" t="n">
        <v>157843.939</v>
      </c>
      <c r="E210" s="79" t="n">
        <v>262742.4344</v>
      </c>
      <c r="F210" s="79" t="n">
        <v>367640.9298</v>
      </c>
    </row>
    <row r="211">
      <c r="A211" t="inlineStr">
        <is>
          <t>Medical scientist</t>
        </is>
      </c>
      <c r="B211" t="inlineStr">
        <is>
          <t>WA</t>
        </is>
      </c>
      <c r="C211" s="44" t="inlineStr">
        <is>
          <t>Attraction and Retention Allowance</t>
        </is>
      </c>
      <c r="D211" s="79" t="n">
        <v>201066.5876153846</v>
      </c>
      <c r="E211" s="79" t="n">
        <v>281686.4540769231</v>
      </c>
      <c r="F211" s="79" t="n">
        <v>362306.3205384615</v>
      </c>
    </row>
    <row r="212">
      <c r="A212" t="inlineStr">
        <is>
          <t>Medical scientist</t>
        </is>
      </c>
      <c r="B212" t="inlineStr">
        <is>
          <t>ALL</t>
        </is>
      </c>
      <c r="C212" s="44" t="inlineStr">
        <is>
          <t>Average Penalties</t>
        </is>
      </c>
      <c r="D212" s="79" t="n">
        <v>146944.072</v>
      </c>
      <c r="E212" s="79" t="n">
        <v>261015.0931033847</v>
      </c>
      <c r="F212" s="79" t="n">
        <v>384534.0304</v>
      </c>
    </row>
    <row r="213">
      <c r="A213" t="inlineStr">
        <is>
          <t>Medical scientist</t>
        </is>
      </c>
      <c r="B213" t="inlineStr">
        <is>
          <t>NSW</t>
        </is>
      </c>
      <c r="C213" s="44" t="inlineStr">
        <is>
          <t>Average Penalties</t>
        </is>
      </c>
      <c r="D213" s="79" t="n">
        <v>165128.09764</v>
      </c>
      <c r="E213" s="79" t="n">
        <v>263051.15888</v>
      </c>
      <c r="F213" s="79" t="n">
        <v>381966.88012</v>
      </c>
    </row>
    <row r="214">
      <c r="A214" t="inlineStr">
        <is>
          <t>Medical scientist</t>
        </is>
      </c>
      <c r="B214" t="inlineStr">
        <is>
          <t>QLD</t>
        </is>
      </c>
      <c r="C214" s="44" t="inlineStr">
        <is>
          <t>Average Penalties</t>
        </is>
      </c>
      <c r="D214" s="79" t="n">
        <v>158382.9979230769</v>
      </c>
      <c r="E214" s="79" t="n">
        <v>248808.6646538461</v>
      </c>
      <c r="F214" s="79" t="n">
        <v>360246.4313846154</v>
      </c>
    </row>
    <row r="215">
      <c r="A215" t="inlineStr">
        <is>
          <t>Medical scientist</t>
        </is>
      </c>
      <c r="B215" t="inlineStr">
        <is>
          <t>SA</t>
        </is>
      </c>
      <c r="C215" s="44" t="inlineStr">
        <is>
          <t>Average Penalties</t>
        </is>
      </c>
      <c r="D215" s="79" t="n">
        <v>151834.9952307692</v>
      </c>
      <c r="E215" s="79" t="n">
        <v>248832.1426153846</v>
      </c>
      <c r="F215" s="79" t="n">
        <v>367608.6900000001</v>
      </c>
    </row>
    <row r="216">
      <c r="A216" t="inlineStr">
        <is>
          <t>Medical scientist</t>
        </is>
      </c>
      <c r="B216" t="inlineStr">
        <is>
          <t>VIC</t>
        </is>
      </c>
      <c r="C216" s="44" t="inlineStr">
        <is>
          <t>Average Penalties</t>
        </is>
      </c>
      <c r="D216" s="79" t="n">
        <v>151723.539</v>
      </c>
      <c r="E216" s="79" t="n">
        <v>262742.4344</v>
      </c>
      <c r="F216" s="79" t="n">
        <v>396151.4898000001</v>
      </c>
    </row>
    <row r="217">
      <c r="A217" t="inlineStr">
        <is>
          <t>Medical scientist</t>
        </is>
      </c>
      <c r="B217" t="inlineStr">
        <is>
          <t>WA</t>
        </is>
      </c>
      <c r="C217" s="44" t="inlineStr">
        <is>
          <t>Average Penalties</t>
        </is>
      </c>
      <c r="D217" s="79" t="n">
        <v>193283.2876153846</v>
      </c>
      <c r="E217" s="79" t="n">
        <v>281686.4540769231</v>
      </c>
      <c r="F217" s="79" t="n">
        <v>390356.1205384615</v>
      </c>
    </row>
    <row r="218">
      <c r="A218" t="inlineStr">
        <is>
          <t>Medical scientist</t>
        </is>
      </c>
      <c r="B218" t="inlineStr">
        <is>
          <t>ALL</t>
        </is>
      </c>
      <c r="C218" s="44" t="inlineStr">
        <is>
          <t>Base Case</t>
        </is>
      </c>
      <c r="D218" s="79" t="n">
        <v>157843.939</v>
      </c>
      <c r="E218" s="79" t="n">
        <v>261024.1709252308</v>
      </c>
      <c r="F218" s="79" t="n">
        <v>367640.9298</v>
      </c>
    </row>
    <row r="219">
      <c r="A219" t="inlineStr">
        <is>
          <t>Medical scientist</t>
        </is>
      </c>
      <c r="B219" t="inlineStr">
        <is>
          <t>NSW</t>
        </is>
      </c>
      <c r="C219" s="44" t="inlineStr">
        <is>
          <t>Base Case</t>
        </is>
      </c>
      <c r="D219" s="79" t="n">
        <v>171850.50164</v>
      </c>
      <c r="E219" s="79" t="n">
        <v>263051.15888</v>
      </c>
      <c r="F219" s="79" t="n">
        <v>354251.81612</v>
      </c>
    </row>
    <row r="220">
      <c r="A220" t="inlineStr">
        <is>
          <t>Medical scientist</t>
        </is>
      </c>
      <c r="B220" t="inlineStr">
        <is>
          <t>QLD</t>
        </is>
      </c>
      <c r="C220" s="44" t="inlineStr">
        <is>
          <t>Base Case</t>
        </is>
      </c>
      <c r="D220" s="79" t="n">
        <v>165286.0979230769</v>
      </c>
      <c r="E220" s="79" t="n">
        <v>248808.6646538461</v>
      </c>
      <c r="F220" s="79" t="n">
        <v>332331.2313846154</v>
      </c>
    </row>
    <row r="221">
      <c r="A221" t="inlineStr">
        <is>
          <t>Medical scientist</t>
        </is>
      </c>
      <c r="B221" t="inlineStr">
        <is>
          <t>SA</t>
        </is>
      </c>
      <c r="C221" s="44" t="inlineStr">
        <is>
          <t>Base Case</t>
        </is>
      </c>
      <c r="D221" s="79" t="n">
        <v>158473.5952307692</v>
      </c>
      <c r="E221" s="79" t="n">
        <v>248832.1426153846</v>
      </c>
      <c r="F221" s="79" t="n">
        <v>339190.6900000001</v>
      </c>
    </row>
    <row r="222">
      <c r="A222" t="inlineStr">
        <is>
          <t>Medical scientist</t>
        </is>
      </c>
      <c r="B222" t="inlineStr">
        <is>
          <t>VIC</t>
        </is>
      </c>
      <c r="C222" s="44" t="inlineStr">
        <is>
          <t>Base Case</t>
        </is>
      </c>
      <c r="D222" s="79" t="n">
        <v>157843.939</v>
      </c>
      <c r="E222" s="79" t="n">
        <v>262742.4344</v>
      </c>
      <c r="F222" s="79" t="n">
        <v>367640.9298</v>
      </c>
    </row>
    <row r="223">
      <c r="A223" t="inlineStr">
        <is>
          <t>Medical scientist</t>
        </is>
      </c>
      <c r="B223" t="inlineStr">
        <is>
          <t>WA</t>
        </is>
      </c>
      <c r="C223" s="44" t="inlineStr">
        <is>
          <t>Base Case</t>
        </is>
      </c>
      <c r="D223" s="79" t="n">
        <v>201066.5876153846</v>
      </c>
      <c r="E223" s="79" t="n">
        <v>281686.4540769231</v>
      </c>
      <c r="F223" s="79" t="n">
        <v>362306.3205384615</v>
      </c>
    </row>
    <row r="224">
      <c r="A224" t="inlineStr">
        <is>
          <t>Medical scientist</t>
        </is>
      </c>
      <c r="B224" t="inlineStr">
        <is>
          <t>ALL</t>
        </is>
      </c>
      <c r="C224" s="44" t="inlineStr">
        <is>
          <t>Hours worked</t>
        </is>
      </c>
      <c r="D224" s="79" t="n">
        <v>153064.472</v>
      </c>
      <c r="E224" s="79" t="n">
        <v>261015.0931033847</v>
      </c>
      <c r="F224" s="79" t="n">
        <v>356023.4704</v>
      </c>
    </row>
    <row r="225">
      <c r="A225" t="inlineStr">
        <is>
          <t>Medical scientist</t>
        </is>
      </c>
      <c r="B225" t="inlineStr">
        <is>
          <t>NSW</t>
        </is>
      </c>
      <c r="C225" s="44" t="inlineStr">
        <is>
          <t>Hours worked</t>
        </is>
      </c>
      <c r="D225" s="79" t="n">
        <v>171850.50164</v>
      </c>
      <c r="E225" s="79" t="n">
        <v>263051.15888</v>
      </c>
      <c r="F225" s="79" t="n">
        <v>354251.81612</v>
      </c>
    </row>
    <row r="226">
      <c r="A226" t="inlineStr">
        <is>
          <t>Medical scientist</t>
        </is>
      </c>
      <c r="B226" t="inlineStr">
        <is>
          <t>QLD</t>
        </is>
      </c>
      <c r="C226" s="44" t="inlineStr">
        <is>
          <t>Hours worked</t>
        </is>
      </c>
      <c r="D226" s="79" t="n">
        <v>165286.0979230769</v>
      </c>
      <c r="E226" s="79" t="n">
        <v>248808.6646538461</v>
      </c>
      <c r="F226" s="79" t="n">
        <v>332331.2313846154</v>
      </c>
    </row>
    <row r="227">
      <c r="A227" t="inlineStr">
        <is>
          <t>Medical scientist</t>
        </is>
      </c>
      <c r="B227" t="inlineStr">
        <is>
          <t>SA</t>
        </is>
      </c>
      <c r="C227" s="44" t="inlineStr">
        <is>
          <t>Hours worked</t>
        </is>
      </c>
      <c r="D227" s="79" t="n">
        <v>158473.5952307692</v>
      </c>
      <c r="E227" s="79" t="n">
        <v>248832.1426153846</v>
      </c>
      <c r="F227" s="79" t="n">
        <v>339190.6900000001</v>
      </c>
    </row>
    <row r="228">
      <c r="A228" t="inlineStr">
        <is>
          <t>Medical scientist</t>
        </is>
      </c>
      <c r="B228" t="inlineStr">
        <is>
          <t>VIC</t>
        </is>
      </c>
      <c r="C228" s="44" t="inlineStr">
        <is>
          <t>Hours worked</t>
        </is>
      </c>
      <c r="D228" s="79" t="n">
        <v>157843.939</v>
      </c>
      <c r="E228" s="79" t="n">
        <v>262742.4344</v>
      </c>
      <c r="F228" s="79" t="n">
        <v>367640.9298</v>
      </c>
    </row>
    <row r="229">
      <c r="A229" t="inlineStr">
        <is>
          <t>Medical scientist</t>
        </is>
      </c>
      <c r="B229" t="inlineStr">
        <is>
          <t>WA</t>
        </is>
      </c>
      <c r="C229" s="44" t="inlineStr">
        <is>
          <t>Hours worked</t>
        </is>
      </c>
      <c r="D229" s="79" t="n">
        <v>201066.5876153846</v>
      </c>
      <c r="E229" s="79" t="n">
        <v>281686.4540769231</v>
      </c>
      <c r="F229" s="79" t="n">
        <v>362306.3205384615</v>
      </c>
    </row>
    <row r="230">
      <c r="A230" t="inlineStr">
        <is>
          <t>Medical scientist</t>
        </is>
      </c>
      <c r="B230" t="inlineStr">
        <is>
          <t>ALL</t>
        </is>
      </c>
      <c r="C230" s="44" t="inlineStr">
        <is>
          <t xml:space="preserve">Leave Loading (%)		</t>
        </is>
      </c>
      <c r="D230" s="79" t="n">
        <v>153064.472</v>
      </c>
      <c r="E230" s="79" t="n">
        <v>261015.0931033847</v>
      </c>
      <c r="F230" s="79" t="n">
        <v>356023.4704</v>
      </c>
    </row>
    <row r="231">
      <c r="A231" t="inlineStr">
        <is>
          <t>Medical scientist</t>
        </is>
      </c>
      <c r="B231" t="inlineStr">
        <is>
          <t>NSW</t>
        </is>
      </c>
      <c r="C231" s="44" t="inlineStr">
        <is>
          <t xml:space="preserve">Leave Loading (%)		</t>
        </is>
      </c>
      <c r="D231" s="79" t="n">
        <v>171850.50164</v>
      </c>
      <c r="E231" s="79" t="n">
        <v>263051.15888</v>
      </c>
      <c r="F231" s="79" t="n">
        <v>354251.81612</v>
      </c>
    </row>
    <row r="232">
      <c r="A232" t="inlineStr">
        <is>
          <t>Medical scientist</t>
        </is>
      </c>
      <c r="B232" t="inlineStr">
        <is>
          <t>QLD</t>
        </is>
      </c>
      <c r="C232" s="44" t="inlineStr">
        <is>
          <t xml:space="preserve">Leave Loading (%)		</t>
        </is>
      </c>
      <c r="D232" s="79" t="n">
        <v>165286.0979230769</v>
      </c>
      <c r="E232" s="79" t="n">
        <v>248808.6646538461</v>
      </c>
      <c r="F232" s="79" t="n">
        <v>332331.2313846154</v>
      </c>
    </row>
    <row r="233">
      <c r="A233" t="inlineStr">
        <is>
          <t>Medical scientist</t>
        </is>
      </c>
      <c r="B233" t="inlineStr">
        <is>
          <t>SA</t>
        </is>
      </c>
      <c r="C233" s="44" t="inlineStr">
        <is>
          <t xml:space="preserve">Leave Loading (%)		</t>
        </is>
      </c>
      <c r="D233" s="79" t="n">
        <v>158473.5952307692</v>
      </c>
      <c r="E233" s="79" t="n">
        <v>248832.1426153846</v>
      </c>
      <c r="F233" s="79" t="n">
        <v>339190.6900000001</v>
      </c>
    </row>
    <row r="234">
      <c r="A234" t="inlineStr">
        <is>
          <t>Medical scientist</t>
        </is>
      </c>
      <c r="B234" t="inlineStr">
        <is>
          <t>VIC</t>
        </is>
      </c>
      <c r="C234" s="44" t="inlineStr">
        <is>
          <t xml:space="preserve">Leave Loading (%)		</t>
        </is>
      </c>
      <c r="D234" s="79" t="n">
        <v>157843.939</v>
      </c>
      <c r="E234" s="79" t="n">
        <v>262742.4344</v>
      </c>
      <c r="F234" s="79" t="n">
        <v>367640.9298</v>
      </c>
    </row>
    <row r="235">
      <c r="A235" t="inlineStr">
        <is>
          <t>Medical scientist</t>
        </is>
      </c>
      <c r="B235" t="inlineStr">
        <is>
          <t>WA</t>
        </is>
      </c>
      <c r="C235" s="44" t="inlineStr">
        <is>
          <t xml:space="preserve">Leave Loading (%)		</t>
        </is>
      </c>
      <c r="D235" s="79" t="n">
        <v>201066.5876153846</v>
      </c>
      <c r="E235" s="79" t="n">
        <v>281686.4540769231</v>
      </c>
      <c r="F235" s="79" t="n">
        <v>362306.3205384615</v>
      </c>
    </row>
    <row r="236">
      <c r="A236" t="inlineStr">
        <is>
          <t>Medical scientist</t>
        </is>
      </c>
      <c r="B236" t="inlineStr">
        <is>
          <t>ALL</t>
        </is>
      </c>
      <c r="C236" s="44" t="inlineStr">
        <is>
          <t>Private Practice Loading</t>
        </is>
      </c>
      <c r="D236" s="79" t="n">
        <v>153064.472</v>
      </c>
      <c r="E236" s="79" t="n">
        <v>261015.0931033847</v>
      </c>
      <c r="F236" s="79" t="n">
        <v>356023.4704</v>
      </c>
    </row>
    <row r="237">
      <c r="A237" t="inlineStr">
        <is>
          <t>Medical scientist</t>
        </is>
      </c>
      <c r="B237" t="inlineStr">
        <is>
          <t>NSW</t>
        </is>
      </c>
      <c r="C237" s="44" t="inlineStr">
        <is>
          <t>Private Practice Loading</t>
        </is>
      </c>
      <c r="D237" s="79" t="n">
        <v>171850.50164</v>
      </c>
      <c r="E237" s="79" t="n">
        <v>263051.15888</v>
      </c>
      <c r="F237" s="79" t="n">
        <v>354251.81612</v>
      </c>
    </row>
    <row r="238">
      <c r="A238" t="inlineStr">
        <is>
          <t>Medical scientist</t>
        </is>
      </c>
      <c r="B238" t="inlineStr">
        <is>
          <t>QLD</t>
        </is>
      </c>
      <c r="C238" s="44" t="inlineStr">
        <is>
          <t>Private Practice Loading</t>
        </is>
      </c>
      <c r="D238" s="79" t="n">
        <v>165286.0979230769</v>
      </c>
      <c r="E238" s="79" t="n">
        <v>248808.6646538461</v>
      </c>
      <c r="F238" s="79" t="n">
        <v>332331.2313846154</v>
      </c>
    </row>
    <row r="239">
      <c r="A239" t="inlineStr">
        <is>
          <t>Medical scientist</t>
        </is>
      </c>
      <c r="B239" t="inlineStr">
        <is>
          <t>SA</t>
        </is>
      </c>
      <c r="C239" s="44" t="inlineStr">
        <is>
          <t>Private Practice Loading</t>
        </is>
      </c>
      <c r="D239" s="79" t="n">
        <v>158473.5952307692</v>
      </c>
      <c r="E239" s="79" t="n">
        <v>248832.1426153846</v>
      </c>
      <c r="F239" s="79" t="n">
        <v>339190.6900000001</v>
      </c>
    </row>
    <row r="240">
      <c r="A240" t="inlineStr">
        <is>
          <t>Medical scientist</t>
        </is>
      </c>
      <c r="B240" t="inlineStr">
        <is>
          <t>VIC</t>
        </is>
      </c>
      <c r="C240" s="44" t="inlineStr">
        <is>
          <t>Private Practice Loading</t>
        </is>
      </c>
      <c r="D240" s="79" t="n">
        <v>157843.939</v>
      </c>
      <c r="E240" s="79" t="n">
        <v>262742.4344</v>
      </c>
      <c r="F240" s="79" t="n">
        <v>367640.9298</v>
      </c>
    </row>
    <row r="241">
      <c r="A241" t="inlineStr">
        <is>
          <t>Medical scientist</t>
        </is>
      </c>
      <c r="B241" t="inlineStr">
        <is>
          <t>WA</t>
        </is>
      </c>
      <c r="C241" s="44" t="inlineStr">
        <is>
          <t>Private Practice Loading</t>
        </is>
      </c>
      <c r="D241" s="79" t="n">
        <v>201066.5876153846</v>
      </c>
      <c r="E241" s="79" t="n">
        <v>281686.4540769231</v>
      </c>
      <c r="F241" s="79" t="n">
        <v>362306.3205384615</v>
      </c>
    </row>
    <row r="242">
      <c r="A242" t="inlineStr">
        <is>
          <t>Medical scientist</t>
        </is>
      </c>
      <c r="B242" t="inlineStr">
        <is>
          <t>ALL</t>
        </is>
      </c>
      <c r="C242" s="44" t="inlineStr">
        <is>
          <t>Professional Development Allowance</t>
        </is>
      </c>
      <c r="D242" s="79" t="n">
        <v>153064.472</v>
      </c>
      <c r="E242" s="79" t="n">
        <v>261015.0931033847</v>
      </c>
      <c r="F242" s="79" t="n">
        <v>356023.4704</v>
      </c>
    </row>
    <row r="243">
      <c r="A243" t="inlineStr">
        <is>
          <t>Medical scientist</t>
        </is>
      </c>
      <c r="B243" t="inlineStr">
        <is>
          <t>NSW</t>
        </is>
      </c>
      <c r="C243" s="44" t="inlineStr">
        <is>
          <t>Professional Development Allowance</t>
        </is>
      </c>
      <c r="D243" s="79" t="n">
        <v>171850.50164</v>
      </c>
      <c r="E243" s="79" t="n">
        <v>263051.15888</v>
      </c>
      <c r="F243" s="79" t="n">
        <v>354251.81612</v>
      </c>
    </row>
    <row r="244">
      <c r="A244" t="inlineStr">
        <is>
          <t>Medical scientist</t>
        </is>
      </c>
      <c r="B244" t="inlineStr">
        <is>
          <t>QLD</t>
        </is>
      </c>
      <c r="C244" s="44" t="inlineStr">
        <is>
          <t>Professional Development Allowance</t>
        </is>
      </c>
      <c r="D244" s="79" t="n">
        <v>165286.0979230769</v>
      </c>
      <c r="E244" s="79" t="n">
        <v>248808.6646538461</v>
      </c>
      <c r="F244" s="79" t="n">
        <v>332331.2313846154</v>
      </c>
    </row>
    <row r="245">
      <c r="A245" t="inlineStr">
        <is>
          <t>Medical scientist</t>
        </is>
      </c>
      <c r="B245" t="inlineStr">
        <is>
          <t>SA</t>
        </is>
      </c>
      <c r="C245" s="44" t="inlineStr">
        <is>
          <t>Professional Development Allowance</t>
        </is>
      </c>
      <c r="D245" s="79" t="n">
        <v>158473.5952307692</v>
      </c>
      <c r="E245" s="79" t="n">
        <v>248832.1426153846</v>
      </c>
      <c r="F245" s="79" t="n">
        <v>339190.6900000001</v>
      </c>
    </row>
    <row r="246">
      <c r="A246" t="inlineStr">
        <is>
          <t>Medical scientist</t>
        </is>
      </c>
      <c r="B246" t="inlineStr">
        <is>
          <t>VIC</t>
        </is>
      </c>
      <c r="C246" s="44" t="inlineStr">
        <is>
          <t>Professional Development Allowance</t>
        </is>
      </c>
      <c r="D246" s="79" t="n">
        <v>157843.939</v>
      </c>
      <c r="E246" s="79" t="n">
        <v>262742.4344</v>
      </c>
      <c r="F246" s="79" t="n">
        <v>367640.9298</v>
      </c>
    </row>
    <row r="247">
      <c r="A247" t="inlineStr">
        <is>
          <t>Medical scientist</t>
        </is>
      </c>
      <c r="B247" t="inlineStr">
        <is>
          <t>WA</t>
        </is>
      </c>
      <c r="C247" s="44" t="inlineStr">
        <is>
          <t>Professional Development Allowance</t>
        </is>
      </c>
      <c r="D247" s="79" t="n">
        <v>201066.5876153846</v>
      </c>
      <c r="E247" s="79" t="n">
        <v>281686.4540769231</v>
      </c>
      <c r="F247" s="79" t="n">
        <v>362306.3205384615</v>
      </c>
    </row>
    <row r="248">
      <c r="A248" t="inlineStr">
        <is>
          <t>Medical scientist</t>
        </is>
      </c>
      <c r="B248" t="inlineStr">
        <is>
          <t>ALL</t>
        </is>
      </c>
      <c r="C248" s="44" t="inlineStr">
        <is>
          <t>Public Holiday Penalty</t>
        </is>
      </c>
      <c r="D248" s="79" t="n">
        <v>152727.85</v>
      </c>
      <c r="E248" s="79" t="n">
        <v>261015.0931033847</v>
      </c>
      <c r="F248" s="79" t="n">
        <v>356736.2344000001</v>
      </c>
    </row>
    <row r="249">
      <c r="A249" t="inlineStr">
        <is>
          <t>Medical scientist</t>
        </is>
      </c>
      <c r="B249" t="inlineStr">
        <is>
          <t>NSW</t>
        </is>
      </c>
      <c r="C249" s="44" t="inlineStr">
        <is>
          <t>Public Holiday Penalty</t>
        </is>
      </c>
      <c r="D249" s="79" t="n">
        <v>171480.76942</v>
      </c>
      <c r="E249" s="79" t="n">
        <v>263051.15888</v>
      </c>
      <c r="F249" s="79" t="n">
        <v>354944.6927200001</v>
      </c>
    </row>
    <row r="250">
      <c r="A250" t="inlineStr">
        <is>
          <t>Medical scientist</t>
        </is>
      </c>
      <c r="B250" t="inlineStr">
        <is>
          <t>QLD</t>
        </is>
      </c>
      <c r="C250" s="44" t="inlineStr">
        <is>
          <t>Public Holiday Penalty</t>
        </is>
      </c>
      <c r="D250" s="79" t="n">
        <v>164906.4274230769</v>
      </c>
      <c r="E250" s="79" t="n">
        <v>248808.6646538461</v>
      </c>
      <c r="F250" s="79" t="n">
        <v>333029.1113846154</v>
      </c>
    </row>
    <row r="251">
      <c r="A251" t="inlineStr">
        <is>
          <t>Medical scientist</t>
        </is>
      </c>
      <c r="B251" t="inlineStr">
        <is>
          <t>SA</t>
        </is>
      </c>
      <c r="C251" s="44" t="inlineStr">
        <is>
          <t>Public Holiday Penalty</t>
        </is>
      </c>
      <c r="D251" s="79" t="n">
        <v>158108.4722307692</v>
      </c>
      <c r="E251" s="79" t="n">
        <v>248832.1426153846</v>
      </c>
      <c r="F251" s="79" t="n">
        <v>339901.14</v>
      </c>
    </row>
    <row r="252">
      <c r="A252" t="inlineStr">
        <is>
          <t>Medical scientist</t>
        </is>
      </c>
      <c r="B252" t="inlineStr">
        <is>
          <t>VIC</t>
        </is>
      </c>
      <c r="C252" s="44" t="inlineStr">
        <is>
          <t>Public Holiday Penalty</t>
        </is>
      </c>
      <c r="D252" s="79" t="n">
        <v>157507.317</v>
      </c>
      <c r="E252" s="79" t="n">
        <v>262742.4344</v>
      </c>
      <c r="F252" s="79" t="n">
        <v>368353.6938000001</v>
      </c>
    </row>
    <row r="253">
      <c r="A253" t="inlineStr">
        <is>
          <t>Medical scientist</t>
        </is>
      </c>
      <c r="B253" t="inlineStr">
        <is>
          <t>WA</t>
        </is>
      </c>
      <c r="C253" s="44" t="inlineStr">
        <is>
          <t>Public Holiday Penalty</t>
        </is>
      </c>
      <c r="D253" s="79" t="n">
        <v>200638.5061153846</v>
      </c>
      <c r="E253" s="79" t="n">
        <v>281686.4540769231</v>
      </c>
      <c r="F253" s="79" t="n">
        <v>363007.5655384615</v>
      </c>
    </row>
    <row r="254">
      <c r="A254" t="inlineStr">
        <is>
          <t>Medical scientist</t>
        </is>
      </c>
      <c r="B254" t="inlineStr">
        <is>
          <t>ALL</t>
        </is>
      </c>
      <c r="C254" s="44" t="inlineStr">
        <is>
          <t>Sick Leave</t>
        </is>
      </c>
      <c r="D254" s="79" t="n">
        <v>153064.472</v>
      </c>
      <c r="E254" s="79" t="n">
        <v>261015.0931033847</v>
      </c>
      <c r="F254" s="79" t="n">
        <v>356023.4704</v>
      </c>
    </row>
    <row r="255">
      <c r="A255" t="inlineStr">
        <is>
          <t>Medical scientist</t>
        </is>
      </c>
      <c r="B255" t="inlineStr">
        <is>
          <t>NSW</t>
        </is>
      </c>
      <c r="C255" s="44" t="inlineStr">
        <is>
          <t>Sick Leave</t>
        </is>
      </c>
      <c r="D255" s="79" t="n">
        <v>171850.50164</v>
      </c>
      <c r="E255" s="79" t="n">
        <v>263051.15888</v>
      </c>
      <c r="F255" s="79" t="n">
        <v>354251.81612</v>
      </c>
    </row>
    <row r="256">
      <c r="A256" t="inlineStr">
        <is>
          <t>Medical scientist</t>
        </is>
      </c>
      <c r="B256" t="inlineStr">
        <is>
          <t>QLD</t>
        </is>
      </c>
      <c r="C256" s="44" t="inlineStr">
        <is>
          <t>Sick Leave</t>
        </is>
      </c>
      <c r="D256" s="79" t="n">
        <v>165286.0979230769</v>
      </c>
      <c r="E256" s="79" t="n">
        <v>248808.6646538461</v>
      </c>
      <c r="F256" s="79" t="n">
        <v>332331.2313846154</v>
      </c>
    </row>
    <row r="257">
      <c r="A257" t="inlineStr">
        <is>
          <t>Medical scientist</t>
        </is>
      </c>
      <c r="B257" t="inlineStr">
        <is>
          <t>SA</t>
        </is>
      </c>
      <c r="C257" s="44" t="inlineStr">
        <is>
          <t>Sick Leave</t>
        </is>
      </c>
      <c r="D257" s="79" t="n">
        <v>158473.5952307692</v>
      </c>
      <c r="E257" s="79" t="n">
        <v>248832.1426153846</v>
      </c>
      <c r="F257" s="79" t="n">
        <v>339190.6900000001</v>
      </c>
    </row>
    <row r="258">
      <c r="A258" t="inlineStr">
        <is>
          <t>Medical scientist</t>
        </is>
      </c>
      <c r="B258" t="inlineStr">
        <is>
          <t>VIC</t>
        </is>
      </c>
      <c r="C258" s="44" t="inlineStr">
        <is>
          <t>Sick Leave</t>
        </is>
      </c>
      <c r="D258" s="79" t="n">
        <v>157843.939</v>
      </c>
      <c r="E258" s="79" t="n">
        <v>262742.4344</v>
      </c>
      <c r="F258" s="79" t="n">
        <v>367640.9298</v>
      </c>
    </row>
    <row r="259">
      <c r="A259" t="inlineStr">
        <is>
          <t>Medical scientist</t>
        </is>
      </c>
      <c r="B259" t="inlineStr">
        <is>
          <t>WA</t>
        </is>
      </c>
      <c r="C259" s="44" t="inlineStr">
        <is>
          <t>Sick Leave</t>
        </is>
      </c>
      <c r="D259" s="79" t="n">
        <v>201066.5876153846</v>
      </c>
      <c r="E259" s="79" t="n">
        <v>281686.4540769231</v>
      </c>
      <c r="F259" s="79" t="n">
        <v>362306.3205384615</v>
      </c>
    </row>
    <row r="260">
      <c r="A260" t="inlineStr">
        <is>
          <t>Medical scientist</t>
        </is>
      </c>
      <c r="B260" t="inlineStr">
        <is>
          <t>ALL</t>
        </is>
      </c>
      <c r="C260" s="44" t="inlineStr">
        <is>
          <t>Superannuation</t>
        </is>
      </c>
      <c r="D260" s="79" t="n">
        <v>152758.452</v>
      </c>
      <c r="E260" s="79" t="n">
        <v>261015.0931033847</v>
      </c>
      <c r="F260" s="79" t="n">
        <v>358518.1444</v>
      </c>
    </row>
    <row r="261">
      <c r="A261" t="inlineStr">
        <is>
          <t>Medical scientist</t>
        </is>
      </c>
      <c r="B261" t="inlineStr">
        <is>
          <t>NSW</t>
        </is>
      </c>
      <c r="C261" s="44" t="inlineStr">
        <is>
          <t>Superannuation</t>
        </is>
      </c>
      <c r="D261" s="79" t="n">
        <v>171514.38144</v>
      </c>
      <c r="E261" s="79" t="n">
        <v>263051.15888</v>
      </c>
      <c r="F261" s="79" t="n">
        <v>356676.88422</v>
      </c>
    </row>
    <row r="262">
      <c r="A262" t="inlineStr">
        <is>
          <t>Medical scientist</t>
        </is>
      </c>
      <c r="B262" t="inlineStr">
        <is>
          <t>QLD</t>
        </is>
      </c>
      <c r="C262" s="44" t="inlineStr">
        <is>
          <t>Superannuation</t>
        </is>
      </c>
      <c r="D262" s="79" t="n">
        <v>164940.9429230769</v>
      </c>
      <c r="E262" s="79" t="n">
        <v>248808.6646538461</v>
      </c>
      <c r="F262" s="79" t="n">
        <v>334773.8113846154</v>
      </c>
    </row>
    <row r="263">
      <c r="A263" t="inlineStr">
        <is>
          <t>Medical scientist</t>
        </is>
      </c>
      <c r="B263" t="inlineStr">
        <is>
          <t>SA</t>
        </is>
      </c>
      <c r="C263" s="44" t="inlineStr">
        <is>
          <t>Superannuation</t>
        </is>
      </c>
      <c r="D263" s="79" t="n">
        <v>158141.6652307692</v>
      </c>
      <c r="E263" s="79" t="n">
        <v>248832.1426153846</v>
      </c>
      <c r="F263" s="79" t="n">
        <v>341677.265</v>
      </c>
    </row>
    <row r="264">
      <c r="A264" t="inlineStr">
        <is>
          <t>Medical scientist</t>
        </is>
      </c>
      <c r="B264" t="inlineStr">
        <is>
          <t>VIC</t>
        </is>
      </c>
      <c r="C264" s="44" t="inlineStr">
        <is>
          <t>Superannuation</t>
        </is>
      </c>
      <c r="D264" s="79" t="n">
        <v>157537.919</v>
      </c>
      <c r="E264" s="79" t="n">
        <v>262742.4344</v>
      </c>
      <c r="F264" s="79" t="n">
        <v>370135.6038</v>
      </c>
    </row>
    <row r="265">
      <c r="A265" t="inlineStr">
        <is>
          <t>Medical scientist</t>
        </is>
      </c>
      <c r="B265" t="inlineStr">
        <is>
          <t>WA</t>
        </is>
      </c>
      <c r="C265" s="44" t="inlineStr">
        <is>
          <t>Superannuation</t>
        </is>
      </c>
      <c r="D265" s="79" t="n">
        <v>200677.4226153846</v>
      </c>
      <c r="E265" s="79" t="n">
        <v>281686.4540769231</v>
      </c>
      <c r="F265" s="79" t="n">
        <v>364760.6780384615</v>
      </c>
    </row>
    <row r="266">
      <c r="A266" t="inlineStr">
        <is>
          <t>Pathologists</t>
        </is>
      </c>
      <c r="B266" t="inlineStr">
        <is>
          <t>ALL</t>
        </is>
      </c>
      <c r="C266" s="44" t="inlineStr">
        <is>
          <t>Annual Leave</t>
        </is>
      </c>
      <c r="D266" s="79" t="n">
        <v>520352.7554</v>
      </c>
      <c r="E266" s="79" t="n">
        <v>759694.9040039999</v>
      </c>
      <c r="F266" s="79" t="n">
        <v>1089622.1145</v>
      </c>
    </row>
    <row r="267">
      <c r="A267" t="inlineStr">
        <is>
          <t>Pathologists</t>
        </is>
      </c>
      <c r="B267" t="inlineStr">
        <is>
          <t>NSW</t>
        </is>
      </c>
      <c r="C267" s="44" t="inlineStr">
        <is>
          <t>Annual Leave</t>
        </is>
      </c>
      <c r="D267" s="79" t="n">
        <v>530998.2901923077</v>
      </c>
      <c r="E267" s="79" t="n">
        <v>617527.22875</v>
      </c>
      <c r="F267" s="79" t="n">
        <v>704056.1673076923</v>
      </c>
    </row>
    <row r="268">
      <c r="A268" t="inlineStr">
        <is>
          <t>Pathologists</t>
        </is>
      </c>
      <c r="B268" t="inlineStr">
        <is>
          <t>QLD</t>
        </is>
      </c>
      <c r="C268" s="44" t="inlineStr">
        <is>
          <t>Annual Leave</t>
        </is>
      </c>
      <c r="D268" s="79" t="n">
        <v>564701.8383076922</v>
      </c>
      <c r="E268" s="79" t="n">
        <v>668927.8987692308</v>
      </c>
      <c r="F268" s="79" t="n">
        <v>773153.9592307692</v>
      </c>
    </row>
    <row r="269">
      <c r="A269" t="inlineStr">
        <is>
          <t>Pathologists</t>
        </is>
      </c>
      <c r="B269" t="inlineStr">
        <is>
          <t>SA</t>
        </is>
      </c>
      <c r="C269" s="44" t="inlineStr">
        <is>
          <t>Annual Leave</t>
        </is>
      </c>
      <c r="D269" s="79" t="n">
        <v>730532.0760384616</v>
      </c>
      <c r="E269" s="79" t="n">
        <v>842427.4306442309</v>
      </c>
      <c r="F269" s="79" t="n">
        <v>954322.7852500001</v>
      </c>
    </row>
    <row r="270">
      <c r="A270" t="inlineStr">
        <is>
          <t>Pathologists</t>
        </is>
      </c>
      <c r="B270" t="inlineStr">
        <is>
          <t>VIC</t>
        </is>
      </c>
      <c r="C270" s="44" t="inlineStr">
        <is>
          <t>Annual Leave</t>
        </is>
      </c>
      <c r="D270" s="79" t="n">
        <v>666741.4299999999</v>
      </c>
      <c r="E270" s="79" t="n">
        <v>786323.7339000001</v>
      </c>
      <c r="F270" s="79" t="n">
        <v>905906.0377999999</v>
      </c>
    </row>
    <row r="271">
      <c r="A271" t="inlineStr">
        <is>
          <t>Pathologists</t>
        </is>
      </c>
      <c r="B271" t="inlineStr">
        <is>
          <t>WA</t>
        </is>
      </c>
      <c r="C271" s="44" t="inlineStr">
        <is>
          <t>Annual Leave</t>
        </is>
      </c>
      <c r="D271" s="79" t="n">
        <v>733974.6716153846</v>
      </c>
      <c r="E271" s="79" t="n">
        <v>839060.7298461539</v>
      </c>
      <c r="F271" s="79" t="n">
        <v>944146.788076923</v>
      </c>
    </row>
    <row r="272">
      <c r="A272" t="inlineStr">
        <is>
          <t>Pathologists</t>
        </is>
      </c>
      <c r="B272" t="inlineStr">
        <is>
          <t>ALL</t>
        </is>
      </c>
      <c r="C272" s="44" t="inlineStr">
        <is>
          <t>Attraction and Retention Allowance</t>
        </is>
      </c>
      <c r="D272" s="79" t="n">
        <v>520352.7554</v>
      </c>
      <c r="E272" s="79" t="n">
        <v>759694.9040039999</v>
      </c>
      <c r="F272" s="79" t="n">
        <v>1089622.1145</v>
      </c>
    </row>
    <row r="273">
      <c r="A273" t="inlineStr">
        <is>
          <t>Pathologists</t>
        </is>
      </c>
      <c r="B273" t="inlineStr">
        <is>
          <t>NSW</t>
        </is>
      </c>
      <c r="C273" s="44" t="inlineStr">
        <is>
          <t>Attraction and Retention Allowance</t>
        </is>
      </c>
      <c r="D273" s="79" t="n">
        <v>530998.2901923077</v>
      </c>
      <c r="E273" s="79" t="n">
        <v>617527.22875</v>
      </c>
      <c r="F273" s="79" t="n">
        <v>704056.1673076923</v>
      </c>
    </row>
    <row r="274">
      <c r="A274" t="inlineStr">
        <is>
          <t>Pathologists</t>
        </is>
      </c>
      <c r="B274" t="inlineStr">
        <is>
          <t>QLD</t>
        </is>
      </c>
      <c r="C274" s="44" t="inlineStr">
        <is>
          <t>Attraction and Retention Allowance</t>
        </is>
      </c>
      <c r="D274" s="79" t="n">
        <v>564701.8383076922</v>
      </c>
      <c r="E274" s="79" t="n">
        <v>668927.8987692308</v>
      </c>
      <c r="F274" s="79" t="n">
        <v>773153.9592307692</v>
      </c>
    </row>
    <row r="275">
      <c r="A275" t="inlineStr">
        <is>
          <t>Pathologists</t>
        </is>
      </c>
      <c r="B275" t="inlineStr">
        <is>
          <t>SA</t>
        </is>
      </c>
      <c r="C275" s="44" t="inlineStr">
        <is>
          <t>Attraction and Retention Allowance</t>
        </is>
      </c>
      <c r="D275" s="79" t="n">
        <v>730532.0760384616</v>
      </c>
      <c r="E275" s="79" t="n">
        <v>842427.4306442309</v>
      </c>
      <c r="F275" s="79" t="n">
        <v>954322.7852500001</v>
      </c>
    </row>
    <row r="276">
      <c r="A276" t="inlineStr">
        <is>
          <t>Pathologists</t>
        </is>
      </c>
      <c r="B276" t="inlineStr">
        <is>
          <t>VIC</t>
        </is>
      </c>
      <c r="C276" s="44" t="inlineStr">
        <is>
          <t>Attraction and Retention Allowance</t>
        </is>
      </c>
      <c r="D276" s="79" t="n">
        <v>666741.4299999999</v>
      </c>
      <c r="E276" s="79" t="n">
        <v>786323.7339000001</v>
      </c>
      <c r="F276" s="79" t="n">
        <v>905906.0377999999</v>
      </c>
    </row>
    <row r="277">
      <c r="A277" t="inlineStr">
        <is>
          <t>Pathologists</t>
        </is>
      </c>
      <c r="B277" t="inlineStr">
        <is>
          <t>WA</t>
        </is>
      </c>
      <c r="C277" s="44" t="inlineStr">
        <is>
          <t>Attraction and Retention Allowance</t>
        </is>
      </c>
      <c r="D277" s="79" t="n">
        <v>733974.6716153846</v>
      </c>
      <c r="E277" s="79" t="n">
        <v>839060.7298461539</v>
      </c>
      <c r="F277" s="79" t="n">
        <v>944146.788076923</v>
      </c>
    </row>
    <row r="278">
      <c r="A278" t="inlineStr">
        <is>
          <t>Pathologists</t>
        </is>
      </c>
      <c r="B278" t="inlineStr">
        <is>
          <t>ALL</t>
        </is>
      </c>
      <c r="C278" s="44" t="inlineStr">
        <is>
          <t>Average Penalties</t>
        </is>
      </c>
      <c r="D278" s="79" t="n">
        <v>520352.7554</v>
      </c>
      <c r="E278" s="79" t="n">
        <v>759694.9040039999</v>
      </c>
      <c r="F278" s="79" t="n">
        <v>1205576.6145</v>
      </c>
    </row>
    <row r="279">
      <c r="A279" t="inlineStr">
        <is>
          <t>Pathologists</t>
        </is>
      </c>
      <c r="B279" t="inlineStr">
        <is>
          <t>NSW</t>
        </is>
      </c>
      <c r="C279" s="44" t="inlineStr">
        <is>
          <t>Average Penalties</t>
        </is>
      </c>
      <c r="D279" s="79" t="n">
        <v>530998.2901923077</v>
      </c>
      <c r="E279" s="79" t="n">
        <v>617527.22875</v>
      </c>
      <c r="F279" s="79" t="n">
        <v>776638.1673076923</v>
      </c>
    </row>
    <row r="280">
      <c r="A280" t="inlineStr">
        <is>
          <t>Pathologists</t>
        </is>
      </c>
      <c r="B280" t="inlineStr">
        <is>
          <t>QLD</t>
        </is>
      </c>
      <c r="C280" s="44" t="inlineStr">
        <is>
          <t>Average Penalties</t>
        </is>
      </c>
      <c r="D280" s="79" t="n">
        <v>564701.8383076922</v>
      </c>
      <c r="E280" s="79" t="n">
        <v>668927.8987692308</v>
      </c>
      <c r="F280" s="79" t="n">
        <v>851780.9592307692</v>
      </c>
    </row>
    <row r="281">
      <c r="A281" t="inlineStr">
        <is>
          <t>Pathologists</t>
        </is>
      </c>
      <c r="B281" t="inlineStr">
        <is>
          <t>SA</t>
        </is>
      </c>
      <c r="C281" s="44" t="inlineStr">
        <is>
          <t>Average Penalties</t>
        </is>
      </c>
      <c r="D281" s="79" t="n">
        <v>730532.0760384616</v>
      </c>
      <c r="E281" s="79" t="n">
        <v>842427.4306442309</v>
      </c>
      <c r="F281" s="79" t="n">
        <v>1041928.48525</v>
      </c>
    </row>
    <row r="282">
      <c r="A282" t="inlineStr">
        <is>
          <t>Pathologists</t>
        </is>
      </c>
      <c r="B282" t="inlineStr">
        <is>
          <t>VIC</t>
        </is>
      </c>
      <c r="C282" s="44" t="inlineStr">
        <is>
          <t>Average Penalties</t>
        </is>
      </c>
      <c r="D282" s="79" t="n">
        <v>666741.4299999999</v>
      </c>
      <c r="E282" s="79" t="n">
        <v>786323.7339000001</v>
      </c>
      <c r="F282" s="79" t="n">
        <v>1008813.7778</v>
      </c>
    </row>
    <row r="283">
      <c r="A283" t="inlineStr">
        <is>
          <t>Pathologists</t>
        </is>
      </c>
      <c r="B283" t="inlineStr">
        <is>
          <t>WA</t>
        </is>
      </c>
      <c r="C283" s="44" t="inlineStr">
        <is>
          <t>Average Penalties</t>
        </is>
      </c>
      <c r="D283" s="79" t="n">
        <v>733974.6716153846</v>
      </c>
      <c r="E283" s="79" t="n">
        <v>839060.7298461539</v>
      </c>
      <c r="F283" s="79" t="n">
        <v>1060101.288076923</v>
      </c>
    </row>
    <row r="284">
      <c r="A284" t="inlineStr">
        <is>
          <t>Pathologists</t>
        </is>
      </c>
      <c r="B284" t="inlineStr">
        <is>
          <t>ALL</t>
        </is>
      </c>
      <c r="C284" s="44" t="inlineStr">
        <is>
          <t>Base Case</t>
        </is>
      </c>
      <c r="D284" s="79" t="n">
        <v>530998.2901923077</v>
      </c>
      <c r="E284" s="79" t="n">
        <v>750853.4043819231</v>
      </c>
      <c r="F284" s="79" t="n">
        <v>954322.7852500001</v>
      </c>
    </row>
    <row r="285">
      <c r="A285" t="inlineStr">
        <is>
          <t>Pathologists</t>
        </is>
      </c>
      <c r="B285" t="inlineStr">
        <is>
          <t>NSW</t>
        </is>
      </c>
      <c r="C285" s="44" t="inlineStr">
        <is>
          <t>Base Case</t>
        </is>
      </c>
      <c r="D285" s="79" t="n">
        <v>530998.2901923077</v>
      </c>
      <c r="E285" s="79" t="n">
        <v>617527.22875</v>
      </c>
      <c r="F285" s="79" t="n">
        <v>704056.1673076923</v>
      </c>
    </row>
    <row r="286">
      <c r="A286" t="inlineStr">
        <is>
          <t>Pathologists</t>
        </is>
      </c>
      <c r="B286" t="inlineStr">
        <is>
          <t>QLD</t>
        </is>
      </c>
      <c r="C286" s="44" t="inlineStr">
        <is>
          <t>Base Case</t>
        </is>
      </c>
      <c r="D286" s="79" t="n">
        <v>564701.8383076922</v>
      </c>
      <c r="E286" s="79" t="n">
        <v>668927.8987692308</v>
      </c>
      <c r="F286" s="79" t="n">
        <v>773153.9592307692</v>
      </c>
    </row>
    <row r="287">
      <c r="A287" t="inlineStr">
        <is>
          <t>Pathologists</t>
        </is>
      </c>
      <c r="B287" t="inlineStr">
        <is>
          <t>SA</t>
        </is>
      </c>
      <c r="C287" s="44" t="inlineStr">
        <is>
          <t>Base Case</t>
        </is>
      </c>
      <c r="D287" s="79" t="n">
        <v>730532.0760384616</v>
      </c>
      <c r="E287" s="79" t="n">
        <v>842427.4306442309</v>
      </c>
      <c r="F287" s="79" t="n">
        <v>954322.7852500001</v>
      </c>
    </row>
    <row r="288">
      <c r="A288" t="inlineStr">
        <is>
          <t>Pathologists</t>
        </is>
      </c>
      <c r="B288" t="inlineStr">
        <is>
          <t>VIC</t>
        </is>
      </c>
      <c r="C288" s="44" t="inlineStr">
        <is>
          <t>Base Case</t>
        </is>
      </c>
      <c r="D288" s="79" t="n">
        <v>666741.4299999999</v>
      </c>
      <c r="E288" s="79" t="n">
        <v>786323.7339000001</v>
      </c>
      <c r="F288" s="79" t="n">
        <v>905906.0377999999</v>
      </c>
    </row>
    <row r="289">
      <c r="A289" t="inlineStr">
        <is>
          <t>Pathologists</t>
        </is>
      </c>
      <c r="B289" t="inlineStr">
        <is>
          <t>WA</t>
        </is>
      </c>
      <c r="C289" s="44" t="inlineStr">
        <is>
          <t>Base Case</t>
        </is>
      </c>
      <c r="D289" s="79" t="n">
        <v>733974.6716153846</v>
      </c>
      <c r="E289" s="79" t="n">
        <v>839060.7298461539</v>
      </c>
      <c r="F289" s="79" t="n">
        <v>944146.788076923</v>
      </c>
    </row>
    <row r="290">
      <c r="A290" t="inlineStr">
        <is>
          <t>Pathologists</t>
        </is>
      </c>
      <c r="B290" t="inlineStr">
        <is>
          <t>ALL</t>
        </is>
      </c>
      <c r="C290" s="44" t="inlineStr">
        <is>
          <t>Hours worked</t>
        </is>
      </c>
      <c r="D290" s="79" t="n">
        <v>520352.7554</v>
      </c>
      <c r="E290" s="79" t="n">
        <v>759694.9040039999</v>
      </c>
      <c r="F290" s="79" t="n">
        <v>1089622.1145</v>
      </c>
    </row>
    <row r="291">
      <c r="A291" t="inlineStr">
        <is>
          <t>Pathologists</t>
        </is>
      </c>
      <c r="B291" t="inlineStr">
        <is>
          <t>NSW</t>
        </is>
      </c>
      <c r="C291" s="44" t="inlineStr">
        <is>
          <t>Hours worked</t>
        </is>
      </c>
      <c r="D291" s="79" t="n">
        <v>530998.2901923077</v>
      </c>
      <c r="E291" s="79" t="n">
        <v>617527.22875</v>
      </c>
      <c r="F291" s="79" t="n">
        <v>704056.1673076923</v>
      </c>
    </row>
    <row r="292">
      <c r="A292" t="inlineStr">
        <is>
          <t>Pathologists</t>
        </is>
      </c>
      <c r="B292" t="inlineStr">
        <is>
          <t>QLD</t>
        </is>
      </c>
      <c r="C292" s="44" t="inlineStr">
        <is>
          <t>Hours worked</t>
        </is>
      </c>
      <c r="D292" s="79" t="n">
        <v>564701.8383076922</v>
      </c>
      <c r="E292" s="79" t="n">
        <v>668927.8987692308</v>
      </c>
      <c r="F292" s="79" t="n">
        <v>773153.9592307692</v>
      </c>
    </row>
    <row r="293">
      <c r="A293" t="inlineStr">
        <is>
          <t>Pathologists</t>
        </is>
      </c>
      <c r="B293" t="inlineStr">
        <is>
          <t>SA</t>
        </is>
      </c>
      <c r="C293" s="44" t="inlineStr">
        <is>
          <t>Hours worked</t>
        </is>
      </c>
      <c r="D293" s="79" t="n">
        <v>730532.0760384616</v>
      </c>
      <c r="E293" s="79" t="n">
        <v>842427.4306442309</v>
      </c>
      <c r="F293" s="79" t="n">
        <v>954322.7852500001</v>
      </c>
    </row>
    <row r="294">
      <c r="A294" t="inlineStr">
        <is>
          <t>Pathologists</t>
        </is>
      </c>
      <c r="B294" t="inlineStr">
        <is>
          <t>VIC</t>
        </is>
      </c>
      <c r="C294" s="44" t="inlineStr">
        <is>
          <t>Hours worked</t>
        </is>
      </c>
      <c r="D294" s="79" t="n">
        <v>666741.4299999999</v>
      </c>
      <c r="E294" s="79" t="n">
        <v>786323.7339000001</v>
      </c>
      <c r="F294" s="79" t="n">
        <v>905906.0377999999</v>
      </c>
    </row>
    <row r="295">
      <c r="A295" t="inlineStr">
        <is>
          <t>Pathologists</t>
        </is>
      </c>
      <c r="B295" t="inlineStr">
        <is>
          <t>WA</t>
        </is>
      </c>
      <c r="C295" s="44" t="inlineStr">
        <is>
          <t>Hours worked</t>
        </is>
      </c>
      <c r="D295" s="79" t="n">
        <v>733974.6716153846</v>
      </c>
      <c r="E295" s="79" t="n">
        <v>839060.7298461539</v>
      </c>
      <c r="F295" s="79" t="n">
        <v>944146.788076923</v>
      </c>
    </row>
    <row r="296">
      <c r="A296" t="inlineStr">
        <is>
          <t>Pathologists</t>
        </is>
      </c>
      <c r="B296" t="inlineStr">
        <is>
          <t>ALL</t>
        </is>
      </c>
      <c r="C296" s="44" t="inlineStr">
        <is>
          <t xml:space="preserve">Leave Loading (%)		</t>
        </is>
      </c>
      <c r="D296" s="79" t="n">
        <v>520352.7554</v>
      </c>
      <c r="E296" s="79" t="n">
        <v>759694.9040039999</v>
      </c>
      <c r="F296" s="79" t="n">
        <v>1089622.1145</v>
      </c>
    </row>
    <row r="297">
      <c r="A297" t="inlineStr">
        <is>
          <t>Pathologists</t>
        </is>
      </c>
      <c r="B297" t="inlineStr">
        <is>
          <t>NSW</t>
        </is>
      </c>
      <c r="C297" s="44" t="inlineStr">
        <is>
          <t xml:space="preserve">Leave Loading (%)		</t>
        </is>
      </c>
      <c r="D297" s="79" t="n">
        <v>530998.2901923077</v>
      </c>
      <c r="E297" s="79" t="n">
        <v>617527.22875</v>
      </c>
      <c r="F297" s="79" t="n">
        <v>704056.1673076923</v>
      </c>
    </row>
    <row r="298">
      <c r="A298" t="inlineStr">
        <is>
          <t>Pathologists</t>
        </is>
      </c>
      <c r="B298" t="inlineStr">
        <is>
          <t>QLD</t>
        </is>
      </c>
      <c r="C298" s="44" t="inlineStr">
        <is>
          <t xml:space="preserve">Leave Loading (%)		</t>
        </is>
      </c>
      <c r="D298" s="79" t="n">
        <v>564701.8383076922</v>
      </c>
      <c r="E298" s="79" t="n">
        <v>668927.8987692308</v>
      </c>
      <c r="F298" s="79" t="n">
        <v>773153.9592307692</v>
      </c>
    </row>
    <row r="299">
      <c r="A299" t="inlineStr">
        <is>
          <t>Pathologists</t>
        </is>
      </c>
      <c r="B299" t="inlineStr">
        <is>
          <t>SA</t>
        </is>
      </c>
      <c r="C299" s="44" t="inlineStr">
        <is>
          <t xml:space="preserve">Leave Loading (%)		</t>
        </is>
      </c>
      <c r="D299" s="79" t="n">
        <v>730532.0760384616</v>
      </c>
      <c r="E299" s="79" t="n">
        <v>842427.4306442309</v>
      </c>
      <c r="F299" s="79" t="n">
        <v>954322.7852500001</v>
      </c>
    </row>
    <row r="300">
      <c r="A300" t="inlineStr">
        <is>
          <t>Pathologists</t>
        </is>
      </c>
      <c r="B300" t="inlineStr">
        <is>
          <t>VIC</t>
        </is>
      </c>
      <c r="C300" s="44" t="inlineStr">
        <is>
          <t xml:space="preserve">Leave Loading (%)		</t>
        </is>
      </c>
      <c r="D300" s="79" t="n">
        <v>666741.4299999999</v>
      </c>
      <c r="E300" s="79" t="n">
        <v>786323.7339000001</v>
      </c>
      <c r="F300" s="79" t="n">
        <v>905906.0377999999</v>
      </c>
    </row>
    <row r="301">
      <c r="A301" t="inlineStr">
        <is>
          <t>Pathologists</t>
        </is>
      </c>
      <c r="B301" t="inlineStr">
        <is>
          <t>WA</t>
        </is>
      </c>
      <c r="C301" s="44" t="inlineStr">
        <is>
          <t xml:space="preserve">Leave Loading (%)		</t>
        </is>
      </c>
      <c r="D301" s="79" t="n">
        <v>733974.6716153846</v>
      </c>
      <c r="E301" s="79" t="n">
        <v>839060.7298461539</v>
      </c>
      <c r="F301" s="79" t="n">
        <v>944146.788076923</v>
      </c>
    </row>
    <row r="302">
      <c r="A302" t="inlineStr">
        <is>
          <t>Pathologists</t>
        </is>
      </c>
      <c r="B302" t="inlineStr">
        <is>
          <t>ALL</t>
        </is>
      </c>
      <c r="C302" s="44" t="inlineStr">
        <is>
          <t>Private Practice Loading</t>
        </is>
      </c>
      <c r="D302" s="79" t="n">
        <v>520352.7554</v>
      </c>
      <c r="E302" s="79" t="n">
        <v>759694.9040039999</v>
      </c>
      <c r="F302" s="79" t="n">
        <v>1089622.1145</v>
      </c>
    </row>
    <row r="303">
      <c r="A303" t="inlineStr">
        <is>
          <t>Pathologists</t>
        </is>
      </c>
      <c r="B303" t="inlineStr">
        <is>
          <t>NSW</t>
        </is>
      </c>
      <c r="C303" s="44" t="inlineStr">
        <is>
          <t>Private Practice Loading</t>
        </is>
      </c>
      <c r="D303" s="79" t="n">
        <v>530998.2901923077</v>
      </c>
      <c r="E303" s="79" t="n">
        <v>617527.22875</v>
      </c>
      <c r="F303" s="79" t="n">
        <v>704056.1673076923</v>
      </c>
    </row>
    <row r="304">
      <c r="A304" t="inlineStr">
        <is>
          <t>Pathologists</t>
        </is>
      </c>
      <c r="B304" t="inlineStr">
        <is>
          <t>QLD</t>
        </is>
      </c>
      <c r="C304" s="44" t="inlineStr">
        <is>
          <t>Private Practice Loading</t>
        </is>
      </c>
      <c r="D304" s="79" t="n">
        <v>564701.8383076922</v>
      </c>
      <c r="E304" s="79" t="n">
        <v>668927.8987692308</v>
      </c>
      <c r="F304" s="79" t="n">
        <v>773153.9592307692</v>
      </c>
    </row>
    <row r="305">
      <c r="A305" t="inlineStr">
        <is>
          <t>Pathologists</t>
        </is>
      </c>
      <c r="B305" t="inlineStr">
        <is>
          <t>SA</t>
        </is>
      </c>
      <c r="C305" s="44" t="inlineStr">
        <is>
          <t>Private Practice Loading</t>
        </is>
      </c>
      <c r="D305" s="79" t="n">
        <v>730532.0760384616</v>
      </c>
      <c r="E305" s="79" t="n">
        <v>842427.4306442309</v>
      </c>
      <c r="F305" s="79" t="n">
        <v>954322.7852500001</v>
      </c>
    </row>
    <row r="306">
      <c r="A306" t="inlineStr">
        <is>
          <t>Pathologists</t>
        </is>
      </c>
      <c r="B306" t="inlineStr">
        <is>
          <t>VIC</t>
        </is>
      </c>
      <c r="C306" s="44" t="inlineStr">
        <is>
          <t>Private Practice Loading</t>
        </is>
      </c>
      <c r="D306" s="79" t="n">
        <v>666741.4299999999</v>
      </c>
      <c r="E306" s="79" t="n">
        <v>786323.7339000001</v>
      </c>
      <c r="F306" s="79" t="n">
        <v>905906.0377999999</v>
      </c>
    </row>
    <row r="307">
      <c r="A307" t="inlineStr">
        <is>
          <t>Pathologists</t>
        </is>
      </c>
      <c r="B307" t="inlineStr">
        <is>
          <t>WA</t>
        </is>
      </c>
      <c r="C307" s="44" t="inlineStr">
        <is>
          <t>Private Practice Loading</t>
        </is>
      </c>
      <c r="D307" s="79" t="n">
        <v>733974.6716153846</v>
      </c>
      <c r="E307" s="79" t="n">
        <v>839060.7298461539</v>
      </c>
      <c r="F307" s="79" t="n">
        <v>944146.788076923</v>
      </c>
    </row>
    <row r="308">
      <c r="A308" t="inlineStr">
        <is>
          <t>Pathologists</t>
        </is>
      </c>
      <c r="B308" t="inlineStr">
        <is>
          <t>ALL</t>
        </is>
      </c>
      <c r="C308" s="44" t="inlineStr">
        <is>
          <t>Professional Development Allowance</t>
        </is>
      </c>
      <c r="D308" s="79" t="n">
        <v>520352.7554</v>
      </c>
      <c r="E308" s="79" t="n">
        <v>759694.9040039999</v>
      </c>
      <c r="F308" s="79" t="n">
        <v>1089622.1145</v>
      </c>
    </row>
    <row r="309">
      <c r="A309" t="inlineStr">
        <is>
          <t>Pathologists</t>
        </is>
      </c>
      <c r="B309" t="inlineStr">
        <is>
          <t>NSW</t>
        </is>
      </c>
      <c r="C309" s="44" t="inlineStr">
        <is>
          <t>Professional Development Allowance</t>
        </is>
      </c>
      <c r="D309" s="79" t="n">
        <v>530998.2901923077</v>
      </c>
      <c r="E309" s="79" t="n">
        <v>617527.22875</v>
      </c>
      <c r="F309" s="79" t="n">
        <v>704056.1673076923</v>
      </c>
    </row>
    <row r="310">
      <c r="A310" t="inlineStr">
        <is>
          <t>Pathologists</t>
        </is>
      </c>
      <c r="B310" t="inlineStr">
        <is>
          <t>QLD</t>
        </is>
      </c>
      <c r="C310" s="44" t="inlineStr">
        <is>
          <t>Professional Development Allowance</t>
        </is>
      </c>
      <c r="D310" s="79" t="n">
        <v>564701.8383076922</v>
      </c>
      <c r="E310" s="79" t="n">
        <v>668927.8987692308</v>
      </c>
      <c r="F310" s="79" t="n">
        <v>773153.9592307692</v>
      </c>
    </row>
    <row r="311">
      <c r="A311" t="inlineStr">
        <is>
          <t>Pathologists</t>
        </is>
      </c>
      <c r="B311" t="inlineStr">
        <is>
          <t>SA</t>
        </is>
      </c>
      <c r="C311" s="44" t="inlineStr">
        <is>
          <t>Professional Development Allowance</t>
        </is>
      </c>
      <c r="D311" s="79" t="n">
        <v>730532.0760384616</v>
      </c>
      <c r="E311" s="79" t="n">
        <v>842427.4306442309</v>
      </c>
      <c r="F311" s="79" t="n">
        <v>954322.7852500001</v>
      </c>
    </row>
    <row r="312">
      <c r="A312" t="inlineStr">
        <is>
          <t>Pathologists</t>
        </is>
      </c>
      <c r="B312" t="inlineStr">
        <is>
          <t>VIC</t>
        </is>
      </c>
      <c r="C312" s="44" t="inlineStr">
        <is>
          <t>Professional Development Allowance</t>
        </is>
      </c>
      <c r="D312" s="79" t="n">
        <v>666741.4299999999</v>
      </c>
      <c r="E312" s="79" t="n">
        <v>786323.7339000001</v>
      </c>
      <c r="F312" s="79" t="n">
        <v>905906.0377999999</v>
      </c>
    </row>
    <row r="313">
      <c r="A313" t="inlineStr">
        <is>
          <t>Pathologists</t>
        </is>
      </c>
      <c r="B313" t="inlineStr">
        <is>
          <t>WA</t>
        </is>
      </c>
      <c r="C313" s="44" t="inlineStr">
        <is>
          <t>Professional Development Allowance</t>
        </is>
      </c>
      <c r="D313" s="79" t="n">
        <v>733974.6716153846</v>
      </c>
      <c r="E313" s="79" t="n">
        <v>839060.7298461539</v>
      </c>
      <c r="F313" s="79" t="n">
        <v>944146.788076923</v>
      </c>
    </row>
    <row r="314">
      <c r="A314" t="inlineStr">
        <is>
          <t>Pathologists</t>
        </is>
      </c>
      <c r="B314" t="inlineStr">
        <is>
          <t>ALL</t>
        </is>
      </c>
      <c r="C314" s="44" t="inlineStr">
        <is>
          <t>Public Holiday Penalty</t>
        </is>
      </c>
      <c r="D314" s="79" t="n">
        <v>519367.8264</v>
      </c>
      <c r="E314" s="79" t="n">
        <v>759694.9040039999</v>
      </c>
      <c r="F314" s="79" t="n">
        <v>1091554.6895</v>
      </c>
    </row>
    <row r="315">
      <c r="A315" t="inlineStr">
        <is>
          <t>Pathologists</t>
        </is>
      </c>
      <c r="B315" t="inlineStr">
        <is>
          <t>NSW</t>
        </is>
      </c>
      <c r="C315" s="44" t="inlineStr">
        <is>
          <t>Public Holiday Penalty</t>
        </is>
      </c>
      <c r="D315" s="79" t="n">
        <v>530013.3611923077</v>
      </c>
      <c r="E315" s="79" t="n">
        <v>617527.22875</v>
      </c>
      <c r="F315" s="79" t="n">
        <v>705265.8673076923</v>
      </c>
    </row>
    <row r="316">
      <c r="A316" t="inlineStr">
        <is>
          <t>Pathologists</t>
        </is>
      </c>
      <c r="B316" t="inlineStr">
        <is>
          <t>QLD</t>
        </is>
      </c>
      <c r="C316" s="44" t="inlineStr">
        <is>
          <t>Public Holiday Penalty</t>
        </is>
      </c>
      <c r="D316" s="79" t="n">
        <v>563660.1053076923</v>
      </c>
      <c r="E316" s="79" t="n">
        <v>668927.8987692308</v>
      </c>
      <c r="F316" s="79" t="n">
        <v>774464.4092307691</v>
      </c>
    </row>
    <row r="317">
      <c r="A317" t="inlineStr">
        <is>
          <t>Pathologists</t>
        </is>
      </c>
      <c r="B317" t="inlineStr">
        <is>
          <t>SA</t>
        </is>
      </c>
      <c r="C317" s="44" t="inlineStr">
        <is>
          <t>Public Holiday Penalty</t>
        </is>
      </c>
      <c r="D317" s="79" t="n">
        <v>729313.1550384616</v>
      </c>
      <c r="E317" s="79" t="n">
        <v>842427.4306442309</v>
      </c>
      <c r="F317" s="79" t="n">
        <v>955782.88025</v>
      </c>
    </row>
    <row r="318">
      <c r="A318" t="inlineStr">
        <is>
          <t>Pathologists</t>
        </is>
      </c>
      <c r="B318" t="inlineStr">
        <is>
          <t>VIC</t>
        </is>
      </c>
      <c r="C318" s="44" t="inlineStr">
        <is>
          <t>Public Holiday Penalty</t>
        </is>
      </c>
      <c r="D318" s="79" t="n">
        <v>665369.345</v>
      </c>
      <c r="E318" s="79" t="n">
        <v>786323.7339000001</v>
      </c>
      <c r="F318" s="79" t="n">
        <v>907621.1668</v>
      </c>
    </row>
    <row r="319">
      <c r="A319" t="inlineStr">
        <is>
          <t>Pathologists</t>
        </is>
      </c>
      <c r="B319" t="inlineStr">
        <is>
          <t>WA</t>
        </is>
      </c>
      <c r="C319" s="44" t="inlineStr">
        <is>
          <t>Public Holiday Penalty</t>
        </is>
      </c>
      <c r="D319" s="79" t="n">
        <v>732337.0081153846</v>
      </c>
      <c r="E319" s="79" t="n">
        <v>839060.7298461539</v>
      </c>
      <c r="F319" s="79" t="n">
        <v>946079.3630769229</v>
      </c>
    </row>
    <row r="320">
      <c r="A320" t="inlineStr">
        <is>
          <t>Pathologists</t>
        </is>
      </c>
      <c r="B320" t="inlineStr">
        <is>
          <t>ALL</t>
        </is>
      </c>
      <c r="C320" s="44" t="inlineStr">
        <is>
          <t>Sick Leave</t>
        </is>
      </c>
      <c r="D320" s="79" t="n">
        <v>520352.7554</v>
      </c>
      <c r="E320" s="79" t="n">
        <v>759694.9040039999</v>
      </c>
      <c r="F320" s="79" t="n">
        <v>1089622.1145</v>
      </c>
    </row>
    <row r="321">
      <c r="A321" t="inlineStr">
        <is>
          <t>Pathologists</t>
        </is>
      </c>
      <c r="B321" t="inlineStr">
        <is>
          <t>NSW</t>
        </is>
      </c>
      <c r="C321" s="44" t="inlineStr">
        <is>
          <t>Sick Leave</t>
        </is>
      </c>
      <c r="D321" s="79" t="n">
        <v>530998.2901923077</v>
      </c>
      <c r="E321" s="79" t="n">
        <v>617527.22875</v>
      </c>
      <c r="F321" s="79" t="n">
        <v>704056.1673076923</v>
      </c>
    </row>
    <row r="322">
      <c r="A322" t="inlineStr">
        <is>
          <t>Pathologists</t>
        </is>
      </c>
      <c r="B322" t="inlineStr">
        <is>
          <t>QLD</t>
        </is>
      </c>
      <c r="C322" s="44" t="inlineStr">
        <is>
          <t>Sick Leave</t>
        </is>
      </c>
      <c r="D322" s="79" t="n">
        <v>564701.8383076922</v>
      </c>
      <c r="E322" s="79" t="n">
        <v>668927.8987692308</v>
      </c>
      <c r="F322" s="79" t="n">
        <v>773153.9592307692</v>
      </c>
    </row>
    <row r="323">
      <c r="A323" t="inlineStr">
        <is>
          <t>Pathologists</t>
        </is>
      </c>
      <c r="B323" t="inlineStr">
        <is>
          <t>SA</t>
        </is>
      </c>
      <c r="C323" s="44" t="inlineStr">
        <is>
          <t>Sick Leave</t>
        </is>
      </c>
      <c r="D323" s="79" t="n">
        <v>730532.0760384616</v>
      </c>
      <c r="E323" s="79" t="n">
        <v>842427.4306442309</v>
      </c>
      <c r="F323" s="79" t="n">
        <v>954322.7852500001</v>
      </c>
    </row>
    <row r="324">
      <c r="A324" t="inlineStr">
        <is>
          <t>Pathologists</t>
        </is>
      </c>
      <c r="B324" t="inlineStr">
        <is>
          <t>VIC</t>
        </is>
      </c>
      <c r="C324" s="44" t="inlineStr">
        <is>
          <t>Sick Leave</t>
        </is>
      </c>
      <c r="D324" s="79" t="n">
        <v>666741.4299999999</v>
      </c>
      <c r="E324" s="79" t="n">
        <v>786323.7339000001</v>
      </c>
      <c r="F324" s="79" t="n">
        <v>905906.0377999999</v>
      </c>
    </row>
    <row r="325">
      <c r="A325" t="inlineStr">
        <is>
          <t>Pathologists</t>
        </is>
      </c>
      <c r="B325" t="inlineStr">
        <is>
          <t>WA</t>
        </is>
      </c>
      <c r="C325" s="44" t="inlineStr">
        <is>
          <t>Sick Leave</t>
        </is>
      </c>
      <c r="D325" s="79" t="n">
        <v>733974.6716153846</v>
      </c>
      <c r="E325" s="79" t="n">
        <v>839060.7298461539</v>
      </c>
      <c r="F325" s="79" t="n">
        <v>944146.788076923</v>
      </c>
    </row>
    <row r="326">
      <c r="A326" t="inlineStr">
        <is>
          <t>Pathologists</t>
        </is>
      </c>
      <c r="B326" t="inlineStr">
        <is>
          <t>ALL</t>
        </is>
      </c>
      <c r="C326" s="44" t="inlineStr">
        <is>
          <t>Superannuation</t>
        </is>
      </c>
      <c r="D326" s="79" t="n">
        <v>519457.3654</v>
      </c>
      <c r="E326" s="79" t="n">
        <v>759694.9040039999</v>
      </c>
      <c r="F326" s="79" t="n">
        <v>1096386.127</v>
      </c>
    </row>
    <row r="327">
      <c r="A327" t="inlineStr">
        <is>
          <t>Pathologists</t>
        </is>
      </c>
      <c r="B327" t="inlineStr">
        <is>
          <t>NSW</t>
        </is>
      </c>
      <c r="C327" s="44" t="inlineStr">
        <is>
          <t>Superannuation</t>
        </is>
      </c>
      <c r="D327" s="79" t="n">
        <v>530102.9001923078</v>
      </c>
      <c r="E327" s="79" t="n">
        <v>617527.22875</v>
      </c>
      <c r="F327" s="79" t="n">
        <v>708290.1173076923</v>
      </c>
    </row>
    <row r="328">
      <c r="A328" t="inlineStr">
        <is>
          <t>Pathologists</t>
        </is>
      </c>
      <c r="B328" t="inlineStr">
        <is>
          <t>QLD</t>
        </is>
      </c>
      <c r="C328" s="44" t="inlineStr">
        <is>
          <t>Superannuation</t>
        </is>
      </c>
      <c r="D328" s="79" t="n">
        <v>563754.8083076923</v>
      </c>
      <c r="E328" s="79" t="n">
        <v>668927.8987692308</v>
      </c>
      <c r="F328" s="79" t="n">
        <v>777740.5342307691</v>
      </c>
    </row>
    <row r="329">
      <c r="A329" t="inlineStr">
        <is>
          <t>Pathologists</t>
        </is>
      </c>
      <c r="B329" t="inlineStr">
        <is>
          <t>SA</t>
        </is>
      </c>
      <c r="C329" s="44" t="inlineStr">
        <is>
          <t>Superannuation</t>
        </is>
      </c>
      <c r="D329" s="79" t="n">
        <v>729423.9660384615</v>
      </c>
      <c r="E329" s="79" t="n">
        <v>842427.4306442309</v>
      </c>
      <c r="F329" s="79" t="n">
        <v>959433.11775</v>
      </c>
    </row>
    <row r="330">
      <c r="A330" t="inlineStr">
        <is>
          <t>Pathologists</t>
        </is>
      </c>
      <c r="B330" t="inlineStr">
        <is>
          <t>VIC</t>
        </is>
      </c>
      <c r="C330" s="44" t="inlineStr">
        <is>
          <t>Superannuation</t>
        </is>
      </c>
      <c r="D330" s="79" t="n">
        <v>665494.08</v>
      </c>
      <c r="E330" s="79" t="n">
        <v>786323.7339000001</v>
      </c>
      <c r="F330" s="79" t="n">
        <v>911908.9893</v>
      </c>
    </row>
    <row r="331">
      <c r="A331" t="inlineStr">
        <is>
          <t>Pathologists</t>
        </is>
      </c>
      <c r="B331" t="inlineStr">
        <is>
          <t>WA</t>
        </is>
      </c>
      <c r="C331" s="44" t="inlineStr">
        <is>
          <t>Superannuation</t>
        </is>
      </c>
      <c r="D331" s="79" t="n">
        <v>732485.8866153846</v>
      </c>
      <c r="E331" s="79" t="n">
        <v>839060.7298461539</v>
      </c>
      <c r="F331" s="79" t="n">
        <v>950910.8005769229</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1"/>
  <sheetViews>
    <sheetView workbookViewId="0">
      <selection activeCell="F22" sqref="F22"/>
    </sheetView>
  </sheetViews>
  <sheetFormatPr baseColWidth="10" defaultColWidth="11" defaultRowHeight="16"/>
  <cols>
    <col width="10.83203125" customWidth="1" style="79" min="4" max="6"/>
  </cols>
  <sheetData>
    <row r="1">
      <c r="A1" t="inlineStr">
        <is>
          <t>Personnel type</t>
        </is>
      </c>
      <c r="B1" t="inlineStr">
        <is>
          <t>Jurisdiction</t>
        </is>
      </c>
      <c r="C1" t="inlineStr">
        <is>
          <t>Variable</t>
        </is>
      </c>
      <c r="D1" s="79" t="inlineStr">
        <is>
          <t>LL</t>
        </is>
      </c>
      <c r="E1" s="79" t="inlineStr">
        <is>
          <t>MP</t>
        </is>
      </c>
      <c r="F1" s="79" t="inlineStr">
        <is>
          <t>UL</t>
        </is>
      </c>
    </row>
    <row r="2">
      <c r="A2" t="inlineStr">
        <is>
          <t>Admin staff</t>
        </is>
      </c>
      <c r="B2" t="inlineStr">
        <is>
          <t>ALL</t>
        </is>
      </c>
      <c r="C2" s="44" t="inlineStr">
        <is>
          <t>Base Case</t>
        </is>
      </c>
      <c r="D2" s="79" t="n">
        <v>57.73744226720648</v>
      </c>
      <c r="E2" s="79" t="n">
        <v>81.18016855839304</v>
      </c>
      <c r="F2" s="79" t="n">
        <v>118.3233486452818</v>
      </c>
    </row>
    <row r="3">
      <c r="A3" t="inlineStr">
        <is>
          <t>Admin staff</t>
        </is>
      </c>
      <c r="B3" t="inlineStr">
        <is>
          <t>NSW</t>
        </is>
      </c>
      <c r="C3" s="44" t="inlineStr">
        <is>
          <t>Base Case</t>
        </is>
      </c>
      <c r="D3" s="79" t="n">
        <v>57.73744226720648</v>
      </c>
      <c r="E3" s="79" t="n">
        <v>69.43560540485831</v>
      </c>
      <c r="F3" s="79" t="n">
        <v>81.13376854251011</v>
      </c>
    </row>
    <row r="4">
      <c r="A4" t="inlineStr">
        <is>
          <t>Admin staff</t>
        </is>
      </c>
      <c r="B4" t="inlineStr">
        <is>
          <t>QLD</t>
        </is>
      </c>
      <c r="C4" s="44" t="inlineStr">
        <is>
          <t>Base Case</t>
        </is>
      </c>
      <c r="D4" s="79" t="n">
        <v>58.08977857365307</v>
      </c>
      <c r="E4" s="79" t="n">
        <v>77.38128143491123</v>
      </c>
      <c r="F4" s="79" t="n">
        <v>96.67278429616943</v>
      </c>
    </row>
    <row r="5">
      <c r="A5" t="inlineStr">
        <is>
          <t>Admin staff</t>
        </is>
      </c>
      <c r="B5" t="inlineStr">
        <is>
          <t>SA</t>
        </is>
      </c>
      <c r="C5" s="44" t="inlineStr">
        <is>
          <t>Base Case</t>
        </is>
      </c>
      <c r="D5" s="79" t="n">
        <v>68.20481267517907</v>
      </c>
      <c r="E5" s="79" t="n">
        <v>75.94370297415135</v>
      </c>
      <c r="F5" s="79" t="n">
        <v>83.68259327312363</v>
      </c>
    </row>
    <row r="6">
      <c r="A6" t="inlineStr">
        <is>
          <t>Admin staff</t>
        </is>
      </c>
      <c r="B6" t="inlineStr">
        <is>
          <t>VIC</t>
        </is>
      </c>
      <c r="C6" s="44" t="inlineStr">
        <is>
          <t>Base Case</t>
        </is>
      </c>
      <c r="D6" s="79" t="n">
        <v>82.41106092338835</v>
      </c>
      <c r="E6" s="79" t="n">
        <v>100.3672047843351</v>
      </c>
      <c r="F6" s="79" t="n">
        <v>118.3233486452818</v>
      </c>
    </row>
    <row r="7">
      <c r="A7" t="inlineStr">
        <is>
          <t>Admin staff</t>
        </is>
      </c>
      <c r="B7" t="inlineStr">
        <is>
          <t>WA</t>
        </is>
      </c>
      <c r="C7" s="44" t="inlineStr">
        <is>
          <t>Base Case</t>
        </is>
      </c>
      <c r="D7" s="79" t="n">
        <v>75.27544211304888</v>
      </c>
      <c r="E7" s="79" t="n">
        <v>82.77304819370912</v>
      </c>
      <c r="F7" s="79" t="n">
        <v>90.27065427436935</v>
      </c>
    </row>
    <row r="8">
      <c r="A8" t="inlineStr">
        <is>
          <t>Bioinformatics staff</t>
        </is>
      </c>
      <c r="B8" t="inlineStr">
        <is>
          <t>ALL</t>
        </is>
      </c>
      <c r="C8" s="44" t="inlineStr">
        <is>
          <t>Base Case</t>
        </is>
      </c>
      <c r="D8" s="79" t="n">
        <v>79.55310798816568</v>
      </c>
      <c r="E8" s="79" t="n">
        <v>119.5793625622859</v>
      </c>
      <c r="F8" s="79" t="n">
        <v>168.1838215509187</v>
      </c>
    </row>
    <row r="9">
      <c r="A9" t="inlineStr">
        <is>
          <t>Bioinformatics staff</t>
        </is>
      </c>
      <c r="B9" t="inlineStr">
        <is>
          <t>NSW</t>
        </is>
      </c>
      <c r="C9" s="44" t="inlineStr">
        <is>
          <t>Base Case</t>
        </is>
      </c>
      <c r="D9" s="79" t="n">
        <v>85.52245009342886</v>
      </c>
      <c r="E9" s="79" t="n">
        <v>116.9966419534413</v>
      </c>
      <c r="F9" s="79" t="n">
        <v>148.4708338134538</v>
      </c>
    </row>
    <row r="10">
      <c r="A10" t="inlineStr">
        <is>
          <t>Bioinformatics staff</t>
        </is>
      </c>
      <c r="B10" t="inlineStr">
        <is>
          <t>QLD</t>
        </is>
      </c>
      <c r="C10" s="44" t="inlineStr">
        <is>
          <t>Base Case</t>
        </is>
      </c>
      <c r="D10" s="79" t="n">
        <v>83.64681068981626</v>
      </c>
      <c r="E10" s="79" t="n">
        <v>125.9153161203675</v>
      </c>
      <c r="F10" s="79" t="n">
        <v>168.1838215509187</v>
      </c>
    </row>
    <row r="11">
      <c r="A11" t="inlineStr">
        <is>
          <t>Bioinformatics staff</t>
        </is>
      </c>
      <c r="B11" t="inlineStr">
        <is>
          <t>SA</t>
        </is>
      </c>
      <c r="C11" s="44" t="inlineStr">
        <is>
          <t>Base Case</t>
        </is>
      </c>
      <c r="D11" s="79" t="n">
        <v>79.55310798816568</v>
      </c>
      <c r="E11" s="79" t="n">
        <v>109.7531147812208</v>
      </c>
      <c r="F11" s="79" t="n">
        <v>139.9531215742759</v>
      </c>
    </row>
    <row r="12">
      <c r="A12" t="inlineStr">
        <is>
          <t>Bioinformatics staff</t>
        </is>
      </c>
      <c r="B12" t="inlineStr">
        <is>
          <t>VIC</t>
        </is>
      </c>
      <c r="C12" s="44" t="inlineStr">
        <is>
          <t>Base Case</t>
        </is>
      </c>
      <c r="D12" s="79" t="n">
        <v>103.0109152911865</v>
      </c>
      <c r="E12" s="79" t="n">
        <v>131.7792982326378</v>
      </c>
      <c r="F12" s="79" t="n">
        <v>160.5476811740891</v>
      </c>
    </row>
    <row r="13">
      <c r="A13" t="inlineStr">
        <is>
          <t>Bioinformatics staff</t>
        </is>
      </c>
      <c r="B13" t="inlineStr">
        <is>
          <t>WA</t>
        </is>
      </c>
      <c r="C13" s="44" t="inlineStr">
        <is>
          <t>Base Case</t>
        </is>
      </c>
      <c r="D13" s="79" t="n">
        <v>104.4540070850203</v>
      </c>
      <c r="E13" s="79" t="n">
        <v>113.4524417237621</v>
      </c>
      <c r="F13" s="79" t="n">
        <v>122.4508763625039</v>
      </c>
    </row>
    <row r="14">
      <c r="A14" t="inlineStr">
        <is>
          <t>Lab technician</t>
        </is>
      </c>
      <c r="B14" t="inlineStr">
        <is>
          <t>ALL</t>
        </is>
      </c>
      <c r="C14" s="44" t="inlineStr">
        <is>
          <t>Base Case</t>
        </is>
      </c>
      <c r="D14" s="79" t="n">
        <v>59.10597228277796</v>
      </c>
      <c r="E14" s="79" t="n">
        <v>97.46467422516351</v>
      </c>
      <c r="F14" s="79" t="n">
        <v>142.7150872781065</v>
      </c>
    </row>
    <row r="15">
      <c r="A15" t="inlineStr">
        <is>
          <t>Lab technician</t>
        </is>
      </c>
      <c r="B15" t="inlineStr">
        <is>
          <t>NSW</t>
        </is>
      </c>
      <c r="C15" s="44" t="inlineStr">
        <is>
          <t>Base Case</t>
        </is>
      </c>
      <c r="D15" s="79" t="n">
        <v>71.92192463562753</v>
      </c>
      <c r="E15" s="79" t="n">
        <v>93.03632082995951</v>
      </c>
      <c r="F15" s="79" t="n">
        <v>114.1507170242915</v>
      </c>
    </row>
    <row r="16">
      <c r="A16" t="inlineStr">
        <is>
          <t>Lab technician</t>
        </is>
      </c>
      <c r="B16" t="inlineStr">
        <is>
          <t>QLD</t>
        </is>
      </c>
      <c r="C16" s="44" t="inlineStr">
        <is>
          <t>Base Case</t>
        </is>
      </c>
      <c r="D16" s="79" t="n">
        <v>59.10597228277796</v>
      </c>
      <c r="E16" s="79" t="n">
        <v>85.04287869822485</v>
      </c>
      <c r="F16" s="79" t="n">
        <v>110.9797851136718</v>
      </c>
    </row>
    <row r="17">
      <c r="A17" t="inlineStr">
        <is>
          <t>Lab technician</t>
        </is>
      </c>
      <c r="B17" t="inlineStr">
        <is>
          <t>SA</t>
        </is>
      </c>
      <c r="C17" s="44" t="inlineStr">
        <is>
          <t>Base Case</t>
        </is>
      </c>
      <c r="D17" s="79" t="n">
        <v>65.14664481469947</v>
      </c>
      <c r="E17" s="79" t="n">
        <v>93.07879005761446</v>
      </c>
      <c r="F17" s="79" t="n">
        <v>121.0109353005294</v>
      </c>
    </row>
    <row r="18">
      <c r="A18" t="inlineStr">
        <is>
          <t>Lab technician</t>
        </is>
      </c>
      <c r="B18" t="inlineStr">
        <is>
          <t>VIC</t>
        </is>
      </c>
      <c r="C18" s="44" t="inlineStr">
        <is>
          <t>Base Case</t>
        </is>
      </c>
      <c r="D18" s="79" t="n">
        <v>103.0109152911865</v>
      </c>
      <c r="E18" s="79" t="n">
        <v>122.8630012846465</v>
      </c>
      <c r="F18" s="79" t="n">
        <v>142.7150872781065</v>
      </c>
    </row>
    <row r="19">
      <c r="A19" t="inlineStr">
        <is>
          <t>Lab technician</t>
        </is>
      </c>
      <c r="B19" t="inlineStr">
        <is>
          <t>WA</t>
        </is>
      </c>
      <c r="C19" s="44" t="inlineStr">
        <is>
          <t>Base Case</t>
        </is>
      </c>
      <c r="D19" s="79" t="n">
        <v>75.27544211304888</v>
      </c>
      <c r="E19" s="79" t="n">
        <v>93.30238025537216</v>
      </c>
      <c r="F19" s="79" t="n">
        <v>111.3293183976954</v>
      </c>
    </row>
    <row r="20">
      <c r="A20" t="inlineStr">
        <is>
          <t>Medical scientist</t>
        </is>
      </c>
      <c r="B20" t="inlineStr">
        <is>
          <t>ALL</t>
        </is>
      </c>
      <c r="C20" s="44" t="inlineStr">
        <is>
          <t>Base Case</t>
        </is>
      </c>
      <c r="D20" s="79" t="n">
        <v>79.88053593117409</v>
      </c>
      <c r="E20" s="79" t="n">
        <v>132.0972524925257</v>
      </c>
      <c r="F20" s="79" t="n">
        <v>186.0531021255061</v>
      </c>
    </row>
    <row r="21">
      <c r="A21" t="inlineStr">
        <is>
          <t>Medical scientist</t>
        </is>
      </c>
      <c r="B21" t="inlineStr">
        <is>
          <t>NSW</t>
        </is>
      </c>
      <c r="C21" s="44" t="inlineStr">
        <is>
          <t>Base Case</t>
        </is>
      </c>
      <c r="D21" s="79" t="n">
        <v>86.96887734817814</v>
      </c>
      <c r="E21" s="79" t="n">
        <v>133.1230561133603</v>
      </c>
      <c r="F21" s="79" t="n">
        <v>179.2772348785425</v>
      </c>
    </row>
    <row r="22">
      <c r="A22" t="inlineStr">
        <is>
          <t>Medical scientist</t>
        </is>
      </c>
      <c r="B22" t="inlineStr">
        <is>
          <t>QLD</t>
        </is>
      </c>
      <c r="C22" s="44" t="inlineStr">
        <is>
          <t>Base Case</t>
        </is>
      </c>
      <c r="D22" s="79" t="n">
        <v>83.64681068981626</v>
      </c>
      <c r="E22" s="79" t="n">
        <v>125.9153161203675</v>
      </c>
      <c r="F22" s="79" t="n">
        <v>168.1838215509187</v>
      </c>
    </row>
    <row r="23">
      <c r="A23" t="inlineStr">
        <is>
          <t>Medical scientist</t>
        </is>
      </c>
      <c r="B23" t="inlineStr">
        <is>
          <t>SA</t>
        </is>
      </c>
      <c r="C23" s="44" t="inlineStr">
        <is>
          <t>Base Case</t>
        </is>
      </c>
      <c r="D23" s="79" t="n">
        <v>80.1991878698225</v>
      </c>
      <c r="E23" s="79" t="n">
        <v>125.9271976798505</v>
      </c>
      <c r="F23" s="79" t="n">
        <v>171.6552074898786</v>
      </c>
    </row>
    <row r="24">
      <c r="A24" t="inlineStr">
        <is>
          <t>Medical scientist</t>
        </is>
      </c>
      <c r="B24" t="inlineStr">
        <is>
          <t>VIC</t>
        </is>
      </c>
      <c r="C24" s="44" t="inlineStr">
        <is>
          <t>Base Case</t>
        </is>
      </c>
      <c r="D24" s="79" t="n">
        <v>79.88053593117409</v>
      </c>
      <c r="E24" s="79" t="n">
        <v>132.9668190283401</v>
      </c>
      <c r="F24" s="79" t="n">
        <v>186.0531021255061</v>
      </c>
    </row>
    <row r="25">
      <c r="A25" t="inlineStr">
        <is>
          <t>Medical scientist</t>
        </is>
      </c>
      <c r="B25" t="inlineStr">
        <is>
          <t>WA</t>
        </is>
      </c>
      <c r="C25" s="44" t="inlineStr">
        <is>
          <t>Base Case</t>
        </is>
      </c>
      <c r="D25" s="79" t="n">
        <v>101.7543459592027</v>
      </c>
      <c r="E25" s="79" t="n">
        <v>142.5538735207101</v>
      </c>
      <c r="F25" s="79" t="n">
        <v>183.3534010822173</v>
      </c>
    </row>
    <row r="26">
      <c r="A26" t="inlineStr">
        <is>
          <t>Pathologists</t>
        </is>
      </c>
      <c r="B26" t="inlineStr">
        <is>
          <t>ALL</t>
        </is>
      </c>
      <c r="C26" s="44" t="inlineStr">
        <is>
          <t>Base Case</t>
        </is>
      </c>
      <c r="D26" s="79" t="n">
        <v>268.7238310689816</v>
      </c>
      <c r="E26" s="79" t="n">
        <v>379.9865406791109</v>
      </c>
      <c r="F26" s="79" t="n">
        <v>482.9568751265182</v>
      </c>
    </row>
    <row r="27">
      <c r="A27" t="inlineStr">
        <is>
          <t>Pathologists</t>
        </is>
      </c>
      <c r="B27" t="inlineStr">
        <is>
          <t>NSW</t>
        </is>
      </c>
      <c r="C27" s="44" t="inlineStr">
        <is>
          <t>Base Case</t>
        </is>
      </c>
      <c r="D27" s="79" t="n">
        <v>268.7238310689816</v>
      </c>
      <c r="E27" s="79" t="n">
        <v>312.5137797317814</v>
      </c>
      <c r="F27" s="79" t="n">
        <v>356.3037283945811</v>
      </c>
    </row>
    <row r="28">
      <c r="A28" t="inlineStr">
        <is>
          <t>Pathologists</t>
        </is>
      </c>
      <c r="B28" t="inlineStr">
        <is>
          <t>QLD</t>
        </is>
      </c>
      <c r="C28" s="44" t="inlineStr">
        <is>
          <t>Base Case</t>
        </is>
      </c>
      <c r="D28" s="79" t="n">
        <v>285.7802825443786</v>
      </c>
      <c r="E28" s="79" t="n">
        <v>338.5262645593273</v>
      </c>
      <c r="F28" s="79" t="n">
        <v>391.2722465742759</v>
      </c>
    </row>
    <row r="29">
      <c r="A29" t="inlineStr">
        <is>
          <t>Pathologists</t>
        </is>
      </c>
      <c r="B29" t="inlineStr">
        <is>
          <t>SA</t>
        </is>
      </c>
      <c r="C29" s="44" t="inlineStr">
        <is>
          <t>Base Case</t>
        </is>
      </c>
      <c r="D29" s="79" t="n">
        <v>369.7024676308004</v>
      </c>
      <c r="E29" s="79" t="n">
        <v>426.3296713786594</v>
      </c>
      <c r="F29" s="79" t="n">
        <v>482.9568751265182</v>
      </c>
    </row>
    <row r="30">
      <c r="A30" t="inlineStr">
        <is>
          <t>Pathologists</t>
        </is>
      </c>
      <c r="B30" t="inlineStr">
        <is>
          <t>VIC</t>
        </is>
      </c>
      <c r="C30" s="44" t="inlineStr">
        <is>
          <t>Base Case</t>
        </is>
      </c>
      <c r="D30" s="79" t="n">
        <v>337.4197520242915</v>
      </c>
      <c r="E30" s="79" t="n">
        <v>397.9371122975709</v>
      </c>
      <c r="F30" s="79" t="n">
        <v>458.4544725708502</v>
      </c>
    </row>
    <row r="31">
      <c r="A31" t="inlineStr">
        <is>
          <t>Pathologists</t>
        </is>
      </c>
      <c r="B31" t="inlineStr">
        <is>
          <t>WA</t>
        </is>
      </c>
      <c r="C31" s="44" t="inlineStr">
        <is>
          <t>Base Case</t>
        </is>
      </c>
      <c r="D31" s="79" t="n">
        <v>371.444671870134</v>
      </c>
      <c r="E31" s="79" t="n">
        <v>424.6258754282155</v>
      </c>
      <c r="F31" s="79" t="n">
        <v>477.807078986297</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D2" sqref="D2"/>
    </sheetView>
  </sheetViews>
  <sheetFormatPr baseColWidth="10" defaultColWidth="10.83203125" defaultRowHeight="16"/>
  <cols>
    <col width="10.83203125" customWidth="1" style="91" min="1" max="16384"/>
  </cols>
  <sheetData>
    <row r="1" ht="34" customFormat="1" customHeight="1" s="50">
      <c r="A1" s="48" t="inlineStr">
        <is>
          <t>Jurisdiction</t>
        </is>
      </c>
      <c r="B1" s="48" t="inlineStr">
        <is>
          <t>Personnel type</t>
        </is>
      </c>
      <c r="C1" s="49" t="inlineStr">
        <is>
          <t>Labour Cost, Total</t>
        </is>
      </c>
      <c r="D1" s="49" t="inlineStr">
        <is>
          <t>Labour Cost, Labour</t>
        </is>
      </c>
      <c r="E1" s="49" t="n"/>
    </row>
    <row r="2" customFormat="1" s="50">
      <c r="A2" s="50" t="inlineStr">
        <is>
          <t>ALL</t>
        </is>
      </c>
      <c r="B2" s="51" t="inlineStr">
        <is>
          <t>Lab technician</t>
        </is>
      </c>
      <c r="C2" s="47" t="inlineStr">
        <is>
          <t>AUD 192,514 (117,643 - 281,453)</t>
        </is>
      </c>
      <c r="D2" s="47" t="inlineStr">
        <is>
          <t>AUD 98 (62 - 142)</t>
        </is>
      </c>
    </row>
    <row r="3" customFormat="1" s="50">
      <c r="A3" s="50" t="inlineStr">
        <is>
          <t>ALL</t>
        </is>
      </c>
      <c r="B3" s="51" t="inlineStr">
        <is>
          <t>Medical scientist</t>
        </is>
      </c>
      <c r="C3" s="47" t="inlineStr">
        <is>
          <t>AUD 260,971 (157,538 - 366,928)</t>
        </is>
      </c>
      <c r="D3" s="47" t="inlineStr">
        <is>
          <t>AUD 134 (80 - 186)</t>
        </is>
      </c>
    </row>
    <row r="4" customFormat="1" s="50">
      <c r="A4" s="50" t="inlineStr">
        <is>
          <t>ALL</t>
        </is>
      </c>
      <c r="B4" s="51" t="inlineStr">
        <is>
          <t>Admin staff</t>
        </is>
      </c>
      <c r="C4" s="47" t="inlineStr">
        <is>
          <t>AUD 160,373 (113,848 - 233,350)</t>
        </is>
      </c>
      <c r="D4" s="47" t="inlineStr">
        <is>
          <t>AUD 81 (55 - 118)</t>
        </is>
      </c>
    </row>
    <row r="5" customFormat="1" s="50">
      <c r="A5" s="50" t="inlineStr">
        <is>
          <t>ALL</t>
        </is>
      </c>
      <c r="B5" s="51" t="inlineStr">
        <is>
          <t>Bioinformatics staff</t>
        </is>
      </c>
      <c r="C5" s="47" t="inlineStr">
        <is>
          <t>AUD 236,283 (156,865 - 334,774)</t>
        </is>
      </c>
      <c r="D5" s="47" t="inlineStr">
        <is>
          <t>AUD 120 (80 - 178)</t>
        </is>
      </c>
    </row>
    <row r="6" customFormat="1" s="50">
      <c r="A6" s="50" t="inlineStr">
        <is>
          <t>ALL</t>
        </is>
      </c>
      <c r="B6" s="51" t="inlineStr">
        <is>
          <t>Pathologists</t>
        </is>
      </c>
      <c r="C6" s="47" t="inlineStr">
        <is>
          <t>AUD 732,329 (548,011 - 923,661)</t>
        </is>
      </c>
      <c r="D6" s="47" t="inlineStr">
        <is>
          <t>AUD 363 (263 - 467)</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73"/>
  <sheetViews>
    <sheetView workbookViewId="0">
      <selection activeCell="G64" sqref="G64"/>
    </sheetView>
  </sheetViews>
  <sheetFormatPr baseColWidth="10" defaultColWidth="11" defaultRowHeight="16"/>
  <sheetData>
    <row r="1">
      <c r="A1" t="inlineStr">
        <is>
          <t>Jurisdiction</t>
        </is>
      </c>
      <c r="B1" t="inlineStr">
        <is>
          <t>Personnel type</t>
        </is>
      </c>
      <c r="C1" s="44" t="inlineStr">
        <is>
          <t>Base Salary + Costs</t>
        </is>
      </c>
      <c r="D1" s="44" t="n"/>
      <c r="E1" s="44" t="n"/>
      <c r="F1" s="44" t="inlineStr">
        <is>
          <t>Base Salary + Costs (hourly)</t>
        </is>
      </c>
      <c r="G1" s="44" t="n"/>
      <c r="H1" s="44" t="n"/>
    </row>
    <row r="2">
      <c r="C2" s="44" t="inlineStr">
        <is>
          <t>LL</t>
        </is>
      </c>
      <c r="D2" s="44" t="inlineStr">
        <is>
          <t>Mid-point</t>
        </is>
      </c>
      <c r="E2" s="44" t="inlineStr">
        <is>
          <t>UL</t>
        </is>
      </c>
      <c r="F2" s="44" t="inlineStr">
        <is>
          <t>LL</t>
        </is>
      </c>
      <c r="G2" s="44" t="inlineStr">
        <is>
          <t>Mid-point</t>
        </is>
      </c>
      <c r="H2" s="44" t="inlineStr">
        <is>
          <t>UL</t>
        </is>
      </c>
    </row>
    <row r="3">
      <c r="A3" t="inlineStr">
        <is>
          <t>VIC</t>
        </is>
      </c>
      <c r="B3" t="inlineStr">
        <is>
          <t>Lab technician</t>
        </is>
      </c>
      <c r="C3" s="44" t="n">
        <v>203151.4486153846</v>
      </c>
      <c r="D3" s="44" t="n">
        <v>242302.4455384615</v>
      </c>
      <c r="E3" s="44" t="n">
        <v>281453.4424615384</v>
      </c>
      <c r="F3" s="44" t="n">
        <v>102.809437558393</v>
      </c>
      <c r="G3" s="44" t="n">
        <v>122.6226951105574</v>
      </c>
      <c r="H3" s="44" t="n">
        <v>142.4359526627219</v>
      </c>
    </row>
    <row r="4">
      <c r="A4" t="inlineStr">
        <is>
          <t>VIC</t>
        </is>
      </c>
      <c r="B4" t="inlineStr">
        <is>
          <t>Medical scientist</t>
        </is>
      </c>
      <c r="C4" s="44" t="n">
        <v>157537.919</v>
      </c>
      <c r="D4" s="44" t="n">
        <v>262233.0424</v>
      </c>
      <c r="E4" s="44" t="n">
        <v>366928.1658000001</v>
      </c>
      <c r="F4" s="44" t="n">
        <v>79.72566751012145</v>
      </c>
      <c r="G4" s="44" t="n">
        <v>132.7090295546559</v>
      </c>
      <c r="H4" s="44" t="n">
        <v>185.6923915991903</v>
      </c>
    </row>
    <row r="5">
      <c r="A5" t="inlineStr">
        <is>
          <t>VIC</t>
        </is>
      </c>
      <c r="B5" t="inlineStr">
        <is>
          <t>Admin staff</t>
        </is>
      </c>
      <c r="C5" s="44" t="n">
        <v>162525.7513846154</v>
      </c>
      <c r="D5" s="44" t="n">
        <v>197937.6941538462</v>
      </c>
      <c r="E5" s="44" t="n">
        <v>233349.6369230769</v>
      </c>
      <c r="F5" s="44" t="n">
        <v>82.24987418249766</v>
      </c>
      <c r="G5" s="44" t="n">
        <v>100.1708978511367</v>
      </c>
      <c r="H5" s="44" t="n">
        <v>118.0919215197758</v>
      </c>
    </row>
    <row r="6">
      <c r="A6" t="inlineStr">
        <is>
          <t>VIC</t>
        </is>
      </c>
      <c r="B6" t="inlineStr">
        <is>
          <t>Bioinformatics staff</t>
        </is>
      </c>
      <c r="C6" s="44" t="n">
        <v>203151.4486153846</v>
      </c>
      <c r="D6" s="44" t="n">
        <v>259886.5883076923</v>
      </c>
      <c r="E6" s="44" t="n">
        <v>316621.728</v>
      </c>
      <c r="F6" s="44" t="n">
        <v>102.809437558393</v>
      </c>
      <c r="G6" s="44" t="n">
        <v>131.5215527872937</v>
      </c>
      <c r="H6" s="44" t="n">
        <v>160.2336680161943</v>
      </c>
    </row>
    <row r="7">
      <c r="A7" t="inlineStr">
        <is>
          <t>VIC</t>
        </is>
      </c>
      <c r="B7" t="inlineStr">
        <is>
          <t>Pathologists</t>
        </is>
      </c>
      <c r="C7" s="44" t="n">
        <v>640547.08</v>
      </c>
      <c r="D7" s="44" t="n">
        <v>755217.7044</v>
      </c>
      <c r="E7" s="44" t="n">
        <v>869888.3287999999</v>
      </c>
      <c r="F7" s="44" t="n">
        <v>324.1635020242915</v>
      </c>
      <c r="G7" s="44" t="n">
        <v>382.195194534413</v>
      </c>
      <c r="H7" s="44" t="n">
        <v>440.2268870445344</v>
      </c>
    </row>
    <row r="8">
      <c r="C8" s="44" t="n"/>
      <c r="D8" s="44" t="n"/>
      <c r="E8" s="44" t="n"/>
      <c r="F8" s="44" t="n"/>
      <c r="G8" s="44" t="n"/>
      <c r="H8" s="44" t="n"/>
    </row>
    <row r="9">
      <c r="A9" t="inlineStr">
        <is>
          <t>SA</t>
        </is>
      </c>
      <c r="B9" t="inlineStr">
        <is>
          <t>Lab technician</t>
        </is>
      </c>
      <c r="C9" s="44" t="n">
        <v>128457.9501538461</v>
      </c>
      <c r="D9" s="44" t="n">
        <v>183535.3241538461</v>
      </c>
      <c r="E9" s="44" t="n">
        <v>238612.6981538461</v>
      </c>
      <c r="F9" s="44" t="n">
        <v>65.87587187376725</v>
      </c>
      <c r="G9" s="44" t="n">
        <v>94.12067905325442</v>
      </c>
      <c r="H9" s="44" t="n">
        <v>122.3654862327416</v>
      </c>
    </row>
    <row r="10">
      <c r="A10" t="inlineStr">
        <is>
          <t>SA</t>
        </is>
      </c>
      <c r="B10" t="inlineStr">
        <is>
          <t>Medical scientist</t>
        </is>
      </c>
      <c r="C10" s="44" t="n">
        <v>158141.6652307692</v>
      </c>
      <c r="D10" s="44" t="n">
        <v>248310.9526153846</v>
      </c>
      <c r="E10" s="44" t="n">
        <v>338480.24</v>
      </c>
      <c r="F10" s="44" t="n">
        <v>81.09828986193294</v>
      </c>
      <c r="G10" s="44" t="n">
        <v>127.3389500591716</v>
      </c>
      <c r="H10" s="44" t="n">
        <v>173.5796102564103</v>
      </c>
    </row>
    <row r="11">
      <c r="A11" t="inlineStr">
        <is>
          <t>SA</t>
        </is>
      </c>
      <c r="B11" t="inlineStr">
        <is>
          <t>Admin staff</t>
        </is>
      </c>
      <c r="C11" s="44" t="n">
        <v>134488.1298461538</v>
      </c>
      <c r="D11" s="44" t="n">
        <v>149747.8870769231</v>
      </c>
      <c r="E11" s="44" t="n">
        <v>165007.6443076923</v>
      </c>
      <c r="F11" s="44" t="n">
        <v>68.96827171597633</v>
      </c>
      <c r="G11" s="44" t="n">
        <v>76.79378824457594</v>
      </c>
      <c r="H11" s="44" t="n">
        <v>84.61930477317554</v>
      </c>
    </row>
    <row r="12">
      <c r="A12" t="inlineStr">
        <is>
          <t>SA</t>
        </is>
      </c>
      <c r="B12" t="inlineStr">
        <is>
          <t>Bioinformatics staff</t>
        </is>
      </c>
      <c r="C12" s="44" t="n">
        <v>156865.0113846154</v>
      </c>
      <c r="D12" s="44" t="n">
        <v>216414.2173076923</v>
      </c>
      <c r="E12" s="44" t="n">
        <v>275963.4232307692</v>
      </c>
      <c r="F12" s="44" t="n">
        <v>80.44359558185405</v>
      </c>
      <c r="G12" s="44" t="n">
        <v>110.9816499013807</v>
      </c>
      <c r="H12" s="44" t="n">
        <v>141.5197042209073</v>
      </c>
    </row>
    <row r="13">
      <c r="A13" t="inlineStr">
        <is>
          <t>SA</t>
        </is>
      </c>
      <c r="B13" t="inlineStr">
        <is>
          <t>Pathologists</t>
        </is>
      </c>
      <c r="C13" s="44" t="n">
        <v>707261.7660384616</v>
      </c>
      <c r="D13" s="44" t="n">
        <v>815461.2781442308</v>
      </c>
      <c r="E13" s="44" t="n">
        <v>923660.79025</v>
      </c>
      <c r="F13" s="44" t="n">
        <v>357.9259949587357</v>
      </c>
      <c r="G13" s="44" t="n">
        <v>412.6828330689427</v>
      </c>
      <c r="H13" s="44" t="n">
        <v>467.4396711791498</v>
      </c>
    </row>
    <row r="14">
      <c r="C14" s="44" t="n"/>
      <c r="D14" s="44" t="n"/>
      <c r="E14" s="44" t="n"/>
      <c r="F14" s="44" t="n"/>
      <c r="G14" s="44" t="n"/>
      <c r="H14" s="44" t="n"/>
    </row>
    <row r="15">
      <c r="A15" t="inlineStr">
        <is>
          <t>NSW</t>
        </is>
      </c>
      <c r="B15" t="inlineStr">
        <is>
          <t>Lab technician</t>
        </is>
      </c>
      <c r="C15" s="44" t="n">
        <v>141817.63368</v>
      </c>
      <c r="D15" s="44" t="n">
        <v>183451.58216</v>
      </c>
      <c r="E15" s="44" t="n">
        <v>225085.53064</v>
      </c>
      <c r="F15" s="44" t="n">
        <v>68.18155465384615</v>
      </c>
      <c r="G15" s="44" t="n">
        <v>88.19787603846154</v>
      </c>
      <c r="H15" s="44" t="n">
        <v>108.2141974230769</v>
      </c>
    </row>
    <row r="16">
      <c r="A16" t="inlineStr">
        <is>
          <t>NSW</t>
        </is>
      </c>
      <c r="B16" t="inlineStr">
        <is>
          <t>Medical scientist</t>
        </is>
      </c>
      <c r="C16" s="44" t="n">
        <v>171514.38144</v>
      </c>
      <c r="D16" s="44" t="n">
        <v>262536.66048</v>
      </c>
      <c r="E16" s="44" t="n">
        <v>353558.93952</v>
      </c>
      <c r="F16" s="44" t="n">
        <v>86.79877603238867</v>
      </c>
      <c r="G16" s="44" t="n">
        <v>132.8626824291498</v>
      </c>
      <c r="H16" s="44" t="n">
        <v>178.926588825911</v>
      </c>
    </row>
    <row r="17">
      <c r="A17" t="inlineStr">
        <is>
          <t>NSW</t>
        </is>
      </c>
      <c r="B17" t="inlineStr">
        <is>
          <t>Admin staff</t>
        </is>
      </c>
      <c r="C17" s="44" t="n">
        <v>113848.28032</v>
      </c>
      <c r="D17" s="44" t="n">
        <v>136915.04088</v>
      </c>
      <c r="E17" s="44" t="n">
        <v>159981.80144</v>
      </c>
      <c r="F17" s="44" t="n">
        <v>54.73475015384615</v>
      </c>
      <c r="G17" s="44" t="n">
        <v>65.82453888461538</v>
      </c>
      <c r="H17" s="44" t="n">
        <v>76.91432761538462</v>
      </c>
    </row>
    <row r="18">
      <c r="A18" t="inlineStr">
        <is>
          <t>NSW</t>
        </is>
      </c>
      <c r="B18" t="inlineStr">
        <is>
          <t>Bioinformatics staff</t>
        </is>
      </c>
      <c r="C18" s="44" t="n">
        <v>168661.8313846154</v>
      </c>
      <c r="D18" s="44" t="n">
        <v>230733.192</v>
      </c>
      <c r="E18" s="44" t="n">
        <v>292804.5526153846</v>
      </c>
      <c r="F18" s="44" t="n">
        <v>81.08741893491126</v>
      </c>
      <c r="G18" s="44" t="n">
        <v>110.9294192307692</v>
      </c>
      <c r="H18" s="44" t="n">
        <v>140.7714195266272</v>
      </c>
    </row>
    <row r="19">
      <c r="A19" t="inlineStr">
        <is>
          <t>NSW</t>
        </is>
      </c>
      <c r="B19" t="inlineStr">
        <is>
          <t>Pathologists</t>
        </is>
      </c>
      <c r="C19" s="44" t="n">
        <v>548010.7001923077</v>
      </c>
      <c r="D19" s="44" t="n">
        <v>637525.58375</v>
      </c>
      <c r="E19" s="44" t="n">
        <v>727040.4673076924</v>
      </c>
      <c r="F19" s="44" t="n">
        <v>263.4666827847633</v>
      </c>
      <c r="G19" s="44" t="n">
        <v>306.5026844951923</v>
      </c>
      <c r="H19" s="44" t="n">
        <v>349.5386862056213</v>
      </c>
    </row>
    <row r="20">
      <c r="C20" s="44" t="n"/>
      <c r="D20" s="44" t="n"/>
      <c r="E20" s="44" t="n"/>
      <c r="F20" s="44" t="n"/>
      <c r="G20" s="44" t="n"/>
      <c r="H20" s="44" t="n"/>
    </row>
    <row r="21">
      <c r="A21" t="inlineStr">
        <is>
          <t>QLD</t>
        </is>
      </c>
      <c r="B21" t="inlineStr">
        <is>
          <t>Lab technician</t>
        </is>
      </c>
      <c r="C21" s="44" t="n">
        <v>117643.0612307692</v>
      </c>
      <c r="D21" s="44" t="n">
        <v>169273.1583076923</v>
      </c>
      <c r="E21" s="44" t="n">
        <v>220903.2553846154</v>
      </c>
      <c r="F21" s="44" t="n">
        <v>62.41011205876352</v>
      </c>
      <c r="G21" s="44" t="n">
        <v>89.80008398286066</v>
      </c>
      <c r="H21" s="44" t="n">
        <v>117.1900559069578</v>
      </c>
    </row>
    <row r="22">
      <c r="A22" t="inlineStr">
        <is>
          <t>QLD</t>
        </is>
      </c>
      <c r="B22" t="inlineStr">
        <is>
          <t>Medical scientist</t>
        </is>
      </c>
      <c r="C22" s="44" t="n">
        <v>166494.1404230769</v>
      </c>
      <c r="D22" s="44" t="n">
        <v>250633.9759038461</v>
      </c>
      <c r="E22" s="44" t="n">
        <v>334773.8113846154</v>
      </c>
      <c r="F22" s="44" t="n">
        <v>88.32580393797184</v>
      </c>
      <c r="G22" s="44" t="n">
        <v>132.9623214344011</v>
      </c>
      <c r="H22" s="44" t="n">
        <v>177.5988389308305</v>
      </c>
    </row>
    <row r="23">
      <c r="A23" t="inlineStr">
        <is>
          <t>QLD</t>
        </is>
      </c>
      <c r="B23" t="inlineStr">
        <is>
          <t>Admin staff</t>
        </is>
      </c>
      <c r="C23" s="44" t="n">
        <v>115620.2224615385</v>
      </c>
      <c r="D23" s="44" t="n">
        <v>154021.9558653846</v>
      </c>
      <c r="E23" s="44" t="n">
        <v>192423.6892692308</v>
      </c>
      <c r="F23" s="44" t="n">
        <v>61.33698804325648</v>
      </c>
      <c r="G23" s="44" t="n">
        <v>81.70926040603958</v>
      </c>
      <c r="H23" s="44" t="n">
        <v>102.0815327688227</v>
      </c>
    </row>
    <row r="24">
      <c r="A24" t="inlineStr">
        <is>
          <t>QLD</t>
        </is>
      </c>
      <c r="B24" t="inlineStr">
        <is>
          <t>Bioinformatics staff</t>
        </is>
      </c>
      <c r="C24" s="44" t="n">
        <v>166494.1404230769</v>
      </c>
      <c r="D24" s="44" t="n">
        <v>250633.9759038461</v>
      </c>
      <c r="E24" s="44" t="n">
        <v>334773.8113846154</v>
      </c>
      <c r="F24" s="44" t="n">
        <v>88.32580393797184</v>
      </c>
      <c r="G24" s="44" t="n">
        <v>132.9623214344011</v>
      </c>
      <c r="H24" s="44" t="n">
        <v>177.5988389308305</v>
      </c>
    </row>
    <row r="25">
      <c r="A25" t="inlineStr">
        <is>
          <t>QLD</t>
        </is>
      </c>
      <c r="B25" t="inlineStr">
        <is>
          <t>Pathologists</t>
        </is>
      </c>
      <c r="C25" s="44" t="n">
        <v>549075.8433076923</v>
      </c>
      <c r="D25" s="44" t="n">
        <v>650303.6887692307</v>
      </c>
      <c r="E25" s="44" t="n">
        <v>751531.5342307691</v>
      </c>
      <c r="F25" s="44" t="n">
        <v>277.872390337901</v>
      </c>
      <c r="G25" s="44" t="n">
        <v>329.1010570694488</v>
      </c>
      <c r="H25" s="44" t="n">
        <v>380.3297238009965</v>
      </c>
    </row>
    <row r="26">
      <c r="C26" s="44" t="n"/>
      <c r="D26" s="44" t="n"/>
      <c r="E26" s="44" t="n"/>
      <c r="F26" s="44" t="n"/>
      <c r="G26" s="44" t="n"/>
      <c r="H26" s="44" t="n"/>
    </row>
    <row r="27">
      <c r="A27" t="inlineStr">
        <is>
          <t>WA</t>
        </is>
      </c>
      <c r="B27" t="inlineStr">
        <is>
          <t>Lab technician</t>
        </is>
      </c>
      <c r="C27" s="44" t="n">
        <v>148456.3786153846</v>
      </c>
      <c r="D27" s="44" t="n">
        <v>184008.6633846154</v>
      </c>
      <c r="E27" s="44" t="n">
        <v>219560.9481538461</v>
      </c>
      <c r="F27" s="44" t="n">
        <v>75.12974626284645</v>
      </c>
      <c r="G27" s="44" t="n">
        <v>93.12179321083775</v>
      </c>
      <c r="H27" s="44" t="n">
        <v>111.113840158829</v>
      </c>
    </row>
    <row r="28">
      <c r="A28" t="inlineStr">
        <is>
          <t>WA</t>
        </is>
      </c>
      <c r="B28" t="inlineStr">
        <is>
          <t>Medical scientist</t>
        </is>
      </c>
      <c r="C28" s="44" t="n">
        <v>200677.4226153846</v>
      </c>
      <c r="D28" s="44" t="n">
        <v>281141.2490769231</v>
      </c>
      <c r="E28" s="44" t="n">
        <v>361605.0755384614</v>
      </c>
      <c r="F28" s="44" t="n">
        <v>101.5574001090003</v>
      </c>
      <c r="G28" s="44" t="n">
        <v>142.2779600591716</v>
      </c>
      <c r="H28" s="44" t="n">
        <v>182.9985200093428</v>
      </c>
    </row>
    <row r="29">
      <c r="A29" t="inlineStr">
        <is>
          <t>WA</t>
        </is>
      </c>
      <c r="B29" t="inlineStr">
        <is>
          <t>Admin staff</t>
        </is>
      </c>
      <c r="C29" s="44" t="n">
        <v>148456.3786153846</v>
      </c>
      <c r="D29" s="44" t="n">
        <v>163242.9732307692</v>
      </c>
      <c r="E29" s="44" t="n">
        <v>178029.5678461538</v>
      </c>
      <c r="F29" s="44" t="n">
        <v>75.12974626284645</v>
      </c>
      <c r="G29" s="44" t="n">
        <v>82.61284070383057</v>
      </c>
      <c r="H29" s="44" t="n">
        <v>90.09593514481469</v>
      </c>
    </row>
    <row r="30">
      <c r="A30" t="inlineStr">
        <is>
          <t>WA</t>
        </is>
      </c>
      <c r="B30" t="inlineStr">
        <is>
          <t>Bioinformatics staff</t>
        </is>
      </c>
      <c r="C30" s="44" t="n">
        <v>206001.628</v>
      </c>
      <c r="D30" s="44" t="n">
        <v>223748.1198461539</v>
      </c>
      <c r="E30" s="44" t="n">
        <v>241494.6116923077</v>
      </c>
      <c r="F30" s="44" t="n">
        <v>104.2518360323887</v>
      </c>
      <c r="G30" s="44" t="n">
        <v>113.2328541731548</v>
      </c>
      <c r="H30" s="44" t="n">
        <v>122.2138723139209</v>
      </c>
    </row>
    <row r="31">
      <c r="A31" t="inlineStr">
        <is>
          <t>WA</t>
        </is>
      </c>
      <c r="B31" t="inlineStr">
        <is>
          <t>Pathologists</t>
        </is>
      </c>
      <c r="C31" s="44" t="n">
        <v>702710.1866153846</v>
      </c>
      <c r="D31" s="44" t="n">
        <v>803136.4498461538</v>
      </c>
      <c r="E31" s="44" t="n">
        <v>903562.713076923</v>
      </c>
      <c r="F31" s="44" t="n">
        <v>337.8414358727811</v>
      </c>
      <c r="G31" s="44" t="n">
        <v>386.1232931952662</v>
      </c>
      <c r="H31" s="44" t="n">
        <v>434.4051505177515</v>
      </c>
    </row>
    <row r="32">
      <c r="C32" s="44" t="n"/>
      <c r="D32" s="44" t="n"/>
      <c r="E32" s="44" t="n"/>
      <c r="F32" s="44" t="n"/>
      <c r="G32" s="44" t="n"/>
      <c r="H32" s="44" t="n"/>
    </row>
    <row r="33">
      <c r="A33" t="inlineStr">
        <is>
          <t>ALL</t>
        </is>
      </c>
      <c r="B33" t="inlineStr">
        <is>
          <t>Lab technician</t>
        </is>
      </c>
      <c r="C33" s="44" t="n">
        <v>117643.0612307692</v>
      </c>
      <c r="D33" s="44" t="n">
        <v>192514.2347089231</v>
      </c>
      <c r="E33" s="44" t="n">
        <v>281453.4424615384</v>
      </c>
      <c r="F33" s="44" t="n">
        <v>62.41011205876352</v>
      </c>
      <c r="G33" s="44" t="n">
        <v>97.57262547919436</v>
      </c>
      <c r="H33" s="44" t="n">
        <v>142.4359526627219</v>
      </c>
    </row>
    <row r="34">
      <c r="A34" t="inlineStr">
        <is>
          <t>ALL</t>
        </is>
      </c>
      <c r="B34" t="inlineStr">
        <is>
          <t>Medical scientist</t>
        </is>
      </c>
      <c r="C34" s="44" t="n">
        <v>157537.919</v>
      </c>
      <c r="D34" s="44" t="n">
        <v>260971.1760952308</v>
      </c>
      <c r="E34" s="44" t="n">
        <v>366928.1658000001</v>
      </c>
      <c r="F34" s="44" t="n">
        <v>79.72566751012145</v>
      </c>
      <c r="G34" s="44" t="n">
        <v>133.63018870731</v>
      </c>
      <c r="H34" s="44" t="n">
        <v>185.6923915991903</v>
      </c>
    </row>
    <row r="35">
      <c r="A35" t="inlineStr">
        <is>
          <t>ALL</t>
        </is>
      </c>
      <c r="B35" t="inlineStr">
        <is>
          <t>Admin staff</t>
        </is>
      </c>
      <c r="C35" s="44" t="n">
        <v>113848.28032</v>
      </c>
      <c r="D35" s="44" t="n">
        <v>160373.1102413846</v>
      </c>
      <c r="E35" s="44" t="n">
        <v>233349.6369230769</v>
      </c>
      <c r="F35" s="44" t="n">
        <v>54.73475015384615</v>
      </c>
      <c r="G35" s="44" t="n">
        <v>81.42226521803964</v>
      </c>
      <c r="H35" s="44" t="n">
        <v>118.0919215197758</v>
      </c>
    </row>
    <row r="36">
      <c r="A36" t="inlineStr">
        <is>
          <t>ALL</t>
        </is>
      </c>
      <c r="B36" t="inlineStr">
        <is>
          <t>Bioinformatics staff</t>
        </is>
      </c>
      <c r="C36" s="44" t="n">
        <v>156865.0113846154</v>
      </c>
      <c r="D36" s="44" t="n">
        <v>236283.2186730769</v>
      </c>
      <c r="E36" s="44" t="n">
        <v>334773.8113846154</v>
      </c>
      <c r="F36" s="44" t="n">
        <v>80.44359558185405</v>
      </c>
      <c r="G36" s="44" t="n">
        <v>119.9255595053999</v>
      </c>
      <c r="H36" s="44" t="n">
        <v>177.5988389308305</v>
      </c>
    </row>
    <row r="37">
      <c r="A37" t="inlineStr">
        <is>
          <t>ALL</t>
        </is>
      </c>
      <c r="B37" t="inlineStr">
        <is>
          <t>Pathologists</t>
        </is>
      </c>
      <c r="C37" s="44" t="n">
        <v>548010.7001923077</v>
      </c>
      <c r="D37" s="44" t="n">
        <v>732328.9409819231</v>
      </c>
      <c r="E37" s="44" t="n">
        <v>923660.79025</v>
      </c>
      <c r="F37" s="44" t="n">
        <v>263.4666827847633</v>
      </c>
      <c r="G37" s="44" t="n">
        <v>363.3210124726526</v>
      </c>
      <c r="H37" s="44" t="n">
        <v>467.4396711791498</v>
      </c>
    </row>
    <row r="39">
      <c r="A39" t="inlineStr">
        <is>
          <t>VIC</t>
        </is>
      </c>
      <c r="B39" t="inlineStr">
        <is>
          <t>Lab technician</t>
        </is>
      </c>
      <c r="C39" s="28">
        <f>TEXT(D3, "0,0") &amp; " (" &amp; TEXT(C3, "0,0") &amp; " - " &amp; TEXT(E3, "0,0") &amp; ")"</f>
        <v/>
      </c>
      <c r="F39" s="28">
        <f>TEXT(G3, "0,0") &amp; " (" &amp; TEXT(F3, "0,0") &amp; " - " &amp; TEXT(H3, "0,0") &amp; ")"</f>
        <v/>
      </c>
    </row>
    <row r="40">
      <c r="A40" t="inlineStr">
        <is>
          <t>VIC</t>
        </is>
      </c>
      <c r="B40" t="inlineStr">
        <is>
          <t>Medical scientist</t>
        </is>
      </c>
      <c r="C40" s="28">
        <f>TEXT(D4, "0,0") &amp; " (" &amp; TEXT(C4, "0,0") &amp; " - " &amp; TEXT(E4, "0,0") &amp; ")"</f>
        <v/>
      </c>
      <c r="F40" s="28">
        <f>TEXT(G4, "0,0") &amp; " (" &amp; TEXT(F4, "0,0") &amp; " - " &amp; TEXT(H4, "0,0") &amp; ")"</f>
        <v/>
      </c>
    </row>
    <row r="41">
      <c r="A41" t="inlineStr">
        <is>
          <t>VIC</t>
        </is>
      </c>
      <c r="B41" t="inlineStr">
        <is>
          <t>Admin staff</t>
        </is>
      </c>
      <c r="C41" s="28">
        <f>TEXT(D5, "0,0") &amp; " (" &amp; TEXT(C5, "0,0") &amp; " - " &amp; TEXT(E5, "0,0") &amp; ")"</f>
        <v/>
      </c>
      <c r="F41" s="28">
        <f>TEXT(G5, "0,0") &amp; " (" &amp; TEXT(F5, "0,0") &amp; " - " &amp; TEXT(H5, "0,0") &amp; ")"</f>
        <v/>
      </c>
    </row>
    <row r="42">
      <c r="A42" t="inlineStr">
        <is>
          <t>VIC</t>
        </is>
      </c>
      <c r="B42" t="inlineStr">
        <is>
          <t>Bioinformatics staff</t>
        </is>
      </c>
      <c r="C42" s="28">
        <f>TEXT(D6, "0,0") &amp; " (" &amp; TEXT(C6, "0,0") &amp; " - " &amp; TEXT(E6, "0,0") &amp; ")"</f>
        <v/>
      </c>
      <c r="F42" s="28">
        <f>TEXT(G6, "0,0") &amp; " (" &amp; TEXT(F6, "0,0") &amp; " - " &amp; TEXT(H6, "0,0") &amp; ")"</f>
        <v/>
      </c>
    </row>
    <row r="43">
      <c r="A43" t="inlineStr">
        <is>
          <t>VIC</t>
        </is>
      </c>
      <c r="B43" t="inlineStr">
        <is>
          <t>Pathologists</t>
        </is>
      </c>
      <c r="C43" s="28">
        <f>TEXT(D7, "0,0") &amp; " (" &amp; TEXT(C7, "0,0") &amp; " - " &amp; TEXT(E7, "0,0") &amp; ")"</f>
        <v/>
      </c>
      <c r="F43" s="28">
        <f>TEXT(G7, "0,0") &amp; " (" &amp; TEXT(F7, "0,0") &amp; " - " &amp; TEXT(H7, "0,0") &amp; ")"</f>
        <v/>
      </c>
    </row>
    <row r="45">
      <c r="A45" t="inlineStr">
        <is>
          <t>SA</t>
        </is>
      </c>
      <c r="B45" t="inlineStr">
        <is>
          <t>Lab technician</t>
        </is>
      </c>
      <c r="C45" s="28">
        <f>TEXT(D9, "0,0") &amp; " (" &amp; TEXT(C9, "0,0") &amp; " - " &amp; TEXT(E9, "0,0") &amp; ")"</f>
        <v/>
      </c>
      <c r="F45" s="28">
        <f>TEXT(G9, "0,0") &amp; " (" &amp; TEXT(F9, "0,0") &amp; " - " &amp; TEXT(H9, "0,0") &amp; ")"</f>
        <v/>
      </c>
    </row>
    <row r="46">
      <c r="A46" t="inlineStr">
        <is>
          <t>SA</t>
        </is>
      </c>
      <c r="B46" t="inlineStr">
        <is>
          <t>Medical scientist</t>
        </is>
      </c>
      <c r="C46" s="28">
        <f>TEXT(D10, "0,0") &amp; " (" &amp; TEXT(C10, "0,0") &amp; " - " &amp; TEXT(E10, "0,0") &amp; ")"</f>
        <v/>
      </c>
      <c r="F46" s="28">
        <f>TEXT(G10, "0,0") &amp; " (" &amp; TEXT(F10, "0,0") &amp; " - " &amp; TEXT(H10, "0,0") &amp; ")"</f>
        <v/>
      </c>
    </row>
    <row r="47">
      <c r="A47" t="inlineStr">
        <is>
          <t>SA</t>
        </is>
      </c>
      <c r="B47" t="inlineStr">
        <is>
          <t>Admin staff</t>
        </is>
      </c>
      <c r="C47" s="28">
        <f>TEXT(D11, "0,0") &amp; " (" &amp; TEXT(C11, "0,0") &amp; " - " &amp; TEXT(E11, "0,0") &amp; ")"</f>
        <v/>
      </c>
      <c r="F47" s="28">
        <f>TEXT(G11, "0,0") &amp; " (" &amp; TEXT(F11, "0,0") &amp; " - " &amp; TEXT(H11, "0,0") &amp; ")"</f>
        <v/>
      </c>
    </row>
    <row r="48">
      <c r="A48" t="inlineStr">
        <is>
          <t>SA</t>
        </is>
      </c>
      <c r="B48" t="inlineStr">
        <is>
          <t>Bioinformatics staff</t>
        </is>
      </c>
      <c r="C48" s="28">
        <f>TEXT(D12, "0,0") &amp; " (" &amp; TEXT(C12, "0,0") &amp; " - " &amp; TEXT(E12, "0,0") &amp; ")"</f>
        <v/>
      </c>
      <c r="F48" s="28">
        <f>TEXT(G12, "0,0") &amp; " (" &amp; TEXT(F12, "0,0") &amp; " - " &amp; TEXT(H12, "0,0") &amp; ")"</f>
        <v/>
      </c>
    </row>
    <row r="49">
      <c r="A49" t="inlineStr">
        <is>
          <t>SA</t>
        </is>
      </c>
      <c r="B49" t="inlineStr">
        <is>
          <t>Pathologists</t>
        </is>
      </c>
      <c r="C49" s="28">
        <f>TEXT(D13, "0,0") &amp; " (" &amp; TEXT(C13, "0,0") &amp; " - " &amp; TEXT(E13, "0,0") &amp; ")"</f>
        <v/>
      </c>
      <c r="F49" s="28">
        <f>TEXT(G13, "0,0") &amp; " (" &amp; TEXT(F13, "0,0") &amp; " - " &amp; TEXT(H13, "0,0") &amp; ")"</f>
        <v/>
      </c>
    </row>
    <row r="51">
      <c r="A51" t="inlineStr">
        <is>
          <t>NSW</t>
        </is>
      </c>
      <c r="B51" t="inlineStr">
        <is>
          <t>Lab technician</t>
        </is>
      </c>
      <c r="C51" s="28">
        <f>TEXT(D15, "0,0") &amp; " (" &amp; TEXT(C15, "0,0") &amp; " - " &amp; TEXT(E15, "0,0") &amp; ")"</f>
        <v/>
      </c>
      <c r="F51" s="28">
        <f>TEXT(G15, "0,0") &amp; " (" &amp; TEXT(F15, "0,0") &amp; " - " &amp; TEXT(H15, "0,0") &amp; ")"</f>
        <v/>
      </c>
    </row>
    <row r="52">
      <c r="A52" t="inlineStr">
        <is>
          <t>NSW</t>
        </is>
      </c>
      <c r="B52" t="inlineStr">
        <is>
          <t>Medical scientist</t>
        </is>
      </c>
      <c r="C52" s="28">
        <f>TEXT(D16, "0,0") &amp; " (" &amp; TEXT(C16, "0,0") &amp; " - " &amp; TEXT(E16, "0,0") &amp; ")"</f>
        <v/>
      </c>
      <c r="F52" s="28">
        <f>TEXT(G16, "0,0") &amp; " (" &amp; TEXT(F16, "0,0") &amp; " - " &amp; TEXT(H16, "0,0") &amp; ")"</f>
        <v/>
      </c>
    </row>
    <row r="53">
      <c r="A53" t="inlineStr">
        <is>
          <t>NSW</t>
        </is>
      </c>
      <c r="B53" t="inlineStr">
        <is>
          <t>Admin staff</t>
        </is>
      </c>
      <c r="C53" s="28">
        <f>TEXT(D17, "0,0") &amp; " (" &amp; TEXT(C17, "0,0") &amp; " - " &amp; TEXT(E17, "0,0") &amp; ")"</f>
        <v/>
      </c>
      <c r="F53" s="28">
        <f>TEXT(G17, "0,0") &amp; " (" &amp; TEXT(F17, "0,0") &amp; " - " &amp; TEXT(H17, "0,0") &amp; ")"</f>
        <v/>
      </c>
    </row>
    <row r="54">
      <c r="A54" t="inlineStr">
        <is>
          <t>NSW</t>
        </is>
      </c>
      <c r="B54" t="inlineStr">
        <is>
          <t>Bioinformatics staff</t>
        </is>
      </c>
      <c r="C54" s="28">
        <f>TEXT(D18, "0,0") &amp; " (" &amp; TEXT(C18, "0,0") &amp; " - " &amp; TEXT(E18, "0,0") &amp; ")"</f>
        <v/>
      </c>
      <c r="F54" s="28">
        <f>TEXT(G18, "0,0") &amp; " (" &amp; TEXT(F18, "0,0") &amp; " - " &amp; TEXT(H18, "0,0") &amp; ")"</f>
        <v/>
      </c>
    </row>
    <row r="55">
      <c r="A55" t="inlineStr">
        <is>
          <t>NSW</t>
        </is>
      </c>
      <c r="B55" t="inlineStr">
        <is>
          <t>Pathologists</t>
        </is>
      </c>
      <c r="C55" s="28">
        <f>TEXT(D19, "0,0") &amp; " (" &amp; TEXT(C19, "0,0") &amp; " - " &amp; TEXT(E19, "0,0") &amp; ")"</f>
        <v/>
      </c>
      <c r="F55" s="28">
        <f>TEXT(G19, "0,0") &amp; " (" &amp; TEXT(F19, "0,0") &amp; " - " &amp; TEXT(H19, "0,0") &amp; ")"</f>
        <v/>
      </c>
    </row>
    <row r="57">
      <c r="A57" t="inlineStr">
        <is>
          <t>QLD</t>
        </is>
      </c>
      <c r="B57" t="inlineStr">
        <is>
          <t>Lab technician</t>
        </is>
      </c>
      <c r="C57" s="28">
        <f>TEXT(D21, "0,0") &amp; " (" &amp; TEXT(C21, "0,0") &amp; " - " &amp; TEXT(E21, "0,0") &amp; ")"</f>
        <v/>
      </c>
      <c r="F57" s="28">
        <f>TEXT(G21, "0,0") &amp; " (" &amp; TEXT(F21, "0,0") &amp; " - " &amp; TEXT(H21, "0,0") &amp; ")"</f>
        <v/>
      </c>
    </row>
    <row r="58">
      <c r="A58" t="inlineStr">
        <is>
          <t>QLD</t>
        </is>
      </c>
      <c r="B58" t="inlineStr">
        <is>
          <t>Medical scientist</t>
        </is>
      </c>
      <c r="C58" s="28">
        <f>TEXT(D22, "0,0") &amp; " (" &amp; TEXT(C22, "0,0") &amp; " - " &amp; TEXT(E22, "0,0") &amp; ")"</f>
        <v/>
      </c>
      <c r="F58" s="28">
        <f>TEXT(G22, "0,0") &amp; " (" &amp; TEXT(F22, "0,0") &amp; " - " &amp; TEXT(H22, "0,0") &amp; ")"</f>
        <v/>
      </c>
    </row>
    <row r="59">
      <c r="A59" t="inlineStr">
        <is>
          <t>QLD</t>
        </is>
      </c>
      <c r="B59" t="inlineStr">
        <is>
          <t>Admin staff</t>
        </is>
      </c>
      <c r="C59" s="28">
        <f>TEXT(D23, "0,0") &amp; " (" &amp; TEXT(C23, "0,0") &amp; " - " &amp; TEXT(E23, "0,0") &amp; ")"</f>
        <v/>
      </c>
      <c r="F59" s="28">
        <f>TEXT(G23, "0,0") &amp; " (" &amp; TEXT(F23, "0,0") &amp; " - " &amp; TEXT(H23, "0,0") &amp; ")"</f>
        <v/>
      </c>
    </row>
    <row r="60">
      <c r="A60" t="inlineStr">
        <is>
          <t>QLD</t>
        </is>
      </c>
      <c r="B60" t="inlineStr">
        <is>
          <t>Bioinformatics staff</t>
        </is>
      </c>
      <c r="C60" s="28">
        <f>TEXT(D24, "0,0") &amp; " (" &amp; TEXT(C24, "0,0") &amp; " - " &amp; TEXT(E24, "0,0") &amp; ")"</f>
        <v/>
      </c>
      <c r="F60" s="28">
        <f>TEXT(G24, "0,0") &amp; " (" &amp; TEXT(F24, "0,0") &amp; " - " &amp; TEXT(H24, "0,0") &amp; ")"</f>
        <v/>
      </c>
    </row>
    <row r="61">
      <c r="A61" t="inlineStr">
        <is>
          <t>QLD</t>
        </is>
      </c>
      <c r="B61" t="inlineStr">
        <is>
          <t>Pathologists</t>
        </is>
      </c>
      <c r="C61" s="28">
        <f>TEXT(D25, "0,0") &amp; " (" &amp; TEXT(C25, "0,0") &amp; " - " &amp; TEXT(E25, "0,0") &amp; ")"</f>
        <v/>
      </c>
      <c r="F61" s="28">
        <f>TEXT(G25, "0,0") &amp; " (" &amp; TEXT(F25, "0,0") &amp; " - " &amp; TEXT(H25, "0,0") &amp; ")"</f>
        <v/>
      </c>
    </row>
    <row r="63">
      <c r="A63" t="inlineStr">
        <is>
          <t>WA</t>
        </is>
      </c>
      <c r="B63" t="inlineStr">
        <is>
          <t>Lab technician</t>
        </is>
      </c>
      <c r="C63" s="28">
        <f>TEXT(D27, "0,0") &amp; " (" &amp; TEXT(C27, "0,0") &amp; " - " &amp; TEXT(E27, "0,0") &amp; ")"</f>
        <v/>
      </c>
      <c r="F63" s="28">
        <f>TEXT(G27, "0,0") &amp; " (" &amp; TEXT(F27, "0,0") &amp; " - " &amp; TEXT(H27, "0,0") &amp; ")"</f>
        <v/>
      </c>
    </row>
    <row r="64">
      <c r="A64" t="inlineStr">
        <is>
          <t>WA</t>
        </is>
      </c>
      <c r="B64" t="inlineStr">
        <is>
          <t>Medical scientist</t>
        </is>
      </c>
      <c r="C64" s="28">
        <f>TEXT(D28, "0,0") &amp; " (" &amp; TEXT(C28, "0,0") &amp; " - " &amp; TEXT(E28, "0,0") &amp; ")"</f>
        <v/>
      </c>
      <c r="F64" s="28">
        <f>TEXT(G28, "0,0") &amp; " (" &amp; TEXT(F28, "0,0") &amp; " - " &amp; TEXT(H28, "0,0") &amp; ")"</f>
        <v/>
      </c>
    </row>
    <row r="65">
      <c r="A65" t="inlineStr">
        <is>
          <t>WA</t>
        </is>
      </c>
      <c r="B65" t="inlineStr">
        <is>
          <t>Admin staff</t>
        </is>
      </c>
      <c r="C65" s="28">
        <f>TEXT(D29, "0,0") &amp; " (" &amp; TEXT(C29, "0,0") &amp; " - " &amp; TEXT(E29, "0,0") &amp; ")"</f>
        <v/>
      </c>
      <c r="F65" s="28">
        <f>TEXT(G29, "0,0") &amp; " (" &amp; TEXT(F29, "0,0") &amp; " - " &amp; TEXT(H29, "0,0") &amp; ")"</f>
        <v/>
      </c>
    </row>
    <row r="66">
      <c r="A66" t="inlineStr">
        <is>
          <t>WA</t>
        </is>
      </c>
      <c r="B66" t="inlineStr">
        <is>
          <t>Bioinformatics staff</t>
        </is>
      </c>
      <c r="C66" s="28">
        <f>TEXT(D30, "0,0") &amp; " (" &amp; TEXT(C30, "0,0") &amp; " - " &amp; TEXT(E30, "0,0") &amp; ")"</f>
        <v/>
      </c>
      <c r="F66" s="28">
        <f>TEXT(G30, "0,0") &amp; " (" &amp; TEXT(F30, "0,0") &amp; " - " &amp; TEXT(H30, "0,0") &amp; ")"</f>
        <v/>
      </c>
    </row>
    <row r="67">
      <c r="A67" t="inlineStr">
        <is>
          <t>WA</t>
        </is>
      </c>
      <c r="B67" t="inlineStr">
        <is>
          <t>Pathologists</t>
        </is>
      </c>
      <c r="C67" s="28">
        <f>TEXT(D31, "0,0") &amp; " (" &amp; TEXT(C31, "0,0") &amp; " - " &amp; TEXT(E31, "0,0") &amp; ")"</f>
        <v/>
      </c>
      <c r="F67" s="28">
        <f>TEXT(G31, "0,0") &amp; " (" &amp; TEXT(F31, "0,0") &amp; " - " &amp; TEXT(H31, "0,0") &amp; ")"</f>
        <v/>
      </c>
    </row>
    <row r="69">
      <c r="B69" t="inlineStr">
        <is>
          <t>Lab technician</t>
        </is>
      </c>
    </row>
    <row r="70">
      <c r="B70" t="inlineStr">
        <is>
          <t>Medical scientist</t>
        </is>
      </c>
    </row>
    <row r="71">
      <c r="B71" t="inlineStr">
        <is>
          <t>Admin staff</t>
        </is>
      </c>
    </row>
    <row r="72">
      <c r="B72" t="inlineStr">
        <is>
          <t>Bioinformatics staff</t>
        </is>
      </c>
    </row>
    <row r="73">
      <c r="B73" t="inlineStr">
        <is>
          <t>Pathologists</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21"/>
  <sheetViews>
    <sheetView workbookViewId="0">
      <selection activeCell="A9" sqref="A9:F21"/>
    </sheetView>
  </sheetViews>
  <sheetFormatPr baseColWidth="10" defaultColWidth="11" defaultRowHeight="16"/>
  <sheetData>
    <row r="1">
      <c r="B1" s="40" t="n"/>
      <c r="C1" s="53" t="n"/>
      <c r="D1" s="41" t="n"/>
      <c r="E1" s="41" t="n"/>
      <c r="F1" s="42" t="n"/>
      <c r="G1" s="41" t="n"/>
      <c r="H1" s="41" t="n"/>
      <c r="I1" s="43" t="n"/>
      <c r="K1" s="41" t="n"/>
    </row>
    <row r="2">
      <c r="A2" t="inlineStr">
        <is>
          <t>Personnel type</t>
        </is>
      </c>
      <c r="B2" s="40" t="inlineStr">
        <is>
          <t>Superannuation Rate (%)</t>
        </is>
      </c>
      <c r="C2" s="53" t="inlineStr">
        <is>
          <t>Hours per week</t>
        </is>
      </c>
      <c r="D2" s="41" t="inlineStr">
        <is>
          <t>Average Penalties (%)</t>
        </is>
      </c>
      <c r="E2" s="41" t="inlineStr">
        <is>
          <t>Public Holiday Penalty (%)</t>
        </is>
      </c>
      <c r="F2" s="42" t="inlineStr">
        <is>
          <t>Private Practice Loading (%)</t>
        </is>
      </c>
      <c r="G2" s="41" t="inlineStr">
        <is>
          <t>Attraction and Retention Allowance (%)</t>
        </is>
      </c>
      <c r="H2" s="41" t="inlineStr">
        <is>
          <t>Sick Leave (%)</t>
        </is>
      </c>
      <c r="I2" s="43" t="inlineStr">
        <is>
          <t>Professional Development Allowance ($)</t>
        </is>
      </c>
      <c r="J2" t="inlineStr">
        <is>
          <t>Annual Leave Entitlement (Weeks)</t>
        </is>
      </c>
      <c r="K2" s="41" t="inlineStr">
        <is>
          <t>Annual Leave Loading (%)</t>
        </is>
      </c>
      <c r="L2" t="inlineStr">
        <is>
          <t>Indexation per annum (%)</t>
        </is>
      </c>
      <c r="M2" s="44" t="inlineStr">
        <is>
          <t>Base Salary ($)</t>
        </is>
      </c>
    </row>
    <row r="3">
      <c r="A3" t="inlineStr">
        <is>
          <t>Lab technician</t>
        </is>
      </c>
      <c r="B3" s="41" t="n">
        <v>0.1095</v>
      </c>
      <c r="C3" s="53" t="n">
        <v>37.95</v>
      </c>
      <c r="D3" s="41" t="n">
        <v>0.1</v>
      </c>
      <c r="E3" s="41" t="n">
        <v>0.035</v>
      </c>
      <c r="F3" s="42" t="n">
        <v>0</v>
      </c>
      <c r="G3" s="41" t="n">
        <v>0</v>
      </c>
      <c r="H3" s="41" t="n">
        <v>0.046</v>
      </c>
      <c r="I3" s="44" t="n">
        <v>365.2</v>
      </c>
      <c r="J3" s="53" t="n">
        <v>4</v>
      </c>
      <c r="K3" s="41" t="n">
        <v>0.075</v>
      </c>
      <c r="L3" s="41" t="n">
        <v>0.015</v>
      </c>
      <c r="M3" s="44" t="inlineStr">
        <is>
          <t>78,369 (48,552 - 110,314)</t>
        </is>
      </c>
    </row>
    <row r="4">
      <c r="A4" t="inlineStr">
        <is>
          <t>Medical scientist</t>
        </is>
      </c>
      <c r="B4" s="41" t="n">
        <v>0.1095</v>
      </c>
      <c r="C4" s="53" t="n">
        <v>37.55</v>
      </c>
      <c r="D4" s="41" t="n">
        <v>0.1</v>
      </c>
      <c r="E4" s="41" t="n">
        <v>0.035</v>
      </c>
      <c r="F4" s="42" t="n">
        <v>0</v>
      </c>
      <c r="G4" s="41" t="n">
        <v>0</v>
      </c>
      <c r="H4" s="41" t="n">
        <v>0.046</v>
      </c>
      <c r="I4" s="44" t="n">
        <v>365.2</v>
      </c>
      <c r="J4" s="53" t="n">
        <v>4.4</v>
      </c>
      <c r="K4" s="41" t="n">
        <v>0.11</v>
      </c>
      <c r="L4" s="41" t="n">
        <v>0.015</v>
      </c>
      <c r="M4" s="44" t="inlineStr">
        <is>
          <t>104,472 (61,204 - 142,553)</t>
        </is>
      </c>
    </row>
    <row r="5">
      <c r="A5" t="inlineStr">
        <is>
          <t>Admin staff</t>
        </is>
      </c>
      <c r="B5" s="41" t="n">
        <v>0.1095</v>
      </c>
      <c r="C5" s="53" t="n">
        <v>37.95</v>
      </c>
      <c r="D5" s="41" t="n">
        <v>0.1</v>
      </c>
      <c r="E5" s="41" t="n">
        <v>0.035</v>
      </c>
      <c r="F5" s="42" t="n">
        <v>0</v>
      </c>
      <c r="G5" s="41" t="n">
        <v>0</v>
      </c>
      <c r="H5" s="41" t="n">
        <v>0.046</v>
      </c>
      <c r="I5" s="44" t="n">
        <v>365.2</v>
      </c>
      <c r="J5" s="53" t="n">
        <v>4</v>
      </c>
      <c r="K5" s="41" t="n">
        <v>0.075</v>
      </c>
      <c r="L5" s="41" t="n">
        <v>0.015</v>
      </c>
      <c r="M5" s="44" t="inlineStr">
        <is>
          <t>65,203 (47,704 - 91,460)</t>
        </is>
      </c>
    </row>
    <row r="6">
      <c r="A6" t="inlineStr">
        <is>
          <t>Bioinformatics staff</t>
        </is>
      </c>
      <c r="B6" s="41" t="n">
        <v>0.1095</v>
      </c>
      <c r="C6" s="53" t="n">
        <v>37.95</v>
      </c>
      <c r="D6" s="41" t="n">
        <v>0.1</v>
      </c>
      <c r="E6" s="41" t="n">
        <v>0.035</v>
      </c>
      <c r="F6" s="42" t="n">
        <v>0</v>
      </c>
      <c r="G6" s="41" t="n">
        <v>0</v>
      </c>
      <c r="H6" s="41" t="n">
        <v>0.046</v>
      </c>
      <c r="I6" s="44" t="n">
        <v>365.2</v>
      </c>
      <c r="J6" s="53" t="n">
        <v>4</v>
      </c>
      <c r="K6" s="41" t="n">
        <v>0.11</v>
      </c>
      <c r="L6" s="41" t="n">
        <v>0.015</v>
      </c>
      <c r="M6" s="44" t="inlineStr">
        <is>
          <t>94,994 (66,106 - 139,576)</t>
        </is>
      </c>
    </row>
    <row r="7">
      <c r="A7" t="inlineStr">
        <is>
          <t>Pathologists</t>
        </is>
      </c>
      <c r="B7" s="41" t="n">
        <v>0.1095</v>
      </c>
      <c r="C7" s="53" t="n">
        <v>38.8</v>
      </c>
      <c r="D7" s="41" t="n">
        <v>0</v>
      </c>
      <c r="E7" s="41" t="n">
        <v>0.035</v>
      </c>
      <c r="F7" s="42" t="n">
        <v>0.04</v>
      </c>
      <c r="G7" s="41" t="n">
        <v>0.2548</v>
      </c>
      <c r="H7" s="41" t="n">
        <v>0.046</v>
      </c>
      <c r="I7" s="44" t="n">
        <v>28681.832</v>
      </c>
      <c r="J7" s="53" t="n">
        <v>4.4</v>
      </c>
      <c r="K7" s="41" t="n">
        <v>0.105</v>
      </c>
      <c r="L7" s="41" t="n">
        <v>0.015</v>
      </c>
      <c r="M7" s="44" t="inlineStr">
        <is>
          <t>266,292 (179,078 - 386,515)</t>
        </is>
      </c>
    </row>
    <row r="9">
      <c r="A9" t="inlineStr">
        <is>
          <t>Personnel type</t>
        </is>
      </c>
      <c r="B9" t="inlineStr">
        <is>
          <t>Lab technician</t>
        </is>
      </c>
      <c r="C9" t="inlineStr">
        <is>
          <t>Medical scientist</t>
        </is>
      </c>
      <c r="D9" t="inlineStr">
        <is>
          <t>Admin staff</t>
        </is>
      </c>
      <c r="E9" t="inlineStr">
        <is>
          <t>Bioinformatics staff</t>
        </is>
      </c>
      <c r="F9" t="inlineStr">
        <is>
          <t>Pathologists</t>
        </is>
      </c>
    </row>
    <row r="10">
      <c r="A10" s="40" t="inlineStr">
        <is>
          <t>Superannuation Rate (%)</t>
        </is>
      </c>
      <c r="B10" s="41" t="n">
        <v>0.1095</v>
      </c>
      <c r="C10" s="41" t="n">
        <v>0.1095</v>
      </c>
      <c r="D10" s="41" t="n">
        <v>0.1095</v>
      </c>
      <c r="E10" s="41" t="n">
        <v>0.1095</v>
      </c>
      <c r="F10" s="41" t="n">
        <v>0.1095</v>
      </c>
    </row>
    <row r="11">
      <c r="A11" s="53" t="inlineStr">
        <is>
          <t>Hours per week</t>
        </is>
      </c>
      <c r="B11" s="53" t="n">
        <v>37.95</v>
      </c>
      <c r="C11" s="53" t="n">
        <v>37.55</v>
      </c>
      <c r="D11" s="53" t="n">
        <v>37.95</v>
      </c>
      <c r="E11" s="53" t="n">
        <v>37.95</v>
      </c>
      <c r="F11" s="53" t="n">
        <v>38.8</v>
      </c>
    </row>
    <row r="12">
      <c r="A12" s="41" t="inlineStr">
        <is>
          <t>Average Penalties (%)</t>
        </is>
      </c>
      <c r="B12" s="41" t="n">
        <v>0.1</v>
      </c>
      <c r="C12" s="41" t="n">
        <v>0.1</v>
      </c>
      <c r="D12" s="41" t="n">
        <v>0.1</v>
      </c>
      <c r="E12" s="41" t="n">
        <v>0.1</v>
      </c>
      <c r="F12" s="41" t="n">
        <v>0</v>
      </c>
    </row>
    <row r="13">
      <c r="A13" s="41" t="inlineStr">
        <is>
          <t>Public Holiday Penalty (%)</t>
        </is>
      </c>
      <c r="B13" s="41" t="n">
        <v>0.035</v>
      </c>
      <c r="C13" s="41" t="n">
        <v>0.035</v>
      </c>
      <c r="D13" s="41" t="n">
        <v>0.035</v>
      </c>
      <c r="E13" s="41" t="n">
        <v>0.035</v>
      </c>
      <c r="F13" s="41" t="n">
        <v>0.035</v>
      </c>
    </row>
    <row r="14">
      <c r="A14" s="42" t="inlineStr">
        <is>
          <t>Private Practice Loading (%)</t>
        </is>
      </c>
      <c r="B14" s="42" t="n">
        <v>0</v>
      </c>
      <c r="C14" s="42" t="n">
        <v>0</v>
      </c>
      <c r="D14" s="42" t="n">
        <v>0</v>
      </c>
      <c r="E14" s="42" t="n">
        <v>0</v>
      </c>
      <c r="F14" s="42" t="n">
        <v>0.04</v>
      </c>
    </row>
    <row r="15">
      <c r="A15" s="41" t="inlineStr">
        <is>
          <t>Attraction and Retention Allowance (%)</t>
        </is>
      </c>
      <c r="B15" s="41" t="n">
        <v>0</v>
      </c>
      <c r="C15" s="41" t="n">
        <v>0</v>
      </c>
      <c r="D15" s="41" t="n">
        <v>0</v>
      </c>
      <c r="E15" s="41" t="n">
        <v>0</v>
      </c>
      <c r="F15" s="41" t="n">
        <v>0.2548</v>
      </c>
    </row>
    <row r="16">
      <c r="A16" s="41" t="inlineStr">
        <is>
          <t>Sick Leave (%)</t>
        </is>
      </c>
      <c r="B16" s="41" t="n">
        <v>0.046</v>
      </c>
      <c r="C16" s="41" t="n">
        <v>0.046</v>
      </c>
      <c r="D16" s="41" t="n">
        <v>0.046</v>
      </c>
      <c r="E16" s="41" t="n">
        <v>0.046</v>
      </c>
      <c r="F16" s="41" t="n">
        <v>0.046</v>
      </c>
    </row>
    <row r="17">
      <c r="A17" s="43" t="inlineStr">
        <is>
          <t>Professional Development Allowance ($)</t>
        </is>
      </c>
      <c r="B17" s="44" t="n">
        <v>365.2</v>
      </c>
      <c r="C17" s="44" t="n">
        <v>365.2</v>
      </c>
      <c r="D17" s="44" t="n">
        <v>365.2</v>
      </c>
      <c r="E17" s="44" t="n">
        <v>365.2</v>
      </c>
      <c r="F17" s="44" t="n">
        <v>28681.832</v>
      </c>
    </row>
    <row r="18">
      <c r="A18" t="inlineStr">
        <is>
          <t>Annual Leave Entitlement (Weeks)</t>
        </is>
      </c>
      <c r="B18" s="53" t="n">
        <v>4</v>
      </c>
      <c r="C18" s="53" t="n">
        <v>4.4</v>
      </c>
      <c r="D18" s="53" t="n">
        <v>4</v>
      </c>
      <c r="E18" s="53" t="n">
        <v>4</v>
      </c>
      <c r="F18" s="53" t="n">
        <v>4.4</v>
      </c>
    </row>
    <row r="19">
      <c r="A19" s="41" t="inlineStr">
        <is>
          <t>Annual Leave Loading (%)</t>
        </is>
      </c>
      <c r="B19" s="41" t="n">
        <v>0.075</v>
      </c>
      <c r="C19" s="41" t="n">
        <v>0.11</v>
      </c>
      <c r="D19" s="41" t="n">
        <v>0.075</v>
      </c>
      <c r="E19" s="41" t="n">
        <v>0.11</v>
      </c>
      <c r="F19" s="41" t="n">
        <v>0.105</v>
      </c>
    </row>
    <row r="20">
      <c r="A20" t="inlineStr">
        <is>
          <t>Indexation per annum (%)</t>
        </is>
      </c>
      <c r="B20" s="41" t="n">
        <v>0.015</v>
      </c>
      <c r="C20" s="41" t="n">
        <v>0.015</v>
      </c>
      <c r="D20" s="41" t="n">
        <v>0.015</v>
      </c>
      <c r="E20" s="41" t="n">
        <v>0.015</v>
      </c>
      <c r="F20" s="41" t="n">
        <v>0.015</v>
      </c>
    </row>
    <row r="21">
      <c r="A21" s="44" t="inlineStr">
        <is>
          <t>Base Salary ($)</t>
        </is>
      </c>
      <c r="B21" s="44" t="inlineStr">
        <is>
          <t>78,369 (48,552 - 110,314)</t>
        </is>
      </c>
      <c r="C21" s="44" t="inlineStr">
        <is>
          <t>104,472 (61,204 - 142,553)</t>
        </is>
      </c>
      <c r="D21" s="44" t="inlineStr">
        <is>
          <t>65,203 (47,704 - 91,460)</t>
        </is>
      </c>
      <c r="E21" s="44" t="inlineStr">
        <is>
          <t>94,994 (66,106 - 139,576)</t>
        </is>
      </c>
      <c r="F21" s="44" t="inlineStr">
        <is>
          <t>266,292 (179,078 - 386,515)</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1"/>
  <sheetViews>
    <sheetView workbookViewId="0">
      <selection activeCell="C1" sqref="C1:J1048576"/>
    </sheetView>
  </sheetViews>
  <sheetFormatPr baseColWidth="10" defaultColWidth="11" defaultRowHeight="16"/>
  <sheetData>
    <row r="1">
      <c r="A1" t="inlineStr">
        <is>
          <t>Jurisdiction</t>
        </is>
      </c>
      <c r="B1" t="inlineStr">
        <is>
          <t>Personnel type</t>
        </is>
      </c>
      <c r="C1" s="40" t="inlineStr">
        <is>
          <t>Superannuation Rate (%)</t>
        </is>
      </c>
      <c r="D1" s="41" t="inlineStr">
        <is>
          <t>Average Penalties %</t>
        </is>
      </c>
      <c r="E1" s="41" t="inlineStr">
        <is>
          <t>Public Holiday Penalty %</t>
        </is>
      </c>
      <c r="F1" s="42" t="inlineStr">
        <is>
          <t>Private Practice Loading %</t>
        </is>
      </c>
      <c r="G1" s="41" t="inlineStr">
        <is>
          <t>Attraction and Retention Allowance %</t>
        </is>
      </c>
      <c r="H1" s="41" t="inlineStr">
        <is>
          <t>Sick Leave %</t>
        </is>
      </c>
      <c r="I1" s="43" t="inlineStr">
        <is>
          <t>Professional Development Allowance ($)</t>
        </is>
      </c>
      <c r="J1" t="inlineStr">
        <is>
          <t>Annual Leave Entitlement (Weeks)</t>
        </is>
      </c>
      <c r="K1" s="41" t="inlineStr">
        <is>
          <t>Annual Leave Loading (%)</t>
        </is>
      </c>
      <c r="L1" s="44" t="inlineStr">
        <is>
          <t>Base LL</t>
        </is>
      </c>
      <c r="M1" s="44" t="inlineStr">
        <is>
          <t>Base MP</t>
        </is>
      </c>
      <c r="N1" s="44" t="inlineStr">
        <is>
          <t>Base UL</t>
        </is>
      </c>
    </row>
    <row r="2">
      <c r="A2" t="inlineStr">
        <is>
          <t>VIC</t>
        </is>
      </c>
      <c r="B2" t="inlineStr">
        <is>
          <t>Lab technician</t>
        </is>
      </c>
      <c r="C2" s="44" t="n">
        <v>9971.744999999999</v>
      </c>
      <c r="D2" s="44" t="n">
        <v>9496.9</v>
      </c>
      <c r="E2" s="44" t="n">
        <v>3323.915</v>
      </c>
      <c r="F2" s="44" t="n">
        <v>0</v>
      </c>
      <c r="G2" s="44" t="n">
        <v>0</v>
      </c>
      <c r="H2" s="44" t="n">
        <v>4368.574</v>
      </c>
      <c r="I2" s="44" t="n">
        <v>0</v>
      </c>
      <c r="J2" s="44" t="n">
        <v>7305.307692307692</v>
      </c>
      <c r="K2" s="44" t="n">
        <v>16619.575</v>
      </c>
      <c r="L2" s="44" t="n">
        <v>79624</v>
      </c>
      <c r="M2" s="44" t="n">
        <v>94969</v>
      </c>
      <c r="N2" s="44" t="n">
        <v>110314</v>
      </c>
    </row>
    <row r="3">
      <c r="A3" t="inlineStr">
        <is>
          <t>VIC</t>
        </is>
      </c>
      <c r="B3" t="inlineStr">
        <is>
          <t>Medical scientist</t>
        </is>
      </c>
      <c r="C3" s="44" t="n">
        <v>10697.232</v>
      </c>
      <c r="D3" s="44" t="n">
        <v>10187.84</v>
      </c>
      <c r="E3" s="44" t="n">
        <v>3565.744000000001</v>
      </c>
      <c r="F3" s="44" t="n">
        <v>0</v>
      </c>
      <c r="G3" s="44" t="n">
        <v>0</v>
      </c>
      <c r="H3" s="44" t="n">
        <v>4686.406400000001</v>
      </c>
      <c r="I3" s="44" t="n">
        <v>0</v>
      </c>
      <c r="J3" s="44" t="n">
        <v>9796.000000000002</v>
      </c>
      <c r="K3" s="44" t="n">
        <v>17828.72</v>
      </c>
      <c r="L3" s="44" t="n">
        <v>61204</v>
      </c>
      <c r="M3" s="44" t="n">
        <v>101878.4</v>
      </c>
      <c r="N3" s="44" t="n">
        <v>142552.8</v>
      </c>
    </row>
    <row r="4">
      <c r="A4" t="inlineStr">
        <is>
          <t>VIC</t>
        </is>
      </c>
      <c r="B4" t="inlineStr">
        <is>
          <t>Admin staff</t>
        </is>
      </c>
      <c r="C4" s="44" t="n">
        <v>8145.952499999999</v>
      </c>
      <c r="D4" s="44" t="n">
        <v>7758.05</v>
      </c>
      <c r="E4" s="44" t="n">
        <v>2715.3175</v>
      </c>
      <c r="F4" s="44" t="n">
        <v>0</v>
      </c>
      <c r="G4" s="44" t="n">
        <v>0</v>
      </c>
      <c r="H4" s="44" t="n">
        <v>3568.703</v>
      </c>
      <c r="I4" s="44" t="n">
        <v>0</v>
      </c>
      <c r="J4" s="44" t="n">
        <v>5967.73076923077</v>
      </c>
      <c r="K4" s="44" t="n">
        <v>13576.5875</v>
      </c>
      <c r="L4" s="44" t="n">
        <v>63701</v>
      </c>
      <c r="M4" s="44" t="n">
        <v>77580.5</v>
      </c>
      <c r="N4" s="44" t="n">
        <v>91460</v>
      </c>
    </row>
    <row r="5">
      <c r="A5" t="inlineStr">
        <is>
          <t>VIC</t>
        </is>
      </c>
      <c r="B5" t="inlineStr">
        <is>
          <t>Bioinformatics staff</t>
        </is>
      </c>
      <c r="C5" s="44" t="n">
        <v>10695.405</v>
      </c>
      <c r="D5" s="44" t="n">
        <v>10186.1</v>
      </c>
      <c r="E5" s="44" t="n">
        <v>3565.135</v>
      </c>
      <c r="F5" s="44" t="n">
        <v>0</v>
      </c>
      <c r="G5" s="44" t="n">
        <v>0</v>
      </c>
      <c r="H5" s="44" t="n">
        <v>4685.606</v>
      </c>
      <c r="I5" s="44" t="n">
        <v>0</v>
      </c>
      <c r="J5" s="44" t="n">
        <v>7835.461538461539</v>
      </c>
      <c r="K5" s="44" t="n">
        <v>17825.675</v>
      </c>
      <c r="L5" s="44" t="n">
        <v>79624</v>
      </c>
      <c r="M5" s="44" t="n">
        <v>101861</v>
      </c>
      <c r="N5" s="44" t="n">
        <v>124098</v>
      </c>
    </row>
    <row r="6">
      <c r="A6" t="inlineStr">
        <is>
          <t>VIC</t>
        </is>
      </c>
      <c r="B6" t="inlineStr">
        <is>
          <t>Pathologists</t>
        </is>
      </c>
      <c r="C6" s="44" t="n">
        <v>31106.0295</v>
      </c>
      <c r="D6" s="44" t="n">
        <v>0</v>
      </c>
      <c r="E6" s="44" t="n">
        <v>10368.6765</v>
      </c>
      <c r="F6" s="44" t="n">
        <v>0</v>
      </c>
      <c r="G6" s="44" t="n">
        <v>0</v>
      </c>
      <c r="H6" s="44" t="n">
        <v>13627.4034</v>
      </c>
      <c r="I6" s="44" t="n">
        <v>29000.16</v>
      </c>
      <c r="J6" s="44" t="n">
        <v>22788.3</v>
      </c>
      <c r="K6" s="44" t="n">
        <v>51843.3825</v>
      </c>
      <c r="L6" s="44" t="n">
        <v>249470</v>
      </c>
      <c r="M6" s="44" t="n">
        <v>296247.9</v>
      </c>
      <c r="N6" s="44" t="n">
        <v>343025.8</v>
      </c>
    </row>
    <row r="7">
      <c r="A7" t="inlineStr">
        <is>
          <t>SA</t>
        </is>
      </c>
      <c r="B7" t="inlineStr">
        <is>
          <t>Lab technician</t>
        </is>
      </c>
      <c r="C7" s="44" t="n">
        <v>8155.665</v>
      </c>
      <c r="D7" s="44" t="n">
        <v>7767.3</v>
      </c>
      <c r="E7" s="44" t="n">
        <v>2718.555</v>
      </c>
      <c r="F7" s="44" t="n">
        <v>0</v>
      </c>
      <c r="G7" s="44" t="n">
        <v>0</v>
      </c>
      <c r="H7" s="44" t="n">
        <v>3572.958</v>
      </c>
      <c r="I7" s="44" t="n">
        <v>0</v>
      </c>
      <c r="J7" s="44" t="n">
        <v>5974.846153846154</v>
      </c>
      <c r="K7" s="44" t="n">
        <v>0</v>
      </c>
      <c r="L7" s="44" t="n">
        <v>54364</v>
      </c>
      <c r="M7" s="44" t="n">
        <v>77673</v>
      </c>
      <c r="N7" s="44" t="n">
        <v>100982</v>
      </c>
    </row>
    <row r="8">
      <c r="A8" t="inlineStr">
        <is>
          <t>SA</t>
        </is>
      </c>
      <c r="B8" t="inlineStr">
        <is>
          <t>Medical scientist</t>
        </is>
      </c>
      <c r="C8" s="44" t="n">
        <v>10944.99</v>
      </c>
      <c r="D8" s="44" t="n">
        <v>10423.8</v>
      </c>
      <c r="E8" s="44" t="n">
        <v>3648.33</v>
      </c>
      <c r="F8" s="44" t="n">
        <v>0</v>
      </c>
      <c r="G8" s="44" t="n">
        <v>0</v>
      </c>
      <c r="H8" s="44" t="n">
        <v>4794.948</v>
      </c>
      <c r="I8" s="44" t="n">
        <v>0</v>
      </c>
      <c r="J8" s="44" t="n">
        <v>10022.88461538462</v>
      </c>
      <c r="K8" s="44" t="n">
        <v>0</v>
      </c>
      <c r="L8" s="44" t="n">
        <v>66386</v>
      </c>
      <c r="M8" s="44" t="n">
        <v>104238</v>
      </c>
      <c r="N8" s="44" t="n">
        <v>142090</v>
      </c>
    </row>
    <row r="9">
      <c r="A9" t="inlineStr">
        <is>
          <t>SA</t>
        </is>
      </c>
      <c r="B9" t="inlineStr">
        <is>
          <t>Admin staff</t>
        </is>
      </c>
      <c r="C9" s="44" t="n">
        <v>6654.27</v>
      </c>
      <c r="D9" s="44" t="n">
        <v>6337.400000000001</v>
      </c>
      <c r="E9" s="44" t="n">
        <v>2218.09</v>
      </c>
      <c r="F9" s="44" t="n">
        <v>0</v>
      </c>
      <c r="G9" s="44" t="n">
        <v>0</v>
      </c>
      <c r="H9" s="44" t="n">
        <v>2915.204</v>
      </c>
      <c r="I9" s="44" t="n">
        <v>0</v>
      </c>
      <c r="J9" s="44" t="n">
        <v>4874.923076923077</v>
      </c>
      <c r="K9" s="44" t="n">
        <v>0</v>
      </c>
      <c r="L9" s="44" t="n">
        <v>56916</v>
      </c>
      <c r="M9" s="44" t="n">
        <v>63374</v>
      </c>
      <c r="N9" s="44" t="n">
        <v>69832</v>
      </c>
    </row>
    <row r="10">
      <c r="A10" t="inlineStr">
        <is>
          <t>SA</t>
        </is>
      </c>
      <c r="B10" t="inlineStr">
        <is>
          <t>Bioinformatics staff</t>
        </is>
      </c>
      <c r="C10" s="44" t="n">
        <v>9616.6875</v>
      </c>
      <c r="D10" s="44" t="n">
        <v>9158.75</v>
      </c>
      <c r="E10" s="44" t="n">
        <v>3205.5625</v>
      </c>
      <c r="F10" s="44" t="n">
        <v>0</v>
      </c>
      <c r="G10" s="44" t="n">
        <v>0</v>
      </c>
      <c r="H10" s="44" t="n">
        <v>4213.025</v>
      </c>
      <c r="I10" s="44" t="n">
        <v>0</v>
      </c>
      <c r="J10" s="44" t="n">
        <v>7045.192307692309</v>
      </c>
      <c r="K10" s="44" t="n">
        <v>0</v>
      </c>
      <c r="L10" s="44" t="n">
        <v>66386</v>
      </c>
      <c r="M10" s="44" t="n">
        <v>91587.5</v>
      </c>
      <c r="N10" s="44" t="n">
        <v>116789</v>
      </c>
    </row>
    <row r="11">
      <c r="A11" t="inlineStr">
        <is>
          <t>SA</t>
        </is>
      </c>
      <c r="B11" t="inlineStr">
        <is>
          <t>Pathologists</t>
        </is>
      </c>
      <c r="C11" s="44" t="n">
        <v>26966.1525</v>
      </c>
      <c r="D11" s="44" t="n">
        <v>0</v>
      </c>
      <c r="E11" s="44" t="n">
        <v>8988.717500000001</v>
      </c>
      <c r="F11" s="44" t="n">
        <v>0</v>
      </c>
      <c r="G11" s="44" t="n">
        <v>154092.3</v>
      </c>
      <c r="H11" s="44" t="n">
        <v>11813.743</v>
      </c>
      <c r="I11" s="44" t="n">
        <v>26000</v>
      </c>
      <c r="J11" s="44" t="n">
        <v>24694.27884615385</v>
      </c>
      <c r="K11" s="44" t="n">
        <v>44943.58749999999</v>
      </c>
      <c r="L11" s="44" t="n">
        <v>221622</v>
      </c>
      <c r="M11" s="44" t="n">
        <v>256820.5</v>
      </c>
      <c r="N11" s="44" t="n">
        <v>292019</v>
      </c>
    </row>
    <row r="12">
      <c r="A12" t="inlineStr">
        <is>
          <t>NSW</t>
        </is>
      </c>
      <c r="B12" t="inlineStr">
        <is>
          <t>Lab technician</t>
        </is>
      </c>
      <c r="C12" s="44" t="n">
        <v>8151.943799999999</v>
      </c>
      <c r="D12" s="44" t="n">
        <v>7763.756</v>
      </c>
      <c r="E12" s="44" t="n">
        <v>2717.3146</v>
      </c>
      <c r="F12" s="44" t="n">
        <v>0</v>
      </c>
      <c r="G12" s="44" t="n">
        <v>0</v>
      </c>
      <c r="H12" s="44" t="n">
        <v>3571.32776</v>
      </c>
      <c r="I12" s="44" t="n">
        <v>0</v>
      </c>
      <c r="J12" s="44" t="n">
        <v>5972.12</v>
      </c>
      <c r="K12" s="44" t="n">
        <v>0</v>
      </c>
      <c r="L12" s="44" t="n">
        <v>60017.88</v>
      </c>
      <c r="M12" s="44" t="n">
        <v>77637.56</v>
      </c>
      <c r="N12" s="44" t="n">
        <v>95257.23999999999</v>
      </c>
    </row>
    <row r="13">
      <c r="A13" t="inlineStr">
        <is>
          <t>NSW</t>
        </is>
      </c>
      <c r="B13" t="inlineStr">
        <is>
          <t>Medical scientist</t>
        </is>
      </c>
      <c r="C13" s="44" t="n">
        <v>10804.4664</v>
      </c>
      <c r="D13" s="44" t="n">
        <v>10289.968</v>
      </c>
      <c r="E13" s="44" t="n">
        <v>3601.4888</v>
      </c>
      <c r="F13" s="44" t="n">
        <v>0</v>
      </c>
      <c r="G13" s="44" t="n">
        <v>0</v>
      </c>
      <c r="H13" s="44" t="n">
        <v>4733.38528</v>
      </c>
      <c r="I13" s="44" t="n">
        <v>0</v>
      </c>
      <c r="J13" s="44" t="n">
        <v>7915.36</v>
      </c>
      <c r="K13" s="44" t="n">
        <v>18007.444</v>
      </c>
      <c r="L13" s="44" t="n">
        <v>67224.03999999999</v>
      </c>
      <c r="M13" s="44" t="n">
        <v>102899.68</v>
      </c>
      <c r="N13" s="44" t="n">
        <v>138575.32</v>
      </c>
    </row>
    <row r="14">
      <c r="A14" t="inlineStr">
        <is>
          <t>NSW</t>
        </is>
      </c>
      <c r="B14" t="inlineStr">
        <is>
          <t>Admin staff</t>
        </is>
      </c>
      <c r="C14" s="44" t="n">
        <v>6084.023399999999</v>
      </c>
      <c r="D14" s="44" t="n">
        <v>5794.308</v>
      </c>
      <c r="E14" s="44" t="n">
        <v>2028.0078</v>
      </c>
      <c r="F14" s="44" t="n">
        <v>0</v>
      </c>
      <c r="G14" s="44" t="n">
        <v>0</v>
      </c>
      <c r="H14" s="44" t="n">
        <v>2665.38168</v>
      </c>
      <c r="I14" s="44" t="n">
        <v>0</v>
      </c>
      <c r="J14" s="44" t="n">
        <v>4457.16</v>
      </c>
      <c r="K14" s="44" t="n">
        <v>0</v>
      </c>
      <c r="L14" s="44" t="n">
        <v>48181.12</v>
      </c>
      <c r="M14" s="44" t="n">
        <v>57943.07999999999</v>
      </c>
      <c r="N14" s="44" t="n">
        <v>67705.03999999999</v>
      </c>
    </row>
    <row r="15">
      <c r="A15" t="inlineStr">
        <is>
          <t>NSW</t>
        </is>
      </c>
      <c r="B15" t="inlineStr">
        <is>
          <t>Bioinformatics staff</t>
        </is>
      </c>
      <c r="C15" s="44" t="n">
        <v>9495.622499999999</v>
      </c>
      <c r="D15" s="44" t="n">
        <v>9043.450000000001</v>
      </c>
      <c r="E15" s="44" t="n">
        <v>3165.2075</v>
      </c>
      <c r="F15" s="44" t="n">
        <v>0</v>
      </c>
      <c r="G15" s="44" t="n">
        <v>0</v>
      </c>
      <c r="H15" s="44" t="n">
        <v>4159.987</v>
      </c>
      <c r="I15" s="44" t="n">
        <v>0</v>
      </c>
      <c r="J15" s="44" t="n">
        <v>6956.5</v>
      </c>
      <c r="K15" s="44" t="n">
        <v>15826.0375</v>
      </c>
      <c r="L15" s="44" t="n">
        <v>66106</v>
      </c>
      <c r="M15" s="44" t="n">
        <v>90434.5</v>
      </c>
      <c r="N15" s="44" t="n">
        <v>114763</v>
      </c>
    </row>
    <row r="16">
      <c r="A16" t="inlineStr">
        <is>
          <t>NSW</t>
        </is>
      </c>
      <c r="B16" t="inlineStr">
        <is>
          <t>Pathologists</t>
        </is>
      </c>
      <c r="C16" s="44" t="n">
        <v>22103.445</v>
      </c>
      <c r="D16" s="44" t="n">
        <v>0</v>
      </c>
      <c r="E16" s="44" t="n">
        <v>7367.815000000001</v>
      </c>
      <c r="F16" s="44" t="n">
        <v>42101.8</v>
      </c>
      <c r="G16" s="44" t="n">
        <v>36628.566</v>
      </c>
      <c r="H16" s="44" t="n">
        <v>9683.414000000001</v>
      </c>
      <c r="I16" s="44" t="n">
        <v>38000</v>
      </c>
      <c r="J16" s="44" t="n">
        <v>20241.25</v>
      </c>
      <c r="K16" s="44" t="n">
        <v>36839.075</v>
      </c>
      <c r="L16" s="44" t="n">
        <v>179078</v>
      </c>
      <c r="M16" s="44" t="n">
        <v>210509</v>
      </c>
      <c r="N16" s="44" t="n">
        <v>241940</v>
      </c>
    </row>
    <row r="17">
      <c r="A17" t="inlineStr">
        <is>
          <t>QLD</t>
        </is>
      </c>
      <c r="B17" t="inlineStr">
        <is>
          <t>Lab technician</t>
        </is>
      </c>
      <c r="C17" s="44" t="n">
        <v>8949.99</v>
      </c>
      <c r="D17" s="44" t="n">
        <v>7019.6</v>
      </c>
      <c r="E17" s="44" t="n">
        <v>2456.86</v>
      </c>
      <c r="F17" s="44" t="n">
        <v>0</v>
      </c>
      <c r="G17" s="44" t="n">
        <v>0</v>
      </c>
      <c r="H17" s="44" t="n">
        <v>3229.016</v>
      </c>
      <c r="I17" s="44" t="n">
        <v>1826</v>
      </c>
      <c r="J17" s="44" t="n">
        <v>5399.692307692308</v>
      </c>
      <c r="K17" s="44" t="n">
        <v>0</v>
      </c>
      <c r="L17" s="44" t="n">
        <v>48552</v>
      </c>
      <c r="M17" s="44" t="n">
        <v>70196</v>
      </c>
      <c r="N17" s="44" t="n">
        <v>91840</v>
      </c>
    </row>
    <row r="18">
      <c r="A18" t="inlineStr">
        <is>
          <t>QLD</t>
        </is>
      </c>
      <c r="B18" t="inlineStr">
        <is>
          <t>Medical scientist</t>
        </is>
      </c>
      <c r="C18" s="44" t="n">
        <v>13298.69625</v>
      </c>
      <c r="D18" s="44" t="n">
        <v>10430.35</v>
      </c>
      <c r="E18" s="44" t="n">
        <v>3650.6225</v>
      </c>
      <c r="F18" s="44" t="n">
        <v>0</v>
      </c>
      <c r="G18" s="44" t="n">
        <v>0</v>
      </c>
      <c r="H18" s="44" t="n">
        <v>4797.961</v>
      </c>
      <c r="I18" s="44" t="n">
        <v>1826</v>
      </c>
      <c r="J18" s="44" t="n">
        <v>8023.346153846154</v>
      </c>
      <c r="K18" s="44" t="n">
        <v>0</v>
      </c>
      <c r="L18" s="44" t="n">
        <v>69031</v>
      </c>
      <c r="M18" s="44" t="n">
        <v>104303.5</v>
      </c>
      <c r="N18" s="44" t="n">
        <v>139576</v>
      </c>
    </row>
    <row r="19">
      <c r="A19" t="inlineStr">
        <is>
          <t>QLD</t>
        </is>
      </c>
      <c r="B19" t="inlineStr">
        <is>
          <t>Admin staff</t>
        </is>
      </c>
      <c r="C19" s="44" t="n">
        <v>8134.81875</v>
      </c>
      <c r="D19" s="44" t="n">
        <v>6380.25</v>
      </c>
      <c r="E19" s="44" t="n">
        <v>2233.0875</v>
      </c>
      <c r="F19" s="44" t="n">
        <v>0</v>
      </c>
      <c r="G19" s="44" t="n">
        <v>0</v>
      </c>
      <c r="H19" s="44" t="n">
        <v>2934.915</v>
      </c>
      <c r="I19" s="44" t="n">
        <v>1826</v>
      </c>
      <c r="J19" s="44" t="n">
        <v>4907.884615384615</v>
      </c>
      <c r="K19" s="44" t="n">
        <v>0</v>
      </c>
      <c r="L19" s="44" t="n">
        <v>47704</v>
      </c>
      <c r="M19" s="44" t="n">
        <v>63802.5</v>
      </c>
      <c r="N19" s="44" t="n">
        <v>79901</v>
      </c>
    </row>
    <row r="20">
      <c r="A20" t="inlineStr">
        <is>
          <t>QLD</t>
        </is>
      </c>
      <c r="B20" t="inlineStr">
        <is>
          <t>Bioinformatics staff</t>
        </is>
      </c>
      <c r="C20" s="44" t="n">
        <v>13298.69625</v>
      </c>
      <c r="D20" s="44" t="n">
        <v>10430.35</v>
      </c>
      <c r="E20" s="44" t="n">
        <v>3650.6225</v>
      </c>
      <c r="F20" s="44" t="n">
        <v>0</v>
      </c>
      <c r="G20" s="44" t="n">
        <v>0</v>
      </c>
      <c r="H20" s="44" t="n">
        <v>4797.961</v>
      </c>
      <c r="I20" s="44" t="n">
        <v>1826</v>
      </c>
      <c r="J20" s="44" t="n">
        <v>8023.346153846154</v>
      </c>
      <c r="K20" s="44" t="n">
        <v>0</v>
      </c>
      <c r="L20" s="44" t="n">
        <v>69031</v>
      </c>
      <c r="M20" s="44" t="n">
        <v>104303.5</v>
      </c>
      <c r="N20" s="44" t="n">
        <v>139576</v>
      </c>
    </row>
    <row r="21">
      <c r="A21" t="inlineStr">
        <is>
          <t>QLD</t>
        </is>
      </c>
      <c r="B21" t="inlineStr">
        <is>
          <t>Pathologists</t>
        </is>
      </c>
      <c r="C21" s="44" t="n">
        <v>28782.87</v>
      </c>
      <c r="D21" s="44" t="n">
        <v>0</v>
      </c>
      <c r="E21" s="44" t="n">
        <v>7901.180000000001</v>
      </c>
      <c r="F21" s="44" t="n">
        <v>0</v>
      </c>
      <c r="G21" s="44" t="n">
        <v>112874</v>
      </c>
      <c r="H21" s="44" t="n">
        <v>10384.408</v>
      </c>
      <c r="I21" s="44" t="n">
        <v>21500</v>
      </c>
      <c r="J21" s="44" t="n">
        <v>17365.23076923077</v>
      </c>
      <c r="K21" s="44" t="n">
        <v>0</v>
      </c>
      <c r="L21" s="44" t="n">
        <v>189406</v>
      </c>
      <c r="M21" s="44" t="n">
        <v>225748</v>
      </c>
      <c r="N21" s="44" t="n">
        <v>262090</v>
      </c>
    </row>
    <row r="22">
      <c r="A22" t="inlineStr">
        <is>
          <t>WA</t>
        </is>
      </c>
      <c r="B22" t="inlineStr">
        <is>
          <t>Lab technician</t>
        </is>
      </c>
      <c r="C22" s="44" t="n">
        <v>7493.639999999999</v>
      </c>
      <c r="D22" s="44" t="n">
        <v>7136.8</v>
      </c>
      <c r="E22" s="44" t="n">
        <v>2497.88</v>
      </c>
      <c r="F22" s="44" t="n">
        <v>0</v>
      </c>
      <c r="G22" s="44" t="n">
        <v>0</v>
      </c>
      <c r="H22" s="44" t="n">
        <v>3282.928</v>
      </c>
      <c r="I22" s="44" t="n">
        <v>0</v>
      </c>
      <c r="J22" s="44" t="n">
        <v>5489.846153846154</v>
      </c>
      <c r="K22" s="44" t="n">
        <v>14273.6</v>
      </c>
      <c r="L22" s="44" t="n">
        <v>57579</v>
      </c>
      <c r="M22" s="44" t="n">
        <v>71368</v>
      </c>
      <c r="N22" s="44" t="n">
        <v>85157</v>
      </c>
    </row>
    <row r="23">
      <c r="A23" t="inlineStr">
        <is>
          <t>WA</t>
        </is>
      </c>
      <c r="B23" t="inlineStr">
        <is>
          <t>Medical scientist</t>
        </is>
      </c>
      <c r="C23" s="44" t="n">
        <v>11449.305</v>
      </c>
      <c r="D23" s="44" t="n">
        <v>10904.1</v>
      </c>
      <c r="E23" s="44" t="n">
        <v>3816.435</v>
      </c>
      <c r="F23" s="44" t="n">
        <v>0</v>
      </c>
      <c r="G23" s="44" t="n">
        <v>0</v>
      </c>
      <c r="H23" s="44" t="n">
        <v>5015.886</v>
      </c>
      <c r="I23" s="44" t="n">
        <v>0</v>
      </c>
      <c r="J23" s="44" t="n">
        <v>8387.76923076923</v>
      </c>
      <c r="K23" s="44" t="n">
        <v>21808.2</v>
      </c>
      <c r="L23" s="44" t="n">
        <v>77833</v>
      </c>
      <c r="M23" s="44" t="n">
        <v>109041</v>
      </c>
      <c r="N23" s="44" t="n">
        <v>140249</v>
      </c>
    </row>
    <row r="24">
      <c r="A24" t="inlineStr">
        <is>
          <t>WA</t>
        </is>
      </c>
      <c r="B24" t="inlineStr">
        <is>
          <t>Admin staff</t>
        </is>
      </c>
      <c r="C24" s="44" t="n">
        <v>6647.969999999999</v>
      </c>
      <c r="D24" s="44" t="n">
        <v>6331.400000000001</v>
      </c>
      <c r="E24" s="44" t="n">
        <v>2215.99</v>
      </c>
      <c r="F24" s="44" t="n">
        <v>0</v>
      </c>
      <c r="G24" s="44" t="n">
        <v>0</v>
      </c>
      <c r="H24" s="44" t="n">
        <v>2912.444</v>
      </c>
      <c r="I24" s="44" t="n">
        <v>0</v>
      </c>
      <c r="J24" s="44" t="n">
        <v>4870.307692307692</v>
      </c>
      <c r="K24" s="44" t="n">
        <v>12662.8</v>
      </c>
      <c r="L24" s="44" t="n">
        <v>57579</v>
      </c>
      <c r="M24" s="44" t="n">
        <v>63314</v>
      </c>
      <c r="N24" s="44" t="n">
        <v>69049</v>
      </c>
    </row>
    <row r="25">
      <c r="A25" t="inlineStr">
        <is>
          <t>WA</t>
        </is>
      </c>
      <c r="B25" t="inlineStr">
        <is>
          <t>Bioinformatics staff</t>
        </is>
      </c>
      <c r="C25" s="44" t="n">
        <v>9112.004999999999</v>
      </c>
      <c r="D25" s="44" t="n">
        <v>8678.1</v>
      </c>
      <c r="E25" s="44" t="n">
        <v>3037.335</v>
      </c>
      <c r="F25" s="44" t="n">
        <v>0</v>
      </c>
      <c r="G25" s="44" t="n">
        <v>0</v>
      </c>
      <c r="H25" s="44" t="n">
        <v>3991.926</v>
      </c>
      <c r="I25" s="44" t="n">
        <v>0</v>
      </c>
      <c r="J25" s="44" t="n">
        <v>6675.461538461539</v>
      </c>
      <c r="K25" s="44" t="n">
        <v>17356.2</v>
      </c>
      <c r="L25" s="44" t="n">
        <v>79898</v>
      </c>
      <c r="M25" s="44" t="n">
        <v>86781</v>
      </c>
      <c r="N25" s="44" t="n">
        <v>93664</v>
      </c>
    </row>
    <row r="26">
      <c r="A26" t="inlineStr">
        <is>
          <t>WA</t>
        </is>
      </c>
      <c r="B26" t="inlineStr">
        <is>
          <t>Pathologists</t>
        </is>
      </c>
      <c r="C26" s="44" t="n">
        <v>35924.28</v>
      </c>
      <c r="D26" s="44" t="n">
        <v>0</v>
      </c>
      <c r="E26" s="44" t="n">
        <v>11974.76</v>
      </c>
      <c r="F26" s="44" t="n">
        <v>0</v>
      </c>
      <c r="G26" s="44" t="n">
        <v>0</v>
      </c>
      <c r="H26" s="44" t="n">
        <v>15738.256</v>
      </c>
      <c r="I26" s="44" t="n">
        <v>28909</v>
      </c>
      <c r="J26" s="44" t="n">
        <v>26318.15384615385</v>
      </c>
      <c r="K26" s="44" t="n">
        <v>0</v>
      </c>
      <c r="L26" s="44" t="n">
        <v>297757</v>
      </c>
      <c r="M26" s="44" t="n">
        <v>342136</v>
      </c>
      <c r="N26" s="44" t="n">
        <v>386515</v>
      </c>
    </row>
    <row r="27">
      <c r="A27" t="inlineStr">
        <is>
          <t>ALL</t>
        </is>
      </c>
      <c r="B27" t="inlineStr">
        <is>
          <t>Lab technician</t>
        </is>
      </c>
      <c r="C27" s="44" t="n">
        <v>10399.1055</v>
      </c>
      <c r="D27" s="44" t="n">
        <v>9496.9</v>
      </c>
      <c r="E27" s="44" t="n">
        <v>3323.915</v>
      </c>
      <c r="F27" s="44" t="n">
        <v>0</v>
      </c>
      <c r="G27" s="44" t="n">
        <v>0</v>
      </c>
      <c r="H27" s="44" t="n">
        <v>4368.574</v>
      </c>
      <c r="I27" s="44" t="n">
        <v>365.2</v>
      </c>
      <c r="J27" s="44" t="n">
        <v>7305.307692307692</v>
      </c>
      <c r="K27" s="44" t="n">
        <v>7122.675</v>
      </c>
      <c r="L27" s="44" t="n">
        <v>60027.376</v>
      </c>
      <c r="M27" s="44" t="n">
        <v>78368.712</v>
      </c>
      <c r="N27" s="44" t="n">
        <v>96710.048</v>
      </c>
    </row>
    <row r="28">
      <c r="A28" t="inlineStr">
        <is>
          <t>ALL</t>
        </is>
      </c>
      <c r="B28" t="inlineStr">
        <is>
          <t>Medical scientist</t>
        </is>
      </c>
      <c r="C28" s="44" t="n">
        <v>11155.6848</v>
      </c>
      <c r="D28" s="44" t="n">
        <v>10187.84</v>
      </c>
      <c r="E28" s="44" t="n">
        <v>3565.744000000001</v>
      </c>
      <c r="F28" s="44" t="n">
        <v>0</v>
      </c>
      <c r="G28" s="44" t="n">
        <v>0</v>
      </c>
      <c r="H28" s="44" t="n">
        <v>4686.406400000001</v>
      </c>
      <c r="I28" s="44" t="n">
        <v>365.2</v>
      </c>
      <c r="J28" s="44" t="n">
        <v>8620.480000000001</v>
      </c>
      <c r="K28" s="44" t="n">
        <v>11206.624</v>
      </c>
      <c r="L28" s="44" t="n">
        <v>68335.60799999999</v>
      </c>
      <c r="M28" s="44" t="n">
        <v>104472.116</v>
      </c>
      <c r="N28" s="44" t="n">
        <v>140608.624</v>
      </c>
    </row>
    <row r="29">
      <c r="A29" t="inlineStr">
        <is>
          <t>ALL</t>
        </is>
      </c>
      <c r="B29" t="inlineStr">
        <is>
          <t>Admin staff</t>
        </is>
      </c>
      <c r="C29" s="44" t="n">
        <v>8495.06475</v>
      </c>
      <c r="D29" s="44" t="n">
        <v>7758.05</v>
      </c>
      <c r="E29" s="44" t="n">
        <v>2715.3175</v>
      </c>
      <c r="F29" s="44" t="n">
        <v>0</v>
      </c>
      <c r="G29" s="44" t="n">
        <v>0</v>
      </c>
      <c r="H29" s="44" t="n">
        <v>3568.703</v>
      </c>
      <c r="I29" s="44" t="n">
        <v>365.2</v>
      </c>
      <c r="J29" s="44" t="n">
        <v>5967.73076923077</v>
      </c>
      <c r="K29" s="44" t="n">
        <v>5818.537499999999</v>
      </c>
      <c r="L29" s="44" t="n">
        <v>54816.224</v>
      </c>
      <c r="M29" s="44" t="n">
        <v>65202.81599999999</v>
      </c>
      <c r="N29" s="44" t="n">
        <v>75589.408</v>
      </c>
    </row>
    <row r="30">
      <c r="A30" t="inlineStr">
        <is>
          <t>ALL</t>
        </is>
      </c>
      <c r="B30" t="inlineStr">
        <is>
          <t>Bioinformatics staff</t>
        </is>
      </c>
      <c r="C30" s="44" t="n">
        <v>11153.7795</v>
      </c>
      <c r="D30" s="44" t="n">
        <v>10186.1</v>
      </c>
      <c r="E30" s="44" t="n">
        <v>3565.135</v>
      </c>
      <c r="F30" s="44" t="n">
        <v>0</v>
      </c>
      <c r="G30" s="44" t="n">
        <v>0</v>
      </c>
      <c r="H30" s="44" t="n">
        <v>4685.606</v>
      </c>
      <c r="I30" s="44" t="n">
        <v>365.2</v>
      </c>
      <c r="J30" s="44" t="n">
        <v>7835.461538461539</v>
      </c>
      <c r="K30" s="44" t="n">
        <v>11204.71</v>
      </c>
      <c r="L30" s="44" t="n">
        <v>72209</v>
      </c>
      <c r="M30" s="44" t="n">
        <v>94993.5</v>
      </c>
      <c r="N30" s="44" t="n">
        <v>117778</v>
      </c>
    </row>
    <row r="31">
      <c r="A31" t="inlineStr">
        <is>
          <t>ALL</t>
        </is>
      </c>
      <c r="B31" t="inlineStr">
        <is>
          <t>Pathologists</t>
        </is>
      </c>
      <c r="C31" s="44" t="n">
        <v>32439.14505</v>
      </c>
      <c r="D31" s="44" t="n">
        <v>0</v>
      </c>
      <c r="E31" s="44" t="n">
        <v>10368.6765</v>
      </c>
      <c r="F31" s="44" t="n">
        <v>11849.916</v>
      </c>
      <c r="G31" s="44" t="n">
        <v>75483.96492000001</v>
      </c>
      <c r="H31" s="44" t="n">
        <v>13627.4034</v>
      </c>
      <c r="I31" s="44" t="n">
        <v>28681.832</v>
      </c>
      <c r="J31" s="44" t="n">
        <v>25067.13</v>
      </c>
      <c r="K31" s="44" t="n">
        <v>31106.0295</v>
      </c>
      <c r="L31" s="44" t="n">
        <v>227466.6</v>
      </c>
      <c r="M31" s="44" t="n">
        <v>266292.28</v>
      </c>
      <c r="N31" s="44" t="n">
        <v>305117.96</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G30" sqref="G30"/>
    </sheetView>
  </sheetViews>
  <sheetFormatPr baseColWidth="10" defaultColWidth="11" defaultRowHeight="16"/>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X26"/>
  <sheetViews>
    <sheetView workbookViewId="0">
      <selection activeCell="E30" sqref="E30"/>
    </sheetView>
  </sheetViews>
  <sheetFormatPr baseColWidth="10" defaultColWidth="10.6640625" defaultRowHeight="16"/>
  <cols>
    <col width="10.6640625" customWidth="1" style="4" min="1" max="1"/>
    <col width="19.1640625" customWidth="1" style="19" min="2" max="2"/>
    <col width="6.83203125" customWidth="1" style="5" min="3" max="3"/>
    <col width="11.33203125" customWidth="1" style="6" min="4" max="4"/>
    <col width="11.33203125" customWidth="1" style="7" min="5" max="5"/>
    <col width="14.1640625" customWidth="1" style="8" min="6" max="8"/>
    <col width="14.1640625" customWidth="1" style="9" min="9" max="9"/>
    <col width="14.1640625" customWidth="1" style="8" min="10" max="11"/>
    <col width="14.1640625" customWidth="1" style="10" min="12" max="12"/>
    <col width="14.1640625" customWidth="1" style="9" min="13" max="13"/>
    <col width="14.1640625" customWidth="1" style="11" min="14" max="14"/>
    <col width="14.1640625" customWidth="1" style="9" min="15" max="15"/>
    <col width="14.83203125" customWidth="1" style="23" min="16" max="21"/>
    <col width="12.83203125" customWidth="1" style="23" min="22" max="24"/>
    <col width="10.6640625" customWidth="1" style="4" min="25" max="16384"/>
  </cols>
  <sheetData>
    <row r="1" ht="51" customFormat="1" customHeight="1" s="1">
      <c r="A1" s="1" t="inlineStr">
        <is>
          <t>State</t>
        </is>
      </c>
      <c r="B1" s="1" t="inlineStr">
        <is>
          <t>Position</t>
        </is>
      </c>
      <c r="C1" s="12" t="inlineStr">
        <is>
          <t>Year</t>
        </is>
      </c>
      <c r="D1" s="13" t="inlineStr">
        <is>
          <t>Superannuation Rate (%)</t>
        </is>
      </c>
      <c r="E1" s="14" t="inlineStr">
        <is>
          <t>Hours per week</t>
        </is>
      </c>
      <c r="F1" s="87" t="inlineStr">
        <is>
          <t>Average productive time (%)</t>
        </is>
      </c>
      <c r="G1" s="87" t="inlineStr">
        <is>
          <t>Average Penalties %</t>
        </is>
      </c>
      <c r="H1" s="87" t="inlineStr">
        <is>
          <t>Public Holiday Penalty Percentage</t>
        </is>
      </c>
      <c r="I1" s="84" t="inlineStr">
        <is>
          <t>Private Practice Loading</t>
        </is>
      </c>
      <c r="J1" s="87" t="inlineStr">
        <is>
          <t>Attraction and Retention Allowance</t>
        </is>
      </c>
      <c r="K1" s="87" t="inlineStr">
        <is>
          <t>Sick Leave Percentage</t>
        </is>
      </c>
      <c r="L1" s="16" t="inlineStr">
        <is>
          <t>Professional Development Allowance</t>
        </is>
      </c>
      <c r="M1" s="84" t="inlineStr">
        <is>
          <t>Annual Leave Entitlement (Weeks)</t>
        </is>
      </c>
      <c r="N1" s="86" t="inlineStr">
        <is>
          <t>Annual Leave Loading (%)</t>
        </is>
      </c>
      <c r="O1" s="84" t="inlineStr">
        <is>
          <t>Indexation per annum (%)</t>
        </is>
      </c>
      <c r="P1" s="18" t="inlineStr">
        <is>
          <t>Base Salary - LL</t>
        </is>
      </c>
      <c r="Q1" s="18" t="inlineStr">
        <is>
          <t>Base Salary - Mid-point</t>
        </is>
      </c>
      <c r="R1" s="18" t="inlineStr">
        <is>
          <t>Base Salary - UL</t>
        </is>
      </c>
      <c r="S1" s="18" t="inlineStr">
        <is>
          <t>Base Salary + Costs - LL</t>
        </is>
      </c>
      <c r="T1" s="18" t="inlineStr">
        <is>
          <t>Base Salary + Costs - Mid-point</t>
        </is>
      </c>
      <c r="U1" s="18" t="inlineStr">
        <is>
          <t>Base Salary + Costs - UL</t>
        </is>
      </c>
      <c r="V1" s="18" t="inlineStr">
        <is>
          <t>Base Salary + Costs (hourly) - LL</t>
        </is>
      </c>
      <c r="W1" s="18" t="inlineStr">
        <is>
          <t>Base Salary + Costs (hourly) - Mid-point</t>
        </is>
      </c>
      <c r="X1" s="18" t="inlineStr">
        <is>
          <t>Base Salary + Costs (hourly) - UL</t>
        </is>
      </c>
    </row>
    <row r="2">
      <c r="A2" s="4" t="inlineStr">
        <is>
          <t>VIC</t>
        </is>
      </c>
      <c r="B2" s="19" t="inlineStr">
        <is>
          <t>Lab technician</t>
        </is>
      </c>
      <c r="C2" s="5" t="n">
        <v>2022</v>
      </c>
      <c r="D2" s="6" t="n">
        <v>0.105</v>
      </c>
      <c r="E2" s="7" t="n">
        <v>38</v>
      </c>
      <c r="F2" s="8" t="n">
        <v>1</v>
      </c>
      <c r="G2" s="8" t="n">
        <v>0.1</v>
      </c>
      <c r="H2" s="8" t="n">
        <v>0.035</v>
      </c>
      <c r="I2" s="9" t="n">
        <v>0</v>
      </c>
      <c r="J2" s="8" t="n">
        <v>0</v>
      </c>
      <c r="K2" s="8" t="n">
        <v>0.046</v>
      </c>
      <c r="L2" s="10" t="n">
        <v>0</v>
      </c>
      <c r="M2" s="9" t="n">
        <v>4</v>
      </c>
      <c r="N2" s="11" t="n">
        <v>0.175</v>
      </c>
      <c r="O2" s="9" t="n">
        <v>1.5</v>
      </c>
      <c r="P2" s="23" t="n">
        <v>79624</v>
      </c>
      <c r="Q2" s="23">
        <f>P2+((R2-P2)/2)</f>
        <v/>
      </c>
      <c r="R2" s="23" t="n">
        <v>110314</v>
      </c>
      <c r="S2" s="23">
        <f>(P2+(P2*$D2)+(P2*$G2)+(P2*$H2)+(P2*$I2)+(P2*$J2)+(P2*$K2)+($L2)+(P2*((52+$M2)/52))*(1+$N2))*1/$F2</f>
        <v/>
      </c>
      <c r="T2" s="23">
        <f>(Q2+(Q2*$D2)+(Q2*$G2)+(Q2*$H2)+(Q2*$I2)+(Q2*$J2)+(Q2*$K2)+($L2)+(Q2*((52+$M2)/52))*(1+$N2))*1/$F2</f>
        <v/>
      </c>
      <c r="U2" s="23">
        <f>(R2+(R2*$D2)+(R2*$G2)+(R2*$H2)+(R2*$I2)+(R2*$J2)+(R2*$K2)+($L2)+(R2*((52+$M2)/52))*(1+$N2))*1/$F2</f>
        <v/>
      </c>
      <c r="V2" s="23">
        <f>S2/52/$E2</f>
        <v/>
      </c>
      <c r="W2" s="23">
        <f>T2/52/$E2</f>
        <v/>
      </c>
      <c r="X2" s="23">
        <f>U2/52/$E2</f>
        <v/>
      </c>
    </row>
    <row r="3">
      <c r="A3" s="4" t="inlineStr">
        <is>
          <t>VIC</t>
        </is>
      </c>
      <c r="B3" s="19" t="inlineStr">
        <is>
          <t>Medical scientist</t>
        </is>
      </c>
      <c r="C3" s="5" t="n">
        <v>2023</v>
      </c>
      <c r="D3" s="6" t="n">
        <v>0.105</v>
      </c>
      <c r="E3" s="7" t="n">
        <v>38</v>
      </c>
      <c r="F3" s="8" t="n">
        <v>1</v>
      </c>
      <c r="G3" s="8" t="n">
        <v>0.1</v>
      </c>
      <c r="H3" s="8" t="n">
        <v>0.035</v>
      </c>
      <c r="I3" s="9" t="n">
        <v>0</v>
      </c>
      <c r="J3" s="8" t="n">
        <v>0</v>
      </c>
      <c r="K3" s="8" t="n">
        <v>0.046</v>
      </c>
      <c r="L3" s="10" t="n">
        <v>0</v>
      </c>
      <c r="M3" s="9" t="n">
        <v>5</v>
      </c>
      <c r="N3" s="11" t="n">
        <v>0.175</v>
      </c>
      <c r="O3" s="9" t="n">
        <v>1.5</v>
      </c>
      <c r="P3" s="23">
        <f>1177*52</f>
        <v/>
      </c>
      <c r="Q3" s="23">
        <f>P3+((R3-P3)/2)</f>
        <v/>
      </c>
      <c r="R3" s="23">
        <f>2741.4*52</f>
        <v/>
      </c>
      <c r="S3" s="23">
        <f>(P3+(P3*$D3)+(P3*$G3)+(P3*$H3)+(P3*$I3)+(P3*$J3)+(P3*$K3)+($L3)+(P3*((52+$M3)/52))*(1+$N3))*1/$F3</f>
        <v/>
      </c>
      <c r="T3" s="23">
        <f>(Q3+(Q3*$D3)+(Q3*$G3)+(Q3*$H3)+(Q3*$I3)+(Q3*$J3)+(Q3*$K3)+($L3)+(Q3*((52+$M3)/52))*(1+$N3))*1/$F3</f>
        <v/>
      </c>
      <c r="U3" s="23">
        <f>(R3+(R3*$D3)+(R3*$G3)+(R3*$H3)+(R3*$I3)+(R3*$J3)+(R3*$K3)+($L3)+(R3*((52+$M3)/52))*(1+$N3))*1/$F3</f>
        <v/>
      </c>
      <c r="V3" s="23">
        <f>S3/52/$E3</f>
        <v/>
      </c>
      <c r="W3" s="23">
        <f>T3/52/$E3</f>
        <v/>
      </c>
      <c r="X3" s="23">
        <f>U3/52/$E3</f>
        <v/>
      </c>
    </row>
    <row r="4">
      <c r="A4" s="4" t="inlineStr">
        <is>
          <t>VIC</t>
        </is>
      </c>
      <c r="B4" s="19" t="inlineStr">
        <is>
          <t>Admin staff</t>
        </is>
      </c>
      <c r="C4" s="5" t="n">
        <v>2022</v>
      </c>
      <c r="D4" s="6" t="n">
        <v>0.105</v>
      </c>
      <c r="E4" s="7" t="n">
        <v>38</v>
      </c>
      <c r="F4" s="8" t="n">
        <v>1</v>
      </c>
      <c r="G4" s="8" t="n">
        <v>0.1</v>
      </c>
      <c r="H4" s="8" t="n">
        <v>0.035</v>
      </c>
      <c r="I4" s="9" t="n">
        <v>0</v>
      </c>
      <c r="J4" s="8" t="n">
        <v>0</v>
      </c>
      <c r="K4" s="8" t="n">
        <v>0.046</v>
      </c>
      <c r="L4" s="10" t="n">
        <v>0</v>
      </c>
      <c r="M4" s="9" t="n">
        <v>4</v>
      </c>
      <c r="N4" s="11" t="n">
        <v>0.175</v>
      </c>
      <c r="O4" s="9" t="n">
        <v>1.5</v>
      </c>
      <c r="P4" s="23" t="n">
        <v>63701</v>
      </c>
      <c r="Q4" s="23">
        <f>P4+((R4-P4)/2)</f>
        <v/>
      </c>
      <c r="R4" s="23" t="n">
        <v>91460</v>
      </c>
      <c r="S4" s="23">
        <f>(P4+(P4*$D4)+(P4*$G4)+(P4*$H4)+(P4*$I4)+(P4*$J4)+(P4*$K4)+($L4)+(P4*((52+$M4)/52))*(1+$N4))*1/$F4</f>
        <v/>
      </c>
      <c r="T4" s="23">
        <f>(Q4+(Q4*$D4)+(Q4*$G4)+(Q4*$H4)+(Q4*$I4)+(Q4*$J4)+(Q4*$K4)+($L4)+(Q4*((52+$M4)/52))*(1+$N4))*1/$F4</f>
        <v/>
      </c>
      <c r="U4" s="23">
        <f>(R4+(R4*$D4)+(R4*$G4)+(R4*$H4)+(R4*$I4)+(R4*$J4)+(R4*$K4)+($L4)+(R4*((52+$M4)/52))*(1+$N4))*1/$F4</f>
        <v/>
      </c>
      <c r="V4" s="23">
        <f>S4/52/$E4</f>
        <v/>
      </c>
      <c r="W4" s="23">
        <f>T4/52/$E4</f>
        <v/>
      </c>
      <c r="X4" s="23">
        <f>U4/52/$E4</f>
        <v/>
      </c>
    </row>
    <row r="5">
      <c r="A5" s="4" t="inlineStr">
        <is>
          <t>VIC</t>
        </is>
      </c>
      <c r="B5" s="19" t="inlineStr">
        <is>
          <t>Bioinformatics staff</t>
        </is>
      </c>
      <c r="C5" s="5" t="n">
        <v>2022</v>
      </c>
      <c r="D5" s="6" t="n">
        <v>0.105</v>
      </c>
      <c r="E5" s="7" t="n">
        <v>38</v>
      </c>
      <c r="F5" s="8" t="n">
        <v>1</v>
      </c>
      <c r="G5" s="8" t="n">
        <v>0.1</v>
      </c>
      <c r="H5" s="8" t="n">
        <v>0.035</v>
      </c>
      <c r="I5" s="9" t="n">
        <v>0</v>
      </c>
      <c r="J5" s="8" t="n">
        <v>0</v>
      </c>
      <c r="K5" s="8" t="n">
        <v>0.046</v>
      </c>
      <c r="L5" s="10" t="n">
        <v>0</v>
      </c>
      <c r="M5" s="9" t="n">
        <v>4</v>
      </c>
      <c r="N5" s="11" t="n">
        <v>0.175</v>
      </c>
      <c r="O5" s="9" t="n">
        <v>1.5</v>
      </c>
      <c r="P5" s="23" t="n">
        <v>79624</v>
      </c>
      <c r="Q5" s="23">
        <f>P5+((R5-P5)/2)</f>
        <v/>
      </c>
      <c r="R5" s="23" t="n">
        <v>124098</v>
      </c>
      <c r="S5" s="23">
        <f>(P5+(P5*$D5)+(P5*$G5)+(P5*$H5)+(P5*$I5)+(P5*$J5)+(P5*$K5)+($L5)+(P5*((52+$M5)/52))*(1+$N5))*1/$F5</f>
        <v/>
      </c>
      <c r="T5" s="23">
        <f>(Q5+(Q5*$D5)+(Q5*$G5)+(Q5*$H5)+(Q5*$I5)+(Q5*$J5)+(Q5*$K5)+($L5)+(Q5*((52+$M5)/52))*(1+$N5))*1/$F5</f>
        <v/>
      </c>
      <c r="U5" s="23">
        <f>(R5+(R5*$D5)+(R5*$G5)+(R5*$H5)+(R5*$I5)+(R5*$J5)+(R5*$K5)+($L5)+(R5*((52+$M5)/52))*(1+$N5))*1/$F5</f>
        <v/>
      </c>
      <c r="V5" s="23">
        <f>S5/52/$E5</f>
        <v/>
      </c>
      <c r="W5" s="23">
        <f>T5/52/$E5</f>
        <v/>
      </c>
      <c r="X5" s="23">
        <f>U5/52/$E5</f>
        <v/>
      </c>
    </row>
    <row r="6">
      <c r="A6" s="4" t="inlineStr">
        <is>
          <t>VIC</t>
        </is>
      </c>
      <c r="B6" s="19" t="inlineStr">
        <is>
          <t>Pathologists</t>
        </is>
      </c>
      <c r="C6" s="5" t="n">
        <v>2022</v>
      </c>
      <c r="D6" s="6" t="n">
        <v>0.105</v>
      </c>
      <c r="E6" s="7" t="n">
        <v>38</v>
      </c>
      <c r="F6" s="8" t="n">
        <v>1</v>
      </c>
      <c r="G6" s="8" t="n">
        <v>0</v>
      </c>
      <c r="H6" s="8" t="n">
        <v>0.035</v>
      </c>
      <c r="I6" s="9" t="n">
        <v>0</v>
      </c>
      <c r="J6" s="8" t="n">
        <v>0</v>
      </c>
      <c r="K6" s="8" t="n">
        <v>0.046</v>
      </c>
      <c r="L6" s="10" t="n">
        <v>29000.16</v>
      </c>
      <c r="M6" s="9" t="n">
        <v>4</v>
      </c>
      <c r="N6" s="11" t="n">
        <v>0.175</v>
      </c>
      <c r="O6" s="9" t="n">
        <v>1.5</v>
      </c>
      <c r="P6" s="23">
        <f>4797.5*52</f>
        <v/>
      </c>
      <c r="Q6" s="23">
        <f>P6+((R6-P6)/2)</f>
        <v/>
      </c>
      <c r="R6" s="23">
        <f>6596.65*52</f>
        <v/>
      </c>
      <c r="S6" s="23">
        <f>(P6+(P6*$D6)+(P6*$G6)+(P6*$H6)+(P6*$I6)+(P6*$J6)+(P6*$K6)+($L6)+(P6*((52+$M6)/52))*(1+$N6))*1/$F6</f>
        <v/>
      </c>
      <c r="T6" s="23">
        <f>(Q6+(Q6*$D6)+(Q6*$G6)+(Q6*$H6)+(Q6*$I6)+(Q6*$J6)+(Q6*$K6)+($L6)+(Q6*((52+$M6)/52))*(1+$N6))*1/$F6</f>
        <v/>
      </c>
      <c r="U6" s="23">
        <f>(R6+(R6*$D6)+(R6*$G6)+(R6*$H6)+(R6*$I6)+(R6*$J6)+(R6*$K6)+($L6)+(R6*((52+$M6)/52))*(1+$N6))*1/$F6</f>
        <v/>
      </c>
      <c r="V6" s="23">
        <f>S6/52/$E6</f>
        <v/>
      </c>
      <c r="W6" s="23">
        <f>T6/52/$E6</f>
        <v/>
      </c>
      <c r="X6" s="23">
        <f>U6/52/$E6</f>
        <v/>
      </c>
    </row>
    <row r="7">
      <c r="A7" s="4" t="inlineStr">
        <is>
          <t>SA</t>
        </is>
      </c>
      <c r="B7" s="19" t="inlineStr">
        <is>
          <t>Lab technician</t>
        </is>
      </c>
      <c r="C7" s="5" t="n">
        <v>2022</v>
      </c>
      <c r="D7" s="6" t="n">
        <v>0.105</v>
      </c>
      <c r="E7" s="7" t="n">
        <v>37.5</v>
      </c>
      <c r="F7" s="8" t="n">
        <v>1</v>
      </c>
      <c r="G7" s="8" t="n">
        <v>0.1</v>
      </c>
      <c r="H7" s="8" t="n">
        <v>0.035</v>
      </c>
      <c r="I7" s="9" t="n">
        <v>0</v>
      </c>
      <c r="J7" s="8" t="n">
        <v>0</v>
      </c>
      <c r="K7" s="8" t="n">
        <v>0.046</v>
      </c>
      <c r="L7" s="10" t="n">
        <v>0</v>
      </c>
      <c r="M7" s="9" t="n">
        <v>4</v>
      </c>
      <c r="N7" s="11" t="n">
        <v>0</v>
      </c>
      <c r="O7" s="9" t="n">
        <v>1.5</v>
      </c>
      <c r="P7" s="23" t="n">
        <v>54364</v>
      </c>
      <c r="Q7" s="23">
        <f>P7+((R7-P7)/2)</f>
        <v/>
      </c>
      <c r="R7" s="23" t="n">
        <v>100982</v>
      </c>
      <c r="S7" s="23">
        <f>(P7+(P7*$D7)+(P7*$G7)+(P7*$H7)+(P7*$I7)+(P7*$J7)+(P7*$K7)+($L7)+(P7*((52+$M7)/52))*(1+$N7))*1/$F7</f>
        <v/>
      </c>
      <c r="T7" s="23">
        <f>(Q7+(Q7*$D7)+(Q7*$G7)+(Q7*$H7)+(Q7*$I7)+(Q7*$J7)+(Q7*$K7)+($L7)+(Q7*((52+$M7)/52))*(1+$N7))*1/$F7</f>
        <v/>
      </c>
      <c r="U7" s="23">
        <f>(R7+(R7*$D7)+(R7*$G7)+(R7*$H7)+(R7*$I7)+(R7*$J7)+(R7*$K7)+($L7)+(R7*((52+$M7)/52))*(1+$N7))*1/$F7</f>
        <v/>
      </c>
      <c r="V7" s="23">
        <f>S7/52/$E7</f>
        <v/>
      </c>
      <c r="W7" s="23">
        <f>T7/52/$E7</f>
        <v/>
      </c>
      <c r="X7" s="23">
        <f>U7/52/$E7</f>
        <v/>
      </c>
    </row>
    <row r="8">
      <c r="A8" s="4" t="inlineStr">
        <is>
          <t>SA</t>
        </is>
      </c>
      <c r="B8" s="19" t="inlineStr">
        <is>
          <t>Medical scientist</t>
        </is>
      </c>
      <c r="C8" s="5" t="n">
        <v>2022</v>
      </c>
      <c r="D8" s="6" t="n">
        <v>0.105</v>
      </c>
      <c r="E8" s="7" t="n">
        <v>37.5</v>
      </c>
      <c r="F8" s="8" t="n">
        <v>1</v>
      </c>
      <c r="G8" s="8" t="n">
        <v>0.1</v>
      </c>
      <c r="H8" s="8" t="n">
        <v>0.035</v>
      </c>
      <c r="I8" s="9" t="n">
        <v>0</v>
      </c>
      <c r="J8" s="8" t="n">
        <v>0</v>
      </c>
      <c r="K8" s="8" t="n">
        <v>0.046</v>
      </c>
      <c r="L8" s="10" t="n">
        <v>0</v>
      </c>
      <c r="M8" s="9" t="n">
        <v>5</v>
      </c>
      <c r="N8" s="11" t="n">
        <v>0</v>
      </c>
      <c r="O8" s="9" t="n">
        <v>1.5</v>
      </c>
      <c r="P8" s="23" t="n">
        <v>66386</v>
      </c>
      <c r="Q8" s="23">
        <f>P8+((R8-P8)/2)</f>
        <v/>
      </c>
      <c r="R8" s="23" t="n">
        <v>142090</v>
      </c>
      <c r="S8" s="23">
        <f>(P8+(P8*$D8)+(P8*$G8)+(P8*$H8)+(P8*$I8)+(P8*$J8)+(P8*$K8)+($L8)+(P8*((52+$M8)/52))*(1+$N8))*1/$F8</f>
        <v/>
      </c>
      <c r="T8" s="23">
        <f>(Q8+(Q8*$D8)+(Q8*$G8)+(Q8*$H8)+(Q8*$I8)+(Q8*$J8)+(Q8*$K8)+($L8)+(Q8*((52+$M8)/52))*(1+$N8))*1/$F8</f>
        <v/>
      </c>
      <c r="U8" s="23">
        <f>(R8+(R8*$D8)+(R8*$G8)+(R8*$H8)+(R8*$I8)+(R8*$J8)+(R8*$K8)+($L8)+(R8*((52+$M8)/52))*(1+$N8))*1/$F8</f>
        <v/>
      </c>
      <c r="V8" s="23">
        <f>S8/52/$E8</f>
        <v/>
      </c>
      <c r="W8" s="23">
        <f>T8/52/$E8</f>
        <v/>
      </c>
      <c r="X8" s="23">
        <f>U8/52/$E8</f>
        <v/>
      </c>
    </row>
    <row r="9">
      <c r="A9" s="4" t="inlineStr">
        <is>
          <t>SA</t>
        </is>
      </c>
      <c r="B9" s="19" t="inlineStr">
        <is>
          <t>Admin staff</t>
        </is>
      </c>
      <c r="C9" s="5" t="n">
        <v>2022</v>
      </c>
      <c r="D9" s="6" t="n">
        <v>0.105</v>
      </c>
      <c r="E9" s="7" t="n">
        <v>37.5</v>
      </c>
      <c r="F9" s="8" t="n">
        <v>1</v>
      </c>
      <c r="G9" s="8" t="n">
        <v>0.1</v>
      </c>
      <c r="H9" s="8" t="n">
        <v>0.035</v>
      </c>
      <c r="I9" s="9" t="n">
        <v>0</v>
      </c>
      <c r="J9" s="8" t="n">
        <v>0</v>
      </c>
      <c r="K9" s="8" t="n">
        <v>0.046</v>
      </c>
      <c r="L9" s="10" t="n">
        <v>0</v>
      </c>
      <c r="M9" s="9" t="n">
        <v>4</v>
      </c>
      <c r="N9" s="11" t="n">
        <v>0</v>
      </c>
      <c r="O9" s="9" t="n">
        <v>1.5</v>
      </c>
      <c r="P9" s="23" t="n">
        <v>56916</v>
      </c>
      <c r="Q9" s="23">
        <f>P9+((R9-P9)/2)</f>
        <v/>
      </c>
      <c r="R9" s="23" t="n">
        <v>69832</v>
      </c>
      <c r="S9" s="23">
        <f>(P9+(P9*$D9)+(P9*$G9)+(P9*$H9)+(P9*$I9)+(P9*$J9)+(P9*$K9)+($L9)+(P9*((52+$M9)/52))*(1+$N9))*1/$F9</f>
        <v/>
      </c>
      <c r="T9" s="23">
        <f>(Q9+(Q9*$D9)+(Q9*$G9)+(Q9*$H9)+(Q9*$I9)+(Q9*$J9)+(Q9*$K9)+($L9)+(Q9*((52+$M9)/52))*(1+$N9))*1/$F9</f>
        <v/>
      </c>
      <c r="U9" s="23">
        <f>(R9+(R9*$D9)+(R9*$G9)+(R9*$H9)+(R9*$I9)+(R9*$J9)+(R9*$K9)+($L9)+(R9*((52+$M9)/52))*(1+$N9))*1/$F9</f>
        <v/>
      </c>
      <c r="V9" s="23">
        <f>S9/52/$E9</f>
        <v/>
      </c>
      <c r="W9" s="23">
        <f>T9/52/$E9</f>
        <v/>
      </c>
      <c r="X9" s="23">
        <f>U9/52/$E9</f>
        <v/>
      </c>
    </row>
    <row r="10">
      <c r="A10" s="4" t="inlineStr">
        <is>
          <t>SA</t>
        </is>
      </c>
      <c r="B10" s="19" t="inlineStr">
        <is>
          <t>Bioinformatics staff</t>
        </is>
      </c>
      <c r="C10" s="5" t="n">
        <v>2022</v>
      </c>
      <c r="D10" s="6" t="n">
        <v>0.105</v>
      </c>
      <c r="E10" s="7" t="n">
        <v>37.5</v>
      </c>
      <c r="F10" s="8" t="n">
        <v>1</v>
      </c>
      <c r="G10" s="8" t="n">
        <v>0.1</v>
      </c>
      <c r="H10" s="8" t="n">
        <v>0.035</v>
      </c>
      <c r="I10" s="9" t="n">
        <v>0</v>
      </c>
      <c r="J10" s="8" t="n">
        <v>0</v>
      </c>
      <c r="K10" s="8" t="n">
        <v>0.046</v>
      </c>
      <c r="L10" s="10" t="n">
        <v>0</v>
      </c>
      <c r="M10" s="9" t="n">
        <v>4</v>
      </c>
      <c r="N10" s="11" t="n">
        <v>0</v>
      </c>
      <c r="O10" s="9" t="n">
        <v>1.5</v>
      </c>
      <c r="P10" s="23" t="n">
        <v>66386</v>
      </c>
      <c r="Q10" s="23">
        <f>P10+((R10-P10)/2)</f>
        <v/>
      </c>
      <c r="R10" s="23" t="n">
        <v>116789</v>
      </c>
      <c r="S10" s="23">
        <f>(P10+(P10*$D10)+(P10*$G10)+(P10*$H10)+(P10*$I10)+(P10*$J10)+(P10*$K10)+($L10)+(P10*((52+$M10)/52))*(1+$N10))*1/$F10</f>
        <v/>
      </c>
      <c r="T10" s="23">
        <f>(Q10+(Q10*$D10)+(Q10*$G10)+(Q10*$H10)+(Q10*$I10)+(Q10*$J10)+(Q10*$K10)+($L10)+(Q10*((52+$M10)/52))*(1+$N10))*1/$F10</f>
        <v/>
      </c>
      <c r="U10" s="23">
        <f>(R10+(R10*$D10)+(R10*$G10)+(R10*$H10)+(R10*$I10)+(R10*$J10)+(R10*$K10)+($L10)+(R10*((52+$M10)/52))*(1+$N10))*1/$F10</f>
        <v/>
      </c>
      <c r="V10" s="23">
        <f>S10/52/$E10</f>
        <v/>
      </c>
      <c r="W10" s="23">
        <f>T10/52/$E10</f>
        <v/>
      </c>
      <c r="X10" s="23">
        <f>U10/52/$E10</f>
        <v/>
      </c>
    </row>
    <row r="11">
      <c r="A11" s="4" t="inlineStr">
        <is>
          <t>SA</t>
        </is>
      </c>
      <c r="B11" s="19" t="inlineStr">
        <is>
          <t>Pathologists</t>
        </is>
      </c>
      <c r="C11" s="5" t="n">
        <v>2022</v>
      </c>
      <c r="D11" s="6" t="n">
        <v>0.105</v>
      </c>
      <c r="E11" s="7" t="n">
        <v>38</v>
      </c>
      <c r="F11" s="8" t="n">
        <v>1</v>
      </c>
      <c r="G11" s="8" t="n">
        <v>0</v>
      </c>
      <c r="H11" s="8" t="n">
        <v>0.035</v>
      </c>
      <c r="I11" s="9" t="n">
        <v>0</v>
      </c>
      <c r="J11" s="8" t="n">
        <v>0.6</v>
      </c>
      <c r="K11" s="8" t="n">
        <v>0.046</v>
      </c>
      <c r="L11" s="10" t="n">
        <v>26000</v>
      </c>
      <c r="M11" s="9" t="n">
        <v>5</v>
      </c>
      <c r="N11" s="11" t="n">
        <v>0.175</v>
      </c>
      <c r="O11" s="9" t="n">
        <v>1.5</v>
      </c>
      <c r="P11" s="23" t="n">
        <v>221622</v>
      </c>
      <c r="Q11" s="23">
        <f>P11+((R11-P11)/2)</f>
        <v/>
      </c>
      <c r="R11" s="23" t="n">
        <v>292019</v>
      </c>
      <c r="S11" s="23">
        <f>(P11+(P11*$D11)+(P11*$G11)+(P11*$H11)+(P11*$I11)+(P11*$J11)+(P11*$K11)+($L11)+(P11*((52+$M11)/52))*(1+$N11))*1/$F11</f>
        <v/>
      </c>
      <c r="T11" s="23">
        <f>(Q11+(Q11*$D11)+(Q11*$G11)+(Q11*$H11)+(Q11*$I11)+(Q11*$J11)+(Q11*$K11)+($L11)+(Q11*((52+$M11)/52))*(1+$N11))*1/$F11</f>
        <v/>
      </c>
      <c r="U11" s="23">
        <f>(R11+(R11*$D11)+(R11*$G11)+(R11*$H11)+(R11*$I11)+(R11*$J11)+(R11*$K11)+($L11)+(R11*((52+$M11)/52))*(1+$N11))*1/$F11</f>
        <v/>
      </c>
      <c r="V11" s="23">
        <f>S11/52/$E11</f>
        <v/>
      </c>
      <c r="W11" s="23">
        <f>T11/52/$E11</f>
        <v/>
      </c>
      <c r="X11" s="23">
        <f>U11/52/$E11</f>
        <v/>
      </c>
    </row>
    <row r="12" ht="15" customHeight="1">
      <c r="A12" s="4" t="inlineStr">
        <is>
          <t>NSW</t>
        </is>
      </c>
      <c r="B12" s="19" t="inlineStr">
        <is>
          <t>Lab technician</t>
        </is>
      </c>
      <c r="C12" s="5" t="n">
        <v>2022</v>
      </c>
      <c r="D12" s="6" t="n">
        <v>0.105</v>
      </c>
      <c r="E12" s="7" t="n">
        <v>40</v>
      </c>
      <c r="F12" s="8" t="n">
        <v>1</v>
      </c>
      <c r="G12" s="8" t="n">
        <v>0.1</v>
      </c>
      <c r="H12" s="8" t="n">
        <v>0.035</v>
      </c>
      <c r="I12" s="9" t="n">
        <v>0</v>
      </c>
      <c r="J12" s="8" t="n">
        <v>0</v>
      </c>
      <c r="K12" s="8" t="n">
        <v>0.046</v>
      </c>
      <c r="L12" s="10" t="n">
        <v>0</v>
      </c>
      <c r="M12" s="9" t="n">
        <v>4</v>
      </c>
      <c r="N12" s="11" t="n">
        <v>0</v>
      </c>
      <c r="O12" s="9" t="n">
        <v>1.5</v>
      </c>
      <c r="P12" s="25">
        <f>1154.19*52</f>
        <v/>
      </c>
      <c r="Q12" s="23">
        <f>P12+((R12-P12)/2)</f>
        <v/>
      </c>
      <c r="R12" s="23">
        <f>1831.87*52</f>
        <v/>
      </c>
      <c r="S12" s="23">
        <f>(P12+(P12*$D12)+(P12*$G12)+(P12*$H12)+(P12*$I12)+(P12*$J12)+(P12*$K12)+($L12)+(P12*((52+$M12)/52))*(1+$N12))*1/$F12</f>
        <v/>
      </c>
      <c r="T12" s="23">
        <f>(Q12+(Q12*$D12)+(Q12*$G12)+(Q12*$H12)+(Q12*$I12)+(Q12*$J12)+(Q12*$K12)+($L12)+(Q12*((52+$M12)/52))*(1+$N12))*1/$F12</f>
        <v/>
      </c>
      <c r="U12" s="23">
        <f>(R12+(R12*$D12)+(R12*$G12)+(R12*$H12)+(R12*$I12)+(R12*$J12)+(R12*$K12)+($L12)+(R12*((52+$M12)/52))*(1+$N12))*1/$F12</f>
        <v/>
      </c>
      <c r="V12" s="23">
        <f>S12/52/$E12</f>
        <v/>
      </c>
      <c r="W12" s="23">
        <f>T12/52/$E12</f>
        <v/>
      </c>
      <c r="X12" s="23">
        <f>U12/52/$E12</f>
        <v/>
      </c>
    </row>
    <row r="13">
      <c r="A13" s="4" t="inlineStr">
        <is>
          <t>NSW</t>
        </is>
      </c>
      <c r="B13" s="19" t="inlineStr">
        <is>
          <t>Medical scientist</t>
        </is>
      </c>
      <c r="C13" s="5" t="n">
        <v>2022</v>
      </c>
      <c r="D13" s="6" t="n">
        <v>0.105</v>
      </c>
      <c r="E13" s="7" t="n">
        <v>38</v>
      </c>
      <c r="F13" s="8" t="n">
        <v>1</v>
      </c>
      <c r="G13" s="8" t="n">
        <v>0.1</v>
      </c>
      <c r="H13" s="8" t="n">
        <v>0.035</v>
      </c>
      <c r="I13" s="9" t="n">
        <v>0</v>
      </c>
      <c r="J13" s="8" t="n">
        <v>0</v>
      </c>
      <c r="K13" s="8" t="n">
        <v>0.046</v>
      </c>
      <c r="L13" s="10" t="n">
        <v>0</v>
      </c>
      <c r="M13" s="9" t="n">
        <v>4</v>
      </c>
      <c r="N13" s="11" t="n">
        <v>0.175</v>
      </c>
      <c r="O13" s="9" t="n">
        <v>1.5</v>
      </c>
      <c r="P13" s="23">
        <f>1292.77*52</f>
        <v/>
      </c>
      <c r="Q13" s="23">
        <f>P13+((R13-P13)/2)</f>
        <v/>
      </c>
      <c r="R13" s="23">
        <f>2664.91*52</f>
        <v/>
      </c>
      <c r="S13" s="23">
        <f>(P13+(P13*$D13)+(P13*$G13)+(P13*$H13)+(P13*$I13)+(P13*$J13)+(P13*$K13)+($L13)+(P13*((52+$M13)/52))*(1+$N13))*1/$F13</f>
        <v/>
      </c>
      <c r="T13" s="23">
        <f>(Q13+(Q13*$D13)+(Q13*$G13)+(Q13*$H13)+(Q13*$I13)+(Q13*$J13)+(Q13*$K13)+($L13)+(Q13*((52+$M13)/52))*(1+$N13))*1/$F13</f>
        <v/>
      </c>
      <c r="U13" s="23">
        <f>(R13+(R13*$D13)+(R13*$G13)+(R13*$H13)+(R13*$I13)+(R13*$J13)+(R13*$K13)+($L13)+(R13*((52+$M13)/52))*(1+$N13))*1/$F13</f>
        <v/>
      </c>
      <c r="V13" s="23">
        <f>S13/52/$E13</f>
        <v/>
      </c>
      <c r="W13" s="23">
        <f>T13/52/$E13</f>
        <v/>
      </c>
      <c r="X13" s="23">
        <f>U13/52/$E13</f>
        <v/>
      </c>
    </row>
    <row r="14">
      <c r="A14" s="4" t="inlineStr">
        <is>
          <t>NSW</t>
        </is>
      </c>
      <c r="B14" s="19" t="inlineStr">
        <is>
          <t>Admin staff</t>
        </is>
      </c>
      <c r="C14" s="5" t="n">
        <v>2022</v>
      </c>
      <c r="D14" s="6" t="n">
        <v>0.105</v>
      </c>
      <c r="E14" s="7" t="n">
        <v>40</v>
      </c>
      <c r="F14" s="8" t="n">
        <v>1</v>
      </c>
      <c r="G14" s="8" t="n">
        <v>0.1</v>
      </c>
      <c r="H14" s="8" t="n">
        <v>0.035</v>
      </c>
      <c r="I14" s="9" t="n">
        <v>0</v>
      </c>
      <c r="J14" s="8" t="n">
        <v>0</v>
      </c>
      <c r="K14" s="8" t="n">
        <v>0.046</v>
      </c>
      <c r="L14" s="10" t="n">
        <v>0</v>
      </c>
      <c r="M14" s="9" t="n">
        <v>4</v>
      </c>
      <c r="N14" s="11" t="n">
        <v>0</v>
      </c>
      <c r="O14" s="9" t="n">
        <v>1.5</v>
      </c>
      <c r="P14" s="23">
        <f>926.56*52</f>
        <v/>
      </c>
      <c r="Q14" s="23">
        <f>P14+((R14-P14)/2)</f>
        <v/>
      </c>
      <c r="R14" s="23">
        <f>1302.02*52</f>
        <v/>
      </c>
      <c r="S14" s="23">
        <f>(P14+(P14*$D14)+(P14*$G14)+(P14*$H14)+(P14*$I14)+(P14*$J14)+(P14*$K14)+($L14)+(P14*((52+$M14)/52))*(1+$N14))*1/$F14</f>
        <v/>
      </c>
      <c r="T14" s="23">
        <f>(Q14+(Q14*$D14)+(Q14*$G14)+(Q14*$H14)+(Q14*$I14)+(Q14*$J14)+(Q14*$K14)+($L14)+(Q14*((52+$M14)/52))*(1+$N14))*1/$F14</f>
        <v/>
      </c>
      <c r="U14" s="23">
        <f>(R14+(R14*$D14)+(R14*$G14)+(R14*$H14)+(R14*$I14)+(R14*$J14)+(R14*$K14)+($L14)+(R14*((52+$M14)/52))*(1+$N14))*1/$F14</f>
        <v/>
      </c>
      <c r="V14" s="23">
        <f>S14/52/$E14</f>
        <v/>
      </c>
      <c r="W14" s="23">
        <f>T14/52/$E14</f>
        <v/>
      </c>
      <c r="X14" s="23">
        <f>U14/52/$E14</f>
        <v/>
      </c>
    </row>
    <row r="15">
      <c r="A15" s="4" t="inlineStr">
        <is>
          <t>NSW</t>
        </is>
      </c>
      <c r="B15" s="19" t="inlineStr">
        <is>
          <t>Bioinformatics staff</t>
        </is>
      </c>
      <c r="C15" s="5" t="n">
        <v>2022</v>
      </c>
      <c r="D15" s="6" t="n">
        <v>0.105</v>
      </c>
      <c r="E15" s="7" t="n">
        <v>40</v>
      </c>
      <c r="F15" s="8" t="n">
        <v>1</v>
      </c>
      <c r="G15" s="8" t="n">
        <v>0.1</v>
      </c>
      <c r="H15" s="8" t="n">
        <v>0.035</v>
      </c>
      <c r="I15" s="9" t="n">
        <v>0</v>
      </c>
      <c r="J15" s="8" t="n">
        <v>0</v>
      </c>
      <c r="K15" s="8" t="n">
        <v>0.046</v>
      </c>
      <c r="L15" s="10" t="n">
        <v>0</v>
      </c>
      <c r="M15" s="9" t="n">
        <v>4</v>
      </c>
      <c r="N15" s="11" t="n">
        <v>0.175</v>
      </c>
      <c r="O15" s="9" t="n">
        <v>1.5</v>
      </c>
      <c r="P15" s="23" t="n">
        <v>66106</v>
      </c>
      <c r="Q15" s="23">
        <f>P15+((R15-P15)/2)</f>
        <v/>
      </c>
      <c r="R15" s="23" t="n">
        <v>114763</v>
      </c>
      <c r="S15" s="23">
        <f>(P15+(P15*$D15)+(P15*$G15)+(P15*$H15)+(P15*$I15)+(P15*$J15)+(P15*$K15)+($L15)+(P15*((52+$M15)/52))*(1+$N15))*1/$F15</f>
        <v/>
      </c>
      <c r="T15" s="23">
        <f>(Q15+(Q15*$D15)+(Q15*$G15)+(Q15*$H15)+(Q15*$I15)+(Q15*$J15)+(Q15*$K15)+($L15)+(Q15*((52+$M15)/52))*(1+$N15))*1/$F15</f>
        <v/>
      </c>
      <c r="U15" s="23">
        <f>(R15+(R15*$D15)+(R15*$G15)+(R15*$H15)+(R15*$I15)+(R15*$J15)+(R15*$K15)+($L15)+(R15*((52+$M15)/52))*(1+$N15))*1/$F15</f>
        <v/>
      </c>
      <c r="V15" s="23">
        <f>S15/52/$E15</f>
        <v/>
      </c>
      <c r="W15" s="23">
        <f>T15/52/$E15</f>
        <v/>
      </c>
      <c r="X15" s="23">
        <f>U15/52/$E15</f>
        <v/>
      </c>
    </row>
    <row r="16">
      <c r="A16" s="4" t="inlineStr">
        <is>
          <t>NSW</t>
        </is>
      </c>
      <c r="B16" s="19" t="inlineStr">
        <is>
          <t>Pathologists</t>
        </is>
      </c>
      <c r="C16" s="5" t="n">
        <v>2022</v>
      </c>
      <c r="D16" s="6" t="n">
        <v>0.105</v>
      </c>
      <c r="E16" s="7" t="n">
        <v>40</v>
      </c>
      <c r="F16" s="8" t="n">
        <v>1</v>
      </c>
      <c r="G16" s="8" t="n">
        <v>0</v>
      </c>
      <c r="H16" s="8" t="n">
        <v>0.035</v>
      </c>
      <c r="I16" s="27" t="n">
        <v>0.2</v>
      </c>
      <c r="J16" s="8" t="n">
        <v>0.174</v>
      </c>
      <c r="K16" s="8" t="n">
        <v>0.046</v>
      </c>
      <c r="L16" s="10" t="n">
        <v>38000</v>
      </c>
      <c r="M16" s="9" t="n">
        <v>5</v>
      </c>
      <c r="N16" s="11" t="n">
        <v>0.175</v>
      </c>
      <c r="O16" s="9" t="n">
        <v>1.5</v>
      </c>
      <c r="P16" s="23" t="n">
        <v>179078</v>
      </c>
      <c r="Q16" s="23">
        <f>P16+((R16-P16)/2)</f>
        <v/>
      </c>
      <c r="R16" s="23" t="n">
        <v>241940</v>
      </c>
      <c r="S16" s="23">
        <f>(P16+(P16*$D16)+(P16*$G16)+(P16*$H16)+(P16*$I16)+(P16*$J16)+(P16*$K16)+($L16)+(P16*((52+$M16)/52))*(1+$N16))*1/$F16</f>
        <v/>
      </c>
      <c r="T16" s="23">
        <f>(Q16+(Q16*$D16)+(Q16*$G16)+(Q16*$H16)+(Q16*$I16)+(Q16*$J16)+(Q16*$K16)+($L16)+(Q16*((52+$M16)/52))*(1+$N16))*1/$F16</f>
        <v/>
      </c>
      <c r="U16" s="23">
        <f>(R16+(R16*$D16)+(R16*$G16)+(R16*$H16)+(R16*$I16)+(R16*$J16)+(R16*$K16)+($L16)+(R16*((52+$M16)/52))*(1+$N16))*1/$F16</f>
        <v/>
      </c>
      <c r="V16" s="23">
        <f>S16/52/$E16</f>
        <v/>
      </c>
      <c r="W16" s="23">
        <f>T16/52/$E16</f>
        <v/>
      </c>
      <c r="X16" s="23">
        <f>U16/52/$E16</f>
        <v/>
      </c>
    </row>
    <row r="17">
      <c r="A17" s="4" t="inlineStr">
        <is>
          <t>QLD</t>
        </is>
      </c>
      <c r="B17" s="19" t="inlineStr">
        <is>
          <t>Lab technician</t>
        </is>
      </c>
      <c r="C17" s="5" t="n">
        <v>2022</v>
      </c>
      <c r="D17" s="6" t="n">
        <v>0.1275</v>
      </c>
      <c r="E17" s="7" t="n">
        <v>36.25</v>
      </c>
      <c r="F17" s="8" t="n">
        <v>1</v>
      </c>
      <c r="G17" s="8" t="n">
        <v>0.1</v>
      </c>
      <c r="H17" s="8" t="n">
        <v>0.035</v>
      </c>
      <c r="I17" s="9" t="n">
        <v>0</v>
      </c>
      <c r="J17" s="8" t="n">
        <v>0</v>
      </c>
      <c r="K17" s="8" t="n">
        <v>0.046</v>
      </c>
      <c r="L17" s="10" t="n">
        <v>1826</v>
      </c>
      <c r="M17" s="9" t="n">
        <v>4</v>
      </c>
      <c r="N17" s="11" t="n">
        <v>0</v>
      </c>
      <c r="O17" s="9" t="n">
        <v>1.5</v>
      </c>
      <c r="P17" s="23" t="n">
        <v>48552</v>
      </c>
      <c r="Q17" s="23">
        <f>P17+((R17-P17)/2)</f>
        <v/>
      </c>
      <c r="R17" s="23" t="n">
        <v>91840</v>
      </c>
      <c r="S17" s="23">
        <f>(P17+(P17*$D17)+(P17*$G17)+(P17*$H17)+(P17*$I17)+(P17*$J17)+(P17*$K17)+($L17)+(P17*((52+$M17)/52))*(1+$N17))*1/$F17</f>
        <v/>
      </c>
      <c r="T17" s="23">
        <f>(Q17+(Q17*$D17)+(Q17*$G17)+(Q17*$H17)+(Q17*$I17)+(Q17*$J17)+(Q17*$K17)+($L17)+(Q17*((52+$M17)/52))*(1+$N17))*1/$F17</f>
        <v/>
      </c>
      <c r="U17" s="23">
        <f>(R17+(R17*$D17)+(R17*$G17)+(R17*$H17)+(R17*$I17)+(R17*$J17)+(R17*$K17)+($L17)+(R17*((52+$M17)/52))*(1+$N17))*1/$F17</f>
        <v/>
      </c>
      <c r="V17" s="23">
        <f>S17/52/$E17</f>
        <v/>
      </c>
      <c r="W17" s="23">
        <f>T17/52/$E17</f>
        <v/>
      </c>
      <c r="X17" s="23">
        <f>U17/52/$E17</f>
        <v/>
      </c>
    </row>
    <row r="18">
      <c r="A18" s="4" t="inlineStr">
        <is>
          <t>QLD</t>
        </is>
      </c>
      <c r="B18" s="19" t="inlineStr">
        <is>
          <t>Medical scientist</t>
        </is>
      </c>
      <c r="C18" s="5" t="n">
        <v>2022</v>
      </c>
      <c r="D18" s="6" t="n">
        <v>0.1275</v>
      </c>
      <c r="E18" s="7" t="n">
        <v>36.25</v>
      </c>
      <c r="F18" s="8" t="n">
        <v>1</v>
      </c>
      <c r="G18" s="8" t="n">
        <v>0.1</v>
      </c>
      <c r="H18" s="8" t="n">
        <v>0.035</v>
      </c>
      <c r="I18" s="9" t="n">
        <v>0</v>
      </c>
      <c r="J18" s="8" t="n">
        <v>0</v>
      </c>
      <c r="K18" s="8" t="n">
        <v>0.046</v>
      </c>
      <c r="L18" s="10" t="n">
        <v>1826</v>
      </c>
      <c r="M18" s="9" t="n">
        <v>4</v>
      </c>
      <c r="N18" s="11" t="n">
        <v>0</v>
      </c>
      <c r="O18" s="9" t="n">
        <v>1.5</v>
      </c>
      <c r="P18" s="23" t="n">
        <v>69031</v>
      </c>
      <c r="Q18" s="23">
        <f>P18+((R18-P18)/2)</f>
        <v/>
      </c>
      <c r="R18" s="23" t="n">
        <v>139576</v>
      </c>
      <c r="S18" s="23">
        <f>(P18+(P18*$D18)+(P18*$G18)+(P18*$H18)+(P18*$I18)+(P18*$J18)+(P18*$K18)+($L18)+(P18*((52+$M18)/52))*(1+$N18))*1/$F18</f>
        <v/>
      </c>
      <c r="T18" s="23">
        <f>(Q18+(Q18*$D18)+(Q18*$G18)+(Q18*$H18)+(Q18*$I18)+(Q18*$J18)+(Q18*$K18)+($L18)+(Q18*((52+$M18)/52))*(1+$N18))*1/$F18</f>
        <v/>
      </c>
      <c r="U18" s="23">
        <f>(R18+(R18*$D18)+(R18*$G18)+(R18*$H18)+(R18*$I18)+(R18*$J18)+(R18*$K18)+($L18)+(R18*((52+$M18)/52))*(1+$N18))*1/$F18</f>
        <v/>
      </c>
      <c r="V18" s="23">
        <f>S18/52/$E18</f>
        <v/>
      </c>
      <c r="W18" s="23">
        <f>T18/52/$E18</f>
        <v/>
      </c>
      <c r="X18" s="23">
        <f>U18/52/$E18</f>
        <v/>
      </c>
    </row>
    <row r="19">
      <c r="A19" s="4" t="inlineStr">
        <is>
          <t>QLD</t>
        </is>
      </c>
      <c r="B19" s="19" t="inlineStr">
        <is>
          <t>Admin staff</t>
        </is>
      </c>
      <c r="C19" s="5" t="n">
        <v>2022</v>
      </c>
      <c r="D19" s="6" t="n">
        <v>0.1275</v>
      </c>
      <c r="E19" s="7" t="n">
        <v>36.25</v>
      </c>
      <c r="F19" s="8" t="n">
        <v>1</v>
      </c>
      <c r="G19" s="8" t="n">
        <v>0.1</v>
      </c>
      <c r="H19" s="8" t="n">
        <v>0.035</v>
      </c>
      <c r="I19" s="9" t="n">
        <v>0</v>
      </c>
      <c r="J19" s="8" t="n">
        <v>0</v>
      </c>
      <c r="K19" s="8" t="n">
        <v>0.046</v>
      </c>
      <c r="L19" s="10" t="n">
        <v>1826</v>
      </c>
      <c r="M19" s="9" t="n">
        <v>4</v>
      </c>
      <c r="N19" s="11" t="n">
        <v>0</v>
      </c>
      <c r="O19" s="9" t="n">
        <v>1.5</v>
      </c>
      <c r="P19" s="23" t="n">
        <v>47704</v>
      </c>
      <c r="Q19" s="23">
        <f>P19+((R19-P19)/2)</f>
        <v/>
      </c>
      <c r="R19" s="23" t="n">
        <v>79901</v>
      </c>
      <c r="S19" s="23">
        <f>(P19+(P19*$D19)+(P19*$G19)+(P19*$H19)+(P19*$I19)+(P19*$J19)+(P19*$K19)+($L19)+(P19*((52+$M19)/52))*(1+$N19))*1/$F19</f>
        <v/>
      </c>
      <c r="T19" s="23">
        <f>(Q19+(Q19*$D19)+(Q19*$G19)+(Q19*$H19)+(Q19*$I19)+(Q19*$J19)+(Q19*$K19)+($L19)+(Q19*((52+$M19)/52))*(1+$N19))*1/$F19</f>
        <v/>
      </c>
      <c r="U19" s="23">
        <f>(R19+(R19*$D19)+(R19*$G19)+(R19*$H19)+(R19*$I19)+(R19*$J19)+(R19*$K19)+($L19)+(R19*((52+$M19)/52))*(1+$N19))*1/$F19</f>
        <v/>
      </c>
      <c r="V19" s="23">
        <f>S19/52/$E19</f>
        <v/>
      </c>
      <c r="W19" s="23">
        <f>T19/52/$E19</f>
        <v/>
      </c>
      <c r="X19" s="23">
        <f>U19/52/$E19</f>
        <v/>
      </c>
    </row>
    <row r="20">
      <c r="A20" s="4" t="inlineStr">
        <is>
          <t>QLD</t>
        </is>
      </c>
      <c r="B20" s="19" t="inlineStr">
        <is>
          <t>Bioinformatics staff</t>
        </is>
      </c>
      <c r="C20" s="5" t="n">
        <v>2022</v>
      </c>
      <c r="D20" s="6" t="n">
        <v>0.1275</v>
      </c>
      <c r="E20" s="7" t="n">
        <v>36.25</v>
      </c>
      <c r="F20" s="8" t="n">
        <v>1</v>
      </c>
      <c r="G20" s="8" t="n">
        <v>0.1</v>
      </c>
      <c r="H20" s="8" t="n">
        <v>0.035</v>
      </c>
      <c r="I20" s="9" t="n">
        <v>0</v>
      </c>
      <c r="J20" s="8" t="n">
        <v>0</v>
      </c>
      <c r="K20" s="8" t="n">
        <v>0.046</v>
      </c>
      <c r="L20" s="10" t="n">
        <v>1826</v>
      </c>
      <c r="M20" s="9" t="n">
        <v>4</v>
      </c>
      <c r="N20" s="11" t="n">
        <v>0</v>
      </c>
      <c r="O20" s="9" t="n">
        <v>1.5</v>
      </c>
      <c r="P20" s="23" t="n">
        <v>69031</v>
      </c>
      <c r="Q20" s="23">
        <f>P20+((R20-P20)/2)</f>
        <v/>
      </c>
      <c r="R20" s="23" t="n">
        <v>139576</v>
      </c>
      <c r="S20" s="23">
        <f>(P20+(P20*$D20)+(P20*$G20)+(P20*$H20)+(P20*$I20)+(P20*$J20)+(P20*$K20)+($L20)+(P20*((52+$M20)/52))*(1+$N20))*1/$F20</f>
        <v/>
      </c>
      <c r="T20" s="23">
        <f>(Q20+(Q20*$D20)+(Q20*$G20)+(Q20*$H20)+(Q20*$I20)+(Q20*$J20)+(Q20*$K20)+($L20)+(Q20*((52+$M20)/52))*(1+$N20))*1/$F20</f>
        <v/>
      </c>
      <c r="U20" s="23">
        <f>(R20+(R20*$D20)+(R20*$G20)+(R20*$H20)+(R20*$I20)+(R20*$J20)+(R20*$K20)+($L20)+(R20*((52+$M20)/52))*(1+$N20))*1/$F20</f>
        <v/>
      </c>
      <c r="V20" s="23">
        <f>S20/52/$E20</f>
        <v/>
      </c>
      <c r="W20" s="23">
        <f>T20/52/$E20</f>
        <v/>
      </c>
      <c r="X20" s="23">
        <f>U20/52/$E20</f>
        <v/>
      </c>
    </row>
    <row r="21">
      <c r="A21" s="4" t="inlineStr">
        <is>
          <t>QLD</t>
        </is>
      </c>
      <c r="B21" s="19" t="inlineStr">
        <is>
          <t>Pathologists</t>
        </is>
      </c>
      <c r="C21" s="5" t="n">
        <v>2022</v>
      </c>
      <c r="D21" s="6" t="n">
        <v>0.1275</v>
      </c>
      <c r="E21" s="7" t="n">
        <v>38</v>
      </c>
      <c r="F21" s="8" t="n">
        <v>1</v>
      </c>
      <c r="G21" s="8" t="n">
        <v>0</v>
      </c>
      <c r="H21" s="8" t="n">
        <v>0.035</v>
      </c>
      <c r="I21" s="9" t="n">
        <v>0</v>
      </c>
      <c r="J21" s="8" t="n">
        <v>0.5</v>
      </c>
      <c r="K21" s="8" t="n">
        <v>0.046</v>
      </c>
      <c r="L21" s="10" t="n">
        <v>21500</v>
      </c>
      <c r="M21" s="9" t="n">
        <v>4</v>
      </c>
      <c r="N21" s="11" t="n">
        <v>0</v>
      </c>
      <c r="O21" s="9" t="n">
        <v>1.5</v>
      </c>
      <c r="P21" s="23" t="n">
        <v>189406</v>
      </c>
      <c r="Q21" s="23">
        <f>P21+((R21-P21)/2)</f>
        <v/>
      </c>
      <c r="R21" s="23" t="n">
        <v>262090</v>
      </c>
      <c r="S21" s="23">
        <f>(P21+(P21*$D21)+(P21*$G21)+(P21*$H21)+(P21*$I21)+(P21*$J21)+(P21*$K21)+($L21)+(P21*((52+$M21)/52))*(1+$N21))*1/$F21</f>
        <v/>
      </c>
      <c r="T21" s="23">
        <f>(Q21+(Q21*$D21)+(Q21*$G21)+(Q21*$H21)+(Q21*$I21)+(Q21*$J21)+(Q21*$K21)+($L21)+(Q21*((52+$M21)/52))*(1+$N21))*1/$F21</f>
        <v/>
      </c>
      <c r="U21" s="23">
        <f>(R21+(R21*$D21)+(R21*$G21)+(R21*$H21)+(R21*$I21)+(R21*$J21)+(R21*$K21)+($L21)+(R21*((52+$M21)/52))*(1+$N21))*1/$F21</f>
        <v/>
      </c>
      <c r="V21" s="23">
        <f>S21/52/$E21</f>
        <v/>
      </c>
      <c r="W21" s="23">
        <f>T21/52/$E21</f>
        <v/>
      </c>
      <c r="X21" s="23">
        <f>U21/52/$E21</f>
        <v/>
      </c>
    </row>
    <row r="22">
      <c r="A22" s="4" t="inlineStr">
        <is>
          <t>WA</t>
        </is>
      </c>
      <c r="B22" s="19" t="inlineStr">
        <is>
          <t>Lab technician</t>
        </is>
      </c>
      <c r="C22" s="5" t="n">
        <v>2022</v>
      </c>
      <c r="D22" s="6" t="n">
        <v>0.105</v>
      </c>
      <c r="E22" s="7" t="n">
        <v>38</v>
      </c>
      <c r="F22" s="8" t="n">
        <v>1</v>
      </c>
      <c r="G22" s="8" t="n">
        <v>0.1</v>
      </c>
      <c r="H22" s="8" t="n">
        <v>0.035</v>
      </c>
      <c r="I22" s="9" t="n">
        <v>0</v>
      </c>
      <c r="J22" s="8" t="n">
        <v>0</v>
      </c>
      <c r="K22" s="8" t="n">
        <v>0.046</v>
      </c>
      <c r="L22" s="10" t="n">
        <v>0</v>
      </c>
      <c r="M22" s="9" t="n">
        <v>4</v>
      </c>
      <c r="N22" s="11" t="n">
        <v>0.2</v>
      </c>
      <c r="O22" s="9" t="n">
        <v>1.5</v>
      </c>
      <c r="P22" s="23" t="n">
        <v>57579</v>
      </c>
      <c r="Q22" s="23">
        <f>P22+((R22-P22)/2)</f>
        <v/>
      </c>
      <c r="R22" s="23" t="n">
        <v>85157</v>
      </c>
      <c r="S22" s="23">
        <f>(P22+(P22*$D22)+(P22*$G22)+(P22*$H22)+(P22*$I22)+(P22*$J22)+(P22*$K22)+($L22)+(P22*((52+$M22)/52))*(1+$N22))*1/$F22</f>
        <v/>
      </c>
      <c r="T22" s="23">
        <f>(Q22+(Q22*$D22)+(Q22*$G22)+(Q22*$H22)+(Q22*$I22)+(Q22*$J22)+(Q22*$K22)+($L22)+(Q22*((52+$M22)/52))*(1+$N22))*1/$F22</f>
        <v/>
      </c>
      <c r="U22" s="23">
        <f>(R22+(R22*$D22)+(R22*$G22)+(R22*$H22)+(R22*$I22)+(R22*$J22)+(R22*$K22)+($L22)+(R22*((52+$M22)/52))*(1+$N22))*1/$F22</f>
        <v/>
      </c>
      <c r="V22" s="23">
        <f>S22/52/$E22</f>
        <v/>
      </c>
      <c r="W22" s="23">
        <f>T22/52/$E22</f>
        <v/>
      </c>
      <c r="X22" s="23">
        <f>U22/52/$E22</f>
        <v/>
      </c>
    </row>
    <row r="23">
      <c r="A23" s="4" t="inlineStr">
        <is>
          <t>WA</t>
        </is>
      </c>
      <c r="B23" s="19" t="inlineStr">
        <is>
          <t>Medical scientist</t>
        </is>
      </c>
      <c r="C23" s="5" t="n">
        <v>2022</v>
      </c>
      <c r="D23" s="6" t="n">
        <v>0.105</v>
      </c>
      <c r="E23" s="7" t="n">
        <v>38</v>
      </c>
      <c r="F23" s="8" t="n">
        <v>1</v>
      </c>
      <c r="G23" s="8" t="n">
        <v>0.1</v>
      </c>
      <c r="H23" s="8" t="n">
        <v>0.035</v>
      </c>
      <c r="I23" s="9" t="n">
        <v>0</v>
      </c>
      <c r="J23" s="8" t="n">
        <v>0</v>
      </c>
      <c r="K23" s="8" t="n">
        <v>0.046</v>
      </c>
      <c r="L23" s="10" t="n">
        <v>0</v>
      </c>
      <c r="M23" s="9" t="n">
        <v>4</v>
      </c>
      <c r="N23" s="11" t="n">
        <v>0.2</v>
      </c>
      <c r="O23" s="9" t="n">
        <v>1.5</v>
      </c>
      <c r="P23" s="23" t="n">
        <v>77833</v>
      </c>
      <c r="Q23" s="23">
        <f>P23+((R23-P23)/2)</f>
        <v/>
      </c>
      <c r="R23" s="23" t="n">
        <v>140249</v>
      </c>
      <c r="S23" s="23">
        <f>(P23+(P23*$D23)+(P23*$G23)+(P23*$H23)+(P23*$I23)+(P23*$J23)+(P23*$K23)+($L23)+(P23*((52+$M23)/52))*(1+$N23))*1/$F23</f>
        <v/>
      </c>
      <c r="T23" s="23">
        <f>(Q23+(Q23*$D23)+(Q23*$G23)+(Q23*$H23)+(Q23*$I23)+(Q23*$J23)+(Q23*$K23)+($L23)+(Q23*((52+$M23)/52))*(1+$N23))*1/$F23</f>
        <v/>
      </c>
      <c r="U23" s="23">
        <f>(R23+(R23*$D23)+(R23*$G23)+(R23*$H23)+(R23*$I23)+(R23*$J23)+(R23*$K23)+($L23)+(R23*((52+$M23)/52))*(1+$N23))*1/$F23</f>
        <v/>
      </c>
      <c r="V23" s="23">
        <f>S23/52/$E23</f>
        <v/>
      </c>
      <c r="W23" s="23">
        <f>T23/52/$E23</f>
        <v/>
      </c>
      <c r="X23" s="23">
        <f>U23/52/$E23</f>
        <v/>
      </c>
    </row>
    <row r="24">
      <c r="A24" s="4" t="inlineStr">
        <is>
          <t>WA</t>
        </is>
      </c>
      <c r="B24" s="19" t="inlineStr">
        <is>
          <t>Admin staff</t>
        </is>
      </c>
      <c r="C24" s="5" t="n">
        <v>2022</v>
      </c>
      <c r="D24" s="6" t="n">
        <v>0.105</v>
      </c>
      <c r="E24" s="7" t="n">
        <v>38</v>
      </c>
      <c r="F24" s="8" t="n">
        <v>1</v>
      </c>
      <c r="G24" s="8" t="n">
        <v>0.1</v>
      </c>
      <c r="H24" s="8" t="n">
        <v>0.035</v>
      </c>
      <c r="I24" s="9" t="n">
        <v>0</v>
      </c>
      <c r="J24" s="8" t="n">
        <v>0</v>
      </c>
      <c r="K24" s="8" t="n">
        <v>0.046</v>
      </c>
      <c r="L24" s="10" t="n">
        <v>0</v>
      </c>
      <c r="M24" s="9" t="n">
        <v>4</v>
      </c>
      <c r="N24" s="11" t="n">
        <v>0.2</v>
      </c>
      <c r="O24" s="9" t="n">
        <v>1.5</v>
      </c>
      <c r="P24" s="23" t="n">
        <v>57579</v>
      </c>
      <c r="Q24" s="23">
        <f>P24+((R24-P24)/2)</f>
        <v/>
      </c>
      <c r="R24" s="23" t="n">
        <v>69049</v>
      </c>
      <c r="S24" s="23">
        <f>(P24+(P24*$D24)+(P24*$G24)+(P24*$H24)+(P24*$I24)+(P24*$J24)+(P24*$K24)+($L24)+(P24*((52+$M24)/52))*(1+$N24))*1/$F24</f>
        <v/>
      </c>
      <c r="T24" s="23">
        <f>(Q24+(Q24*$D24)+(Q24*$G24)+(Q24*$H24)+(Q24*$I24)+(Q24*$J24)+(Q24*$K24)+($L24)+(Q24*((52+$M24)/52))*(1+$N24))*1/$F24</f>
        <v/>
      </c>
      <c r="U24" s="23">
        <f>(R24+(R24*$D24)+(R24*$G24)+(R24*$H24)+(R24*$I24)+(R24*$J24)+(R24*$K24)+($L24)+(R24*((52+$M24)/52))*(1+$N24))*1/$F24</f>
        <v/>
      </c>
      <c r="V24" s="23">
        <f>S24/52/$E24</f>
        <v/>
      </c>
      <c r="W24" s="23">
        <f>T24/52/$E24</f>
        <v/>
      </c>
      <c r="X24" s="23">
        <f>U24/52/$E24</f>
        <v/>
      </c>
    </row>
    <row r="25">
      <c r="A25" s="4" t="inlineStr">
        <is>
          <t>WA</t>
        </is>
      </c>
      <c r="B25" s="19" t="inlineStr">
        <is>
          <t>Bioinformatics staff</t>
        </is>
      </c>
      <c r="C25" s="5" t="n">
        <v>2022</v>
      </c>
      <c r="D25" s="6" t="n">
        <v>0.105</v>
      </c>
      <c r="E25" s="7" t="n">
        <v>38</v>
      </c>
      <c r="F25" s="8" t="n">
        <v>1</v>
      </c>
      <c r="G25" s="8" t="n">
        <v>0.1</v>
      </c>
      <c r="H25" s="8" t="n">
        <v>0.035</v>
      </c>
      <c r="I25" s="9" t="n">
        <v>0</v>
      </c>
      <c r="J25" s="8" t="n">
        <v>0</v>
      </c>
      <c r="K25" s="8" t="n">
        <v>0.046</v>
      </c>
      <c r="L25" s="10" t="n">
        <v>0</v>
      </c>
      <c r="M25" s="9" t="n">
        <v>4</v>
      </c>
      <c r="N25" s="11" t="n">
        <v>0.2</v>
      </c>
      <c r="O25" s="9" t="n">
        <v>1.5</v>
      </c>
      <c r="P25" s="23" t="n">
        <v>79898</v>
      </c>
      <c r="Q25" s="23">
        <f>P25+((R25-P25)/2)</f>
        <v/>
      </c>
      <c r="R25" s="23" t="n">
        <v>93664</v>
      </c>
      <c r="S25" s="23">
        <f>(P25+(P25*$D25)+(P25*$G25)+(P25*$H25)+(P25*$I25)+(P25*$J25)+(P25*$K25)+($L25)+(P25*((52+$M25)/52))*(1+$N25))*1/$F25</f>
        <v/>
      </c>
      <c r="T25" s="23">
        <f>(Q25+(Q25*$D25)+(Q25*$G25)+(Q25*$H25)+(Q25*$I25)+(Q25*$J25)+(Q25*$K25)+($L25)+(Q25*((52+$M25)/52))*(1+$N25))*1/$F25</f>
        <v/>
      </c>
      <c r="U25" s="23">
        <f>(R25+(R25*$D25)+(R25*$G25)+(R25*$H25)+(R25*$I25)+(R25*$J25)+(R25*$K25)+($L25)+(R25*((52+$M25)/52))*(1+$N25))*1/$F25</f>
        <v/>
      </c>
      <c r="V25" s="23">
        <f>S25/52/$E25</f>
        <v/>
      </c>
      <c r="W25" s="23">
        <f>T25/52/$E25</f>
        <v/>
      </c>
      <c r="X25" s="23">
        <f>U25/52/$E25</f>
        <v/>
      </c>
    </row>
    <row r="26">
      <c r="A26" s="4" t="inlineStr">
        <is>
          <t>WA</t>
        </is>
      </c>
      <c r="B26" s="19" t="inlineStr">
        <is>
          <t>Pathologists</t>
        </is>
      </c>
      <c r="C26" s="5" t="n">
        <v>2022</v>
      </c>
      <c r="D26" s="6" t="n">
        <v>0.105</v>
      </c>
      <c r="E26" s="7" t="n">
        <v>40</v>
      </c>
      <c r="F26" s="8" t="n">
        <v>1</v>
      </c>
      <c r="G26" s="8" t="n">
        <v>0</v>
      </c>
      <c r="H26" s="8" t="n">
        <v>0.035</v>
      </c>
      <c r="I26" s="9" t="n">
        <v>0</v>
      </c>
      <c r="J26" s="8" t="n">
        <v>0</v>
      </c>
      <c r="K26" s="8" t="n">
        <v>0.046</v>
      </c>
      <c r="L26" s="10" t="n">
        <v>28909</v>
      </c>
      <c r="M26" s="9">
        <f>160/40</f>
        <v/>
      </c>
      <c r="N26" s="11" t="n">
        <v>0</v>
      </c>
      <c r="O26" s="9" t="n">
        <v>1.5</v>
      </c>
      <c r="P26" s="23" t="n">
        <v>297757</v>
      </c>
      <c r="Q26" s="23">
        <f>P26+((R26-P26)/2)</f>
        <v/>
      </c>
      <c r="R26" s="23" t="n">
        <v>386515</v>
      </c>
      <c r="S26" s="23">
        <f>(P26+(P26*$D26)+(P26*$G26)+(P26*$H26)+(P26*$I26)+(P26*$J26)+(P26*$K26)+($L26)+(P26*((52+$M26)/52))*(1+$N26))*1/$F26</f>
        <v/>
      </c>
      <c r="T26" s="23">
        <f>(Q26+(Q26*$D26)+(Q26*$G26)+(Q26*$H26)+(Q26*$I26)+(Q26*$J26)+(Q26*$K26)+($L26)+(Q26*((52+$M26)/52))*(1+$N26))*1/$F26</f>
        <v/>
      </c>
      <c r="U26" s="23">
        <f>(R26+(R26*$D26)+(R26*$G26)+(R26*$H26)+(R26*$I26)+(R26*$J26)+(R26*$K26)+($L26)+(R26*((52+$M26)/52))*(1+$N26))*1/$F26</f>
        <v/>
      </c>
      <c r="V26" s="23">
        <f>S26/52/$E26</f>
        <v/>
      </c>
      <c r="W26" s="23">
        <f>T26/52/$E26</f>
        <v/>
      </c>
      <c r="X26" s="23">
        <f>U26/52/$E26</f>
        <v/>
      </c>
    </row>
  </sheetData>
  <pageMargins left="0.7" right="0.7" top="0.75" bottom="0.75" header="0.3" footer="0.3"/>
  <pageSetup orientation="portrait" paperSize="9"/>
</worksheet>
</file>

<file path=xl/worksheets/sheet19.xml><?xml version="1.0" encoding="utf-8"?>
<worksheet xmlns="http://schemas.openxmlformats.org/spreadsheetml/2006/main">
  <sheetPr>
    <outlinePr summaryBelow="1" summaryRight="1"/>
    <pageSetUpPr/>
  </sheetPr>
  <dimension ref="A1:B6"/>
  <sheetViews>
    <sheetView workbookViewId="0">
      <selection activeCell="B19" sqref="B19"/>
    </sheetView>
  </sheetViews>
  <sheetFormatPr baseColWidth="10" defaultColWidth="11" defaultRowHeight="16"/>
  <cols>
    <col width="17.83203125" customWidth="1" min="1" max="1"/>
    <col width="53.83203125" customWidth="1" min="2" max="2"/>
  </cols>
  <sheetData>
    <row r="1">
      <c r="A1" t="inlineStr">
        <is>
          <t>Assumption</t>
        </is>
      </c>
      <c r="B1" t="inlineStr">
        <is>
          <t>Rationale</t>
        </is>
      </c>
    </row>
    <row r="2">
      <c r="A2" t="inlineStr">
        <is>
          <t>Public holiday penalty percentage</t>
        </is>
      </c>
      <c r="B2" t="inlineStr">
        <is>
          <t>An average estimate was made across the state and across years, to approxomate the cost. The actual cost is a function of whether the individual works a public holiday and any award-related penalties accrued relating to this.</t>
        </is>
      </c>
    </row>
    <row r="3">
      <c r="A3" t="inlineStr">
        <is>
          <t>Sick leave penalty percentage</t>
        </is>
      </c>
      <c r="B3" t="inlineStr">
        <is>
          <t>The national minimum in Australia is 10 days of sick leave. Healthcare workers often work weekends, evenings and have a greater exposure to sickness. The rate of 4.6% is not empiric but is based on the level in the author's current institution.</t>
        </is>
      </c>
    </row>
    <row r="4">
      <c r="A4" t="inlineStr">
        <is>
          <t>Indexation rates</t>
        </is>
      </c>
      <c r="B4" t="inlineStr">
        <is>
          <t>Some of the awards listed an annual indexation rate, or an equivalent base salary rise, resulting in generalisation of the 1.5% salary indexation. A deterministic sensitivity analysis will be undertaken around this assumption.</t>
        </is>
      </c>
    </row>
    <row r="5">
      <c r="A5" t="inlineStr">
        <is>
          <t>Annual leave</t>
        </is>
      </c>
      <c r="B5" t="inlineStr">
        <is>
          <t>100% of annual leave entitlements were taken in the year they were provided.</t>
        </is>
      </c>
    </row>
    <row r="6">
      <c r="A6" t="inlineStr">
        <is>
          <t>Professional development allowane</t>
        </is>
      </c>
      <c r="B6" t="inlineStr">
        <is>
          <t>100% is taken in the year allowed</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s="104" t="inlineStr">
        <is>
          <t>Expected Mean Cost</t>
        </is>
      </c>
    </row>
    <row r="2">
      <c r="A2" t="n">
        <v>150000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Dylan Mordaunt</dc:creator>
  <dcterms:created xmlns:dcterms="http://purl.org/dc/terms/" xmlns:xsi="http://www.w3.org/2001/XMLSchema-instance" xsi:type="dcterms:W3CDTF">2023-12-27T02:36:24Z</dcterms:created>
  <dcterms:modified xmlns:dcterms="http://purl.org/dc/terms/" xmlns:xsi="http://www.w3.org/2001/XMLSchema-instance" xsi:type="dcterms:W3CDTF">2025-08-05T10:02:44Z</dcterms:modified>
  <cp:lastModifiedBy>Dylan Mordaunt</cp:lastModifiedBy>
</cp:coreProperties>
</file>